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CAA18234-7AAC-474A-BE26-8B686F0F63CE}" xr6:coauthVersionLast="47" xr6:coauthVersionMax="47" xr10:uidLastSave="{00000000-0000-0000-0000-000000000000}"/>
  <bookViews>
    <workbookView xWindow="990" yWindow="220" windowWidth="27650" windowHeight="20850" activeTab="1" xr2:uid="{CDF70340-9C56-4D52-B77F-011FD0FB57C6}"/>
  </bookViews>
  <sheets>
    <sheet name="Jul Act vs Jun Act" sheetId="19" r:id="rId1"/>
    <sheet name="Grid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9" i="19" l="1"/>
  <c r="R99" i="19"/>
  <c r="Q99" i="19"/>
  <c r="P99" i="19"/>
  <c r="O99" i="19"/>
  <c r="N99" i="19"/>
  <c r="M99" i="19"/>
  <c r="K99" i="19"/>
  <c r="J99" i="19"/>
  <c r="I99" i="19"/>
  <c r="H99" i="19"/>
  <c r="G99" i="19"/>
  <c r="F99" i="19"/>
  <c r="E99" i="19"/>
  <c r="D107" i="19"/>
  <c r="D106" i="19"/>
  <c r="D105" i="19"/>
  <c r="D104" i="19"/>
  <c r="D103" i="19"/>
  <c r="D102" i="19"/>
  <c r="D101" i="19"/>
  <c r="D100" i="19"/>
  <c r="AH96" i="19"/>
  <c r="AH65" i="19" s="1"/>
  <c r="AG96" i="19"/>
  <c r="AG65" i="19" s="1"/>
  <c r="AF96" i="19"/>
  <c r="AF65" i="19" s="1"/>
  <c r="AE96" i="19"/>
  <c r="AE65" i="19" s="1"/>
  <c r="AD96" i="19"/>
  <c r="AD65" i="19" s="1"/>
  <c r="AC96" i="19"/>
  <c r="AC65" i="19" s="1"/>
  <c r="AB96" i="19"/>
  <c r="AB65" i="19" s="1"/>
  <c r="AA96" i="19"/>
  <c r="AA65" i="19" s="1"/>
  <c r="Z96" i="19"/>
  <c r="Z65" i="19" s="1"/>
  <c r="Y96" i="19"/>
  <c r="Y65" i="19" s="1"/>
  <c r="X96" i="19"/>
  <c r="X65" i="19" s="1"/>
  <c r="W96" i="19"/>
  <c r="W65" i="19" s="1"/>
  <c r="V96" i="19"/>
  <c r="V65" i="19" s="1"/>
  <c r="U96" i="19"/>
  <c r="U65" i="19" s="1"/>
  <c r="T96" i="19"/>
  <c r="T65" i="19" s="1"/>
  <c r="S96" i="19"/>
  <c r="S65" i="19" s="1"/>
  <c r="R96" i="19"/>
  <c r="R65" i="19" s="1"/>
  <c r="Q96" i="19"/>
  <c r="Q65" i="19" s="1"/>
  <c r="P96" i="19"/>
  <c r="P65" i="19" s="1"/>
  <c r="O96" i="19"/>
  <c r="O65" i="19" s="1"/>
  <c r="N96" i="19"/>
  <c r="N65" i="19" s="1"/>
  <c r="M96" i="19"/>
  <c r="M65" i="19" s="1"/>
  <c r="L96" i="19"/>
  <c r="L65" i="19" s="1"/>
  <c r="K96" i="19"/>
  <c r="K65" i="19" s="1"/>
  <c r="J96" i="19"/>
  <c r="J65" i="19" s="1"/>
  <c r="I96" i="19"/>
  <c r="I65" i="19" s="1"/>
  <c r="H96" i="19"/>
  <c r="H65" i="19" s="1"/>
  <c r="G96" i="19"/>
  <c r="G65" i="19" s="1"/>
  <c r="F96" i="19"/>
  <c r="F65" i="19" s="1"/>
  <c r="E96" i="19"/>
  <c r="E65" i="19" s="1"/>
  <c r="AH95" i="19"/>
  <c r="AG95" i="19"/>
  <c r="AG32" i="19" s="1"/>
  <c r="AF95" i="19"/>
  <c r="AF64" i="19" s="1"/>
  <c r="AE95" i="19"/>
  <c r="AE64" i="19" s="1"/>
  <c r="AD95" i="19"/>
  <c r="AD64" i="19" s="1"/>
  <c r="AC95" i="19"/>
  <c r="AC64" i="19" s="1"/>
  <c r="AB95" i="19"/>
  <c r="AB64" i="19" s="1"/>
  <c r="AA95" i="19"/>
  <c r="AA64" i="19" s="1"/>
  <c r="Z95" i="19"/>
  <c r="Z64" i="19" s="1"/>
  <c r="Y95" i="19"/>
  <c r="Y64" i="19" s="1"/>
  <c r="X95" i="19"/>
  <c r="X64" i="19" s="1"/>
  <c r="W95" i="19"/>
  <c r="W64" i="19" s="1"/>
  <c r="V95" i="19"/>
  <c r="V64" i="19" s="1"/>
  <c r="U95" i="19"/>
  <c r="U64" i="19" s="1"/>
  <c r="T95" i="19"/>
  <c r="T64" i="19" s="1"/>
  <c r="S95" i="19"/>
  <c r="S64" i="19" s="1"/>
  <c r="R95" i="19"/>
  <c r="R64" i="19" s="1"/>
  <c r="Q95" i="19"/>
  <c r="P95" i="19"/>
  <c r="P32" i="19" s="1"/>
  <c r="O95" i="19"/>
  <c r="O64" i="19" s="1"/>
  <c r="N95" i="19"/>
  <c r="N64" i="19" s="1"/>
  <c r="M95" i="19"/>
  <c r="M64" i="19" s="1"/>
  <c r="L95" i="19"/>
  <c r="L64" i="19" s="1"/>
  <c r="K95" i="19"/>
  <c r="K64" i="19" s="1"/>
  <c r="J95" i="19"/>
  <c r="J64" i="19" s="1"/>
  <c r="I95" i="19"/>
  <c r="I64" i="19" s="1"/>
  <c r="H95" i="19"/>
  <c r="H64" i="19" s="1"/>
  <c r="G95" i="19"/>
  <c r="G64" i="19" s="1"/>
  <c r="F95" i="19"/>
  <c r="F64" i="19" s="1"/>
  <c r="E95" i="19"/>
  <c r="E64" i="19" s="1"/>
  <c r="AH94" i="19"/>
  <c r="AH31" i="19" s="1"/>
  <c r="AG94" i="19"/>
  <c r="AF94" i="19"/>
  <c r="AF63" i="19" s="1"/>
  <c r="AE94" i="19"/>
  <c r="AE63" i="19" s="1"/>
  <c r="AD94" i="19"/>
  <c r="AD63" i="19" s="1"/>
  <c r="AC94" i="19"/>
  <c r="AC63" i="19" s="1"/>
  <c r="AB94" i="19"/>
  <c r="AB63" i="19" s="1"/>
  <c r="AA94" i="19"/>
  <c r="AA63" i="19" s="1"/>
  <c r="Z94" i="19"/>
  <c r="Z63" i="19" s="1"/>
  <c r="Y94" i="19"/>
  <c r="Y63" i="19" s="1"/>
  <c r="X94" i="19"/>
  <c r="X63" i="19" s="1"/>
  <c r="W94" i="19"/>
  <c r="W63" i="19" s="1"/>
  <c r="V94" i="19"/>
  <c r="V63" i="19" s="1"/>
  <c r="U94" i="19"/>
  <c r="U63" i="19" s="1"/>
  <c r="T94" i="19"/>
  <c r="T63" i="19" s="1"/>
  <c r="S94" i="19"/>
  <c r="S63" i="19" s="1"/>
  <c r="R94" i="19"/>
  <c r="R63" i="19" s="1"/>
  <c r="Q94" i="19"/>
  <c r="P94" i="19"/>
  <c r="O94" i="19"/>
  <c r="O63" i="19" s="1"/>
  <c r="N94" i="19"/>
  <c r="N63" i="19" s="1"/>
  <c r="M94" i="19"/>
  <c r="M63" i="19" s="1"/>
  <c r="L94" i="19"/>
  <c r="L63" i="19" s="1"/>
  <c r="K94" i="19"/>
  <c r="K63" i="19" s="1"/>
  <c r="J94" i="19"/>
  <c r="J63" i="19" s="1"/>
  <c r="I94" i="19"/>
  <c r="I63" i="19" s="1"/>
  <c r="H94" i="19"/>
  <c r="H63" i="19" s="1"/>
  <c r="G94" i="19"/>
  <c r="G63" i="19" s="1"/>
  <c r="F94" i="19"/>
  <c r="F63" i="19" s="1"/>
  <c r="E94" i="19"/>
  <c r="E63" i="19" s="1"/>
  <c r="AH93" i="19"/>
  <c r="AH30" i="19" s="1"/>
  <c r="AG93" i="19"/>
  <c r="AF93" i="19"/>
  <c r="AF62" i="19" s="1"/>
  <c r="AE93" i="19"/>
  <c r="AE62" i="19" s="1"/>
  <c r="AD93" i="19"/>
  <c r="AD62" i="19" s="1"/>
  <c r="AC93" i="19"/>
  <c r="AC62" i="19" s="1"/>
  <c r="AB93" i="19"/>
  <c r="AB62" i="19" s="1"/>
  <c r="AA93" i="19"/>
  <c r="AA62" i="19" s="1"/>
  <c r="Z93" i="19"/>
  <c r="Z62" i="19" s="1"/>
  <c r="Y93" i="19"/>
  <c r="Y62" i="19" s="1"/>
  <c r="X93" i="19"/>
  <c r="X62" i="19" s="1"/>
  <c r="W93" i="19"/>
  <c r="W62" i="19" s="1"/>
  <c r="V93" i="19"/>
  <c r="V62" i="19" s="1"/>
  <c r="U93" i="19"/>
  <c r="U62" i="19" s="1"/>
  <c r="T93" i="19"/>
  <c r="T62" i="19" s="1"/>
  <c r="S93" i="19"/>
  <c r="S62" i="19" s="1"/>
  <c r="R93" i="19"/>
  <c r="R30" i="19" s="1"/>
  <c r="Q93" i="19"/>
  <c r="P93" i="19"/>
  <c r="P30" i="19" s="1"/>
  <c r="O93" i="19"/>
  <c r="N93" i="19"/>
  <c r="N30" i="19" s="1"/>
  <c r="M93" i="19"/>
  <c r="M30" i="19" s="1"/>
  <c r="L93" i="19"/>
  <c r="L30" i="19" s="1"/>
  <c r="K93" i="19"/>
  <c r="K30" i="19" s="1"/>
  <c r="J93" i="19"/>
  <c r="J30" i="19" s="1"/>
  <c r="I93" i="19"/>
  <c r="H93" i="19"/>
  <c r="H30" i="19" s="1"/>
  <c r="G93" i="19"/>
  <c r="F93" i="19"/>
  <c r="E93" i="19"/>
  <c r="E30" i="19" s="1"/>
  <c r="AH92" i="19"/>
  <c r="AH29" i="19" s="1"/>
  <c r="AG92" i="19"/>
  <c r="AG29" i="19" s="1"/>
  <c r="AF92" i="19"/>
  <c r="AF61" i="19" s="1"/>
  <c r="AE92" i="19"/>
  <c r="AE61" i="19" s="1"/>
  <c r="AD92" i="19"/>
  <c r="AD61" i="19" s="1"/>
  <c r="AC92" i="19"/>
  <c r="AC61" i="19" s="1"/>
  <c r="AB92" i="19"/>
  <c r="AB61" i="19" s="1"/>
  <c r="AA92" i="19"/>
  <c r="AA61" i="19" s="1"/>
  <c r="Z92" i="19"/>
  <c r="Z61" i="19" s="1"/>
  <c r="Y92" i="19"/>
  <c r="Y61" i="19" s="1"/>
  <c r="X92" i="19"/>
  <c r="X61" i="19" s="1"/>
  <c r="W92" i="19"/>
  <c r="W61" i="19" s="1"/>
  <c r="V92" i="19"/>
  <c r="V61" i="19" s="1"/>
  <c r="U92" i="19"/>
  <c r="U61" i="19" s="1"/>
  <c r="T92" i="19"/>
  <c r="T61" i="19" s="1"/>
  <c r="S92" i="19"/>
  <c r="R92" i="19"/>
  <c r="R29" i="19" s="1"/>
  <c r="Q92" i="19"/>
  <c r="Q29" i="19" s="1"/>
  <c r="P92" i="19"/>
  <c r="P29" i="19" s="1"/>
  <c r="P61" i="19" s="1"/>
  <c r="O92" i="19"/>
  <c r="N92" i="19"/>
  <c r="N29" i="19" s="1"/>
  <c r="M92" i="19"/>
  <c r="L92" i="19"/>
  <c r="L29" i="19" s="1"/>
  <c r="K92" i="19"/>
  <c r="K29" i="19" s="1"/>
  <c r="J92" i="19"/>
  <c r="J29" i="19" s="1"/>
  <c r="I92" i="19"/>
  <c r="I29" i="19" s="1"/>
  <c r="H92" i="19"/>
  <c r="H29" i="19" s="1"/>
  <c r="G92" i="19"/>
  <c r="F92" i="19"/>
  <c r="E92" i="19"/>
  <c r="AH91" i="19"/>
  <c r="AG91" i="19"/>
  <c r="AG28" i="19" s="1"/>
  <c r="AF91" i="19"/>
  <c r="AF60" i="19" s="1"/>
  <c r="AE91" i="19"/>
  <c r="AE60" i="19" s="1"/>
  <c r="AD91" i="19"/>
  <c r="AD60" i="19" s="1"/>
  <c r="AC91" i="19"/>
  <c r="AC60" i="19" s="1"/>
  <c r="AB91" i="19"/>
  <c r="AB60" i="19" s="1"/>
  <c r="AA91" i="19"/>
  <c r="AA60" i="19" s="1"/>
  <c r="Z91" i="19"/>
  <c r="Z60" i="19" s="1"/>
  <c r="Y91" i="19"/>
  <c r="Y60" i="19" s="1"/>
  <c r="X91" i="19"/>
  <c r="X60" i="19" s="1"/>
  <c r="W91" i="19"/>
  <c r="W60" i="19" s="1"/>
  <c r="V91" i="19"/>
  <c r="V60" i="19" s="1"/>
  <c r="U91" i="19"/>
  <c r="U60" i="19" s="1"/>
  <c r="T91" i="19"/>
  <c r="T60" i="19" s="1"/>
  <c r="S91" i="19"/>
  <c r="R91" i="19"/>
  <c r="R28" i="19" s="1"/>
  <c r="Q91" i="19"/>
  <c r="Q28" i="19" s="1"/>
  <c r="P91" i="19"/>
  <c r="P28" i="19" s="1"/>
  <c r="O91" i="19"/>
  <c r="O28" i="19" s="1"/>
  <c r="N91" i="19"/>
  <c r="N28" i="19" s="1"/>
  <c r="M91" i="19"/>
  <c r="L91" i="19"/>
  <c r="L28" i="19" s="1"/>
  <c r="K91" i="19"/>
  <c r="J91" i="19"/>
  <c r="J28" i="19" s="1"/>
  <c r="I91" i="19"/>
  <c r="I28" i="19" s="1"/>
  <c r="H91" i="19"/>
  <c r="H28" i="19" s="1"/>
  <c r="G91" i="19"/>
  <c r="G28" i="19" s="1"/>
  <c r="F91" i="19"/>
  <c r="F28" i="19" s="1"/>
  <c r="E91" i="19"/>
  <c r="E28" i="19" s="1"/>
  <c r="AH90" i="19"/>
  <c r="AG90" i="19"/>
  <c r="AF90" i="19"/>
  <c r="AF27" i="19" s="1"/>
  <c r="AE90" i="19"/>
  <c r="AE27" i="19" s="1"/>
  <c r="AD90" i="19"/>
  <c r="AD59" i="19" s="1"/>
  <c r="AC90" i="19"/>
  <c r="AC59" i="19" s="1"/>
  <c r="AB90" i="19"/>
  <c r="AB59" i="19" s="1"/>
  <c r="AA90" i="19"/>
  <c r="AA59" i="19" s="1"/>
  <c r="Z90" i="19"/>
  <c r="Z59" i="19" s="1"/>
  <c r="Y90" i="19"/>
  <c r="Y59" i="19" s="1"/>
  <c r="X90" i="19"/>
  <c r="X59" i="19" s="1"/>
  <c r="W90" i="19"/>
  <c r="W59" i="19" s="1"/>
  <c r="V90" i="19"/>
  <c r="V59" i="19" s="1"/>
  <c r="U90" i="19"/>
  <c r="U59" i="19" s="1"/>
  <c r="T90" i="19"/>
  <c r="T59" i="19" s="1"/>
  <c r="S90" i="19"/>
  <c r="R90" i="19"/>
  <c r="R27" i="19" s="1"/>
  <c r="Q90" i="19"/>
  <c r="P90" i="19"/>
  <c r="P27" i="19" s="1"/>
  <c r="O90" i="19"/>
  <c r="O27" i="19" s="1"/>
  <c r="N90" i="19"/>
  <c r="N27" i="19" s="1"/>
  <c r="M90" i="19"/>
  <c r="M27" i="19" s="1"/>
  <c r="L90" i="19"/>
  <c r="L27" i="19" s="1"/>
  <c r="L59" i="19" s="1"/>
  <c r="K90" i="19"/>
  <c r="J90" i="19"/>
  <c r="J27" i="19" s="1"/>
  <c r="I90" i="19"/>
  <c r="H90" i="19"/>
  <c r="H27" i="19" s="1"/>
  <c r="G90" i="19"/>
  <c r="G27" i="19" s="1"/>
  <c r="F90" i="19"/>
  <c r="F27" i="19" s="1"/>
  <c r="E90" i="19"/>
  <c r="E27" i="19" s="1"/>
  <c r="AH89" i="19"/>
  <c r="AH26" i="19" s="1"/>
  <c r="AG89" i="19"/>
  <c r="AF89" i="19"/>
  <c r="AE89" i="19"/>
  <c r="AD89" i="19"/>
  <c r="AD58" i="19" s="1"/>
  <c r="AC89" i="19"/>
  <c r="AC58" i="19" s="1"/>
  <c r="AB89" i="19"/>
  <c r="AB58" i="19" s="1"/>
  <c r="AA89" i="19"/>
  <c r="AA58" i="19" s="1"/>
  <c r="Z89" i="19"/>
  <c r="Z58" i="19" s="1"/>
  <c r="Y89" i="19"/>
  <c r="Y58" i="19" s="1"/>
  <c r="X89" i="19"/>
  <c r="X58" i="19" s="1"/>
  <c r="W89" i="19"/>
  <c r="W58" i="19" s="1"/>
  <c r="V89" i="19"/>
  <c r="V58" i="19" s="1"/>
  <c r="U89" i="19"/>
  <c r="U58" i="19" s="1"/>
  <c r="T89" i="19"/>
  <c r="S89" i="19"/>
  <c r="S26" i="19" s="1"/>
  <c r="R89" i="19"/>
  <c r="R26" i="19" s="1"/>
  <c r="Q89" i="19"/>
  <c r="Q26" i="19" s="1"/>
  <c r="P89" i="19"/>
  <c r="P26" i="19" s="1"/>
  <c r="O89" i="19"/>
  <c r="N89" i="19"/>
  <c r="N26" i="19" s="1"/>
  <c r="M89" i="19"/>
  <c r="M26" i="19" s="1"/>
  <c r="L89" i="19"/>
  <c r="L26" i="19" s="1"/>
  <c r="K89" i="19"/>
  <c r="K26" i="19" s="1"/>
  <c r="J89" i="19"/>
  <c r="J26" i="19" s="1"/>
  <c r="I89" i="19"/>
  <c r="H89" i="19"/>
  <c r="H26" i="19" s="1"/>
  <c r="G89" i="19"/>
  <c r="F89" i="19"/>
  <c r="F26" i="19" s="1"/>
  <c r="E89" i="19"/>
  <c r="E26" i="19" s="1"/>
  <c r="AH88" i="19"/>
  <c r="AH25" i="19" s="1"/>
  <c r="AG88" i="19"/>
  <c r="AG25" i="19" s="1"/>
  <c r="AF88" i="19"/>
  <c r="AF25" i="19" s="1"/>
  <c r="AE88" i="19"/>
  <c r="AD88" i="19"/>
  <c r="AD57" i="19" s="1"/>
  <c r="AC88" i="19"/>
  <c r="AC57" i="19" s="1"/>
  <c r="AB88" i="19"/>
  <c r="AB57" i="19" s="1"/>
  <c r="AA88" i="19"/>
  <c r="AA57" i="19" s="1"/>
  <c r="Z88" i="19"/>
  <c r="Z57" i="19" s="1"/>
  <c r="Y88" i="19"/>
  <c r="Y57" i="19" s="1"/>
  <c r="X88" i="19"/>
  <c r="X57" i="19" s="1"/>
  <c r="W88" i="19"/>
  <c r="W57" i="19" s="1"/>
  <c r="V88" i="19"/>
  <c r="V57" i="19" s="1"/>
  <c r="U88" i="19"/>
  <c r="U57" i="19" s="1"/>
  <c r="T88" i="19"/>
  <c r="S88" i="19"/>
  <c r="S25" i="19" s="1"/>
  <c r="R88" i="19"/>
  <c r="R25" i="19" s="1"/>
  <c r="Q88" i="19"/>
  <c r="Q25" i="19" s="1"/>
  <c r="P88" i="19"/>
  <c r="P25" i="19" s="1"/>
  <c r="O88" i="19"/>
  <c r="O25" i="19" s="1"/>
  <c r="N88" i="19"/>
  <c r="N25" i="19" s="1"/>
  <c r="M88" i="19"/>
  <c r="L88" i="19"/>
  <c r="L25" i="19" s="1"/>
  <c r="K88" i="19"/>
  <c r="K25" i="19" s="1"/>
  <c r="K107" i="19" s="1"/>
  <c r="J88" i="19"/>
  <c r="J25" i="19" s="1"/>
  <c r="J107" i="19" s="1"/>
  <c r="I88" i="19"/>
  <c r="I25" i="19" s="1"/>
  <c r="I107" i="19" s="1"/>
  <c r="H88" i="19"/>
  <c r="H25" i="19" s="1"/>
  <c r="H107" i="19" s="1"/>
  <c r="G88" i="19"/>
  <c r="F88" i="19"/>
  <c r="F25" i="19" s="1"/>
  <c r="F107" i="19" s="1"/>
  <c r="E88" i="19"/>
  <c r="AH87" i="19"/>
  <c r="AG87" i="19"/>
  <c r="AG24" i="19" s="1"/>
  <c r="AF87" i="19"/>
  <c r="AF24" i="19" s="1"/>
  <c r="AE87" i="19"/>
  <c r="AE24" i="19" s="1"/>
  <c r="AD87" i="19"/>
  <c r="AD56" i="19" s="1"/>
  <c r="AC87" i="19"/>
  <c r="AC56" i="19" s="1"/>
  <c r="AB87" i="19"/>
  <c r="AB56" i="19" s="1"/>
  <c r="AA87" i="19"/>
  <c r="AA56" i="19" s="1"/>
  <c r="Z87" i="19"/>
  <c r="Z56" i="19" s="1"/>
  <c r="Y87" i="19"/>
  <c r="Y56" i="19" s="1"/>
  <c r="X87" i="19"/>
  <c r="X56" i="19" s="1"/>
  <c r="W87" i="19"/>
  <c r="W56" i="19" s="1"/>
  <c r="V87" i="19"/>
  <c r="V56" i="19" s="1"/>
  <c r="U87" i="19"/>
  <c r="U56" i="19" s="1"/>
  <c r="T87" i="19"/>
  <c r="T24" i="19" s="1"/>
  <c r="S87" i="19"/>
  <c r="R87" i="19"/>
  <c r="R24" i="19" s="1"/>
  <c r="Q87" i="19"/>
  <c r="Q24" i="19" s="1"/>
  <c r="P87" i="19"/>
  <c r="P24" i="19" s="1"/>
  <c r="O87" i="19"/>
  <c r="O24" i="19" s="1"/>
  <c r="N87" i="19"/>
  <c r="N24" i="19" s="1"/>
  <c r="M87" i="19"/>
  <c r="M24" i="19" s="1"/>
  <c r="L87" i="19"/>
  <c r="L24" i="19" s="1"/>
  <c r="K87" i="19"/>
  <c r="J87" i="19"/>
  <c r="J24" i="19" s="1"/>
  <c r="J106" i="19" s="1"/>
  <c r="I87" i="19"/>
  <c r="I24" i="19" s="1"/>
  <c r="I106" i="19" s="1"/>
  <c r="H87" i="19"/>
  <c r="H24" i="19" s="1"/>
  <c r="H106" i="19" s="1"/>
  <c r="G87" i="19"/>
  <c r="G24" i="19" s="1"/>
  <c r="G106" i="19" s="1"/>
  <c r="F87" i="19"/>
  <c r="E87" i="19"/>
  <c r="AH86" i="19"/>
  <c r="AH23" i="19" s="1"/>
  <c r="AG86" i="19"/>
  <c r="AF86" i="19"/>
  <c r="AF23" i="19" s="1"/>
  <c r="AE86" i="19"/>
  <c r="AE23" i="19" s="1"/>
  <c r="AD86" i="19"/>
  <c r="AD23" i="19" s="1"/>
  <c r="AC86" i="19"/>
  <c r="AC23" i="19" s="1"/>
  <c r="AB86" i="19"/>
  <c r="AB55" i="19" s="1"/>
  <c r="AA86" i="19"/>
  <c r="AA55" i="19" s="1"/>
  <c r="Z86" i="19"/>
  <c r="Z55" i="19" s="1"/>
  <c r="Y86" i="19"/>
  <c r="Y55" i="19" s="1"/>
  <c r="X86" i="19"/>
  <c r="X23" i="19" s="1"/>
  <c r="W86" i="19"/>
  <c r="W55" i="19" s="1"/>
  <c r="V86" i="19"/>
  <c r="V55" i="19" s="1"/>
  <c r="U86" i="19"/>
  <c r="U55" i="19" s="1"/>
  <c r="T86" i="19"/>
  <c r="T23" i="19" s="1"/>
  <c r="S86" i="19"/>
  <c r="R86" i="19"/>
  <c r="R23" i="19" s="1"/>
  <c r="Q86" i="19"/>
  <c r="P86" i="19"/>
  <c r="P23" i="19" s="1"/>
  <c r="O86" i="19"/>
  <c r="O23" i="19" s="1"/>
  <c r="N86" i="19"/>
  <c r="N23" i="19" s="1"/>
  <c r="M86" i="19"/>
  <c r="M23" i="19" s="1"/>
  <c r="L86" i="19"/>
  <c r="L23" i="19" s="1"/>
  <c r="K86" i="19"/>
  <c r="J86" i="19"/>
  <c r="J23" i="19" s="1"/>
  <c r="J105" i="19" s="1"/>
  <c r="I86" i="19"/>
  <c r="H86" i="19"/>
  <c r="G86" i="19"/>
  <c r="G23" i="19" s="1"/>
  <c r="G105" i="19" s="1"/>
  <c r="F86" i="19"/>
  <c r="F23" i="19" s="1"/>
  <c r="F105" i="19" s="1"/>
  <c r="E86" i="19"/>
  <c r="E23" i="19" s="1"/>
  <c r="E105" i="19" s="1"/>
  <c r="AH85" i="19"/>
  <c r="AH22" i="19" s="1"/>
  <c r="AG85" i="19"/>
  <c r="AG22" i="19" s="1"/>
  <c r="AF85" i="19"/>
  <c r="AF22" i="19" s="1"/>
  <c r="AE85" i="19"/>
  <c r="AD85" i="19"/>
  <c r="AD22" i="19" s="1"/>
  <c r="AC85" i="19"/>
  <c r="AC54" i="19" s="1"/>
  <c r="AB85" i="19"/>
  <c r="AB54" i="19" s="1"/>
  <c r="AA85" i="19"/>
  <c r="AA54" i="19" s="1"/>
  <c r="Z85" i="19"/>
  <c r="Y85" i="19"/>
  <c r="X85" i="19"/>
  <c r="X22" i="19" s="1"/>
  <c r="W85" i="19"/>
  <c r="W54" i="19" s="1"/>
  <c r="V85" i="19"/>
  <c r="V54" i="19" s="1"/>
  <c r="U85" i="19"/>
  <c r="U54" i="19" s="1"/>
  <c r="T85" i="19"/>
  <c r="T22" i="19" s="1"/>
  <c r="S85" i="19"/>
  <c r="S22" i="19" s="1"/>
  <c r="R85" i="19"/>
  <c r="R22" i="19" s="1"/>
  <c r="Q85" i="19"/>
  <c r="Q22" i="19" s="1"/>
  <c r="P85" i="19"/>
  <c r="O85" i="19"/>
  <c r="N85" i="19"/>
  <c r="N22" i="19" s="1"/>
  <c r="M85" i="19"/>
  <c r="M22" i="19" s="1"/>
  <c r="L85" i="19"/>
  <c r="L22" i="19" s="1"/>
  <c r="K85" i="19"/>
  <c r="K22" i="19" s="1"/>
  <c r="K104" i="19" s="1"/>
  <c r="J85" i="19"/>
  <c r="J22" i="19" s="1"/>
  <c r="J104" i="19" s="1"/>
  <c r="I85" i="19"/>
  <c r="H85" i="19"/>
  <c r="H22" i="19" s="1"/>
  <c r="H104" i="19" s="1"/>
  <c r="G85" i="19"/>
  <c r="G22" i="19" s="1"/>
  <c r="G104" i="19" s="1"/>
  <c r="F85" i="19"/>
  <c r="F22" i="19" s="1"/>
  <c r="F104" i="19" s="1"/>
  <c r="E85" i="19"/>
  <c r="E22" i="19" s="1"/>
  <c r="E104" i="19" s="1"/>
  <c r="AH84" i="19"/>
  <c r="AH21" i="19" s="1"/>
  <c r="AG84" i="19"/>
  <c r="AG21" i="19" s="1"/>
  <c r="AF84" i="19"/>
  <c r="AE84" i="19"/>
  <c r="AD84" i="19"/>
  <c r="AD21" i="19" s="1"/>
  <c r="AC84" i="19"/>
  <c r="AC53" i="19" s="1"/>
  <c r="AB84" i="19"/>
  <c r="AB53" i="19" s="1"/>
  <c r="AA84" i="19"/>
  <c r="AA53" i="19" s="1"/>
  <c r="Z84" i="19"/>
  <c r="Y84" i="19"/>
  <c r="Y21" i="19" s="1"/>
  <c r="X84" i="19"/>
  <c r="X21" i="19" s="1"/>
  <c r="W84" i="19"/>
  <c r="W53" i="19" s="1"/>
  <c r="V84" i="19"/>
  <c r="V53" i="19" s="1"/>
  <c r="U84" i="19"/>
  <c r="U53" i="19" s="1"/>
  <c r="T84" i="19"/>
  <c r="S84" i="19"/>
  <c r="S21" i="19" s="1"/>
  <c r="R84" i="19"/>
  <c r="R21" i="19" s="1"/>
  <c r="Q84" i="19"/>
  <c r="Q21" i="19" s="1"/>
  <c r="P84" i="19"/>
  <c r="P21" i="19" s="1"/>
  <c r="O84" i="19"/>
  <c r="N84" i="19"/>
  <c r="N21" i="19" s="1"/>
  <c r="M84" i="19"/>
  <c r="L84" i="19"/>
  <c r="L21" i="19" s="1"/>
  <c r="K84" i="19"/>
  <c r="K21" i="19" s="1"/>
  <c r="K103" i="19" s="1"/>
  <c r="J84" i="19"/>
  <c r="J21" i="19" s="1"/>
  <c r="J103" i="19" s="1"/>
  <c r="I84" i="19"/>
  <c r="I21" i="19" s="1"/>
  <c r="I103" i="19" s="1"/>
  <c r="H84" i="19"/>
  <c r="H21" i="19" s="1"/>
  <c r="H103" i="19" s="1"/>
  <c r="G84" i="19"/>
  <c r="F84" i="19"/>
  <c r="F21" i="19" s="1"/>
  <c r="F103" i="19" s="1"/>
  <c r="E84" i="19"/>
  <c r="AH83" i="19"/>
  <c r="AG83" i="19"/>
  <c r="AG20" i="19" s="1"/>
  <c r="AF83" i="19"/>
  <c r="AF20" i="19" s="1"/>
  <c r="AE83" i="19"/>
  <c r="AE20" i="19" s="1"/>
  <c r="AD83" i="19"/>
  <c r="AD20" i="19" s="1"/>
  <c r="AC83" i="19"/>
  <c r="AB83" i="19"/>
  <c r="AB20" i="19" s="1"/>
  <c r="AA83" i="19"/>
  <c r="AA52" i="19" s="1"/>
  <c r="Z83" i="19"/>
  <c r="Y83" i="19"/>
  <c r="Y20" i="19" s="1"/>
  <c r="X83" i="19"/>
  <c r="X20" i="19" s="1"/>
  <c r="W83" i="19"/>
  <c r="W20" i="19" s="1"/>
  <c r="V83" i="19"/>
  <c r="V52" i="19" s="1"/>
  <c r="U83" i="19"/>
  <c r="T83" i="19"/>
  <c r="T20" i="19" s="1"/>
  <c r="S83" i="19"/>
  <c r="R83" i="19"/>
  <c r="R20" i="19" s="1"/>
  <c r="Q83" i="19"/>
  <c r="Q20" i="19" s="1"/>
  <c r="P83" i="19"/>
  <c r="P20" i="19" s="1"/>
  <c r="O83" i="19"/>
  <c r="O20" i="19" s="1"/>
  <c r="N83" i="19"/>
  <c r="N20" i="19" s="1"/>
  <c r="M83" i="19"/>
  <c r="L83" i="19"/>
  <c r="L20" i="19" s="1"/>
  <c r="K83" i="19"/>
  <c r="J83" i="19"/>
  <c r="J20" i="19" s="1"/>
  <c r="J102" i="19" s="1"/>
  <c r="I83" i="19"/>
  <c r="I20" i="19" s="1"/>
  <c r="I102" i="19" s="1"/>
  <c r="H83" i="19"/>
  <c r="H20" i="19" s="1"/>
  <c r="H102" i="19" s="1"/>
  <c r="G83" i="19"/>
  <c r="G20" i="19" s="1"/>
  <c r="G102" i="19" s="1"/>
  <c r="F83" i="19"/>
  <c r="F20" i="19" s="1"/>
  <c r="F102" i="19" s="1"/>
  <c r="E83" i="19"/>
  <c r="AH82" i="19"/>
  <c r="AH51" i="19" s="1"/>
  <c r="AG82" i="19"/>
  <c r="AF82" i="19"/>
  <c r="AF19" i="19" s="1"/>
  <c r="AE82" i="19"/>
  <c r="AE19" i="19" s="1"/>
  <c r="AD82" i="19"/>
  <c r="AD19" i="19" s="1"/>
  <c r="AC82" i="19"/>
  <c r="AC19" i="19" s="1"/>
  <c r="AB82" i="19"/>
  <c r="AA82" i="19"/>
  <c r="Z82" i="19"/>
  <c r="Z19" i="19" s="1"/>
  <c r="Y82" i="19"/>
  <c r="X82" i="19"/>
  <c r="X19" i="19" s="1"/>
  <c r="W82" i="19"/>
  <c r="W19" i="19" s="1"/>
  <c r="V82" i="19"/>
  <c r="V51" i="19" s="1"/>
  <c r="U82" i="19"/>
  <c r="T82" i="19"/>
  <c r="T19" i="19" s="1"/>
  <c r="S82" i="19"/>
  <c r="R82" i="19"/>
  <c r="R19" i="19" s="1"/>
  <c r="Q82" i="19"/>
  <c r="P82" i="19"/>
  <c r="P19" i="19" s="1"/>
  <c r="O82" i="19"/>
  <c r="O19" i="19" s="1"/>
  <c r="N82" i="19"/>
  <c r="N19" i="19" s="1"/>
  <c r="M82" i="19"/>
  <c r="M19" i="19" s="1"/>
  <c r="L82" i="19"/>
  <c r="L19" i="19" s="1"/>
  <c r="K82" i="19"/>
  <c r="K19" i="19" s="1"/>
  <c r="K101" i="19" s="1"/>
  <c r="J82" i="19"/>
  <c r="J19" i="19" s="1"/>
  <c r="J101" i="19" s="1"/>
  <c r="I82" i="19"/>
  <c r="H82" i="19"/>
  <c r="H19" i="19" s="1"/>
  <c r="H101" i="19" s="1"/>
  <c r="G82" i="19"/>
  <c r="G19" i="19" s="1"/>
  <c r="G101" i="19" s="1"/>
  <c r="F82" i="19"/>
  <c r="F19" i="19" s="1"/>
  <c r="F101" i="19" s="1"/>
  <c r="E82" i="19"/>
  <c r="E19" i="19" s="1"/>
  <c r="E101" i="19" s="1"/>
  <c r="AH81" i="19"/>
  <c r="AH50" i="19" s="1"/>
  <c r="AG81" i="19"/>
  <c r="AF81" i="19"/>
  <c r="AF18" i="19" s="1"/>
  <c r="AE81" i="19"/>
  <c r="AD81" i="19"/>
  <c r="AD18" i="19" s="1"/>
  <c r="AC81" i="19"/>
  <c r="AC18" i="19" s="1"/>
  <c r="AB81" i="19"/>
  <c r="AB18" i="19" s="1"/>
  <c r="AA81" i="19"/>
  <c r="AA18" i="19" s="1"/>
  <c r="Z81" i="19"/>
  <c r="Z18" i="19" s="1"/>
  <c r="Y81" i="19"/>
  <c r="Y18" i="19" s="1"/>
  <c r="X81" i="19"/>
  <c r="X18" i="19" s="1"/>
  <c r="W81" i="19"/>
  <c r="V81" i="19"/>
  <c r="U81" i="19"/>
  <c r="U18" i="19" s="1"/>
  <c r="T81" i="19"/>
  <c r="T18" i="19" s="1"/>
  <c r="S81" i="19"/>
  <c r="S18" i="19" s="1"/>
  <c r="R81" i="19"/>
  <c r="R18" i="19" s="1"/>
  <c r="Q81" i="19"/>
  <c r="P81" i="19"/>
  <c r="P18" i="19" s="1"/>
  <c r="O81" i="19"/>
  <c r="N81" i="19"/>
  <c r="N18" i="19" s="1"/>
  <c r="M81" i="19"/>
  <c r="M18" i="19" s="1"/>
  <c r="L81" i="19"/>
  <c r="L18" i="19" s="1"/>
  <c r="K81" i="19"/>
  <c r="K18" i="19" s="1"/>
  <c r="K100" i="19" s="1"/>
  <c r="J81" i="19"/>
  <c r="J18" i="19" s="1"/>
  <c r="J100" i="19" s="1"/>
  <c r="I81" i="19"/>
  <c r="I18" i="19" s="1"/>
  <c r="I100" i="19" s="1"/>
  <c r="H81" i="19"/>
  <c r="H18" i="19" s="1"/>
  <c r="H100" i="19" s="1"/>
  <c r="G81" i="19"/>
  <c r="F81" i="19"/>
  <c r="F18" i="19" s="1"/>
  <c r="F100" i="19" s="1"/>
  <c r="E81" i="19"/>
  <c r="E18" i="19" s="1"/>
  <c r="E100" i="19" s="1"/>
  <c r="AH80" i="19"/>
  <c r="AH49" i="19" s="1"/>
  <c r="AG80" i="19"/>
  <c r="AG17" i="19" s="1"/>
  <c r="AF80" i="19"/>
  <c r="AF17" i="19" s="1"/>
  <c r="AE80" i="19"/>
  <c r="AD80" i="19"/>
  <c r="AD17" i="19" s="1"/>
  <c r="AC80" i="19"/>
  <c r="AB80" i="19"/>
  <c r="AB17" i="19" s="1"/>
  <c r="AA80" i="19"/>
  <c r="AA17" i="19" s="1"/>
  <c r="Z80" i="19"/>
  <c r="Z17" i="19" s="1"/>
  <c r="Y80" i="19"/>
  <c r="Y17" i="19" s="1"/>
  <c r="X80" i="19"/>
  <c r="W80" i="19"/>
  <c r="V80" i="19"/>
  <c r="V17" i="19" s="1"/>
  <c r="U80" i="19"/>
  <c r="T80" i="19"/>
  <c r="T17" i="19" s="1"/>
  <c r="S80" i="19"/>
  <c r="S17" i="19" s="1"/>
  <c r="R80" i="19"/>
  <c r="R17" i="19" s="1"/>
  <c r="Q80" i="19"/>
  <c r="Q17" i="19" s="1"/>
  <c r="P80" i="19"/>
  <c r="P17" i="19" s="1"/>
  <c r="O80" i="19"/>
  <c r="N80" i="19"/>
  <c r="N17" i="19" s="1"/>
  <c r="M80" i="19"/>
  <c r="L80" i="19"/>
  <c r="L17" i="19" s="1"/>
  <c r="K80" i="19"/>
  <c r="K17" i="19" s="1"/>
  <c r="J80" i="19"/>
  <c r="J17" i="19" s="1"/>
  <c r="I80" i="19"/>
  <c r="I17" i="19" s="1"/>
  <c r="H80" i="19"/>
  <c r="H17" i="19" s="1"/>
  <c r="G80" i="19"/>
  <c r="F80" i="19"/>
  <c r="F17" i="19" s="1"/>
  <c r="E80" i="19"/>
  <c r="AH79" i="19"/>
  <c r="AH48" i="19" s="1"/>
  <c r="AG79" i="19"/>
  <c r="AG16" i="19" s="1"/>
  <c r="AF79" i="19"/>
  <c r="AF48" i="19" s="1"/>
  <c r="AE79" i="19"/>
  <c r="AE16" i="19" s="1"/>
  <c r="AD79" i="19"/>
  <c r="AD16" i="19" s="1"/>
  <c r="AC79" i="19"/>
  <c r="AB79" i="19"/>
  <c r="AB16" i="19" s="1"/>
  <c r="AA79" i="19"/>
  <c r="Z79" i="19"/>
  <c r="Z16" i="19" s="1"/>
  <c r="Y79" i="19"/>
  <c r="Y16" i="19" s="1"/>
  <c r="X79" i="19"/>
  <c r="X16" i="19" s="1"/>
  <c r="W79" i="19"/>
  <c r="W16" i="19" s="1"/>
  <c r="V79" i="19"/>
  <c r="V16" i="19" s="1"/>
  <c r="U79" i="19"/>
  <c r="T79" i="19"/>
  <c r="T16" i="19" s="1"/>
  <c r="S79" i="19"/>
  <c r="R79" i="19"/>
  <c r="R16" i="19" s="1"/>
  <c r="Q79" i="19"/>
  <c r="Q16" i="19" s="1"/>
  <c r="P79" i="19"/>
  <c r="P16" i="19" s="1"/>
  <c r="O79" i="19"/>
  <c r="N79" i="19"/>
  <c r="N16" i="19" s="1"/>
  <c r="M79" i="19"/>
  <c r="L79" i="19"/>
  <c r="L16" i="19" s="1"/>
  <c r="K79" i="19"/>
  <c r="J79" i="19"/>
  <c r="J16" i="19" s="1"/>
  <c r="I79" i="19"/>
  <c r="I16" i="19" s="1"/>
  <c r="H79" i="19"/>
  <c r="H16" i="19" s="1"/>
  <c r="G79" i="19"/>
  <c r="G16" i="19" s="1"/>
  <c r="F79" i="19"/>
  <c r="F16" i="19" s="1"/>
  <c r="E79" i="19"/>
  <c r="AH78" i="19"/>
  <c r="AH47" i="19" s="1"/>
  <c r="AG78" i="19"/>
  <c r="AF78" i="19"/>
  <c r="AF47" i="19" s="1"/>
  <c r="AE78" i="19"/>
  <c r="AE15" i="19" s="1"/>
  <c r="AD78" i="19"/>
  <c r="AD15" i="19" s="1"/>
  <c r="AC78" i="19"/>
  <c r="AC15" i="19" s="1"/>
  <c r="AB78" i="19"/>
  <c r="AB15" i="19" s="1"/>
  <c r="AA78" i="19"/>
  <c r="Z78" i="19"/>
  <c r="Z15" i="19" s="1"/>
  <c r="Y78" i="19"/>
  <c r="X78" i="19"/>
  <c r="X15" i="19" s="1"/>
  <c r="W78" i="19"/>
  <c r="W15" i="19" s="1"/>
  <c r="V78" i="19"/>
  <c r="V15" i="19" s="1"/>
  <c r="U78" i="19"/>
  <c r="U15" i="19" s="1"/>
  <c r="T78" i="19"/>
  <c r="T15" i="19" s="1"/>
  <c r="S78" i="19"/>
  <c r="R78" i="19"/>
  <c r="R15" i="19" s="1"/>
  <c r="Q78" i="19"/>
  <c r="P78" i="19"/>
  <c r="P15" i="19" s="1"/>
  <c r="O78" i="19"/>
  <c r="O15" i="19" s="1"/>
  <c r="N78" i="19"/>
  <c r="N15" i="19" s="1"/>
  <c r="M78" i="19"/>
  <c r="M15" i="19" s="1"/>
  <c r="L78" i="19"/>
  <c r="L15" i="19" s="1"/>
  <c r="K78" i="19"/>
  <c r="J78" i="19"/>
  <c r="J15" i="19" s="1"/>
  <c r="I78" i="19"/>
  <c r="H78" i="19"/>
  <c r="H15" i="19" s="1"/>
  <c r="G78" i="19"/>
  <c r="G15" i="19" s="1"/>
  <c r="F78" i="19"/>
  <c r="F15" i="19" s="1"/>
  <c r="E78" i="19"/>
  <c r="E15" i="19" s="1"/>
  <c r="AH77" i="19"/>
  <c r="AH46" i="19" s="1"/>
  <c r="AG77" i="19"/>
  <c r="AG14" i="19" s="1"/>
  <c r="AF77" i="19"/>
  <c r="AF46" i="19" s="1"/>
  <c r="AE77" i="19"/>
  <c r="AD77" i="19"/>
  <c r="AD14" i="19" s="1"/>
  <c r="AC77" i="19"/>
  <c r="AC14" i="19" s="1"/>
  <c r="AB77" i="19"/>
  <c r="AB14" i="19" s="1"/>
  <c r="AA77" i="19"/>
  <c r="AA14" i="19" s="1"/>
  <c r="Z77" i="19"/>
  <c r="Z14" i="19" s="1"/>
  <c r="Y77" i="19"/>
  <c r="X77" i="19"/>
  <c r="X14" i="19" s="1"/>
  <c r="W77" i="19"/>
  <c r="V77" i="19"/>
  <c r="V14" i="19" s="1"/>
  <c r="U77" i="19"/>
  <c r="U14" i="19" s="1"/>
  <c r="T77" i="19"/>
  <c r="T14" i="19" s="1"/>
  <c r="S77" i="19"/>
  <c r="S14" i="19" s="1"/>
  <c r="R77" i="19"/>
  <c r="R14" i="19" s="1"/>
  <c r="Q77" i="19"/>
  <c r="Q14" i="19" s="1"/>
  <c r="P77" i="19"/>
  <c r="P14" i="19" s="1"/>
  <c r="O77" i="19"/>
  <c r="N77" i="19"/>
  <c r="N14" i="19" s="1"/>
  <c r="M77" i="19"/>
  <c r="M14" i="19" s="1"/>
  <c r="L77" i="19"/>
  <c r="L14" i="19" s="1"/>
  <c r="K77" i="19"/>
  <c r="K14" i="19" s="1"/>
  <c r="J77" i="19"/>
  <c r="J14" i="19" s="1"/>
  <c r="I77" i="19"/>
  <c r="H77" i="19"/>
  <c r="H14" i="19" s="1"/>
  <c r="G77" i="19"/>
  <c r="F77" i="19"/>
  <c r="F14" i="19" s="1"/>
  <c r="E77" i="19"/>
  <c r="E14" i="19" s="1"/>
  <c r="AH76" i="19"/>
  <c r="AH45" i="19" s="1"/>
  <c r="AG76" i="19"/>
  <c r="AG45" i="19" s="1"/>
  <c r="AF76" i="19"/>
  <c r="AF45" i="19" s="1"/>
  <c r="AE76" i="19"/>
  <c r="AE13" i="19" s="1"/>
  <c r="AD76" i="19"/>
  <c r="AD13" i="19" s="1"/>
  <c r="AC76" i="19"/>
  <c r="AB76" i="19"/>
  <c r="AB13" i="19" s="1"/>
  <c r="AA76" i="19"/>
  <c r="AA13" i="19" s="1"/>
  <c r="Z76" i="19"/>
  <c r="Z13" i="19" s="1"/>
  <c r="Y76" i="19"/>
  <c r="Y13" i="19" s="1"/>
  <c r="X76" i="19"/>
  <c r="X13" i="19" s="1"/>
  <c r="W76" i="19"/>
  <c r="W13" i="19" s="1"/>
  <c r="V76" i="19"/>
  <c r="V13" i="19" s="1"/>
  <c r="U76" i="19"/>
  <c r="U13" i="19" s="1"/>
  <c r="T76" i="19"/>
  <c r="T13" i="19" s="1"/>
  <c r="S76" i="19"/>
  <c r="S13" i="19" s="1"/>
  <c r="R76" i="19"/>
  <c r="R13" i="19" s="1"/>
  <c r="Q76" i="19"/>
  <c r="Q45" i="19" s="1"/>
  <c r="P76" i="19"/>
  <c r="P45" i="19" s="1"/>
  <c r="O76" i="19"/>
  <c r="N76" i="19"/>
  <c r="M76" i="19"/>
  <c r="L76" i="19"/>
  <c r="L13" i="19" s="1"/>
  <c r="K76" i="19"/>
  <c r="K13" i="19" s="1"/>
  <c r="J76" i="19"/>
  <c r="J13" i="19" s="1"/>
  <c r="I76" i="19"/>
  <c r="I13" i="19" s="1"/>
  <c r="H76" i="19"/>
  <c r="H13" i="19" s="1"/>
  <c r="G76" i="19"/>
  <c r="G13" i="19" s="1"/>
  <c r="F76" i="19"/>
  <c r="F13" i="19" s="1"/>
  <c r="E76" i="19"/>
  <c r="AH75" i="19"/>
  <c r="AH44" i="19" s="1"/>
  <c r="AG75" i="19"/>
  <c r="AG44" i="19" s="1"/>
  <c r="AF75" i="19"/>
  <c r="AF44" i="19" s="1"/>
  <c r="AE75" i="19"/>
  <c r="AE44" i="19" s="1"/>
  <c r="AD75" i="19"/>
  <c r="AD12" i="19" s="1"/>
  <c r="AC75" i="19"/>
  <c r="AB75" i="19"/>
  <c r="AB12" i="19" s="1"/>
  <c r="AA75" i="19"/>
  <c r="AA12" i="19" s="1"/>
  <c r="Z75" i="19"/>
  <c r="Z12" i="19" s="1"/>
  <c r="Y75" i="19"/>
  <c r="Y12" i="19" s="1"/>
  <c r="X75" i="19"/>
  <c r="X12" i="19" s="1"/>
  <c r="W75" i="19"/>
  <c r="W12" i="19" s="1"/>
  <c r="V75" i="19"/>
  <c r="V12" i="19" s="1"/>
  <c r="U75" i="19"/>
  <c r="U12" i="19" s="1"/>
  <c r="T75" i="19"/>
  <c r="T12" i="19" s="1"/>
  <c r="S75" i="19"/>
  <c r="S12" i="19" s="1"/>
  <c r="R75" i="19"/>
  <c r="R12" i="19" s="1"/>
  <c r="Q75" i="19"/>
  <c r="Q44" i="19" s="1"/>
  <c r="P75" i="19"/>
  <c r="P44" i="19" s="1"/>
  <c r="O75" i="19"/>
  <c r="N75" i="19"/>
  <c r="M75" i="19"/>
  <c r="L75" i="19"/>
  <c r="L12" i="19" s="1"/>
  <c r="K75" i="19"/>
  <c r="K12" i="19" s="1"/>
  <c r="J75" i="19"/>
  <c r="I75" i="19"/>
  <c r="H75" i="19"/>
  <c r="G75" i="19"/>
  <c r="F75" i="19"/>
  <c r="F12" i="19" s="1"/>
  <c r="E75" i="19"/>
  <c r="E12" i="19" s="1"/>
  <c r="AH74" i="19"/>
  <c r="AH43" i="19" s="1"/>
  <c r="AG74" i="19"/>
  <c r="AG43" i="19" s="1"/>
  <c r="AF74" i="19"/>
  <c r="AF43" i="19" s="1"/>
  <c r="AE74" i="19"/>
  <c r="AE43" i="19" s="1"/>
  <c r="AD74" i="19"/>
  <c r="AD11" i="19" s="1"/>
  <c r="AC74" i="19"/>
  <c r="AC11" i="19" s="1"/>
  <c r="AB74" i="19"/>
  <c r="AB11" i="19" s="1"/>
  <c r="AA74" i="19"/>
  <c r="Z74" i="19"/>
  <c r="Z11" i="19" s="1"/>
  <c r="Y74" i="19"/>
  <c r="Y11" i="19" s="1"/>
  <c r="X74" i="19"/>
  <c r="X11" i="19" s="1"/>
  <c r="W74" i="19"/>
  <c r="W11" i="19" s="1"/>
  <c r="V74" i="19"/>
  <c r="V11" i="19" s="1"/>
  <c r="U74" i="19"/>
  <c r="U11" i="19" s="1"/>
  <c r="T74" i="19"/>
  <c r="T11" i="19" s="1"/>
  <c r="S74" i="19"/>
  <c r="R74" i="19"/>
  <c r="R11" i="19" s="1"/>
  <c r="Q74" i="19"/>
  <c r="Q43" i="19" s="1"/>
  <c r="P74" i="19"/>
  <c r="P43" i="19" s="1"/>
  <c r="O74" i="19"/>
  <c r="O43" i="19" s="1"/>
  <c r="N74" i="19"/>
  <c r="N43" i="19" s="1"/>
  <c r="M74" i="19"/>
  <c r="M43" i="19" s="1"/>
  <c r="L74" i="19"/>
  <c r="L43" i="19" s="1"/>
  <c r="K74" i="19"/>
  <c r="K43" i="19" s="1"/>
  <c r="J74" i="19"/>
  <c r="J43" i="19" s="1"/>
  <c r="I74" i="19"/>
  <c r="I43" i="19" s="1"/>
  <c r="H74" i="19"/>
  <c r="H43" i="19" s="1"/>
  <c r="G74" i="19"/>
  <c r="G43" i="19" s="1"/>
  <c r="F74" i="19"/>
  <c r="F43" i="19" s="1"/>
  <c r="E74" i="19"/>
  <c r="E11" i="19" s="1"/>
  <c r="AH73" i="19"/>
  <c r="AH42" i="19" s="1"/>
  <c r="AG73" i="19"/>
  <c r="AG42" i="19" s="1"/>
  <c r="AF73" i="19"/>
  <c r="AF42" i="19" s="1"/>
  <c r="AE73" i="19"/>
  <c r="AE42" i="19" s="1"/>
  <c r="AD73" i="19"/>
  <c r="AC73" i="19"/>
  <c r="AC10" i="19" s="1"/>
  <c r="AB73" i="19"/>
  <c r="AB10" i="19" s="1"/>
  <c r="AA73" i="19"/>
  <c r="AA10" i="19" s="1"/>
  <c r="Z73" i="19"/>
  <c r="Z10" i="19" s="1"/>
  <c r="Y73" i="19"/>
  <c r="X73" i="19"/>
  <c r="X10" i="19" s="1"/>
  <c r="W73" i="19"/>
  <c r="V73" i="19"/>
  <c r="V10" i="19" s="1"/>
  <c r="U73" i="19"/>
  <c r="U10" i="19" s="1"/>
  <c r="T73" i="19"/>
  <c r="T10" i="19" s="1"/>
  <c r="S73" i="19"/>
  <c r="S10" i="19" s="1"/>
  <c r="S42" i="19" s="1"/>
  <c r="R73" i="19"/>
  <c r="R10" i="19" s="1"/>
  <c r="Q73" i="19"/>
  <c r="Q42" i="19" s="1"/>
  <c r="P73" i="19"/>
  <c r="P42" i="19" s="1"/>
  <c r="O73" i="19"/>
  <c r="O42" i="19" s="1"/>
  <c r="N73" i="19"/>
  <c r="N42" i="19" s="1"/>
  <c r="M73" i="19"/>
  <c r="M42" i="19" s="1"/>
  <c r="L73" i="19"/>
  <c r="L42" i="19" s="1"/>
  <c r="K73" i="19"/>
  <c r="K42" i="19" s="1"/>
  <c r="J73" i="19"/>
  <c r="J42" i="19" s="1"/>
  <c r="I73" i="19"/>
  <c r="I42" i="19" s="1"/>
  <c r="H73" i="19"/>
  <c r="H42" i="19" s="1"/>
  <c r="G73" i="19"/>
  <c r="G42" i="19" s="1"/>
  <c r="F73" i="19"/>
  <c r="F42" i="19" s="1"/>
  <c r="E73" i="19"/>
  <c r="AH72" i="19"/>
  <c r="AH41" i="19" s="1"/>
  <c r="AG72" i="19"/>
  <c r="AG41" i="19" s="1"/>
  <c r="AF72" i="19"/>
  <c r="AF41" i="19" s="1"/>
  <c r="AE72" i="19"/>
  <c r="AE41" i="19" s="1"/>
  <c r="AD72" i="19"/>
  <c r="AD9" i="19" s="1"/>
  <c r="AC72" i="19"/>
  <c r="AC9" i="19" s="1"/>
  <c r="AB72" i="19"/>
  <c r="AB9" i="19" s="1"/>
  <c r="AA72" i="19"/>
  <c r="AA9" i="19" s="1"/>
  <c r="Z72" i="19"/>
  <c r="Z9" i="19" s="1"/>
  <c r="Y72" i="19"/>
  <c r="Y41" i="19" s="1"/>
  <c r="X72" i="19"/>
  <c r="X9" i="19" s="1"/>
  <c r="W72" i="19"/>
  <c r="W9" i="19" s="1"/>
  <c r="V72" i="19"/>
  <c r="V9" i="19" s="1"/>
  <c r="U72" i="19"/>
  <c r="U9" i="19" s="1"/>
  <c r="T72" i="19"/>
  <c r="T9" i="19" s="1"/>
  <c r="S72" i="19"/>
  <c r="S9" i="19" s="1"/>
  <c r="R72" i="19"/>
  <c r="R41" i="19" s="1"/>
  <c r="Q72" i="19"/>
  <c r="Q41" i="19" s="1"/>
  <c r="P72" i="19"/>
  <c r="P41" i="19" s="1"/>
  <c r="O72" i="19"/>
  <c r="O41" i="19" s="1"/>
  <c r="N72" i="19"/>
  <c r="N41" i="19" s="1"/>
  <c r="M72" i="19"/>
  <c r="M41" i="19" s="1"/>
  <c r="L72" i="19"/>
  <c r="L41" i="19" s="1"/>
  <c r="K72" i="19"/>
  <c r="K41" i="19" s="1"/>
  <c r="J72" i="19"/>
  <c r="J41" i="19" s="1"/>
  <c r="I72" i="19"/>
  <c r="I41" i="19" s="1"/>
  <c r="H72" i="19"/>
  <c r="H41" i="19" s="1"/>
  <c r="G72" i="19"/>
  <c r="G41" i="19" s="1"/>
  <c r="F72" i="19"/>
  <c r="F41" i="19" s="1"/>
  <c r="E72" i="19"/>
  <c r="E41" i="19" s="1"/>
  <c r="AH71" i="19"/>
  <c r="AH40" i="19" s="1"/>
  <c r="AG71" i="19"/>
  <c r="AG40" i="19" s="1"/>
  <c r="AF71" i="19"/>
  <c r="AF40" i="19" s="1"/>
  <c r="AE71" i="19"/>
  <c r="AE40" i="19" s="1"/>
  <c r="AD71" i="19"/>
  <c r="AD40" i="19" s="1"/>
  <c r="AC71" i="19"/>
  <c r="AC8" i="19" s="1"/>
  <c r="AB71" i="19"/>
  <c r="AB8" i="19" s="1"/>
  <c r="AA71" i="19"/>
  <c r="AA8" i="19" s="1"/>
  <c r="Z71" i="19"/>
  <c r="Z8" i="19" s="1"/>
  <c r="Y71" i="19"/>
  <c r="Y40" i="19" s="1"/>
  <c r="X71" i="19"/>
  <c r="X8" i="19" s="1"/>
  <c r="W71" i="19"/>
  <c r="W8" i="19" s="1"/>
  <c r="V71" i="19"/>
  <c r="V8" i="19" s="1"/>
  <c r="U71" i="19"/>
  <c r="U8" i="19" s="1"/>
  <c r="T71" i="19"/>
  <c r="T8" i="19" s="1"/>
  <c r="S71" i="19"/>
  <c r="S8" i="19" s="1"/>
  <c r="R71" i="19"/>
  <c r="R40" i="19" s="1"/>
  <c r="Q71" i="19"/>
  <c r="Q40" i="19" s="1"/>
  <c r="P71" i="19"/>
  <c r="P40" i="19" s="1"/>
  <c r="O71" i="19"/>
  <c r="O40" i="19" s="1"/>
  <c r="N71" i="19"/>
  <c r="N40" i="19" s="1"/>
  <c r="M71" i="19"/>
  <c r="M40" i="19" s="1"/>
  <c r="L71" i="19"/>
  <c r="L40" i="19" s="1"/>
  <c r="K71" i="19"/>
  <c r="K40" i="19" s="1"/>
  <c r="J71" i="19"/>
  <c r="J40" i="19" s="1"/>
  <c r="I71" i="19"/>
  <c r="I40" i="19" s="1"/>
  <c r="H71" i="19"/>
  <c r="H40" i="19" s="1"/>
  <c r="G71" i="19"/>
  <c r="G40" i="19" s="1"/>
  <c r="F71" i="19"/>
  <c r="F40" i="19" s="1"/>
  <c r="E71" i="19"/>
  <c r="E40" i="19" s="1"/>
  <c r="AH70" i="19"/>
  <c r="AH39" i="19" s="1"/>
  <c r="AG70" i="19"/>
  <c r="AG39" i="19" s="1"/>
  <c r="AF70" i="19"/>
  <c r="AF39" i="19" s="1"/>
  <c r="AE70" i="19"/>
  <c r="AE39" i="19" s="1"/>
  <c r="AD70" i="19"/>
  <c r="AD39" i="19" s="1"/>
  <c r="AC70" i="19"/>
  <c r="AC7" i="19" s="1"/>
  <c r="AB70" i="19"/>
  <c r="AB39" i="19" s="1"/>
  <c r="AA70" i="19"/>
  <c r="Z70" i="19"/>
  <c r="Z39" i="19" s="1"/>
  <c r="Y70" i="19"/>
  <c r="Y39" i="19" s="1"/>
  <c r="X70" i="19"/>
  <c r="X39" i="19" s="1"/>
  <c r="W70" i="19"/>
  <c r="W7" i="19" s="1"/>
  <c r="V70" i="19"/>
  <c r="V7" i="19" s="1"/>
  <c r="U70" i="19"/>
  <c r="U7" i="19" s="1"/>
  <c r="T70" i="19"/>
  <c r="T7" i="19" s="1"/>
  <c r="S70" i="19"/>
  <c r="R70" i="19"/>
  <c r="R39" i="19" s="1"/>
  <c r="Q70" i="19"/>
  <c r="Q39" i="19" s="1"/>
  <c r="P70" i="19"/>
  <c r="P39" i="19" s="1"/>
  <c r="O70" i="19"/>
  <c r="O39" i="19" s="1"/>
  <c r="N70" i="19"/>
  <c r="N39" i="19" s="1"/>
  <c r="M70" i="19"/>
  <c r="M39" i="19" s="1"/>
  <c r="L70" i="19"/>
  <c r="L39" i="19" s="1"/>
  <c r="K70" i="19"/>
  <c r="K39" i="19" s="1"/>
  <c r="J70" i="19"/>
  <c r="J39" i="19" s="1"/>
  <c r="I70" i="19"/>
  <c r="I39" i="19" s="1"/>
  <c r="H70" i="19"/>
  <c r="H39" i="19" s="1"/>
  <c r="G70" i="19"/>
  <c r="G39" i="19" s="1"/>
  <c r="F70" i="19"/>
  <c r="F39" i="19" s="1"/>
  <c r="E70" i="19"/>
  <c r="E39" i="19" s="1"/>
  <c r="AH69" i="19"/>
  <c r="AH38" i="19" s="1"/>
  <c r="AG69" i="19"/>
  <c r="AG38" i="19" s="1"/>
  <c r="AF69" i="19"/>
  <c r="AF38" i="19" s="1"/>
  <c r="AE69" i="19"/>
  <c r="AE38" i="19" s="1"/>
  <c r="AD69" i="19"/>
  <c r="AD38" i="19" s="1"/>
  <c r="AC69" i="19"/>
  <c r="AC38" i="19" s="1"/>
  <c r="AB69" i="19"/>
  <c r="AB38" i="19" s="1"/>
  <c r="AA69" i="19"/>
  <c r="AA38" i="19" s="1"/>
  <c r="Z69" i="19"/>
  <c r="Z38" i="19" s="1"/>
  <c r="Y69" i="19"/>
  <c r="Y38" i="19" s="1"/>
  <c r="X69" i="19"/>
  <c r="X38" i="19" s="1"/>
  <c r="W69" i="19"/>
  <c r="W6" i="19" s="1"/>
  <c r="V69" i="19"/>
  <c r="V6" i="19" s="1"/>
  <c r="U69" i="19"/>
  <c r="U6" i="19" s="1"/>
  <c r="T69" i="19"/>
  <c r="T6" i="19" s="1"/>
  <c r="S69" i="19"/>
  <c r="S6" i="19" s="1"/>
  <c r="R69" i="19"/>
  <c r="R38" i="19" s="1"/>
  <c r="Q69" i="19"/>
  <c r="Q38" i="19" s="1"/>
  <c r="P69" i="19"/>
  <c r="P38" i="19" s="1"/>
  <c r="O69" i="19"/>
  <c r="O38" i="19" s="1"/>
  <c r="N69" i="19"/>
  <c r="N38" i="19" s="1"/>
  <c r="M69" i="19"/>
  <c r="M38" i="19" s="1"/>
  <c r="L69" i="19"/>
  <c r="L38" i="19" s="1"/>
  <c r="K69" i="19"/>
  <c r="K38" i="19" s="1"/>
  <c r="J69" i="19"/>
  <c r="J38" i="19" s="1"/>
  <c r="I69" i="19"/>
  <c r="I38" i="19" s="1"/>
  <c r="H69" i="19"/>
  <c r="H38" i="19" s="1"/>
  <c r="G69" i="19"/>
  <c r="G38" i="19" s="1"/>
  <c r="F69" i="19"/>
  <c r="F38" i="19" s="1"/>
  <c r="E69" i="19"/>
  <c r="E38" i="19" s="1"/>
  <c r="AH68" i="19"/>
  <c r="AH37" i="19" s="1"/>
  <c r="AG68" i="19"/>
  <c r="AG37" i="19" s="1"/>
  <c r="AF68" i="19"/>
  <c r="AF37" i="19" s="1"/>
  <c r="AE68" i="19"/>
  <c r="AE37" i="19" s="1"/>
  <c r="AD68" i="19"/>
  <c r="AD37" i="19" s="1"/>
  <c r="AC68" i="19"/>
  <c r="AC37" i="19" s="1"/>
  <c r="AB68" i="19"/>
  <c r="AB37" i="19" s="1"/>
  <c r="AA68" i="19"/>
  <c r="AA37" i="19" s="1"/>
  <c r="Z68" i="19"/>
  <c r="Z37" i="19" s="1"/>
  <c r="Y68" i="19"/>
  <c r="Y37" i="19" s="1"/>
  <c r="X68" i="19"/>
  <c r="X37" i="19" s="1"/>
  <c r="W68" i="19"/>
  <c r="V68" i="19"/>
  <c r="V5" i="19" s="1"/>
  <c r="U68" i="19"/>
  <c r="U5" i="19" s="1"/>
  <c r="T68" i="19"/>
  <c r="T5" i="19" s="1"/>
  <c r="S68" i="19"/>
  <c r="S37" i="19" s="1"/>
  <c r="R68" i="19"/>
  <c r="R37" i="19" s="1"/>
  <c r="Q68" i="19"/>
  <c r="Q37" i="19" s="1"/>
  <c r="P68" i="19"/>
  <c r="P37" i="19" s="1"/>
  <c r="O68" i="19"/>
  <c r="O37" i="19" s="1"/>
  <c r="N68" i="19"/>
  <c r="N37" i="19" s="1"/>
  <c r="M68" i="19"/>
  <c r="M37" i="19" s="1"/>
  <c r="L68" i="19"/>
  <c r="L37" i="19" s="1"/>
  <c r="K68" i="19"/>
  <c r="K37" i="19" s="1"/>
  <c r="J68" i="19"/>
  <c r="J37" i="19" s="1"/>
  <c r="I68" i="19"/>
  <c r="I37" i="19" s="1"/>
  <c r="H68" i="19"/>
  <c r="H37" i="19" s="1"/>
  <c r="G68" i="19"/>
  <c r="G37" i="19" s="1"/>
  <c r="F68" i="19"/>
  <c r="F37" i="19" s="1"/>
  <c r="E68" i="19"/>
  <c r="E37" i="19" s="1"/>
  <c r="AF33" i="19"/>
  <c r="AD33" i="19"/>
  <c r="AC33" i="19"/>
  <c r="Y33" i="19"/>
  <c r="V33" i="19"/>
  <c r="U33" i="19"/>
  <c r="P33" i="19"/>
  <c r="M33" i="19"/>
  <c r="E33" i="19"/>
  <c r="AD32" i="19"/>
  <c r="AA32" i="19"/>
  <c r="S32" i="19"/>
  <c r="N32" i="19"/>
  <c r="K32" i="19"/>
  <c r="AG31" i="19"/>
  <c r="AB31" i="19"/>
  <c r="Z31" i="19"/>
  <c r="Y31" i="19"/>
  <c r="Q31" i="19"/>
  <c r="L31" i="19"/>
  <c r="I31" i="19"/>
  <c r="AE30" i="19"/>
  <c r="W30" i="19"/>
  <c r="O30" i="19"/>
  <c r="G30" i="19"/>
  <c r="AD29" i="19"/>
  <c r="AC29" i="19"/>
  <c r="U29" i="19"/>
  <c r="M29" i="19"/>
  <c r="F29" i="19"/>
  <c r="E29" i="19"/>
  <c r="AB28" i="19"/>
  <c r="AA28" i="19"/>
  <c r="S28" i="19"/>
  <c r="K28" i="19"/>
  <c r="AH27" i="19"/>
  <c r="AG27" i="19"/>
  <c r="Z27" i="19"/>
  <c r="Y27" i="19"/>
  <c r="Q27" i="19"/>
  <c r="I27" i="19"/>
  <c r="AF26" i="19"/>
  <c r="AE26" i="19"/>
  <c r="X26" i="19"/>
  <c r="W26" i="19"/>
  <c r="O26" i="19"/>
  <c r="G26" i="19"/>
  <c r="AD25" i="19"/>
  <c r="AC25" i="19"/>
  <c r="V25" i="19"/>
  <c r="U25" i="19"/>
  <c r="M25" i="19"/>
  <c r="E25" i="19"/>
  <c r="E107" i="19" s="1"/>
  <c r="AA24" i="19"/>
  <c r="S24" i="19"/>
  <c r="K24" i="19"/>
  <c r="K106" i="19" s="1"/>
  <c r="F24" i="19"/>
  <c r="F106" i="19" s="1"/>
  <c r="AG23" i="19"/>
  <c r="Y23" i="19"/>
  <c r="Q23" i="19"/>
  <c r="I23" i="19"/>
  <c r="I105" i="19" s="1"/>
  <c r="AE22" i="19"/>
  <c r="W22" i="19"/>
  <c r="P22" i="19"/>
  <c r="O22" i="19"/>
  <c r="AF21" i="19"/>
  <c r="AC21" i="19"/>
  <c r="U21" i="19"/>
  <c r="M21" i="19"/>
  <c r="E21" i="19"/>
  <c r="E103" i="19" s="1"/>
  <c r="AA20" i="19"/>
  <c r="S20" i="19"/>
  <c r="K20" i="19"/>
  <c r="K102" i="19" s="1"/>
  <c r="AG19" i="19"/>
  <c r="AB19" i="19"/>
  <c r="Y19" i="19"/>
  <c r="Q19" i="19"/>
  <c r="I19" i="19"/>
  <c r="I101" i="19" s="1"/>
  <c r="AE18" i="19"/>
  <c r="W18" i="19"/>
  <c r="O18" i="19"/>
  <c r="G18" i="19"/>
  <c r="G100" i="19" s="1"/>
  <c r="AC17" i="19"/>
  <c r="X17" i="19"/>
  <c r="U17" i="19"/>
  <c r="M17" i="19"/>
  <c r="E17" i="19"/>
  <c r="AA16" i="19"/>
  <c r="S16" i="19"/>
  <c r="O16" i="19"/>
  <c r="K16" i="19"/>
  <c r="AG15" i="19"/>
  <c r="Y15" i="19"/>
  <c r="Q15" i="19"/>
  <c r="I15" i="19"/>
  <c r="AE14" i="19"/>
  <c r="W14" i="19"/>
  <c r="O14" i="19"/>
  <c r="G14" i="19"/>
  <c r="AC13" i="19"/>
  <c r="M13" i="19"/>
  <c r="E13" i="19"/>
  <c r="I11" i="19"/>
  <c r="W10" i="19"/>
  <c r="G6" i="19"/>
  <c r="O44" i="19" l="1"/>
  <c r="Z54" i="19"/>
  <c r="AC31" i="19"/>
  <c r="I33" i="19"/>
  <c r="U51" i="19"/>
  <c r="AA6" i="19"/>
  <c r="T28" i="19"/>
  <c r="V29" i="19"/>
  <c r="R31" i="19"/>
  <c r="L32" i="19"/>
  <c r="F33" i="19"/>
  <c r="K6" i="19"/>
  <c r="X30" i="19"/>
  <c r="AB24" i="19"/>
  <c r="AF30" i="19"/>
  <c r="T32" i="19"/>
  <c r="N33" i="19"/>
  <c r="J31" i="19"/>
  <c r="AB32" i="19"/>
  <c r="J11" i="19"/>
  <c r="G10" i="19"/>
  <c r="O10" i="19"/>
  <c r="Q7" i="19"/>
  <c r="AC27" i="19"/>
  <c r="M31" i="19"/>
  <c r="AA30" i="19"/>
  <c r="K10" i="19"/>
  <c r="Q13" i="19"/>
  <c r="Y25" i="19"/>
  <c r="W28" i="19"/>
  <c r="W32" i="19"/>
  <c r="U23" i="19"/>
  <c r="G32" i="19"/>
  <c r="G8" i="19"/>
  <c r="O12" i="19"/>
  <c r="AA22" i="19"/>
  <c r="U31" i="19"/>
  <c r="AG33" i="19"/>
  <c r="AA26" i="19"/>
  <c r="AE28" i="19"/>
  <c r="E31" i="19"/>
  <c r="Q33" i="19"/>
  <c r="U19" i="19"/>
  <c r="I5" i="19"/>
  <c r="AE8" i="19"/>
  <c r="AE12" i="19"/>
  <c r="AG13" i="19"/>
  <c r="W24" i="19"/>
  <c r="U27" i="19"/>
  <c r="Y29" i="19"/>
  <c r="AE32" i="19"/>
  <c r="I9" i="19"/>
  <c r="S30" i="19"/>
  <c r="O32" i="19"/>
  <c r="I61" i="19"/>
  <c r="P13" i="19"/>
  <c r="AC5" i="19"/>
  <c r="Y7" i="19"/>
  <c r="AE10" i="19"/>
  <c r="M11" i="19"/>
  <c r="E5" i="19"/>
  <c r="I7" i="19"/>
  <c r="E9" i="19"/>
  <c r="Q5" i="19"/>
  <c r="Q9" i="19"/>
  <c r="AH11" i="19"/>
  <c r="Z6" i="19"/>
  <c r="N8" i="19"/>
  <c r="H57" i="19"/>
  <c r="P107" i="19" s="1"/>
  <c r="AD24" i="19"/>
  <c r="V28" i="19"/>
  <c r="Z30" i="19"/>
  <c r="AF13" i="19"/>
  <c r="H5" i="19"/>
  <c r="AH18" i="19"/>
  <c r="V24" i="19"/>
  <c r="X25" i="19"/>
  <c r="Z26" i="19"/>
  <c r="AB27" i="19"/>
  <c r="AD28" i="19"/>
  <c r="AF29" i="19"/>
  <c r="T31" i="19"/>
  <c r="F32" i="19"/>
  <c r="V32" i="19"/>
  <c r="H33" i="19"/>
  <c r="X33" i="19"/>
  <c r="V20" i="19"/>
  <c r="AH14" i="19"/>
  <c r="T27" i="19"/>
  <c r="X29" i="19"/>
  <c r="AB23" i="19"/>
  <c r="J6" i="19"/>
  <c r="AF5" i="19"/>
  <c r="AD8" i="19"/>
  <c r="AF9" i="19"/>
  <c r="AH6" i="19"/>
  <c r="G62" i="19"/>
  <c r="H61" i="19"/>
  <c r="R62" i="19"/>
  <c r="Z5" i="19"/>
  <c r="R7" i="19"/>
  <c r="O6" i="19"/>
  <c r="AG11" i="19"/>
  <c r="P6" i="19"/>
  <c r="J7" i="19"/>
  <c r="AH7" i="19"/>
  <c r="Z23" i="19"/>
  <c r="L7" i="19"/>
  <c r="F8" i="19"/>
  <c r="AF10" i="19"/>
  <c r="AH19" i="19"/>
  <c r="V21" i="19"/>
  <c r="Z22" i="19"/>
  <c r="F5" i="19"/>
  <c r="AD5" i="19"/>
  <c r="X6" i="19"/>
  <c r="L8" i="19"/>
  <c r="T56" i="19"/>
  <c r="T55" i="19"/>
  <c r="AD41" i="19"/>
  <c r="N5" i="19"/>
  <c r="AF6" i="19"/>
  <c r="N13" i="19"/>
  <c r="N45" i="19" s="1"/>
  <c r="AF14" i="19"/>
  <c r="AH15" i="19"/>
  <c r="Z7" i="19"/>
  <c r="N9" i="19"/>
  <c r="X5" i="19"/>
  <c r="P9" i="19"/>
  <c r="J10" i="19"/>
  <c r="N12" i="19"/>
  <c r="N44" i="19" s="1"/>
  <c r="T30" i="19"/>
  <c r="Z29" i="19"/>
  <c r="AF16" i="19"/>
  <c r="F31" i="19"/>
  <c r="V27" i="19"/>
  <c r="AB26" i="19"/>
  <c r="AF28" i="19"/>
  <c r="AH33" i="19"/>
  <c r="J5" i="19"/>
  <c r="R9" i="19"/>
  <c r="M45" i="19"/>
  <c r="S60" i="19"/>
  <c r="Q63" i="19"/>
  <c r="R33" i="19"/>
  <c r="F11" i="19"/>
  <c r="AH13" i="19"/>
  <c r="AH5" i="19"/>
  <c r="P8" i="19"/>
  <c r="AF8" i="19"/>
  <c r="V19" i="19"/>
  <c r="Z21" i="19"/>
  <c r="Z53" i="19" s="1"/>
  <c r="V31" i="19"/>
  <c r="F61" i="19"/>
  <c r="F7" i="19"/>
  <c r="AH9" i="19"/>
  <c r="H8" i="19"/>
  <c r="H12" i="19"/>
  <c r="H44" i="19" s="1"/>
  <c r="R5" i="19"/>
  <c r="P12" i="19"/>
  <c r="AH17" i="19"/>
  <c r="V23" i="19"/>
  <c r="Z25" i="19"/>
  <c r="AD27" i="19"/>
  <c r="T54" i="19"/>
  <c r="X24" i="19"/>
  <c r="AD7" i="19"/>
  <c r="T26" i="19"/>
  <c r="T58" i="19" s="1"/>
  <c r="X28" i="19"/>
  <c r="AB30" i="19"/>
  <c r="L10" i="19"/>
  <c r="AB6" i="19"/>
  <c r="J9" i="19"/>
  <c r="N11" i="19"/>
  <c r="AF12" i="19"/>
  <c r="AB22" i="19"/>
  <c r="N31" i="19"/>
  <c r="P5" i="19"/>
  <c r="Y5" i="19"/>
  <c r="H6" i="19"/>
  <c r="E7" i="19"/>
  <c r="AG7" i="19"/>
  <c r="O8" i="19"/>
  <c r="M9" i="19"/>
  <c r="Y9" i="19"/>
  <c r="H10" i="19"/>
  <c r="AH10" i="19"/>
  <c r="Q11" i="19"/>
  <c r="G31" i="19"/>
  <c r="S5" i="19"/>
  <c r="AG5" i="19"/>
  <c r="R6" i="19"/>
  <c r="AE6" i="19"/>
  <c r="M7" i="19"/>
  <c r="AB7" i="19"/>
  <c r="K8" i="19"/>
  <c r="H9" i="19"/>
  <c r="AG9" i="19"/>
  <c r="P10" i="19"/>
  <c r="L11" i="19"/>
  <c r="G12" i="19"/>
  <c r="G44" i="19" s="1"/>
  <c r="M5" i="19"/>
  <c r="X32" i="19"/>
  <c r="AD31" i="19"/>
  <c r="J33" i="19"/>
  <c r="Z33" i="19"/>
  <c r="AF32" i="19"/>
  <c r="H32" i="19"/>
  <c r="AA25" i="19"/>
  <c r="AE11" i="19"/>
  <c r="Y24" i="19"/>
  <c r="K33" i="19"/>
  <c r="AC26" i="19"/>
  <c r="I32" i="19"/>
  <c r="AG12" i="19"/>
  <c r="AA5" i="19"/>
  <c r="AC6" i="19"/>
  <c r="AE7" i="19"/>
  <c r="AG8" i="19"/>
  <c r="U22" i="19"/>
  <c r="W23" i="19"/>
  <c r="K5" i="19"/>
  <c r="L6" i="19"/>
  <c r="N7" i="19"/>
  <c r="U26" i="19"/>
  <c r="W27" i="19"/>
  <c r="Y28" i="19"/>
  <c r="AA29" i="19"/>
  <c r="AC30" i="19"/>
  <c r="AE31" i="19"/>
  <c r="M6" i="19"/>
  <c r="O7" i="19"/>
  <c r="Q8" i="19"/>
  <c r="O11" i="19"/>
  <c r="Q12" i="19"/>
  <c r="S29" i="19"/>
  <c r="S61" i="19" s="1"/>
  <c r="U30" i="19"/>
  <c r="W31" i="19"/>
  <c r="Y32" i="19"/>
  <c r="AA33" i="19"/>
  <c r="Y8" i="19"/>
  <c r="M10" i="19"/>
  <c r="E6" i="19"/>
  <c r="G7" i="19"/>
  <c r="I8" i="19"/>
  <c r="AC22" i="19"/>
  <c r="K9" i="19"/>
  <c r="E10" i="19"/>
  <c r="E42" i="19" s="1"/>
  <c r="G11" i="19"/>
  <c r="I12" i="19"/>
  <c r="I44" i="19" s="1"/>
  <c r="AA21" i="19"/>
  <c r="O31" i="19"/>
  <c r="Q32" i="19"/>
  <c r="Q64" i="19" s="1"/>
  <c r="S33" i="19"/>
  <c r="AG64" i="19"/>
  <c r="AF7" i="19"/>
  <c r="X7" i="19"/>
  <c r="AF15" i="19"/>
  <c r="AB33" i="19"/>
  <c r="R32" i="19"/>
  <c r="AF11" i="19"/>
  <c r="AB5" i="19"/>
  <c r="N62" i="19"/>
  <c r="L5" i="19"/>
  <c r="P7" i="19"/>
  <c r="L9" i="19"/>
  <c r="P11" i="19"/>
  <c r="AB25" i="19"/>
  <c r="F30" i="19"/>
  <c r="F62" i="19" s="1"/>
  <c r="J32" i="19"/>
  <c r="AE46" i="19"/>
  <c r="U49" i="19"/>
  <c r="AE58" i="19"/>
  <c r="E61" i="19"/>
  <c r="O62" i="19"/>
  <c r="AB21" i="19"/>
  <c r="T25" i="19"/>
  <c r="T57" i="19" s="1"/>
  <c r="X27" i="19"/>
  <c r="AB29" i="19"/>
  <c r="AF31" i="19"/>
  <c r="L44" i="19"/>
  <c r="V49" i="19"/>
  <c r="AF50" i="19"/>
  <c r="Z51" i="19"/>
  <c r="T52" i="19"/>
  <c r="AB52" i="19"/>
  <c r="AD53" i="19"/>
  <c r="X54" i="19"/>
  <c r="AF58" i="19"/>
  <c r="H62" i="19"/>
  <c r="T29" i="19"/>
  <c r="X31" i="19"/>
  <c r="H11" i="19"/>
  <c r="AH16" i="19"/>
  <c r="AH24" i="19"/>
  <c r="AH56" i="19" s="1"/>
  <c r="P31" i="19"/>
  <c r="P63" i="19" s="1"/>
  <c r="T33" i="19"/>
  <c r="F44" i="19"/>
  <c r="AF49" i="19"/>
  <c r="T51" i="19"/>
  <c r="AB51" i="19"/>
  <c r="X53" i="19"/>
  <c r="AH54" i="19"/>
  <c r="J62" i="19"/>
  <c r="AH62" i="19"/>
  <c r="X55" i="19"/>
  <c r="AD10" i="19"/>
  <c r="AD42" i="19" s="1"/>
  <c r="AH12" i="19"/>
  <c r="T21" i="19"/>
  <c r="T53" i="19" s="1"/>
  <c r="N6" i="19"/>
  <c r="R8" i="19"/>
  <c r="N10" i="19"/>
  <c r="AH20" i="19"/>
  <c r="AH52" i="19" s="1"/>
  <c r="Z24" i="19"/>
  <c r="AD26" i="19"/>
  <c r="AH28" i="19"/>
  <c r="AH60" i="19" s="1"/>
  <c r="H31" i="19"/>
  <c r="L33" i="19"/>
  <c r="AC39" i="19"/>
  <c r="E43" i="19"/>
  <c r="AA50" i="19"/>
  <c r="AC51" i="19"/>
  <c r="W52" i="19"/>
  <c r="Y53" i="19"/>
  <c r="AC55" i="19"/>
  <c r="S58" i="19"/>
  <c r="Q61" i="19"/>
  <c r="K62" i="19"/>
  <c r="AD54" i="19"/>
  <c r="AF59" i="19"/>
  <c r="H7" i="19"/>
  <c r="AD6" i="19"/>
  <c r="AH8" i="19"/>
  <c r="F6" i="19"/>
  <c r="J8" i="19"/>
  <c r="F10" i="19"/>
  <c r="J12" i="19"/>
  <c r="J44" i="19" s="1"/>
  <c r="V18" i="19"/>
  <c r="V50" i="19" s="1"/>
  <c r="Z20" i="19"/>
  <c r="Z52" i="19" s="1"/>
  <c r="V22" i="19"/>
  <c r="V26" i="19"/>
  <c r="Z28" i="19"/>
  <c r="AD30" i="19"/>
  <c r="AH32" i="19"/>
  <c r="AH64" i="19" s="1"/>
  <c r="AD43" i="19"/>
  <c r="AH53" i="19"/>
  <c r="AD55" i="19"/>
  <c r="J61" i="19"/>
  <c r="R61" i="19"/>
  <c r="L62" i="19"/>
  <c r="P64" i="19"/>
  <c r="F9" i="19"/>
  <c r="V30" i="19"/>
  <c r="Z32" i="19"/>
  <c r="AG48" i="19"/>
  <c r="AC50" i="19"/>
  <c r="W51" i="19"/>
  <c r="S57" i="19"/>
  <c r="AE59" i="19"/>
  <c r="AG60" i="19"/>
  <c r="K61" i="19"/>
  <c r="E62" i="19"/>
  <c r="M62" i="19"/>
  <c r="S38" i="19"/>
  <c r="U39" i="19"/>
  <c r="W40" i="19"/>
  <c r="AA42" i="19"/>
  <c r="T39" i="19"/>
  <c r="V40" i="19"/>
  <c r="X41" i="19"/>
  <c r="R42" i="19"/>
  <c r="Z42" i="19"/>
  <c r="T43" i="19"/>
  <c r="AB43" i="19"/>
  <c r="V44" i="19"/>
  <c r="AD44" i="19"/>
  <c r="H45" i="19"/>
  <c r="X45" i="19"/>
  <c r="J46" i="19"/>
  <c r="R46" i="19"/>
  <c r="Z46" i="19"/>
  <c r="L47" i="19"/>
  <c r="T47" i="19"/>
  <c r="AB47" i="19"/>
  <c r="F48" i="19"/>
  <c r="N48" i="19"/>
  <c r="V48" i="19"/>
  <c r="AD48" i="19"/>
  <c r="H49" i="19"/>
  <c r="P49" i="19"/>
  <c r="X49" i="19"/>
  <c r="J50" i="19"/>
  <c r="R100" i="19" s="1"/>
  <c r="R50" i="19"/>
  <c r="Z50" i="19"/>
  <c r="L51" i="19"/>
  <c r="F52" i="19"/>
  <c r="N102" i="19" s="1"/>
  <c r="N52" i="19"/>
  <c r="AD52" i="19"/>
  <c r="H53" i="19"/>
  <c r="P103" i="19" s="1"/>
  <c r="P53" i="19"/>
  <c r="AF53" i="19"/>
  <c r="J54" i="19"/>
  <c r="R104" i="19" s="1"/>
  <c r="R54" i="19"/>
  <c r="L55" i="19"/>
  <c r="F56" i="19"/>
  <c r="N106" i="19" s="1"/>
  <c r="N56" i="19"/>
  <c r="P57" i="19"/>
  <c r="AF57" i="19"/>
  <c r="J58" i="19"/>
  <c r="R58" i="19"/>
  <c r="AH58" i="19"/>
  <c r="F60" i="19"/>
  <c r="N60" i="19"/>
  <c r="Q46" i="19"/>
  <c r="Y50" i="19"/>
  <c r="AG54" i="19"/>
  <c r="E60" i="19"/>
  <c r="AE45" i="19"/>
  <c r="Q54" i="19"/>
  <c r="K23" i="19"/>
  <c r="K105" i="19" s="1"/>
  <c r="S23" i="19"/>
  <c r="S55" i="19" s="1"/>
  <c r="AA23" i="19"/>
  <c r="E24" i="19"/>
  <c r="E106" i="19" s="1"/>
  <c r="U24" i="19"/>
  <c r="AC24" i="19"/>
  <c r="G25" i="19"/>
  <c r="G107" i="19" s="1"/>
  <c r="W25" i="19"/>
  <c r="AE25" i="19"/>
  <c r="AE57" i="19" s="1"/>
  <c r="I26" i="19"/>
  <c r="Y26" i="19"/>
  <c r="AG26" i="19"/>
  <c r="AG58" i="19" s="1"/>
  <c r="K27" i="19"/>
  <c r="K59" i="19" s="1"/>
  <c r="S27" i="19"/>
  <c r="S59" i="19" s="1"/>
  <c r="AA27" i="19"/>
  <c r="M28" i="19"/>
  <c r="M60" i="19" s="1"/>
  <c r="U28" i="19"/>
  <c r="AC28" i="19"/>
  <c r="G29" i="19"/>
  <c r="G61" i="19" s="1"/>
  <c r="O29" i="19"/>
  <c r="O61" i="19" s="1"/>
  <c r="W29" i="19"/>
  <c r="AE29" i="19"/>
  <c r="I30" i="19"/>
  <c r="I62" i="19" s="1"/>
  <c r="Q30" i="19"/>
  <c r="Q62" i="19" s="1"/>
  <c r="Y30" i="19"/>
  <c r="AG30" i="19"/>
  <c r="AG62" i="19" s="1"/>
  <c r="K31" i="19"/>
  <c r="S31" i="19"/>
  <c r="AA31" i="19"/>
  <c r="E32" i="19"/>
  <c r="M32" i="19"/>
  <c r="U32" i="19"/>
  <c r="AC32" i="19"/>
  <c r="G33" i="19"/>
  <c r="O33" i="19"/>
  <c r="W33" i="19"/>
  <c r="AE33" i="19"/>
  <c r="U43" i="19"/>
  <c r="AC43" i="19"/>
  <c r="W44" i="19"/>
  <c r="I45" i="19"/>
  <c r="Y45" i="19"/>
  <c r="K46" i="19"/>
  <c r="S46" i="19"/>
  <c r="AA46" i="19"/>
  <c r="E47" i="19"/>
  <c r="M47" i="19"/>
  <c r="U47" i="19"/>
  <c r="AC47" i="19"/>
  <c r="G48" i="19"/>
  <c r="O48" i="19"/>
  <c r="W48" i="19"/>
  <c r="AE48" i="19"/>
  <c r="I49" i="19"/>
  <c r="Q49" i="19"/>
  <c r="Y49" i="19"/>
  <c r="AG49" i="19"/>
  <c r="K50" i="19"/>
  <c r="S100" i="19" s="1"/>
  <c r="AG46" i="19"/>
  <c r="K51" i="19"/>
  <c r="S101" i="19" s="1"/>
  <c r="M56" i="19"/>
  <c r="O57" i="19"/>
  <c r="Q58" i="19"/>
  <c r="I50" i="19"/>
  <c r="Q100" i="19" s="1"/>
  <c r="G5" i="19"/>
  <c r="O5" i="19"/>
  <c r="W5" i="19"/>
  <c r="W37" i="19" s="1"/>
  <c r="AE5" i="19"/>
  <c r="I6" i="19"/>
  <c r="Q6" i="19"/>
  <c r="Y6" i="19"/>
  <c r="AG6" i="19"/>
  <c r="K7" i="19"/>
  <c r="S7" i="19"/>
  <c r="S39" i="19" s="1"/>
  <c r="AA7" i="19"/>
  <c r="AA39" i="19" s="1"/>
  <c r="E8" i="19"/>
  <c r="M8" i="19"/>
  <c r="G9" i="19"/>
  <c r="O9" i="19"/>
  <c r="AE9" i="19"/>
  <c r="I10" i="19"/>
  <c r="Q10" i="19"/>
  <c r="Y10" i="19"/>
  <c r="Y42" i="19" s="1"/>
  <c r="AG10" i="19"/>
  <c r="K11" i="19"/>
  <c r="S11" i="19"/>
  <c r="S43" i="19" s="1"/>
  <c r="AA11" i="19"/>
  <c r="AA43" i="19" s="1"/>
  <c r="M12" i="19"/>
  <c r="M44" i="19" s="1"/>
  <c r="AC12" i="19"/>
  <c r="AC44" i="19" s="1"/>
  <c r="O13" i="19"/>
  <c r="O45" i="19" s="1"/>
  <c r="I14" i="19"/>
  <c r="I46" i="19" s="1"/>
  <c r="Y14" i="19"/>
  <c r="Y46" i="19" s="1"/>
  <c r="K15" i="19"/>
  <c r="K47" i="19" s="1"/>
  <c r="S15" i="19"/>
  <c r="S47" i="19" s="1"/>
  <c r="AA15" i="19"/>
  <c r="AA47" i="19" s="1"/>
  <c r="E16" i="19"/>
  <c r="E48" i="19" s="1"/>
  <c r="M16" i="19"/>
  <c r="M48" i="19" s="1"/>
  <c r="U16" i="19"/>
  <c r="U48" i="19" s="1"/>
  <c r="AC16" i="19"/>
  <c r="AC48" i="19" s="1"/>
  <c r="G17" i="19"/>
  <c r="G49" i="19" s="1"/>
  <c r="O17" i="19"/>
  <c r="O49" i="19" s="1"/>
  <c r="W17" i="19"/>
  <c r="W49" i="19" s="1"/>
  <c r="AE17" i="19"/>
  <c r="AE49" i="19" s="1"/>
  <c r="Q18" i="19"/>
  <c r="Q50" i="19" s="1"/>
  <c r="AG18" i="19"/>
  <c r="AG50" i="19" s="1"/>
  <c r="S19" i="19"/>
  <c r="S51" i="19" s="1"/>
  <c r="AA19" i="19"/>
  <c r="AA51" i="19" s="1"/>
  <c r="E20" i="19"/>
  <c r="E102" i="19" s="1"/>
  <c r="M20" i="19"/>
  <c r="M52" i="19" s="1"/>
  <c r="U20" i="19"/>
  <c r="U52" i="19" s="1"/>
  <c r="AC20" i="19"/>
  <c r="AC52" i="19" s="1"/>
  <c r="G21" i="19"/>
  <c r="G103" i="19" s="1"/>
  <c r="O21" i="19"/>
  <c r="O53" i="19" s="1"/>
  <c r="W21" i="19"/>
  <c r="AE21" i="19"/>
  <c r="AE53" i="19" s="1"/>
  <c r="I22" i="19"/>
  <c r="I104" i="19" s="1"/>
  <c r="Y22" i="19"/>
  <c r="Y54" i="19" s="1"/>
  <c r="T38" i="19"/>
  <c r="V39" i="19"/>
  <c r="X40" i="19"/>
  <c r="Z41" i="19"/>
  <c r="T42" i="19"/>
  <c r="AB42" i="19"/>
  <c r="V43" i="19"/>
  <c r="X44" i="19"/>
  <c r="J45" i="19"/>
  <c r="R45" i="19"/>
  <c r="Z45" i="19"/>
  <c r="L46" i="19"/>
  <c r="T46" i="19"/>
  <c r="AB46" i="19"/>
  <c r="F47" i="19"/>
  <c r="N47" i="19"/>
  <c r="V47" i="19"/>
  <c r="AD47" i="19"/>
  <c r="H48" i="19"/>
  <c r="P48" i="19"/>
  <c r="X48" i="19"/>
  <c r="J49" i="19"/>
  <c r="R49" i="19"/>
  <c r="Z49" i="19"/>
  <c r="L50" i="19"/>
  <c r="T50" i="19"/>
  <c r="AB50" i="19"/>
  <c r="F51" i="19"/>
  <c r="N101" i="19" s="1"/>
  <c r="N51" i="19"/>
  <c r="AD51" i="19"/>
  <c r="H52" i="19"/>
  <c r="P102" i="19" s="1"/>
  <c r="P52" i="19"/>
  <c r="X52" i="19"/>
  <c r="AF52" i="19"/>
  <c r="J53" i="19"/>
  <c r="R103" i="19" s="1"/>
  <c r="W41" i="19"/>
  <c r="G45" i="19"/>
  <c r="U38" i="19"/>
  <c r="W39" i="19"/>
  <c r="S41" i="19"/>
  <c r="AA41" i="19"/>
  <c r="U42" i="19"/>
  <c r="AC42" i="19"/>
  <c r="W43" i="19"/>
  <c r="Y44" i="19"/>
  <c r="K45" i="19"/>
  <c r="S45" i="19"/>
  <c r="AA45" i="19"/>
  <c r="E46" i="19"/>
  <c r="M46" i="19"/>
  <c r="U46" i="19"/>
  <c r="AC46" i="19"/>
  <c r="G47" i="19"/>
  <c r="O47" i="19"/>
  <c r="W47" i="19"/>
  <c r="AE47" i="19"/>
  <c r="I48" i="19"/>
  <c r="Q48" i="19"/>
  <c r="Y48" i="19"/>
  <c r="K49" i="19"/>
  <c r="S49" i="19"/>
  <c r="AA49" i="19"/>
  <c r="E50" i="19"/>
  <c r="M100" i="19" s="1"/>
  <c r="M50" i="19"/>
  <c r="U50" i="19"/>
  <c r="G51" i="19"/>
  <c r="O101" i="19" s="1"/>
  <c r="O51" i="19"/>
  <c r="AE51" i="19"/>
  <c r="I52" i="19"/>
  <c r="Q102" i="19" s="1"/>
  <c r="Q52" i="19"/>
  <c r="Y52" i="19"/>
  <c r="AG52" i="19"/>
  <c r="K53" i="19"/>
  <c r="S103" i="19" s="1"/>
  <c r="S53" i="19"/>
  <c r="E54" i="19"/>
  <c r="M104" i="19" s="1"/>
  <c r="M54" i="19"/>
  <c r="G55" i="19"/>
  <c r="O105" i="19" s="1"/>
  <c r="O55" i="19"/>
  <c r="AE55" i="19"/>
  <c r="I56" i="19"/>
  <c r="Q106" i="19" s="1"/>
  <c r="Q56" i="19"/>
  <c r="AG56" i="19"/>
  <c r="K57" i="19"/>
  <c r="S107" i="19" s="1"/>
  <c r="E58" i="19"/>
  <c r="M58" i="19"/>
  <c r="G59" i="19"/>
  <c r="O59" i="19"/>
  <c r="I60" i="19"/>
  <c r="Q60" i="19"/>
  <c r="AC40" i="19"/>
  <c r="W45" i="19"/>
  <c r="T37" i="19"/>
  <c r="V38" i="19"/>
  <c r="Z40" i="19"/>
  <c r="T41" i="19"/>
  <c r="AB41" i="19"/>
  <c r="V42" i="19"/>
  <c r="X43" i="19"/>
  <c r="R44" i="19"/>
  <c r="Z44" i="19"/>
  <c r="L45" i="19"/>
  <c r="T45" i="19"/>
  <c r="AB45" i="19"/>
  <c r="F46" i="19"/>
  <c r="N46" i="19"/>
  <c r="V46" i="19"/>
  <c r="AD46" i="19"/>
  <c r="H47" i="19"/>
  <c r="P47" i="19"/>
  <c r="X47" i="19"/>
  <c r="J48" i="19"/>
  <c r="R48" i="19"/>
  <c r="Z48" i="19"/>
  <c r="L49" i="19"/>
  <c r="T49" i="19"/>
  <c r="AB49" i="19"/>
  <c r="F50" i="19"/>
  <c r="N100" i="19" s="1"/>
  <c r="N50" i="19"/>
  <c r="AD50" i="19"/>
  <c r="H51" i="19"/>
  <c r="P101" i="19" s="1"/>
  <c r="P51" i="19"/>
  <c r="X51" i="19"/>
  <c r="AF51" i="19"/>
  <c r="J52" i="19"/>
  <c r="R102" i="19" s="1"/>
  <c r="U44" i="19"/>
  <c r="U37" i="19"/>
  <c r="W38" i="19"/>
  <c r="S40" i="19"/>
  <c r="AA40" i="19"/>
  <c r="U41" i="19"/>
  <c r="AC41" i="19"/>
  <c r="W42" i="19"/>
  <c r="Y43" i="19"/>
  <c r="K44" i="19"/>
  <c r="S44" i="19"/>
  <c r="AA44" i="19"/>
  <c r="E45" i="19"/>
  <c r="U45" i="19"/>
  <c r="AC45" i="19"/>
  <c r="G46" i="19"/>
  <c r="O46" i="19"/>
  <c r="W46" i="19"/>
  <c r="I47" i="19"/>
  <c r="Q47" i="19"/>
  <c r="Y47" i="19"/>
  <c r="AG47" i="19"/>
  <c r="K48" i="19"/>
  <c r="S48" i="19"/>
  <c r="AA48" i="19"/>
  <c r="E49" i="19"/>
  <c r="M49" i="19"/>
  <c r="AC49" i="19"/>
  <c r="G50" i="19"/>
  <c r="O100" i="19" s="1"/>
  <c r="O50" i="19"/>
  <c r="W50" i="19"/>
  <c r="AE50" i="19"/>
  <c r="I51" i="19"/>
  <c r="Q101" i="19" s="1"/>
  <c r="Q51" i="19"/>
  <c r="Y51" i="19"/>
  <c r="AG51" i="19"/>
  <c r="K52" i="19"/>
  <c r="S102" i="19" s="1"/>
  <c r="S52" i="19"/>
  <c r="E53" i="19"/>
  <c r="M103" i="19" s="1"/>
  <c r="M53" i="19"/>
  <c r="G54" i="19"/>
  <c r="O104" i="19" s="1"/>
  <c r="O54" i="19"/>
  <c r="AE54" i="19"/>
  <c r="I55" i="19"/>
  <c r="Q105" i="19" s="1"/>
  <c r="Q55" i="19"/>
  <c r="AG55" i="19"/>
  <c r="K56" i="19"/>
  <c r="S106" i="19" s="1"/>
  <c r="S56" i="19"/>
  <c r="U40" i="19"/>
  <c r="E44" i="19"/>
  <c r="V37" i="19"/>
  <c r="T40" i="19"/>
  <c r="AB40" i="19"/>
  <c r="V41" i="19"/>
  <c r="X42" i="19"/>
  <c r="R43" i="19"/>
  <c r="Z43" i="19"/>
  <c r="T44" i="19"/>
  <c r="AB44" i="19"/>
  <c r="F45" i="19"/>
  <c r="V45" i="19"/>
  <c r="AD45" i="19"/>
  <c r="H46" i="19"/>
  <c r="P46" i="19"/>
  <c r="X46" i="19"/>
  <c r="J47" i="19"/>
  <c r="R47" i="19"/>
  <c r="Z47" i="19"/>
  <c r="L48" i="19"/>
  <c r="T48" i="19"/>
  <c r="AB48" i="19"/>
  <c r="F49" i="19"/>
  <c r="N49" i="19"/>
  <c r="AD49" i="19"/>
  <c r="H50" i="19"/>
  <c r="P100" i="19" s="1"/>
  <c r="P50" i="19"/>
  <c r="X50" i="19"/>
  <c r="J51" i="19"/>
  <c r="R101" i="19" s="1"/>
  <c r="R51" i="19"/>
  <c r="S50" i="19"/>
  <c r="E51" i="19"/>
  <c r="M101" i="19" s="1"/>
  <c r="M51" i="19"/>
  <c r="G52" i="19"/>
  <c r="O102" i="19" s="1"/>
  <c r="O52" i="19"/>
  <c r="AE52" i="19"/>
  <c r="I53" i="19"/>
  <c r="Q103" i="19" s="1"/>
  <c r="Q53" i="19"/>
  <c r="AG53" i="19"/>
  <c r="K54" i="19"/>
  <c r="S104" i="19" s="1"/>
  <c r="S54" i="19"/>
  <c r="E55" i="19"/>
  <c r="M105" i="19" s="1"/>
  <c r="M55" i="19"/>
  <c r="G56" i="19"/>
  <c r="O106" i="19" s="1"/>
  <c r="O56" i="19"/>
  <c r="AE56" i="19"/>
  <c r="I57" i="19"/>
  <c r="Q107" i="19" s="1"/>
  <c r="Q57" i="19"/>
  <c r="AG57" i="19"/>
  <c r="K58" i="19"/>
  <c r="E59" i="19"/>
  <c r="M59" i="19"/>
  <c r="G60" i="19"/>
  <c r="O60" i="19"/>
  <c r="AG61" i="19"/>
  <c r="R53" i="19"/>
  <c r="L54" i="19"/>
  <c r="F55" i="19"/>
  <c r="N105" i="19" s="1"/>
  <c r="N55" i="19"/>
  <c r="H56" i="19"/>
  <c r="P106" i="19" s="1"/>
  <c r="P56" i="19"/>
  <c r="AF56" i="19"/>
  <c r="J57" i="19"/>
  <c r="R107" i="19" s="1"/>
  <c r="R57" i="19"/>
  <c r="AH57" i="19"/>
  <c r="L58" i="19"/>
  <c r="F59" i="19"/>
  <c r="N59" i="19"/>
  <c r="H60" i="19"/>
  <c r="P60" i="19"/>
  <c r="AH61" i="19"/>
  <c r="R52" i="19"/>
  <c r="L53" i="19"/>
  <c r="F54" i="19"/>
  <c r="N104" i="19" s="1"/>
  <c r="N54" i="19"/>
  <c r="H23" i="19"/>
  <c r="H105" i="19" s="1"/>
  <c r="P55" i="19"/>
  <c r="AF55" i="19"/>
  <c r="J56" i="19"/>
  <c r="R106" i="19" s="1"/>
  <c r="R56" i="19"/>
  <c r="L57" i="19"/>
  <c r="F58" i="19"/>
  <c r="N58" i="19"/>
  <c r="H59" i="19"/>
  <c r="P59" i="19"/>
  <c r="J60" i="19"/>
  <c r="R60" i="19"/>
  <c r="L61" i="19"/>
  <c r="E57" i="19"/>
  <c r="M107" i="19" s="1"/>
  <c r="M57" i="19"/>
  <c r="G58" i="19"/>
  <c r="O58" i="19"/>
  <c r="I59" i="19"/>
  <c r="Q59" i="19"/>
  <c r="AG59" i="19"/>
  <c r="K60" i="19"/>
  <c r="M61" i="19"/>
  <c r="AG63" i="19"/>
  <c r="L52" i="19"/>
  <c r="F53" i="19"/>
  <c r="N103" i="19" s="1"/>
  <c r="N53" i="19"/>
  <c r="H54" i="19"/>
  <c r="P104" i="19" s="1"/>
  <c r="P54" i="19"/>
  <c r="AF54" i="19"/>
  <c r="J55" i="19"/>
  <c r="R105" i="19" s="1"/>
  <c r="R55" i="19"/>
  <c r="AH55" i="19"/>
  <c r="L56" i="19"/>
  <c r="F57" i="19"/>
  <c r="N107" i="19" s="1"/>
  <c r="N57" i="19"/>
  <c r="H58" i="19"/>
  <c r="P58" i="19"/>
  <c r="J59" i="19"/>
  <c r="R59" i="19"/>
  <c r="AH59" i="19"/>
  <c r="L60" i="19"/>
  <c r="N61" i="19"/>
  <c r="P62" i="19"/>
  <c r="AH63" i="19"/>
  <c r="A38" i="19" l="1"/>
  <c r="I58" i="19"/>
  <c r="I54" i="19"/>
  <c r="Q104" i="19" s="1"/>
  <c r="K55" i="19"/>
  <c r="S105" i="19" s="1"/>
  <c r="E56" i="19"/>
  <c r="M106" i="19" s="1"/>
  <c r="G53" i="19"/>
  <c r="O103" i="19" s="1"/>
  <c r="G57" i="19"/>
  <c r="O107" i="19" s="1"/>
  <c r="E52" i="19"/>
  <c r="M102" i="19" s="1"/>
  <c r="H55" i="19"/>
  <c r="P105" i="19" s="1"/>
</calcChain>
</file>

<file path=xl/sharedStrings.xml><?xml version="1.0" encoding="utf-8"?>
<sst xmlns="http://schemas.openxmlformats.org/spreadsheetml/2006/main" count="4478" uniqueCount="22">
  <si>
    <t>F</t>
  </si>
  <si>
    <t>V</t>
  </si>
  <si>
    <t>R</t>
  </si>
  <si>
    <t>N</t>
  </si>
  <si>
    <t>CPR</t>
  </si>
  <si>
    <t>CDR</t>
  </si>
  <si>
    <t>Change</t>
  </si>
  <si>
    <t>Red Means Faster</t>
  </si>
  <si>
    <t>Ln Count</t>
  </si>
  <si>
    <t>FHA</t>
  </si>
  <si>
    <t>program</t>
  </si>
  <si>
    <t>Actual</t>
  </si>
  <si>
    <t>Report</t>
  </si>
  <si>
    <t>min Cnt</t>
  </si>
  <si>
    <t>Actual May</t>
  </si>
  <si>
    <t>Rate</t>
  </si>
  <si>
    <t>May CPR Buckets Age x Rate</t>
  </si>
  <si>
    <t>Age x Rate Bucket: 𝚫CPR </t>
  </si>
  <si>
    <t>Apr</t>
  </si>
  <si>
    <t xml:space="preserve">Actual Jul </t>
  </si>
  <si>
    <t>Acutal Jun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</si>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</sst>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;[Red]#,##0;&quot;--&quot;"/>
    <numFmt numFmtId="166" formatCode="#,##0.0;[Red]#,##0.0;&quot;--&quot;"/>
    <numFmt numFmtId="167" formatCode="0;[Red]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16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1E67-D286-483A-B217-D9D1AFEE7169}">
  <dimension ref="A1:AH107"/>
  <sheetViews>
    <sheetView topLeftCell="A15" workbookViewId="0">
      <selection activeCell="J38" sqref="J38"/>
    </sheetView>
  </sheetViews>
  <sheetFormatPr defaultRowHeight="14.5" x14ac:dyDescent="0.35"/>
  <cols>
    <col min="5" max="20" width="9.26953125" bestFit="1" customWidth="1"/>
    <col min="21" max="22" width="10.1796875" bestFit="1" customWidth="1"/>
    <col min="23" max="34" width="9.26953125" bestFit="1" customWidth="1"/>
  </cols>
  <sheetData>
    <row r="1" spans="4:34" x14ac:dyDescent="0.35">
      <c r="D1" s="7" t="s">
        <v>10</v>
      </c>
      <c r="E1" s="8" t="s">
        <v>13</v>
      </c>
      <c r="F1" s="11"/>
      <c r="G1" s="8" t="s">
        <v>12</v>
      </c>
    </row>
    <row r="2" spans="4:34" ht="15" thickBot="1" x14ac:dyDescent="0.4">
      <c r="D2" s="9" t="s">
        <v>21</v>
      </c>
      <c r="E2" s="10">
        <v>100</v>
      </c>
      <c r="F2" s="11"/>
      <c r="G2" s="10" t="s">
        <v>4</v>
      </c>
    </row>
    <row r="4" spans="4:34" x14ac:dyDescent="0.35">
      <c r="D4" s="3" t="s">
        <v>11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24</v>
      </c>
      <c r="Q4">
        <v>30</v>
      </c>
      <c r="R4">
        <v>36</v>
      </c>
      <c r="S4">
        <v>42</v>
      </c>
      <c r="T4">
        <v>48</v>
      </c>
      <c r="U4">
        <v>54</v>
      </c>
      <c r="V4">
        <v>60</v>
      </c>
      <c r="W4">
        <v>72</v>
      </c>
      <c r="X4">
        <v>84</v>
      </c>
      <c r="Y4">
        <v>96</v>
      </c>
      <c r="Z4">
        <v>108</v>
      </c>
      <c r="AA4">
        <v>120</v>
      </c>
      <c r="AB4">
        <v>144</v>
      </c>
      <c r="AC4">
        <v>168</v>
      </c>
      <c r="AD4">
        <v>192</v>
      </c>
      <c r="AE4">
        <v>216</v>
      </c>
      <c r="AF4">
        <v>240</v>
      </c>
      <c r="AG4">
        <v>320</v>
      </c>
      <c r="AH4">
        <v>360</v>
      </c>
    </row>
    <row r="5" spans="4:34" x14ac:dyDescent="0.35">
      <c r="D5">
        <v>2000</v>
      </c>
      <c r="E5" s="4">
        <f>IF(  E68&gt;$E$2, SUMIFS(IF($G$2="CPR",'Grid Data'!$V$4:$V$2342,'Grid Data'!$W$4:$W$2342),'Grid Data'!$N$4:$N$2342,$D5,'Grid Data'!$O$4:$O$2342,E$4,'Grid Data'!$M$4:$M$2342,$D$2)*100, 0)</f>
        <v>0</v>
      </c>
      <c r="F5" s="4">
        <f>IF(  F68&gt;$E$2, SUMIFS(IF($G$2="CPR",'Grid Data'!$V$4:$V$2342,'Grid Data'!$W$4:$W$2342),'Grid Data'!$N$4:$N$2342,$D5,'Grid Data'!$O$4:$O$2342,F$4,'Grid Data'!$M$4:$M$2342,$D$2)*100, 0)</f>
        <v>0</v>
      </c>
      <c r="G5" s="4">
        <f>IF(  G68&gt;$E$2, SUMIFS(IF($G$2="CPR",'Grid Data'!$V$4:$V$2342,'Grid Data'!$W$4:$W$2342),'Grid Data'!$N$4:$N$2342,$D5,'Grid Data'!$O$4:$O$2342,G$4,'Grid Data'!$M$4:$M$2342,$D$2)*100, 0)</f>
        <v>0</v>
      </c>
      <c r="H5" s="4">
        <f>IF(  H68&gt;$E$2, SUMIFS(IF($G$2="CPR",'Grid Data'!$V$4:$V$2342,'Grid Data'!$W$4:$W$2342),'Grid Data'!$N$4:$N$2342,$D5,'Grid Data'!$O$4:$O$2342,H$4,'Grid Data'!$M$4:$M$2342,$D$2)*100, 0)</f>
        <v>0</v>
      </c>
      <c r="I5" s="4">
        <f>IF(  I68&gt;$E$2, SUMIFS(IF($G$2="CPR",'Grid Data'!$V$4:$V$2342,'Grid Data'!$W$4:$W$2342),'Grid Data'!$N$4:$N$2342,$D5,'Grid Data'!$O$4:$O$2342,I$4,'Grid Data'!$M$4:$M$2342,$D$2)*100, 0)</f>
        <v>0</v>
      </c>
      <c r="J5" s="4">
        <f>IF(  J68&gt;$E$2, SUMIFS(IF($G$2="CPR",'Grid Data'!$V$4:$V$2342,'Grid Data'!$W$4:$W$2342),'Grid Data'!$N$4:$N$2342,$D5,'Grid Data'!$O$4:$O$2342,J$4,'Grid Data'!$M$4:$M$2342,$D$2)*100, 0)</f>
        <v>0</v>
      </c>
      <c r="K5" s="4">
        <f>IF(  K68&gt;$E$2, SUMIFS(IF($G$2="CPR",'Grid Data'!$V$4:$V$2342,'Grid Data'!$W$4:$W$2342),'Grid Data'!$N$4:$N$2342,$D5,'Grid Data'!$O$4:$O$2342,K$4,'Grid Data'!$M$4:$M$2342,$D$2)*100, 0)</f>
        <v>0</v>
      </c>
      <c r="L5" s="4">
        <f>IF(  L68&gt;$E$2, SUMIFS(IF($G$2="CPR",'Grid Data'!$V$4:$V$2342,'Grid Data'!$W$4:$W$2342),'Grid Data'!$N$4:$N$2342,$D5,'Grid Data'!$O$4:$O$2342,L$4,'Grid Data'!$M$4:$M$2342,$D$2)*100, 0)</f>
        <v>0</v>
      </c>
      <c r="M5" s="4">
        <f>IF(  M68&gt;$E$2, SUMIFS(IF($G$2="CPR",'Grid Data'!$V$4:$V$2342,'Grid Data'!$W$4:$W$2342),'Grid Data'!$N$4:$N$2342,$D5,'Grid Data'!$O$4:$O$2342,M$4,'Grid Data'!$M$4:$M$2342,$D$2)*100, 0)</f>
        <v>0</v>
      </c>
      <c r="N5" s="4">
        <f>IF(  N68&gt;$E$2, SUMIFS(IF($G$2="CPR",'Grid Data'!$V$4:$V$2342,'Grid Data'!$W$4:$W$2342),'Grid Data'!$N$4:$N$2342,$D5,'Grid Data'!$O$4:$O$2342,N$4,'Grid Data'!$M$4:$M$2342,$D$2)*100, 0)</f>
        <v>0</v>
      </c>
      <c r="O5" s="4">
        <f>IF(  O68&gt;$E$2, SUMIFS(IF($G$2="CPR",'Grid Data'!$V$4:$V$2342,'Grid Data'!$W$4:$W$2342),'Grid Data'!$N$4:$N$2342,$D5,'Grid Data'!$O$4:$O$2342,O$4,'Grid Data'!$M$4:$M$2342,$D$2)*100, 0)</f>
        <v>0</v>
      </c>
      <c r="P5" s="4">
        <f>IF(  P68&gt;$E$2, SUMIFS(IF($G$2="CPR",'Grid Data'!$V$4:$V$2342,'Grid Data'!$W$4:$W$2342),'Grid Data'!$N$4:$N$2342,$D5,'Grid Data'!$O$4:$O$2342,P$4,'Grid Data'!$M$4:$M$2342,$D$2)*100, 0)</f>
        <v>0</v>
      </c>
      <c r="Q5" s="4">
        <f>IF(  Q68&gt;$E$2, SUMIFS(IF($G$2="CPR",'Grid Data'!$V$4:$V$2342,'Grid Data'!$W$4:$W$2342),'Grid Data'!$N$4:$N$2342,$D5,'Grid Data'!$O$4:$O$2342,Q$4,'Grid Data'!$M$4:$M$2342,$D$2)*100, 0)</f>
        <v>0</v>
      </c>
      <c r="R5" s="4">
        <f>IF(  R68&gt;$E$2, SUMIFS(IF($G$2="CPR",'Grid Data'!$V$4:$V$2342,'Grid Data'!$W$4:$W$2342),'Grid Data'!$N$4:$N$2342,$D5,'Grid Data'!$O$4:$O$2342,R$4,'Grid Data'!$M$4:$M$2342,$D$2)*100, 0)</f>
        <v>0</v>
      </c>
      <c r="S5" s="4">
        <f>IF(  S68&gt;$E$2, SUMIFS(IF($G$2="CPR",'Grid Data'!$V$4:$V$2342,'Grid Data'!$W$4:$W$2342),'Grid Data'!$N$4:$N$2342,$D5,'Grid Data'!$O$4:$O$2342,S$4,'Grid Data'!$M$4:$M$2342,$D$2)*100, 0)</f>
        <v>0</v>
      </c>
      <c r="T5" s="4">
        <f>IF(  T68&gt;$E$2, SUMIFS(IF($G$2="CPR",'Grid Data'!$V$4:$V$2342,'Grid Data'!$W$4:$W$2342),'Grid Data'!$N$4:$N$2342,$D5,'Grid Data'!$O$4:$O$2342,T$4,'Grid Data'!$M$4:$M$2342,$D$2)*100, 0)</f>
        <v>0</v>
      </c>
      <c r="U5" s="4">
        <f>IF(  U68&gt;$E$2, SUMIFS(IF($G$2="CPR",'Grid Data'!$V$4:$V$2342,'Grid Data'!$W$4:$W$2342),'Grid Data'!$N$4:$N$2342,$D5,'Grid Data'!$O$4:$O$2342,U$4,'Grid Data'!$M$4:$M$2342,$D$2)*100, 0)</f>
        <v>4.3751999999999995</v>
      </c>
      <c r="V5" s="4">
        <f>IF(  V68&gt;$E$2, SUMIFS(IF($G$2="CPR",'Grid Data'!$V$4:$V$2342,'Grid Data'!$W$4:$W$2342),'Grid Data'!$N$4:$N$2342,$D5,'Grid Data'!$O$4:$O$2342,V$4,'Grid Data'!$M$4:$M$2342,$D$2)*100, 0)</f>
        <v>3.1766000000000001</v>
      </c>
      <c r="W5" s="4">
        <f>IF(  W68&gt;$E$2, SUMIFS(IF($G$2="CPR",'Grid Data'!$V$4:$V$2342,'Grid Data'!$W$4:$W$2342),'Grid Data'!$N$4:$N$2342,$D5,'Grid Data'!$O$4:$O$2342,W$4,'Grid Data'!$M$4:$M$2342,$D$2)*100, 0)</f>
        <v>5.5651000000000002</v>
      </c>
      <c r="X5" s="4">
        <f>IF(  X68&gt;$E$2, SUMIFS(IF($G$2="CPR",'Grid Data'!$V$4:$V$2342,'Grid Data'!$W$4:$W$2342),'Grid Data'!$N$4:$N$2342,$D5,'Grid Data'!$O$4:$O$2342,X$4,'Grid Data'!$M$4:$M$2342,$D$2)*100, 0)</f>
        <v>0</v>
      </c>
      <c r="Y5" s="4">
        <f>IF(  Y68&gt;$E$2, SUMIFS(IF($G$2="CPR",'Grid Data'!$V$4:$V$2342,'Grid Data'!$W$4:$W$2342),'Grid Data'!$N$4:$N$2342,$D5,'Grid Data'!$O$4:$O$2342,Y$4,'Grid Data'!$M$4:$M$2342,$D$2)*100, 0)</f>
        <v>0</v>
      </c>
      <c r="Z5" s="4">
        <f>IF(  Z68&gt;$E$2, SUMIFS(IF($G$2="CPR",'Grid Data'!$V$4:$V$2342,'Grid Data'!$W$4:$W$2342),'Grid Data'!$N$4:$N$2342,$D5,'Grid Data'!$O$4:$O$2342,Z$4,'Grid Data'!$M$4:$M$2342,$D$2)*100, 0)</f>
        <v>0</v>
      </c>
      <c r="AA5" s="4">
        <f>IF(  AA68&gt;$E$2, SUMIFS(IF($G$2="CPR",'Grid Data'!$V$4:$V$2342,'Grid Data'!$W$4:$W$2342),'Grid Data'!$N$4:$N$2342,$D5,'Grid Data'!$O$4:$O$2342,AA$4,'Grid Data'!$M$4:$M$2342,$D$2)*100, 0)</f>
        <v>0</v>
      </c>
      <c r="AB5" s="4">
        <f>IF(  AB68&gt;$E$2, SUMIFS(IF($G$2="CPR",'Grid Data'!$V$4:$V$2342,'Grid Data'!$W$4:$W$2342),'Grid Data'!$N$4:$N$2342,$D5,'Grid Data'!$O$4:$O$2342,AB$4,'Grid Data'!$M$4:$M$2342,$D$2)*100, 0)</f>
        <v>0</v>
      </c>
      <c r="AC5" s="4">
        <f>IF(  AC68&gt;$E$2, SUMIFS(IF($G$2="CPR",'Grid Data'!$V$4:$V$2342,'Grid Data'!$W$4:$W$2342),'Grid Data'!$N$4:$N$2342,$D5,'Grid Data'!$O$4:$O$2342,AC$4,'Grid Data'!$M$4:$M$2342,$D$2)*100, 0)</f>
        <v>0</v>
      </c>
      <c r="AD5" s="4">
        <f>IF(  AD68&gt;$E$2, SUMIFS(IF($G$2="CPR",'Grid Data'!$V$4:$V$2342,'Grid Data'!$W$4:$W$2342),'Grid Data'!$N$4:$N$2342,$D5,'Grid Data'!$O$4:$O$2342,AD$4,'Grid Data'!$M$4:$M$2342,$D$2)*100, 0)</f>
        <v>0</v>
      </c>
      <c r="AE5" s="4">
        <f>IF(  AE68&gt;$E$2, SUMIFS(IF($G$2="CPR",'Grid Data'!$V$4:$V$2342,'Grid Data'!$W$4:$W$2342),'Grid Data'!$N$4:$N$2342,$D5,'Grid Data'!$O$4:$O$2342,AE$4,'Grid Data'!$M$4:$M$2342,$D$2)*100, 0)</f>
        <v>0</v>
      </c>
      <c r="AF5" s="4">
        <f>IF(  AF68&gt;$E$2, SUMIFS(IF($G$2="CPR",'Grid Data'!$V$4:$V$2342,'Grid Data'!$W$4:$W$2342),'Grid Data'!$N$4:$N$2342,$D5,'Grid Data'!$O$4:$O$2342,AF$4,'Grid Data'!$M$4:$M$2342,$D$2)*100, 0)</f>
        <v>0</v>
      </c>
      <c r="AG5" s="4">
        <f>IF(  AG68&gt;$E$2, SUMIFS(IF($G$2="CPR",'Grid Data'!$V$4:$V$2342,'Grid Data'!$W$4:$W$2342),'Grid Data'!$N$4:$N$2342,$D5,'Grid Data'!$O$4:$O$2342,AG$4,'Grid Data'!$M$4:$M$2342,$D$2)*100, 0)</f>
        <v>0</v>
      </c>
      <c r="AH5" s="4">
        <f>IF(  AH68&gt;$E$2, SUMIFS(IF($G$2="CPR",'Grid Data'!$V$4:$V$2342,'Grid Data'!$W$4:$W$2342),'Grid Data'!$N$4:$N$2342,$D5,'Grid Data'!$O$4:$O$2342,AH$4,'Grid Data'!$M$4:$M$2342,$D$2)*100, 0)</f>
        <v>0</v>
      </c>
    </row>
    <row r="6" spans="4:34" x14ac:dyDescent="0.35">
      <c r="D6">
        <v>2250</v>
      </c>
      <c r="E6" s="4">
        <f>IF(  E69&gt;$E$2, SUMIFS(IF($G$2="CPR",'Grid Data'!$V$4:$V$2342,'Grid Data'!$W$4:$W$2342),'Grid Data'!$N$4:$N$2342,$D6,'Grid Data'!$O$4:$O$2342,E$4,'Grid Data'!$M$4:$M$2342,$D$2)*100, 0)</f>
        <v>0</v>
      </c>
      <c r="F6" s="4">
        <f>IF(  F69&gt;$E$2, SUMIFS(IF($G$2="CPR",'Grid Data'!$V$4:$V$2342,'Grid Data'!$W$4:$W$2342),'Grid Data'!$N$4:$N$2342,$D6,'Grid Data'!$O$4:$O$2342,F$4,'Grid Data'!$M$4:$M$2342,$D$2)*100, 0)</f>
        <v>0</v>
      </c>
      <c r="G6" s="4">
        <f>IF(  G69&gt;$E$2, SUMIFS(IF($G$2="CPR",'Grid Data'!$V$4:$V$2342,'Grid Data'!$W$4:$W$2342),'Grid Data'!$N$4:$N$2342,$D6,'Grid Data'!$O$4:$O$2342,G$4,'Grid Data'!$M$4:$M$2342,$D$2)*100, 0)</f>
        <v>0</v>
      </c>
      <c r="H6" s="4">
        <f>IF(  H69&gt;$E$2, SUMIFS(IF($G$2="CPR",'Grid Data'!$V$4:$V$2342,'Grid Data'!$W$4:$W$2342),'Grid Data'!$N$4:$N$2342,$D6,'Grid Data'!$O$4:$O$2342,H$4,'Grid Data'!$M$4:$M$2342,$D$2)*100, 0)</f>
        <v>0</v>
      </c>
      <c r="I6" s="4">
        <f>IF(  I69&gt;$E$2, SUMIFS(IF($G$2="CPR",'Grid Data'!$V$4:$V$2342,'Grid Data'!$W$4:$W$2342),'Grid Data'!$N$4:$N$2342,$D6,'Grid Data'!$O$4:$O$2342,I$4,'Grid Data'!$M$4:$M$2342,$D$2)*100, 0)</f>
        <v>0</v>
      </c>
      <c r="J6" s="4">
        <f>IF(  J69&gt;$E$2, SUMIFS(IF($G$2="CPR",'Grid Data'!$V$4:$V$2342,'Grid Data'!$W$4:$W$2342),'Grid Data'!$N$4:$N$2342,$D6,'Grid Data'!$O$4:$O$2342,J$4,'Grid Data'!$M$4:$M$2342,$D$2)*100, 0)</f>
        <v>0</v>
      </c>
      <c r="K6" s="4">
        <f>IF(  K69&gt;$E$2, SUMIFS(IF($G$2="CPR",'Grid Data'!$V$4:$V$2342,'Grid Data'!$W$4:$W$2342),'Grid Data'!$N$4:$N$2342,$D6,'Grid Data'!$O$4:$O$2342,K$4,'Grid Data'!$M$4:$M$2342,$D$2)*100, 0)</f>
        <v>0</v>
      </c>
      <c r="L6" s="4">
        <f>IF(  L69&gt;$E$2, SUMIFS(IF($G$2="CPR",'Grid Data'!$V$4:$V$2342,'Grid Data'!$W$4:$W$2342),'Grid Data'!$N$4:$N$2342,$D6,'Grid Data'!$O$4:$O$2342,L$4,'Grid Data'!$M$4:$M$2342,$D$2)*100, 0)</f>
        <v>0</v>
      </c>
      <c r="M6" s="4">
        <f>IF(  M69&gt;$E$2, SUMIFS(IF($G$2="CPR",'Grid Data'!$V$4:$V$2342,'Grid Data'!$W$4:$W$2342),'Grid Data'!$N$4:$N$2342,$D6,'Grid Data'!$O$4:$O$2342,M$4,'Grid Data'!$M$4:$M$2342,$D$2)*100, 0)</f>
        <v>0</v>
      </c>
      <c r="N6" s="4">
        <f>IF(  N69&gt;$E$2, SUMIFS(IF($G$2="CPR",'Grid Data'!$V$4:$V$2342,'Grid Data'!$W$4:$W$2342),'Grid Data'!$N$4:$N$2342,$D6,'Grid Data'!$O$4:$O$2342,N$4,'Grid Data'!$M$4:$M$2342,$D$2)*100, 0)</f>
        <v>0</v>
      </c>
      <c r="O6" s="4">
        <f>IF(  O69&gt;$E$2, SUMIFS(IF($G$2="CPR",'Grid Data'!$V$4:$V$2342,'Grid Data'!$W$4:$W$2342),'Grid Data'!$N$4:$N$2342,$D6,'Grid Data'!$O$4:$O$2342,O$4,'Grid Data'!$M$4:$M$2342,$D$2)*100, 0)</f>
        <v>0</v>
      </c>
      <c r="P6" s="4">
        <f>IF(  P69&gt;$E$2, SUMIFS(IF($G$2="CPR",'Grid Data'!$V$4:$V$2342,'Grid Data'!$W$4:$W$2342),'Grid Data'!$N$4:$N$2342,$D6,'Grid Data'!$O$4:$O$2342,P$4,'Grid Data'!$M$4:$M$2342,$D$2)*100, 0)</f>
        <v>0</v>
      </c>
      <c r="Q6" s="4">
        <f>IF(  Q69&gt;$E$2, SUMIFS(IF($G$2="CPR",'Grid Data'!$V$4:$V$2342,'Grid Data'!$W$4:$W$2342),'Grid Data'!$N$4:$N$2342,$D6,'Grid Data'!$O$4:$O$2342,Q$4,'Grid Data'!$M$4:$M$2342,$D$2)*100, 0)</f>
        <v>0</v>
      </c>
      <c r="R6" s="4">
        <f>IF(  R69&gt;$E$2, SUMIFS(IF($G$2="CPR",'Grid Data'!$V$4:$V$2342,'Grid Data'!$W$4:$W$2342),'Grid Data'!$N$4:$N$2342,$D6,'Grid Data'!$O$4:$O$2342,R$4,'Grid Data'!$M$4:$M$2342,$D$2)*100, 0)</f>
        <v>0</v>
      </c>
      <c r="S6" s="4">
        <f>IF(  S69&gt;$E$2, SUMIFS(IF($G$2="CPR",'Grid Data'!$V$4:$V$2342,'Grid Data'!$W$4:$W$2342),'Grid Data'!$N$4:$N$2342,$D6,'Grid Data'!$O$4:$O$2342,S$4,'Grid Data'!$M$4:$M$2342,$D$2)*100, 0)</f>
        <v>0</v>
      </c>
      <c r="T6" s="4">
        <f>IF(  T69&gt;$E$2, SUMIFS(IF($G$2="CPR",'Grid Data'!$V$4:$V$2342,'Grid Data'!$W$4:$W$2342),'Grid Data'!$N$4:$N$2342,$D6,'Grid Data'!$O$4:$O$2342,T$4,'Grid Data'!$M$4:$M$2342,$D$2)*100, 0)</f>
        <v>4.7415000000000003</v>
      </c>
      <c r="U6" s="4">
        <f>IF(  U69&gt;$E$2, SUMIFS(IF($G$2="CPR",'Grid Data'!$V$4:$V$2342,'Grid Data'!$W$4:$W$2342),'Grid Data'!$N$4:$N$2342,$D6,'Grid Data'!$O$4:$O$2342,U$4,'Grid Data'!$M$4:$M$2342,$D$2)*100, 0)</f>
        <v>5.5813000000000006</v>
      </c>
      <c r="V6" s="4">
        <f>IF(  V69&gt;$E$2, SUMIFS(IF($G$2="CPR",'Grid Data'!$V$4:$V$2342,'Grid Data'!$W$4:$W$2342),'Grid Data'!$N$4:$N$2342,$D6,'Grid Data'!$O$4:$O$2342,V$4,'Grid Data'!$M$4:$M$2342,$D$2)*100, 0)</f>
        <v>5.7176999999999998</v>
      </c>
      <c r="W6" s="4">
        <f>IF(  W69&gt;$E$2, SUMIFS(IF($G$2="CPR",'Grid Data'!$V$4:$V$2342,'Grid Data'!$W$4:$W$2342),'Grid Data'!$N$4:$N$2342,$D6,'Grid Data'!$O$4:$O$2342,W$4,'Grid Data'!$M$4:$M$2342,$D$2)*100, 0)</f>
        <v>5.6425000000000001</v>
      </c>
      <c r="X6" s="4">
        <f>IF(  X69&gt;$E$2, SUMIFS(IF($G$2="CPR",'Grid Data'!$V$4:$V$2342,'Grid Data'!$W$4:$W$2342),'Grid Data'!$N$4:$N$2342,$D6,'Grid Data'!$O$4:$O$2342,X$4,'Grid Data'!$M$4:$M$2342,$D$2)*100, 0)</f>
        <v>0</v>
      </c>
      <c r="Y6" s="4">
        <f>IF(  Y69&gt;$E$2, SUMIFS(IF($G$2="CPR",'Grid Data'!$V$4:$V$2342,'Grid Data'!$W$4:$W$2342),'Grid Data'!$N$4:$N$2342,$D6,'Grid Data'!$O$4:$O$2342,Y$4,'Grid Data'!$M$4:$M$2342,$D$2)*100, 0)</f>
        <v>0</v>
      </c>
      <c r="Z6" s="4">
        <f>IF(  Z69&gt;$E$2, SUMIFS(IF($G$2="CPR",'Grid Data'!$V$4:$V$2342,'Grid Data'!$W$4:$W$2342),'Grid Data'!$N$4:$N$2342,$D6,'Grid Data'!$O$4:$O$2342,Z$4,'Grid Data'!$M$4:$M$2342,$D$2)*100, 0)</f>
        <v>0</v>
      </c>
      <c r="AA6" s="4">
        <f>IF(  AA69&gt;$E$2, SUMIFS(IF($G$2="CPR",'Grid Data'!$V$4:$V$2342,'Grid Data'!$W$4:$W$2342),'Grid Data'!$N$4:$N$2342,$D6,'Grid Data'!$O$4:$O$2342,AA$4,'Grid Data'!$M$4:$M$2342,$D$2)*100, 0)</f>
        <v>0</v>
      </c>
      <c r="AB6" s="4">
        <f>IF(  AB69&gt;$E$2, SUMIFS(IF($G$2="CPR",'Grid Data'!$V$4:$V$2342,'Grid Data'!$W$4:$W$2342),'Grid Data'!$N$4:$N$2342,$D6,'Grid Data'!$O$4:$O$2342,AB$4,'Grid Data'!$M$4:$M$2342,$D$2)*100, 0)</f>
        <v>0</v>
      </c>
      <c r="AC6" s="4">
        <f>IF(  AC69&gt;$E$2, SUMIFS(IF($G$2="CPR",'Grid Data'!$V$4:$V$2342,'Grid Data'!$W$4:$W$2342),'Grid Data'!$N$4:$N$2342,$D6,'Grid Data'!$O$4:$O$2342,AC$4,'Grid Data'!$M$4:$M$2342,$D$2)*100, 0)</f>
        <v>0</v>
      </c>
      <c r="AD6" s="4">
        <f>IF(  AD69&gt;$E$2, SUMIFS(IF($G$2="CPR",'Grid Data'!$V$4:$V$2342,'Grid Data'!$W$4:$W$2342),'Grid Data'!$N$4:$N$2342,$D6,'Grid Data'!$O$4:$O$2342,AD$4,'Grid Data'!$M$4:$M$2342,$D$2)*100, 0)</f>
        <v>0</v>
      </c>
      <c r="AE6" s="4">
        <f>IF(  AE69&gt;$E$2, SUMIFS(IF($G$2="CPR",'Grid Data'!$V$4:$V$2342,'Grid Data'!$W$4:$W$2342),'Grid Data'!$N$4:$N$2342,$D6,'Grid Data'!$O$4:$O$2342,AE$4,'Grid Data'!$M$4:$M$2342,$D$2)*100, 0)</f>
        <v>0</v>
      </c>
      <c r="AF6" s="4">
        <f>IF(  AF69&gt;$E$2, SUMIFS(IF($G$2="CPR",'Grid Data'!$V$4:$V$2342,'Grid Data'!$W$4:$W$2342),'Grid Data'!$N$4:$N$2342,$D6,'Grid Data'!$O$4:$O$2342,AF$4,'Grid Data'!$M$4:$M$2342,$D$2)*100, 0)</f>
        <v>0</v>
      </c>
      <c r="AG6" s="4">
        <f>IF(  AG69&gt;$E$2, SUMIFS(IF($G$2="CPR",'Grid Data'!$V$4:$V$2342,'Grid Data'!$W$4:$W$2342),'Grid Data'!$N$4:$N$2342,$D6,'Grid Data'!$O$4:$O$2342,AG$4,'Grid Data'!$M$4:$M$2342,$D$2)*100, 0)</f>
        <v>0</v>
      </c>
      <c r="AH6" s="4">
        <f>IF(  AH69&gt;$E$2, SUMIFS(IF($G$2="CPR",'Grid Data'!$V$4:$V$2342,'Grid Data'!$W$4:$W$2342),'Grid Data'!$N$4:$N$2342,$D6,'Grid Data'!$O$4:$O$2342,AH$4,'Grid Data'!$M$4:$M$2342,$D$2)*100, 0)</f>
        <v>0</v>
      </c>
    </row>
    <row r="7" spans="4:34" x14ac:dyDescent="0.35">
      <c r="D7">
        <v>2500</v>
      </c>
      <c r="E7" s="4">
        <f>IF(  E70&gt;$E$2, SUMIFS(IF($G$2="CPR",'Grid Data'!$V$4:$V$2342,'Grid Data'!$W$4:$W$2342),'Grid Data'!$N$4:$N$2342,$D7,'Grid Data'!$O$4:$O$2342,E$4,'Grid Data'!$M$4:$M$2342,$D$2)*100, 0)</f>
        <v>0</v>
      </c>
      <c r="F7" s="4">
        <f>IF(  F70&gt;$E$2, SUMIFS(IF($G$2="CPR",'Grid Data'!$V$4:$V$2342,'Grid Data'!$W$4:$W$2342),'Grid Data'!$N$4:$N$2342,$D7,'Grid Data'!$O$4:$O$2342,F$4,'Grid Data'!$M$4:$M$2342,$D$2)*100, 0)</f>
        <v>0</v>
      </c>
      <c r="G7" s="4">
        <f>IF(  G70&gt;$E$2, SUMIFS(IF($G$2="CPR",'Grid Data'!$V$4:$V$2342,'Grid Data'!$W$4:$W$2342),'Grid Data'!$N$4:$N$2342,$D7,'Grid Data'!$O$4:$O$2342,G$4,'Grid Data'!$M$4:$M$2342,$D$2)*100, 0)</f>
        <v>0</v>
      </c>
      <c r="H7" s="4">
        <f>IF(  H70&gt;$E$2, SUMIFS(IF($G$2="CPR",'Grid Data'!$V$4:$V$2342,'Grid Data'!$W$4:$W$2342),'Grid Data'!$N$4:$N$2342,$D7,'Grid Data'!$O$4:$O$2342,H$4,'Grid Data'!$M$4:$M$2342,$D$2)*100, 0)</f>
        <v>0</v>
      </c>
      <c r="I7" s="4">
        <f>IF(  I70&gt;$E$2, SUMIFS(IF($G$2="CPR",'Grid Data'!$V$4:$V$2342,'Grid Data'!$W$4:$W$2342),'Grid Data'!$N$4:$N$2342,$D7,'Grid Data'!$O$4:$O$2342,I$4,'Grid Data'!$M$4:$M$2342,$D$2)*100, 0)</f>
        <v>0</v>
      </c>
      <c r="J7" s="4">
        <f>IF(  J70&gt;$E$2, SUMIFS(IF($G$2="CPR",'Grid Data'!$V$4:$V$2342,'Grid Data'!$W$4:$W$2342),'Grid Data'!$N$4:$N$2342,$D7,'Grid Data'!$O$4:$O$2342,J$4,'Grid Data'!$M$4:$M$2342,$D$2)*100, 0)</f>
        <v>0</v>
      </c>
      <c r="K7" s="4">
        <f>IF(  K70&gt;$E$2, SUMIFS(IF($G$2="CPR",'Grid Data'!$V$4:$V$2342,'Grid Data'!$W$4:$W$2342),'Grid Data'!$N$4:$N$2342,$D7,'Grid Data'!$O$4:$O$2342,K$4,'Grid Data'!$M$4:$M$2342,$D$2)*100, 0)</f>
        <v>0</v>
      </c>
      <c r="L7" s="4">
        <f>IF(  L70&gt;$E$2, SUMIFS(IF($G$2="CPR",'Grid Data'!$V$4:$V$2342,'Grid Data'!$W$4:$W$2342),'Grid Data'!$N$4:$N$2342,$D7,'Grid Data'!$O$4:$O$2342,L$4,'Grid Data'!$M$4:$M$2342,$D$2)*100, 0)</f>
        <v>0</v>
      </c>
      <c r="M7" s="4">
        <f>IF(  M70&gt;$E$2, SUMIFS(IF($G$2="CPR",'Grid Data'!$V$4:$V$2342,'Grid Data'!$W$4:$W$2342),'Grid Data'!$N$4:$N$2342,$D7,'Grid Data'!$O$4:$O$2342,M$4,'Grid Data'!$M$4:$M$2342,$D$2)*100, 0)</f>
        <v>0</v>
      </c>
      <c r="N7" s="4">
        <f>IF(  N70&gt;$E$2, SUMIFS(IF($G$2="CPR",'Grid Data'!$V$4:$V$2342,'Grid Data'!$W$4:$W$2342),'Grid Data'!$N$4:$N$2342,$D7,'Grid Data'!$O$4:$O$2342,N$4,'Grid Data'!$M$4:$M$2342,$D$2)*100, 0)</f>
        <v>0</v>
      </c>
      <c r="O7" s="4">
        <f>IF(  O70&gt;$E$2, SUMIFS(IF($G$2="CPR",'Grid Data'!$V$4:$V$2342,'Grid Data'!$W$4:$W$2342),'Grid Data'!$N$4:$N$2342,$D7,'Grid Data'!$O$4:$O$2342,O$4,'Grid Data'!$M$4:$M$2342,$D$2)*100, 0)</f>
        <v>0</v>
      </c>
      <c r="P7" s="4">
        <f>IF(  P70&gt;$E$2, SUMIFS(IF($G$2="CPR",'Grid Data'!$V$4:$V$2342,'Grid Data'!$W$4:$W$2342),'Grid Data'!$N$4:$N$2342,$D7,'Grid Data'!$O$4:$O$2342,P$4,'Grid Data'!$M$4:$M$2342,$D$2)*100, 0)</f>
        <v>0</v>
      </c>
      <c r="Q7" s="4">
        <f>IF(  Q70&gt;$E$2, SUMIFS(IF($G$2="CPR",'Grid Data'!$V$4:$V$2342,'Grid Data'!$W$4:$W$2342),'Grid Data'!$N$4:$N$2342,$D7,'Grid Data'!$O$4:$O$2342,Q$4,'Grid Data'!$M$4:$M$2342,$D$2)*100, 0)</f>
        <v>0</v>
      </c>
      <c r="R7" s="4">
        <f>IF(  R70&gt;$E$2, SUMIFS(IF($G$2="CPR",'Grid Data'!$V$4:$V$2342,'Grid Data'!$W$4:$W$2342),'Grid Data'!$N$4:$N$2342,$D7,'Grid Data'!$O$4:$O$2342,R$4,'Grid Data'!$M$4:$M$2342,$D$2)*100, 0)</f>
        <v>0</v>
      </c>
      <c r="S7" s="4">
        <f>IF(  S70&gt;$E$2, SUMIFS(IF($G$2="CPR",'Grid Data'!$V$4:$V$2342,'Grid Data'!$W$4:$W$2342),'Grid Data'!$N$4:$N$2342,$D7,'Grid Data'!$O$4:$O$2342,S$4,'Grid Data'!$M$4:$M$2342,$D$2)*100, 0)</f>
        <v>0</v>
      </c>
      <c r="T7" s="4">
        <f>IF(  T70&gt;$E$2, SUMIFS(IF($G$2="CPR",'Grid Data'!$V$4:$V$2342,'Grid Data'!$W$4:$W$2342),'Grid Data'!$N$4:$N$2342,$D7,'Grid Data'!$O$4:$O$2342,T$4,'Grid Data'!$M$4:$M$2342,$D$2)*100, 0)</f>
        <v>2.9041999999999999</v>
      </c>
      <c r="U7" s="4">
        <f>IF(  U70&gt;$E$2, SUMIFS(IF($G$2="CPR",'Grid Data'!$V$4:$V$2342,'Grid Data'!$W$4:$W$2342),'Grid Data'!$N$4:$N$2342,$D7,'Grid Data'!$O$4:$O$2342,U$4,'Grid Data'!$M$4:$M$2342,$D$2)*100, 0)</f>
        <v>7.3075999999999999</v>
      </c>
      <c r="V7" s="4">
        <f>IF(  V70&gt;$E$2, SUMIFS(IF($G$2="CPR",'Grid Data'!$V$4:$V$2342,'Grid Data'!$W$4:$W$2342),'Grid Data'!$N$4:$N$2342,$D7,'Grid Data'!$O$4:$O$2342,V$4,'Grid Data'!$M$4:$M$2342,$D$2)*100, 0)</f>
        <v>6.5058000000000007</v>
      </c>
      <c r="W7" s="4">
        <f>IF(  W70&gt;$E$2, SUMIFS(IF($G$2="CPR",'Grid Data'!$V$4:$V$2342,'Grid Data'!$W$4:$W$2342),'Grid Data'!$N$4:$N$2342,$D7,'Grid Data'!$O$4:$O$2342,W$4,'Grid Data'!$M$4:$M$2342,$D$2)*100, 0)</f>
        <v>6.0709</v>
      </c>
      <c r="X7" s="4">
        <f>IF(  X70&gt;$E$2, SUMIFS(IF($G$2="CPR",'Grid Data'!$V$4:$V$2342,'Grid Data'!$W$4:$W$2342),'Grid Data'!$N$4:$N$2342,$D7,'Grid Data'!$O$4:$O$2342,X$4,'Grid Data'!$M$4:$M$2342,$D$2)*100, 0)</f>
        <v>0</v>
      </c>
      <c r="Y7" s="4">
        <f>IF(  Y70&gt;$E$2, SUMIFS(IF($G$2="CPR",'Grid Data'!$V$4:$V$2342,'Grid Data'!$W$4:$W$2342),'Grid Data'!$N$4:$N$2342,$D7,'Grid Data'!$O$4:$O$2342,Y$4,'Grid Data'!$M$4:$M$2342,$D$2)*100, 0)</f>
        <v>0</v>
      </c>
      <c r="Z7" s="4">
        <f>IF(  Z70&gt;$E$2, SUMIFS(IF($G$2="CPR",'Grid Data'!$V$4:$V$2342,'Grid Data'!$W$4:$W$2342),'Grid Data'!$N$4:$N$2342,$D7,'Grid Data'!$O$4:$O$2342,Z$4,'Grid Data'!$M$4:$M$2342,$D$2)*100, 0)</f>
        <v>0</v>
      </c>
      <c r="AA7" s="4">
        <f>IF(  AA70&gt;$E$2, SUMIFS(IF($G$2="CPR",'Grid Data'!$V$4:$V$2342,'Grid Data'!$W$4:$W$2342),'Grid Data'!$N$4:$N$2342,$D7,'Grid Data'!$O$4:$O$2342,AA$4,'Grid Data'!$M$4:$M$2342,$D$2)*100, 0)</f>
        <v>0</v>
      </c>
      <c r="AB7" s="4">
        <f>IF(  AB70&gt;$E$2, SUMIFS(IF($G$2="CPR",'Grid Data'!$V$4:$V$2342,'Grid Data'!$W$4:$W$2342),'Grid Data'!$N$4:$N$2342,$D7,'Grid Data'!$O$4:$O$2342,AB$4,'Grid Data'!$M$4:$M$2342,$D$2)*100, 0)</f>
        <v>0</v>
      </c>
      <c r="AC7" s="4">
        <f>IF(  AC70&gt;$E$2, SUMIFS(IF($G$2="CPR",'Grid Data'!$V$4:$V$2342,'Grid Data'!$W$4:$W$2342),'Grid Data'!$N$4:$N$2342,$D7,'Grid Data'!$O$4:$O$2342,AC$4,'Grid Data'!$M$4:$M$2342,$D$2)*100, 0)</f>
        <v>0</v>
      </c>
      <c r="AD7" s="4">
        <f>IF(  AD70&gt;$E$2, SUMIFS(IF($G$2="CPR",'Grid Data'!$V$4:$V$2342,'Grid Data'!$W$4:$W$2342),'Grid Data'!$N$4:$N$2342,$D7,'Grid Data'!$O$4:$O$2342,AD$4,'Grid Data'!$M$4:$M$2342,$D$2)*100, 0)</f>
        <v>0</v>
      </c>
      <c r="AE7" s="4">
        <f>IF(  AE70&gt;$E$2, SUMIFS(IF($G$2="CPR",'Grid Data'!$V$4:$V$2342,'Grid Data'!$W$4:$W$2342),'Grid Data'!$N$4:$N$2342,$D7,'Grid Data'!$O$4:$O$2342,AE$4,'Grid Data'!$M$4:$M$2342,$D$2)*100, 0)</f>
        <v>0</v>
      </c>
      <c r="AF7" s="4">
        <f>IF(  AF70&gt;$E$2, SUMIFS(IF($G$2="CPR",'Grid Data'!$V$4:$V$2342,'Grid Data'!$W$4:$W$2342),'Grid Data'!$N$4:$N$2342,$D7,'Grid Data'!$O$4:$O$2342,AF$4,'Grid Data'!$M$4:$M$2342,$D$2)*100, 0)</f>
        <v>0</v>
      </c>
      <c r="AG7" s="4">
        <f>IF(  AG70&gt;$E$2, SUMIFS(IF($G$2="CPR",'Grid Data'!$V$4:$V$2342,'Grid Data'!$W$4:$W$2342),'Grid Data'!$N$4:$N$2342,$D7,'Grid Data'!$O$4:$O$2342,AG$4,'Grid Data'!$M$4:$M$2342,$D$2)*100, 0)</f>
        <v>0</v>
      </c>
      <c r="AH7" s="4">
        <f>IF(  AH70&gt;$E$2, SUMIFS(IF($G$2="CPR",'Grid Data'!$V$4:$V$2342,'Grid Data'!$W$4:$W$2342),'Grid Data'!$N$4:$N$2342,$D7,'Grid Data'!$O$4:$O$2342,AH$4,'Grid Data'!$M$4:$M$2342,$D$2)*100, 0)</f>
        <v>0</v>
      </c>
    </row>
    <row r="8" spans="4:34" x14ac:dyDescent="0.35">
      <c r="D8">
        <v>2750</v>
      </c>
      <c r="E8" s="4">
        <f>IF(  E71&gt;$E$2, SUMIFS(IF($G$2="CPR",'Grid Data'!$V$4:$V$2342,'Grid Data'!$W$4:$W$2342),'Grid Data'!$N$4:$N$2342,$D8,'Grid Data'!$O$4:$O$2342,E$4,'Grid Data'!$M$4:$M$2342,$D$2)*100, 0)</f>
        <v>0</v>
      </c>
      <c r="F8" s="4">
        <f>IF(  F71&gt;$E$2, SUMIFS(IF($G$2="CPR",'Grid Data'!$V$4:$V$2342,'Grid Data'!$W$4:$W$2342),'Grid Data'!$N$4:$N$2342,$D8,'Grid Data'!$O$4:$O$2342,F$4,'Grid Data'!$M$4:$M$2342,$D$2)*100, 0)</f>
        <v>0</v>
      </c>
      <c r="G8" s="4">
        <f>IF(  G71&gt;$E$2, SUMIFS(IF($G$2="CPR",'Grid Data'!$V$4:$V$2342,'Grid Data'!$W$4:$W$2342),'Grid Data'!$N$4:$N$2342,$D8,'Grid Data'!$O$4:$O$2342,G$4,'Grid Data'!$M$4:$M$2342,$D$2)*100, 0)</f>
        <v>0</v>
      </c>
      <c r="H8" s="4">
        <f>IF(  H71&gt;$E$2, SUMIFS(IF($G$2="CPR",'Grid Data'!$V$4:$V$2342,'Grid Data'!$W$4:$W$2342),'Grid Data'!$N$4:$N$2342,$D8,'Grid Data'!$O$4:$O$2342,H$4,'Grid Data'!$M$4:$M$2342,$D$2)*100, 0)</f>
        <v>0</v>
      </c>
      <c r="I8" s="4">
        <f>IF(  I71&gt;$E$2, SUMIFS(IF($G$2="CPR",'Grid Data'!$V$4:$V$2342,'Grid Data'!$W$4:$W$2342),'Grid Data'!$N$4:$N$2342,$D8,'Grid Data'!$O$4:$O$2342,I$4,'Grid Data'!$M$4:$M$2342,$D$2)*100, 0)</f>
        <v>0</v>
      </c>
      <c r="J8" s="4">
        <f>IF(  J71&gt;$E$2, SUMIFS(IF($G$2="CPR",'Grid Data'!$V$4:$V$2342,'Grid Data'!$W$4:$W$2342),'Grid Data'!$N$4:$N$2342,$D8,'Grid Data'!$O$4:$O$2342,J$4,'Grid Data'!$M$4:$M$2342,$D$2)*100, 0)</f>
        <v>0</v>
      </c>
      <c r="K8" s="4">
        <f>IF(  K71&gt;$E$2, SUMIFS(IF($G$2="CPR",'Grid Data'!$V$4:$V$2342,'Grid Data'!$W$4:$W$2342),'Grid Data'!$N$4:$N$2342,$D8,'Grid Data'!$O$4:$O$2342,K$4,'Grid Data'!$M$4:$M$2342,$D$2)*100, 0)</f>
        <v>0</v>
      </c>
      <c r="L8" s="4">
        <f>IF(  L71&gt;$E$2, SUMIFS(IF($G$2="CPR",'Grid Data'!$V$4:$V$2342,'Grid Data'!$W$4:$W$2342),'Grid Data'!$N$4:$N$2342,$D8,'Grid Data'!$O$4:$O$2342,L$4,'Grid Data'!$M$4:$M$2342,$D$2)*100, 0)</f>
        <v>0</v>
      </c>
      <c r="M8" s="4">
        <f>IF(  M71&gt;$E$2, SUMIFS(IF($G$2="CPR",'Grid Data'!$V$4:$V$2342,'Grid Data'!$W$4:$W$2342),'Grid Data'!$N$4:$N$2342,$D8,'Grid Data'!$O$4:$O$2342,M$4,'Grid Data'!$M$4:$M$2342,$D$2)*100, 0)</f>
        <v>0</v>
      </c>
      <c r="N8" s="4">
        <f>IF(  N71&gt;$E$2, SUMIFS(IF($G$2="CPR",'Grid Data'!$V$4:$V$2342,'Grid Data'!$W$4:$W$2342),'Grid Data'!$N$4:$N$2342,$D8,'Grid Data'!$O$4:$O$2342,N$4,'Grid Data'!$M$4:$M$2342,$D$2)*100, 0)</f>
        <v>0</v>
      </c>
      <c r="O8" s="4">
        <f>IF(  O71&gt;$E$2, SUMIFS(IF($G$2="CPR",'Grid Data'!$V$4:$V$2342,'Grid Data'!$W$4:$W$2342),'Grid Data'!$N$4:$N$2342,$D8,'Grid Data'!$O$4:$O$2342,O$4,'Grid Data'!$M$4:$M$2342,$D$2)*100, 0)</f>
        <v>0</v>
      </c>
      <c r="P8" s="4">
        <f>IF(  P71&gt;$E$2, SUMIFS(IF($G$2="CPR",'Grid Data'!$V$4:$V$2342,'Grid Data'!$W$4:$W$2342),'Grid Data'!$N$4:$N$2342,$D8,'Grid Data'!$O$4:$O$2342,P$4,'Grid Data'!$M$4:$M$2342,$D$2)*100, 0)</f>
        <v>0</v>
      </c>
      <c r="Q8" s="4">
        <f>IF(  Q71&gt;$E$2, SUMIFS(IF($G$2="CPR",'Grid Data'!$V$4:$V$2342,'Grid Data'!$W$4:$W$2342),'Grid Data'!$N$4:$N$2342,$D8,'Grid Data'!$O$4:$O$2342,Q$4,'Grid Data'!$M$4:$M$2342,$D$2)*100, 0)</f>
        <v>0</v>
      </c>
      <c r="R8" s="4">
        <f>IF(  R71&gt;$E$2, SUMIFS(IF($G$2="CPR",'Grid Data'!$V$4:$V$2342,'Grid Data'!$W$4:$W$2342),'Grid Data'!$N$4:$N$2342,$D8,'Grid Data'!$O$4:$O$2342,R$4,'Grid Data'!$M$4:$M$2342,$D$2)*100, 0)</f>
        <v>0</v>
      </c>
      <c r="S8" s="4">
        <f>IF(  S71&gt;$E$2, SUMIFS(IF($G$2="CPR",'Grid Data'!$V$4:$V$2342,'Grid Data'!$W$4:$W$2342),'Grid Data'!$N$4:$N$2342,$D8,'Grid Data'!$O$4:$O$2342,S$4,'Grid Data'!$M$4:$M$2342,$D$2)*100, 0)</f>
        <v>4.4552000000000005</v>
      </c>
      <c r="T8" s="4">
        <f>IF(  T71&gt;$E$2, SUMIFS(IF($G$2="CPR",'Grid Data'!$V$4:$V$2342,'Grid Data'!$W$4:$W$2342),'Grid Data'!$N$4:$N$2342,$D8,'Grid Data'!$O$4:$O$2342,T$4,'Grid Data'!$M$4:$M$2342,$D$2)*100, 0)</f>
        <v>7.6656000000000004</v>
      </c>
      <c r="U8" s="4">
        <f>IF(  U71&gt;$E$2, SUMIFS(IF($G$2="CPR",'Grid Data'!$V$4:$V$2342,'Grid Data'!$W$4:$W$2342),'Grid Data'!$N$4:$N$2342,$D8,'Grid Data'!$O$4:$O$2342,U$4,'Grid Data'!$M$4:$M$2342,$D$2)*100, 0)</f>
        <v>7.8758999999999997</v>
      </c>
      <c r="V8" s="4">
        <f>IF(  V71&gt;$E$2, SUMIFS(IF($G$2="CPR",'Grid Data'!$V$4:$V$2342,'Grid Data'!$W$4:$W$2342),'Grid Data'!$N$4:$N$2342,$D8,'Grid Data'!$O$4:$O$2342,V$4,'Grid Data'!$M$4:$M$2342,$D$2)*100, 0)</f>
        <v>7.3419999999999996</v>
      </c>
      <c r="W8" s="4">
        <f>IF(  W71&gt;$E$2, SUMIFS(IF($G$2="CPR",'Grid Data'!$V$4:$V$2342,'Grid Data'!$W$4:$W$2342),'Grid Data'!$N$4:$N$2342,$D8,'Grid Data'!$O$4:$O$2342,W$4,'Grid Data'!$M$4:$M$2342,$D$2)*100, 0)</f>
        <v>6.4921999999999995</v>
      </c>
      <c r="X8" s="4">
        <f>IF(  X71&gt;$E$2, SUMIFS(IF($G$2="CPR",'Grid Data'!$V$4:$V$2342,'Grid Data'!$W$4:$W$2342),'Grid Data'!$N$4:$N$2342,$D8,'Grid Data'!$O$4:$O$2342,X$4,'Grid Data'!$M$4:$M$2342,$D$2)*100, 0)</f>
        <v>4.7526000000000002</v>
      </c>
      <c r="Y8" s="4">
        <f>IF(  Y71&gt;$E$2, SUMIFS(IF($G$2="CPR",'Grid Data'!$V$4:$V$2342,'Grid Data'!$W$4:$W$2342),'Grid Data'!$N$4:$N$2342,$D8,'Grid Data'!$O$4:$O$2342,Y$4,'Grid Data'!$M$4:$M$2342,$D$2)*100, 0)</f>
        <v>0</v>
      </c>
      <c r="Z8" s="4">
        <f>IF(  Z71&gt;$E$2, SUMIFS(IF($G$2="CPR",'Grid Data'!$V$4:$V$2342,'Grid Data'!$W$4:$W$2342),'Grid Data'!$N$4:$N$2342,$D8,'Grid Data'!$O$4:$O$2342,Z$4,'Grid Data'!$M$4:$M$2342,$D$2)*100, 0)</f>
        <v>0</v>
      </c>
      <c r="AA8" s="4">
        <f>IF(  AA71&gt;$E$2, SUMIFS(IF($G$2="CPR",'Grid Data'!$V$4:$V$2342,'Grid Data'!$W$4:$W$2342),'Grid Data'!$N$4:$N$2342,$D8,'Grid Data'!$O$4:$O$2342,AA$4,'Grid Data'!$M$4:$M$2342,$D$2)*100, 0)</f>
        <v>5.6604000000000001</v>
      </c>
      <c r="AB8" s="4">
        <f>IF(  AB71&gt;$E$2, SUMIFS(IF($G$2="CPR",'Grid Data'!$V$4:$V$2342,'Grid Data'!$W$4:$W$2342),'Grid Data'!$N$4:$N$2342,$D8,'Grid Data'!$O$4:$O$2342,AB$4,'Grid Data'!$M$4:$M$2342,$D$2)*100, 0)</f>
        <v>11.842600000000001</v>
      </c>
      <c r="AC8" s="4">
        <f>IF(  AC71&gt;$E$2, SUMIFS(IF($G$2="CPR",'Grid Data'!$V$4:$V$2342,'Grid Data'!$W$4:$W$2342),'Grid Data'!$N$4:$N$2342,$D8,'Grid Data'!$O$4:$O$2342,AC$4,'Grid Data'!$M$4:$M$2342,$D$2)*100, 0)</f>
        <v>9.8862000000000005</v>
      </c>
      <c r="AD8" s="4">
        <f>IF(  AD71&gt;$E$2, SUMIFS(IF($G$2="CPR",'Grid Data'!$V$4:$V$2342,'Grid Data'!$W$4:$W$2342),'Grid Data'!$N$4:$N$2342,$D8,'Grid Data'!$O$4:$O$2342,AD$4,'Grid Data'!$M$4:$M$2342,$D$2)*100, 0)</f>
        <v>0</v>
      </c>
      <c r="AE8" s="4">
        <f>IF(  AE71&gt;$E$2, SUMIFS(IF($G$2="CPR",'Grid Data'!$V$4:$V$2342,'Grid Data'!$W$4:$W$2342),'Grid Data'!$N$4:$N$2342,$D8,'Grid Data'!$O$4:$O$2342,AE$4,'Grid Data'!$M$4:$M$2342,$D$2)*100, 0)</f>
        <v>0</v>
      </c>
      <c r="AF8" s="4">
        <f>IF(  AF71&gt;$E$2, SUMIFS(IF($G$2="CPR",'Grid Data'!$V$4:$V$2342,'Grid Data'!$W$4:$W$2342),'Grid Data'!$N$4:$N$2342,$D8,'Grid Data'!$O$4:$O$2342,AF$4,'Grid Data'!$M$4:$M$2342,$D$2)*100, 0)</f>
        <v>0</v>
      </c>
      <c r="AG8" s="4">
        <f>IF(  AG71&gt;$E$2, SUMIFS(IF($G$2="CPR",'Grid Data'!$V$4:$V$2342,'Grid Data'!$W$4:$W$2342),'Grid Data'!$N$4:$N$2342,$D8,'Grid Data'!$O$4:$O$2342,AG$4,'Grid Data'!$M$4:$M$2342,$D$2)*100, 0)</f>
        <v>0</v>
      </c>
      <c r="AH8" s="4">
        <f>IF(  AH71&gt;$E$2, SUMIFS(IF($G$2="CPR",'Grid Data'!$V$4:$V$2342,'Grid Data'!$W$4:$W$2342),'Grid Data'!$N$4:$N$2342,$D8,'Grid Data'!$O$4:$O$2342,AH$4,'Grid Data'!$M$4:$M$2342,$D$2)*100, 0)</f>
        <v>0</v>
      </c>
    </row>
    <row r="9" spans="4:34" x14ac:dyDescent="0.35">
      <c r="D9">
        <v>3000</v>
      </c>
      <c r="E9" s="4">
        <f>IF(  E72&gt;$E$2, SUMIFS(IF($G$2="CPR",'Grid Data'!$V$4:$V$2342,'Grid Data'!$W$4:$W$2342),'Grid Data'!$N$4:$N$2342,$D9,'Grid Data'!$O$4:$O$2342,E$4,'Grid Data'!$M$4:$M$2342,$D$2)*100, 0)</f>
        <v>0</v>
      </c>
      <c r="F9" s="4">
        <f>IF(  F72&gt;$E$2, SUMIFS(IF($G$2="CPR",'Grid Data'!$V$4:$V$2342,'Grid Data'!$W$4:$W$2342),'Grid Data'!$N$4:$N$2342,$D9,'Grid Data'!$O$4:$O$2342,F$4,'Grid Data'!$M$4:$M$2342,$D$2)*100, 0)</f>
        <v>0</v>
      </c>
      <c r="G9" s="4">
        <f>IF(  G72&gt;$E$2, SUMIFS(IF($G$2="CPR",'Grid Data'!$V$4:$V$2342,'Grid Data'!$W$4:$W$2342),'Grid Data'!$N$4:$N$2342,$D9,'Grid Data'!$O$4:$O$2342,G$4,'Grid Data'!$M$4:$M$2342,$D$2)*100, 0)</f>
        <v>0</v>
      </c>
      <c r="H9" s="4">
        <f>IF(  H72&gt;$E$2, SUMIFS(IF($G$2="CPR",'Grid Data'!$V$4:$V$2342,'Grid Data'!$W$4:$W$2342),'Grid Data'!$N$4:$N$2342,$D9,'Grid Data'!$O$4:$O$2342,H$4,'Grid Data'!$M$4:$M$2342,$D$2)*100, 0)</f>
        <v>0</v>
      </c>
      <c r="I9" s="4">
        <f>IF(  I72&gt;$E$2, SUMIFS(IF($G$2="CPR",'Grid Data'!$V$4:$V$2342,'Grid Data'!$W$4:$W$2342),'Grid Data'!$N$4:$N$2342,$D9,'Grid Data'!$O$4:$O$2342,I$4,'Grid Data'!$M$4:$M$2342,$D$2)*100, 0)</f>
        <v>0</v>
      </c>
      <c r="J9" s="4">
        <f>IF(  J72&gt;$E$2, SUMIFS(IF($G$2="CPR",'Grid Data'!$V$4:$V$2342,'Grid Data'!$W$4:$W$2342),'Grid Data'!$N$4:$N$2342,$D9,'Grid Data'!$O$4:$O$2342,J$4,'Grid Data'!$M$4:$M$2342,$D$2)*100, 0)</f>
        <v>0</v>
      </c>
      <c r="K9" s="4">
        <f>IF(  K72&gt;$E$2, SUMIFS(IF($G$2="CPR",'Grid Data'!$V$4:$V$2342,'Grid Data'!$W$4:$W$2342),'Grid Data'!$N$4:$N$2342,$D9,'Grid Data'!$O$4:$O$2342,K$4,'Grid Data'!$M$4:$M$2342,$D$2)*100, 0)</f>
        <v>0</v>
      </c>
      <c r="L9" s="4">
        <f>IF(  L72&gt;$E$2, SUMIFS(IF($G$2="CPR",'Grid Data'!$V$4:$V$2342,'Grid Data'!$W$4:$W$2342),'Grid Data'!$N$4:$N$2342,$D9,'Grid Data'!$O$4:$O$2342,L$4,'Grid Data'!$M$4:$M$2342,$D$2)*100, 0)</f>
        <v>0</v>
      </c>
      <c r="M9" s="4">
        <f>IF(  M72&gt;$E$2, SUMIFS(IF($G$2="CPR",'Grid Data'!$V$4:$V$2342,'Grid Data'!$W$4:$W$2342),'Grid Data'!$N$4:$N$2342,$D9,'Grid Data'!$O$4:$O$2342,M$4,'Grid Data'!$M$4:$M$2342,$D$2)*100, 0)</f>
        <v>0</v>
      </c>
      <c r="N9" s="4">
        <f>IF(  N72&gt;$E$2, SUMIFS(IF($G$2="CPR",'Grid Data'!$V$4:$V$2342,'Grid Data'!$W$4:$W$2342),'Grid Data'!$N$4:$N$2342,$D9,'Grid Data'!$O$4:$O$2342,N$4,'Grid Data'!$M$4:$M$2342,$D$2)*100, 0)</f>
        <v>0</v>
      </c>
      <c r="O9" s="4">
        <f>IF(  O72&gt;$E$2, SUMIFS(IF($G$2="CPR",'Grid Data'!$V$4:$V$2342,'Grid Data'!$W$4:$W$2342),'Grid Data'!$N$4:$N$2342,$D9,'Grid Data'!$O$4:$O$2342,O$4,'Grid Data'!$M$4:$M$2342,$D$2)*100, 0)</f>
        <v>0</v>
      </c>
      <c r="P9" s="4">
        <f>IF(  P72&gt;$E$2, SUMIFS(IF($G$2="CPR",'Grid Data'!$V$4:$V$2342,'Grid Data'!$W$4:$W$2342),'Grid Data'!$N$4:$N$2342,$D9,'Grid Data'!$O$4:$O$2342,P$4,'Grid Data'!$M$4:$M$2342,$D$2)*100, 0)</f>
        <v>0</v>
      </c>
      <c r="Q9" s="4">
        <f>IF(  Q72&gt;$E$2, SUMIFS(IF($G$2="CPR",'Grid Data'!$V$4:$V$2342,'Grid Data'!$W$4:$W$2342),'Grid Data'!$N$4:$N$2342,$D9,'Grid Data'!$O$4:$O$2342,Q$4,'Grid Data'!$M$4:$M$2342,$D$2)*100, 0)</f>
        <v>0</v>
      </c>
      <c r="R9" s="4">
        <f>IF(  R72&gt;$E$2, SUMIFS(IF($G$2="CPR",'Grid Data'!$V$4:$V$2342,'Grid Data'!$W$4:$W$2342),'Grid Data'!$N$4:$N$2342,$D9,'Grid Data'!$O$4:$O$2342,R$4,'Grid Data'!$M$4:$M$2342,$D$2)*100, 0)</f>
        <v>0</v>
      </c>
      <c r="S9" s="4">
        <f>IF(  S72&gt;$E$2, SUMIFS(IF($G$2="CPR",'Grid Data'!$V$4:$V$2342,'Grid Data'!$W$4:$W$2342),'Grid Data'!$N$4:$N$2342,$D9,'Grid Data'!$O$4:$O$2342,S$4,'Grid Data'!$M$4:$M$2342,$D$2)*100, 0)</f>
        <v>0</v>
      </c>
      <c r="T9" s="4">
        <f>IF(  T72&gt;$E$2, SUMIFS(IF($G$2="CPR",'Grid Data'!$V$4:$V$2342,'Grid Data'!$W$4:$W$2342),'Grid Data'!$N$4:$N$2342,$D9,'Grid Data'!$O$4:$O$2342,T$4,'Grid Data'!$M$4:$M$2342,$D$2)*100, 0)</f>
        <v>9.4547000000000008</v>
      </c>
      <c r="U9" s="4">
        <f>IF(  U72&gt;$E$2, SUMIFS(IF($G$2="CPR",'Grid Data'!$V$4:$V$2342,'Grid Data'!$W$4:$W$2342),'Grid Data'!$N$4:$N$2342,$D9,'Grid Data'!$O$4:$O$2342,U$4,'Grid Data'!$M$4:$M$2342,$D$2)*100, 0)</f>
        <v>7.9447000000000001</v>
      </c>
      <c r="V9" s="4">
        <f>IF(  V72&gt;$E$2, SUMIFS(IF($G$2="CPR",'Grid Data'!$V$4:$V$2342,'Grid Data'!$W$4:$W$2342),'Grid Data'!$N$4:$N$2342,$D9,'Grid Data'!$O$4:$O$2342,V$4,'Grid Data'!$M$4:$M$2342,$D$2)*100, 0)</f>
        <v>8.4733000000000001</v>
      </c>
      <c r="W9" s="4">
        <f>IF(  W72&gt;$E$2, SUMIFS(IF($G$2="CPR",'Grid Data'!$V$4:$V$2342,'Grid Data'!$W$4:$W$2342),'Grid Data'!$N$4:$N$2342,$D9,'Grid Data'!$O$4:$O$2342,W$4,'Grid Data'!$M$4:$M$2342,$D$2)*100, 0)</f>
        <v>7.7123999999999997</v>
      </c>
      <c r="X9" s="4">
        <f>IF(  X72&gt;$E$2, SUMIFS(IF($G$2="CPR",'Grid Data'!$V$4:$V$2342,'Grid Data'!$W$4:$W$2342),'Grid Data'!$N$4:$N$2342,$D9,'Grid Data'!$O$4:$O$2342,X$4,'Grid Data'!$M$4:$M$2342,$D$2)*100, 0)</f>
        <v>6.9628999999999994</v>
      </c>
      <c r="Y9" s="4">
        <f>IF(  Y72&gt;$E$2, SUMIFS(IF($G$2="CPR",'Grid Data'!$V$4:$V$2342,'Grid Data'!$W$4:$W$2342),'Grid Data'!$N$4:$N$2342,$D9,'Grid Data'!$O$4:$O$2342,Y$4,'Grid Data'!$M$4:$M$2342,$D$2)*100, 0)</f>
        <v>0</v>
      </c>
      <c r="Z9" s="4">
        <f>IF(  Z72&gt;$E$2, SUMIFS(IF($G$2="CPR",'Grid Data'!$V$4:$V$2342,'Grid Data'!$W$4:$W$2342),'Grid Data'!$N$4:$N$2342,$D9,'Grid Data'!$O$4:$O$2342,Z$4,'Grid Data'!$M$4:$M$2342,$D$2)*100, 0)</f>
        <v>13.876199999999999</v>
      </c>
      <c r="AA9" s="4">
        <f>IF(  AA72&gt;$E$2, SUMIFS(IF($G$2="CPR",'Grid Data'!$V$4:$V$2342,'Grid Data'!$W$4:$W$2342),'Grid Data'!$N$4:$N$2342,$D9,'Grid Data'!$O$4:$O$2342,AA$4,'Grid Data'!$M$4:$M$2342,$D$2)*100, 0)</f>
        <v>6.9141999999999992</v>
      </c>
      <c r="AB9" s="4">
        <f>IF(  AB72&gt;$E$2, SUMIFS(IF($G$2="CPR",'Grid Data'!$V$4:$V$2342,'Grid Data'!$W$4:$W$2342),'Grid Data'!$N$4:$N$2342,$D9,'Grid Data'!$O$4:$O$2342,AB$4,'Grid Data'!$M$4:$M$2342,$D$2)*100, 0)</f>
        <v>0</v>
      </c>
      <c r="AC9" s="4">
        <f>IF(  AC72&gt;$E$2, SUMIFS(IF($G$2="CPR",'Grid Data'!$V$4:$V$2342,'Grid Data'!$W$4:$W$2342),'Grid Data'!$N$4:$N$2342,$D9,'Grid Data'!$O$4:$O$2342,AC$4,'Grid Data'!$M$4:$M$2342,$D$2)*100, 0)</f>
        <v>5.5247999999999999</v>
      </c>
      <c r="AD9" s="4">
        <f>IF(  AD72&gt;$E$2, SUMIFS(IF($G$2="CPR",'Grid Data'!$V$4:$V$2342,'Grid Data'!$W$4:$W$2342),'Grid Data'!$N$4:$N$2342,$D9,'Grid Data'!$O$4:$O$2342,AD$4,'Grid Data'!$M$4:$M$2342,$D$2)*100, 0)</f>
        <v>0</v>
      </c>
      <c r="AE9" s="4">
        <f>IF(  AE72&gt;$E$2, SUMIFS(IF($G$2="CPR",'Grid Data'!$V$4:$V$2342,'Grid Data'!$W$4:$W$2342),'Grid Data'!$N$4:$N$2342,$D9,'Grid Data'!$O$4:$O$2342,AE$4,'Grid Data'!$M$4:$M$2342,$D$2)*100, 0)</f>
        <v>0</v>
      </c>
      <c r="AF9" s="4">
        <f>IF(  AF72&gt;$E$2, SUMIFS(IF($G$2="CPR",'Grid Data'!$V$4:$V$2342,'Grid Data'!$W$4:$W$2342),'Grid Data'!$N$4:$N$2342,$D9,'Grid Data'!$O$4:$O$2342,AF$4,'Grid Data'!$M$4:$M$2342,$D$2)*100, 0)</f>
        <v>0</v>
      </c>
      <c r="AG9" s="4">
        <f>IF(  AG72&gt;$E$2, SUMIFS(IF($G$2="CPR",'Grid Data'!$V$4:$V$2342,'Grid Data'!$W$4:$W$2342),'Grid Data'!$N$4:$N$2342,$D9,'Grid Data'!$O$4:$O$2342,AG$4,'Grid Data'!$M$4:$M$2342,$D$2)*100, 0)</f>
        <v>0</v>
      </c>
      <c r="AH9" s="4">
        <f>IF(  AH72&gt;$E$2, SUMIFS(IF($G$2="CPR",'Grid Data'!$V$4:$V$2342,'Grid Data'!$W$4:$W$2342),'Grid Data'!$N$4:$N$2342,$D9,'Grid Data'!$O$4:$O$2342,AH$4,'Grid Data'!$M$4:$M$2342,$D$2)*100, 0)</f>
        <v>0</v>
      </c>
    </row>
    <row r="10" spans="4:34" x14ac:dyDescent="0.35">
      <c r="D10">
        <v>3250</v>
      </c>
      <c r="E10" s="4">
        <f>IF(  E73&gt;$E$2, SUMIFS(IF($G$2="CPR",'Grid Data'!$V$4:$V$2342,'Grid Data'!$W$4:$W$2342),'Grid Data'!$N$4:$N$2342,$D10,'Grid Data'!$O$4:$O$2342,E$4,'Grid Data'!$M$4:$M$2342,$D$2)*100, 0)</f>
        <v>0</v>
      </c>
      <c r="F10" s="4">
        <f>IF(  F73&gt;$E$2, SUMIFS(IF($G$2="CPR",'Grid Data'!$V$4:$V$2342,'Grid Data'!$W$4:$W$2342),'Grid Data'!$N$4:$N$2342,$D10,'Grid Data'!$O$4:$O$2342,F$4,'Grid Data'!$M$4:$M$2342,$D$2)*100, 0)</f>
        <v>0</v>
      </c>
      <c r="G10" s="4">
        <f>IF(  G73&gt;$E$2, SUMIFS(IF($G$2="CPR",'Grid Data'!$V$4:$V$2342,'Grid Data'!$W$4:$W$2342),'Grid Data'!$N$4:$N$2342,$D10,'Grid Data'!$O$4:$O$2342,G$4,'Grid Data'!$M$4:$M$2342,$D$2)*100, 0)</f>
        <v>0</v>
      </c>
      <c r="H10" s="4">
        <f>IF(  H73&gt;$E$2, SUMIFS(IF($G$2="CPR",'Grid Data'!$V$4:$V$2342,'Grid Data'!$W$4:$W$2342),'Grid Data'!$N$4:$N$2342,$D10,'Grid Data'!$O$4:$O$2342,H$4,'Grid Data'!$M$4:$M$2342,$D$2)*100, 0)</f>
        <v>0</v>
      </c>
      <c r="I10" s="4">
        <f>IF(  I73&gt;$E$2, SUMIFS(IF($G$2="CPR",'Grid Data'!$V$4:$V$2342,'Grid Data'!$W$4:$W$2342),'Grid Data'!$N$4:$N$2342,$D10,'Grid Data'!$O$4:$O$2342,I$4,'Grid Data'!$M$4:$M$2342,$D$2)*100, 0)</f>
        <v>0</v>
      </c>
      <c r="J10" s="4">
        <f>IF(  J73&gt;$E$2, SUMIFS(IF($G$2="CPR",'Grid Data'!$V$4:$V$2342,'Grid Data'!$W$4:$W$2342),'Grid Data'!$N$4:$N$2342,$D10,'Grid Data'!$O$4:$O$2342,J$4,'Grid Data'!$M$4:$M$2342,$D$2)*100, 0)</f>
        <v>0</v>
      </c>
      <c r="K10" s="4">
        <f>IF(  K73&gt;$E$2, SUMIFS(IF($G$2="CPR",'Grid Data'!$V$4:$V$2342,'Grid Data'!$W$4:$W$2342),'Grid Data'!$N$4:$N$2342,$D10,'Grid Data'!$O$4:$O$2342,K$4,'Grid Data'!$M$4:$M$2342,$D$2)*100, 0)</f>
        <v>0</v>
      </c>
      <c r="L10" s="4">
        <f>IF(  L73&gt;$E$2, SUMIFS(IF($G$2="CPR",'Grid Data'!$V$4:$V$2342,'Grid Data'!$W$4:$W$2342),'Grid Data'!$N$4:$N$2342,$D10,'Grid Data'!$O$4:$O$2342,L$4,'Grid Data'!$M$4:$M$2342,$D$2)*100, 0)</f>
        <v>0</v>
      </c>
      <c r="M10" s="4">
        <f>IF(  M73&gt;$E$2, SUMIFS(IF($G$2="CPR",'Grid Data'!$V$4:$V$2342,'Grid Data'!$W$4:$W$2342),'Grid Data'!$N$4:$N$2342,$D10,'Grid Data'!$O$4:$O$2342,M$4,'Grid Data'!$M$4:$M$2342,$D$2)*100, 0)</f>
        <v>0</v>
      </c>
      <c r="N10" s="4">
        <f>IF(  N73&gt;$E$2, SUMIFS(IF($G$2="CPR",'Grid Data'!$V$4:$V$2342,'Grid Data'!$W$4:$W$2342),'Grid Data'!$N$4:$N$2342,$D10,'Grid Data'!$O$4:$O$2342,N$4,'Grid Data'!$M$4:$M$2342,$D$2)*100, 0)</f>
        <v>0</v>
      </c>
      <c r="O10" s="4">
        <f>IF(  O73&gt;$E$2, SUMIFS(IF($G$2="CPR",'Grid Data'!$V$4:$V$2342,'Grid Data'!$W$4:$W$2342),'Grid Data'!$N$4:$N$2342,$D10,'Grid Data'!$O$4:$O$2342,O$4,'Grid Data'!$M$4:$M$2342,$D$2)*100, 0)</f>
        <v>0</v>
      </c>
      <c r="P10" s="4">
        <f>IF(  P73&gt;$E$2, SUMIFS(IF($G$2="CPR",'Grid Data'!$V$4:$V$2342,'Grid Data'!$W$4:$W$2342),'Grid Data'!$N$4:$N$2342,$D10,'Grid Data'!$O$4:$O$2342,P$4,'Grid Data'!$M$4:$M$2342,$D$2)*100, 0)</f>
        <v>0</v>
      </c>
      <c r="Q10" s="4">
        <f>IF(  Q73&gt;$E$2, SUMIFS(IF($G$2="CPR",'Grid Data'!$V$4:$V$2342,'Grid Data'!$W$4:$W$2342),'Grid Data'!$N$4:$N$2342,$D10,'Grid Data'!$O$4:$O$2342,Q$4,'Grid Data'!$M$4:$M$2342,$D$2)*100, 0)</f>
        <v>0</v>
      </c>
      <c r="R10" s="4">
        <f>IF(  R73&gt;$E$2, SUMIFS(IF($G$2="CPR",'Grid Data'!$V$4:$V$2342,'Grid Data'!$W$4:$W$2342),'Grid Data'!$N$4:$N$2342,$D10,'Grid Data'!$O$4:$O$2342,R$4,'Grid Data'!$M$4:$M$2342,$D$2)*100, 0)</f>
        <v>0</v>
      </c>
      <c r="S10" s="4">
        <f>IF(  S73&gt;$E$2, SUMIFS(IF($G$2="CPR",'Grid Data'!$V$4:$V$2342,'Grid Data'!$W$4:$W$2342),'Grid Data'!$N$4:$N$2342,$D10,'Grid Data'!$O$4:$O$2342,S$4,'Grid Data'!$M$4:$M$2342,$D$2)*100, 0)</f>
        <v>10.806000000000001</v>
      </c>
      <c r="T10" s="4">
        <f>IF(  T73&gt;$E$2, SUMIFS(IF($G$2="CPR",'Grid Data'!$V$4:$V$2342,'Grid Data'!$W$4:$W$2342),'Grid Data'!$N$4:$N$2342,$D10,'Grid Data'!$O$4:$O$2342,T$4,'Grid Data'!$M$4:$M$2342,$D$2)*100, 0)</f>
        <v>8.9236000000000004</v>
      </c>
      <c r="U10" s="4">
        <f>IF(  U73&gt;$E$2, SUMIFS(IF($G$2="CPR",'Grid Data'!$V$4:$V$2342,'Grid Data'!$W$4:$W$2342),'Grid Data'!$N$4:$N$2342,$D10,'Grid Data'!$O$4:$O$2342,U$4,'Grid Data'!$M$4:$M$2342,$D$2)*100, 0)</f>
        <v>10.813000000000001</v>
      </c>
      <c r="V10" s="4">
        <f>IF(  V73&gt;$E$2, SUMIFS(IF($G$2="CPR",'Grid Data'!$V$4:$V$2342,'Grid Data'!$W$4:$W$2342),'Grid Data'!$N$4:$N$2342,$D10,'Grid Data'!$O$4:$O$2342,V$4,'Grid Data'!$M$4:$M$2342,$D$2)*100, 0)</f>
        <v>8.7860999999999994</v>
      </c>
      <c r="W10" s="4">
        <f>IF(  W73&gt;$E$2, SUMIFS(IF($G$2="CPR",'Grid Data'!$V$4:$V$2342,'Grid Data'!$W$4:$W$2342),'Grid Data'!$N$4:$N$2342,$D10,'Grid Data'!$O$4:$O$2342,W$4,'Grid Data'!$M$4:$M$2342,$D$2)*100, 0)</f>
        <v>8.7293000000000003</v>
      </c>
      <c r="X10" s="4">
        <f>IF(  X73&gt;$E$2, SUMIFS(IF($G$2="CPR",'Grid Data'!$V$4:$V$2342,'Grid Data'!$W$4:$W$2342),'Grid Data'!$N$4:$N$2342,$D10,'Grid Data'!$O$4:$O$2342,X$4,'Grid Data'!$M$4:$M$2342,$D$2)*100, 0)</f>
        <v>7.4558999999999997</v>
      </c>
      <c r="Y10" s="4">
        <f>IF(  Y73&gt;$E$2, SUMIFS(IF($G$2="CPR",'Grid Data'!$V$4:$V$2342,'Grid Data'!$W$4:$W$2342),'Grid Data'!$N$4:$N$2342,$D10,'Grid Data'!$O$4:$O$2342,Y$4,'Grid Data'!$M$4:$M$2342,$D$2)*100, 0)</f>
        <v>7.6935000000000002</v>
      </c>
      <c r="Z10" s="4">
        <f>IF(  Z73&gt;$E$2, SUMIFS(IF($G$2="CPR",'Grid Data'!$V$4:$V$2342,'Grid Data'!$W$4:$W$2342),'Grid Data'!$N$4:$N$2342,$D10,'Grid Data'!$O$4:$O$2342,Z$4,'Grid Data'!$M$4:$M$2342,$D$2)*100, 0)</f>
        <v>6.5018999999999991</v>
      </c>
      <c r="AA10" s="4">
        <f>IF(  AA73&gt;$E$2, SUMIFS(IF($G$2="CPR",'Grid Data'!$V$4:$V$2342,'Grid Data'!$W$4:$W$2342),'Grid Data'!$N$4:$N$2342,$D10,'Grid Data'!$O$4:$O$2342,AA$4,'Grid Data'!$M$4:$M$2342,$D$2)*100, 0)</f>
        <v>7.3523000000000005</v>
      </c>
      <c r="AB10" s="4">
        <f>IF(  AB73&gt;$E$2, SUMIFS(IF($G$2="CPR",'Grid Data'!$V$4:$V$2342,'Grid Data'!$W$4:$W$2342),'Grid Data'!$N$4:$N$2342,$D10,'Grid Data'!$O$4:$O$2342,AB$4,'Grid Data'!$M$4:$M$2342,$D$2)*100, 0)</f>
        <v>7.6223000000000001</v>
      </c>
      <c r="AC10" s="4">
        <f>IF(  AC73&gt;$E$2, SUMIFS(IF($G$2="CPR",'Grid Data'!$V$4:$V$2342,'Grid Data'!$W$4:$W$2342),'Grid Data'!$N$4:$N$2342,$D10,'Grid Data'!$O$4:$O$2342,AC$4,'Grid Data'!$M$4:$M$2342,$D$2)*100, 0)</f>
        <v>5.3956999999999997</v>
      </c>
      <c r="AD10" s="4">
        <f>IF(  AD73&gt;$E$2, SUMIFS(IF($G$2="CPR",'Grid Data'!$V$4:$V$2342,'Grid Data'!$W$4:$W$2342),'Grid Data'!$N$4:$N$2342,$D10,'Grid Data'!$O$4:$O$2342,AD$4,'Grid Data'!$M$4:$M$2342,$D$2)*100, 0)</f>
        <v>0</v>
      </c>
      <c r="AE10" s="4">
        <f>IF(  AE73&gt;$E$2, SUMIFS(IF($G$2="CPR",'Grid Data'!$V$4:$V$2342,'Grid Data'!$W$4:$W$2342),'Grid Data'!$N$4:$N$2342,$D10,'Grid Data'!$O$4:$O$2342,AE$4,'Grid Data'!$M$4:$M$2342,$D$2)*100, 0)</f>
        <v>0</v>
      </c>
      <c r="AF10" s="4">
        <f>IF(  AF73&gt;$E$2, SUMIFS(IF($G$2="CPR",'Grid Data'!$V$4:$V$2342,'Grid Data'!$W$4:$W$2342),'Grid Data'!$N$4:$N$2342,$D10,'Grid Data'!$O$4:$O$2342,AF$4,'Grid Data'!$M$4:$M$2342,$D$2)*100, 0)</f>
        <v>0</v>
      </c>
      <c r="AG10" s="4">
        <f>IF(  AG73&gt;$E$2, SUMIFS(IF($G$2="CPR",'Grid Data'!$V$4:$V$2342,'Grid Data'!$W$4:$W$2342),'Grid Data'!$N$4:$N$2342,$D10,'Grid Data'!$O$4:$O$2342,AG$4,'Grid Data'!$M$4:$M$2342,$D$2)*100, 0)</f>
        <v>0</v>
      </c>
      <c r="AH10" s="4">
        <f>IF(  AH73&gt;$E$2, SUMIFS(IF($G$2="CPR",'Grid Data'!$V$4:$V$2342,'Grid Data'!$W$4:$W$2342),'Grid Data'!$N$4:$N$2342,$D10,'Grid Data'!$O$4:$O$2342,AH$4,'Grid Data'!$M$4:$M$2342,$D$2)*100, 0)</f>
        <v>0</v>
      </c>
    </row>
    <row r="11" spans="4:34" x14ac:dyDescent="0.35">
      <c r="D11">
        <v>3500</v>
      </c>
      <c r="E11" s="4">
        <f>IF(  E74&gt;$E$2, SUMIFS(IF($G$2="CPR",'Grid Data'!$V$4:$V$2342,'Grid Data'!$W$4:$W$2342),'Grid Data'!$N$4:$N$2342,$D11,'Grid Data'!$O$4:$O$2342,E$4,'Grid Data'!$M$4:$M$2342,$D$2)*100, 0)</f>
        <v>0</v>
      </c>
      <c r="F11" s="4">
        <f>IF(  F74&gt;$E$2, SUMIFS(IF($G$2="CPR",'Grid Data'!$V$4:$V$2342,'Grid Data'!$W$4:$W$2342),'Grid Data'!$N$4:$N$2342,$D11,'Grid Data'!$O$4:$O$2342,F$4,'Grid Data'!$M$4:$M$2342,$D$2)*100, 0)</f>
        <v>0</v>
      </c>
      <c r="G11" s="4">
        <f>IF(  G74&gt;$E$2, SUMIFS(IF($G$2="CPR",'Grid Data'!$V$4:$V$2342,'Grid Data'!$W$4:$W$2342),'Grid Data'!$N$4:$N$2342,$D11,'Grid Data'!$O$4:$O$2342,G$4,'Grid Data'!$M$4:$M$2342,$D$2)*100, 0)</f>
        <v>0</v>
      </c>
      <c r="H11" s="4">
        <f>IF(  H74&gt;$E$2, SUMIFS(IF($G$2="CPR",'Grid Data'!$V$4:$V$2342,'Grid Data'!$W$4:$W$2342),'Grid Data'!$N$4:$N$2342,$D11,'Grid Data'!$O$4:$O$2342,H$4,'Grid Data'!$M$4:$M$2342,$D$2)*100, 0)</f>
        <v>0</v>
      </c>
      <c r="I11" s="4">
        <f>IF(  I74&gt;$E$2, SUMIFS(IF($G$2="CPR",'Grid Data'!$V$4:$V$2342,'Grid Data'!$W$4:$W$2342),'Grid Data'!$N$4:$N$2342,$D11,'Grid Data'!$O$4:$O$2342,I$4,'Grid Data'!$M$4:$M$2342,$D$2)*100, 0)</f>
        <v>0</v>
      </c>
      <c r="J11" s="4">
        <f>IF(  J74&gt;$E$2, SUMIFS(IF($G$2="CPR",'Grid Data'!$V$4:$V$2342,'Grid Data'!$W$4:$W$2342),'Grid Data'!$N$4:$N$2342,$D11,'Grid Data'!$O$4:$O$2342,J$4,'Grid Data'!$M$4:$M$2342,$D$2)*100, 0)</f>
        <v>0</v>
      </c>
      <c r="K11" s="4">
        <f>IF(  K74&gt;$E$2, SUMIFS(IF($G$2="CPR",'Grid Data'!$V$4:$V$2342,'Grid Data'!$W$4:$W$2342),'Grid Data'!$N$4:$N$2342,$D11,'Grid Data'!$O$4:$O$2342,K$4,'Grid Data'!$M$4:$M$2342,$D$2)*100, 0)</f>
        <v>0</v>
      </c>
      <c r="L11" s="4">
        <f>IF(  L74&gt;$E$2, SUMIFS(IF($G$2="CPR",'Grid Data'!$V$4:$V$2342,'Grid Data'!$W$4:$W$2342),'Grid Data'!$N$4:$N$2342,$D11,'Grid Data'!$O$4:$O$2342,L$4,'Grid Data'!$M$4:$M$2342,$D$2)*100, 0)</f>
        <v>0</v>
      </c>
      <c r="M11" s="4">
        <f>IF(  M74&gt;$E$2, SUMIFS(IF($G$2="CPR",'Grid Data'!$V$4:$V$2342,'Grid Data'!$W$4:$W$2342),'Grid Data'!$N$4:$N$2342,$D11,'Grid Data'!$O$4:$O$2342,M$4,'Grid Data'!$M$4:$M$2342,$D$2)*100, 0)</f>
        <v>0</v>
      </c>
      <c r="N11" s="4">
        <f>IF(  N74&gt;$E$2, SUMIFS(IF($G$2="CPR",'Grid Data'!$V$4:$V$2342,'Grid Data'!$W$4:$W$2342),'Grid Data'!$N$4:$N$2342,$D11,'Grid Data'!$O$4:$O$2342,N$4,'Grid Data'!$M$4:$M$2342,$D$2)*100, 0)</f>
        <v>0</v>
      </c>
      <c r="O11" s="4">
        <f>IF(  O74&gt;$E$2, SUMIFS(IF($G$2="CPR",'Grid Data'!$V$4:$V$2342,'Grid Data'!$W$4:$W$2342),'Grid Data'!$N$4:$N$2342,$D11,'Grid Data'!$O$4:$O$2342,O$4,'Grid Data'!$M$4:$M$2342,$D$2)*100, 0)</f>
        <v>0</v>
      </c>
      <c r="P11" s="4">
        <f>IF(  P74&gt;$E$2, SUMIFS(IF($G$2="CPR",'Grid Data'!$V$4:$V$2342,'Grid Data'!$W$4:$W$2342),'Grid Data'!$N$4:$N$2342,$D11,'Grid Data'!$O$4:$O$2342,P$4,'Grid Data'!$M$4:$M$2342,$D$2)*100, 0)</f>
        <v>0</v>
      </c>
      <c r="Q11" s="4">
        <f>IF(  Q74&gt;$E$2, SUMIFS(IF($G$2="CPR",'Grid Data'!$V$4:$V$2342,'Grid Data'!$W$4:$W$2342),'Grid Data'!$N$4:$N$2342,$D11,'Grid Data'!$O$4:$O$2342,Q$4,'Grid Data'!$M$4:$M$2342,$D$2)*100, 0)</f>
        <v>0</v>
      </c>
      <c r="R11" s="4">
        <f>IF(  R74&gt;$E$2, SUMIFS(IF($G$2="CPR",'Grid Data'!$V$4:$V$2342,'Grid Data'!$W$4:$W$2342),'Grid Data'!$N$4:$N$2342,$D11,'Grid Data'!$O$4:$O$2342,R$4,'Grid Data'!$M$4:$M$2342,$D$2)*100, 0)</f>
        <v>0</v>
      </c>
      <c r="S11" s="4">
        <f>IF(  S74&gt;$E$2, SUMIFS(IF($G$2="CPR",'Grid Data'!$V$4:$V$2342,'Grid Data'!$W$4:$W$2342),'Grid Data'!$N$4:$N$2342,$D11,'Grid Data'!$O$4:$O$2342,S$4,'Grid Data'!$M$4:$M$2342,$D$2)*100, 0)</f>
        <v>10.069599999999999</v>
      </c>
      <c r="T11" s="4">
        <f>IF(  T74&gt;$E$2, SUMIFS(IF($G$2="CPR",'Grid Data'!$V$4:$V$2342,'Grid Data'!$W$4:$W$2342),'Grid Data'!$N$4:$N$2342,$D11,'Grid Data'!$O$4:$O$2342,T$4,'Grid Data'!$M$4:$M$2342,$D$2)*100, 0)</f>
        <v>10.7765</v>
      </c>
      <c r="U11" s="4">
        <f>IF(  U74&gt;$E$2, SUMIFS(IF($G$2="CPR",'Grid Data'!$V$4:$V$2342,'Grid Data'!$W$4:$W$2342),'Grid Data'!$N$4:$N$2342,$D11,'Grid Data'!$O$4:$O$2342,U$4,'Grid Data'!$M$4:$M$2342,$D$2)*100, 0)</f>
        <v>10.206099999999999</v>
      </c>
      <c r="V11" s="4">
        <f>IF(  V74&gt;$E$2, SUMIFS(IF($G$2="CPR",'Grid Data'!$V$4:$V$2342,'Grid Data'!$W$4:$W$2342),'Grid Data'!$N$4:$N$2342,$D11,'Grid Data'!$O$4:$O$2342,V$4,'Grid Data'!$M$4:$M$2342,$D$2)*100, 0)</f>
        <v>9.3673999999999999</v>
      </c>
      <c r="W11" s="4">
        <f>IF(  W74&gt;$E$2, SUMIFS(IF($G$2="CPR",'Grid Data'!$V$4:$V$2342,'Grid Data'!$W$4:$W$2342),'Grid Data'!$N$4:$N$2342,$D11,'Grid Data'!$O$4:$O$2342,W$4,'Grid Data'!$M$4:$M$2342,$D$2)*100, 0)</f>
        <v>8.1596000000000011</v>
      </c>
      <c r="X11" s="4">
        <f>IF(  X74&gt;$E$2, SUMIFS(IF($G$2="CPR",'Grid Data'!$V$4:$V$2342,'Grid Data'!$W$4:$W$2342),'Grid Data'!$N$4:$N$2342,$D11,'Grid Data'!$O$4:$O$2342,X$4,'Grid Data'!$M$4:$M$2342,$D$2)*100, 0)</f>
        <v>8.6704000000000008</v>
      </c>
      <c r="Y11" s="4">
        <f>IF(  Y74&gt;$E$2, SUMIFS(IF($G$2="CPR",'Grid Data'!$V$4:$V$2342,'Grid Data'!$W$4:$W$2342),'Grid Data'!$N$4:$N$2342,$D11,'Grid Data'!$O$4:$O$2342,Y$4,'Grid Data'!$M$4:$M$2342,$D$2)*100, 0)</f>
        <v>10.372399999999999</v>
      </c>
      <c r="Z11" s="4">
        <f>IF(  Z74&gt;$E$2, SUMIFS(IF($G$2="CPR",'Grid Data'!$V$4:$V$2342,'Grid Data'!$W$4:$W$2342),'Grid Data'!$N$4:$N$2342,$D11,'Grid Data'!$O$4:$O$2342,Z$4,'Grid Data'!$M$4:$M$2342,$D$2)*100, 0)</f>
        <v>5.6032999999999999</v>
      </c>
      <c r="AA11" s="4">
        <f>IF(  AA74&gt;$E$2, SUMIFS(IF($G$2="CPR",'Grid Data'!$V$4:$V$2342,'Grid Data'!$W$4:$W$2342),'Grid Data'!$N$4:$N$2342,$D11,'Grid Data'!$O$4:$O$2342,AA$4,'Grid Data'!$M$4:$M$2342,$D$2)*100, 0)</f>
        <v>6.5767000000000007</v>
      </c>
      <c r="AB11" s="4">
        <f>IF(  AB74&gt;$E$2, SUMIFS(IF($G$2="CPR",'Grid Data'!$V$4:$V$2342,'Grid Data'!$W$4:$W$2342),'Grid Data'!$N$4:$N$2342,$D11,'Grid Data'!$O$4:$O$2342,AB$4,'Grid Data'!$M$4:$M$2342,$D$2)*100, 0)</f>
        <v>6.2715999999999994</v>
      </c>
      <c r="AC11" s="4">
        <f>IF(  AC74&gt;$E$2, SUMIFS(IF($G$2="CPR",'Grid Data'!$V$4:$V$2342,'Grid Data'!$W$4:$W$2342),'Grid Data'!$N$4:$N$2342,$D11,'Grid Data'!$O$4:$O$2342,AC$4,'Grid Data'!$M$4:$M$2342,$D$2)*100, 0)</f>
        <v>5.2309000000000001</v>
      </c>
      <c r="AD11" s="4">
        <f>IF(  AD74&gt;$E$2, SUMIFS(IF($G$2="CPR",'Grid Data'!$V$4:$V$2342,'Grid Data'!$W$4:$W$2342),'Grid Data'!$N$4:$N$2342,$D11,'Grid Data'!$O$4:$O$2342,AD$4,'Grid Data'!$M$4:$M$2342,$D$2)*100, 0)</f>
        <v>9.2918000000000003</v>
      </c>
      <c r="AE11" s="4">
        <f>IF(  AE74&gt;$E$2, SUMIFS(IF($G$2="CPR",'Grid Data'!$V$4:$V$2342,'Grid Data'!$W$4:$W$2342),'Grid Data'!$N$4:$N$2342,$D11,'Grid Data'!$O$4:$O$2342,AE$4,'Grid Data'!$M$4:$M$2342,$D$2)*100, 0)</f>
        <v>0</v>
      </c>
      <c r="AF11" s="4">
        <f>IF(  AF74&gt;$E$2, SUMIFS(IF($G$2="CPR",'Grid Data'!$V$4:$V$2342,'Grid Data'!$W$4:$W$2342),'Grid Data'!$N$4:$N$2342,$D11,'Grid Data'!$O$4:$O$2342,AF$4,'Grid Data'!$M$4:$M$2342,$D$2)*100, 0)</f>
        <v>0</v>
      </c>
      <c r="AG11" s="4">
        <f>IF(  AG74&gt;$E$2, SUMIFS(IF($G$2="CPR",'Grid Data'!$V$4:$V$2342,'Grid Data'!$W$4:$W$2342),'Grid Data'!$N$4:$N$2342,$D11,'Grid Data'!$O$4:$O$2342,AG$4,'Grid Data'!$M$4:$M$2342,$D$2)*100, 0)</f>
        <v>0</v>
      </c>
      <c r="AH11" s="4">
        <f>IF(  AH74&gt;$E$2, SUMIFS(IF($G$2="CPR",'Grid Data'!$V$4:$V$2342,'Grid Data'!$W$4:$W$2342),'Grid Data'!$N$4:$N$2342,$D11,'Grid Data'!$O$4:$O$2342,AH$4,'Grid Data'!$M$4:$M$2342,$D$2)*100, 0)</f>
        <v>0</v>
      </c>
    </row>
    <row r="12" spans="4:34" x14ac:dyDescent="0.35">
      <c r="D12">
        <v>3750</v>
      </c>
      <c r="E12" s="4">
        <f>IF(  E75&gt;$E$2, SUMIFS(IF($G$2="CPR",'Grid Data'!$V$4:$V$2342,'Grid Data'!$W$4:$W$2342),'Grid Data'!$N$4:$N$2342,$D12,'Grid Data'!$O$4:$O$2342,E$4,'Grid Data'!$M$4:$M$2342,$D$2)*100, 0)</f>
        <v>0</v>
      </c>
      <c r="F12" s="4">
        <f>IF(  F75&gt;$E$2, SUMIFS(IF($G$2="CPR",'Grid Data'!$V$4:$V$2342,'Grid Data'!$W$4:$W$2342),'Grid Data'!$N$4:$N$2342,$D12,'Grid Data'!$O$4:$O$2342,F$4,'Grid Data'!$M$4:$M$2342,$D$2)*100, 0)</f>
        <v>0</v>
      </c>
      <c r="G12" s="4">
        <f>IF(  G75&gt;$E$2, SUMIFS(IF($G$2="CPR",'Grid Data'!$V$4:$V$2342,'Grid Data'!$W$4:$W$2342),'Grid Data'!$N$4:$N$2342,$D12,'Grid Data'!$O$4:$O$2342,G$4,'Grid Data'!$M$4:$M$2342,$D$2)*100, 0)</f>
        <v>0</v>
      </c>
      <c r="H12" s="4">
        <f>IF(  H75&gt;$E$2, SUMIFS(IF($G$2="CPR",'Grid Data'!$V$4:$V$2342,'Grid Data'!$W$4:$W$2342),'Grid Data'!$N$4:$N$2342,$D12,'Grid Data'!$O$4:$O$2342,H$4,'Grid Data'!$M$4:$M$2342,$D$2)*100, 0)</f>
        <v>0</v>
      </c>
      <c r="I12" s="4">
        <f>IF(  I75&gt;$E$2, SUMIFS(IF($G$2="CPR",'Grid Data'!$V$4:$V$2342,'Grid Data'!$W$4:$W$2342),'Grid Data'!$N$4:$N$2342,$D12,'Grid Data'!$O$4:$O$2342,I$4,'Grid Data'!$M$4:$M$2342,$D$2)*100, 0)</f>
        <v>0</v>
      </c>
      <c r="J12" s="4">
        <f>IF(  J75&gt;$E$2, SUMIFS(IF($G$2="CPR",'Grid Data'!$V$4:$V$2342,'Grid Data'!$W$4:$W$2342),'Grid Data'!$N$4:$N$2342,$D12,'Grid Data'!$O$4:$O$2342,J$4,'Grid Data'!$M$4:$M$2342,$D$2)*100, 0)</f>
        <v>0</v>
      </c>
      <c r="K12" s="4">
        <f>IF(  K75&gt;$E$2, SUMIFS(IF($G$2="CPR",'Grid Data'!$V$4:$V$2342,'Grid Data'!$W$4:$W$2342),'Grid Data'!$N$4:$N$2342,$D12,'Grid Data'!$O$4:$O$2342,K$4,'Grid Data'!$M$4:$M$2342,$D$2)*100, 0)</f>
        <v>0</v>
      </c>
      <c r="L12" s="4">
        <f>IF(  L75&gt;$E$2, SUMIFS(IF($G$2="CPR",'Grid Data'!$V$4:$V$2342,'Grid Data'!$W$4:$W$2342),'Grid Data'!$N$4:$N$2342,$D12,'Grid Data'!$O$4:$O$2342,L$4,'Grid Data'!$M$4:$M$2342,$D$2)*100, 0)</f>
        <v>0</v>
      </c>
      <c r="M12" s="4">
        <f>IF(  M75&gt;$E$2, SUMIFS(IF($G$2="CPR",'Grid Data'!$V$4:$V$2342,'Grid Data'!$W$4:$W$2342),'Grid Data'!$N$4:$N$2342,$D12,'Grid Data'!$O$4:$O$2342,M$4,'Grid Data'!$M$4:$M$2342,$D$2)*100, 0)</f>
        <v>0</v>
      </c>
      <c r="N12" s="4">
        <f>IF(  N75&gt;$E$2, SUMIFS(IF($G$2="CPR",'Grid Data'!$V$4:$V$2342,'Grid Data'!$W$4:$W$2342),'Grid Data'!$N$4:$N$2342,$D12,'Grid Data'!$O$4:$O$2342,N$4,'Grid Data'!$M$4:$M$2342,$D$2)*100, 0)</f>
        <v>16.363600000000002</v>
      </c>
      <c r="O12" s="4">
        <f>IF(  O75&gt;$E$2, SUMIFS(IF($G$2="CPR",'Grid Data'!$V$4:$V$2342,'Grid Data'!$W$4:$W$2342),'Grid Data'!$N$4:$N$2342,$D12,'Grid Data'!$O$4:$O$2342,O$4,'Grid Data'!$M$4:$M$2342,$D$2)*100, 0)</f>
        <v>0</v>
      </c>
      <c r="P12" s="4">
        <f>IF(  P75&gt;$E$2, SUMIFS(IF($G$2="CPR",'Grid Data'!$V$4:$V$2342,'Grid Data'!$W$4:$W$2342),'Grid Data'!$N$4:$N$2342,$D12,'Grid Data'!$O$4:$O$2342,P$4,'Grid Data'!$M$4:$M$2342,$D$2)*100, 0)</f>
        <v>0</v>
      </c>
      <c r="Q12" s="4">
        <f>IF(  Q75&gt;$E$2, SUMIFS(IF($G$2="CPR",'Grid Data'!$V$4:$V$2342,'Grid Data'!$W$4:$W$2342),'Grid Data'!$N$4:$N$2342,$D12,'Grid Data'!$O$4:$O$2342,Q$4,'Grid Data'!$M$4:$M$2342,$D$2)*100, 0)</f>
        <v>0</v>
      </c>
      <c r="R12" s="4">
        <f>IF(  R75&gt;$E$2, SUMIFS(IF($G$2="CPR",'Grid Data'!$V$4:$V$2342,'Grid Data'!$W$4:$W$2342),'Grid Data'!$N$4:$N$2342,$D12,'Grid Data'!$O$4:$O$2342,R$4,'Grid Data'!$M$4:$M$2342,$D$2)*100, 0)</f>
        <v>0</v>
      </c>
      <c r="S12" s="4">
        <f>IF(  S75&gt;$E$2, SUMIFS(IF($G$2="CPR",'Grid Data'!$V$4:$V$2342,'Grid Data'!$W$4:$W$2342),'Grid Data'!$N$4:$N$2342,$D12,'Grid Data'!$O$4:$O$2342,S$4,'Grid Data'!$M$4:$M$2342,$D$2)*100, 0)</f>
        <v>2.9437000000000002</v>
      </c>
      <c r="T12" s="4">
        <f>IF(  T75&gt;$E$2, SUMIFS(IF($G$2="CPR",'Grid Data'!$V$4:$V$2342,'Grid Data'!$W$4:$W$2342),'Grid Data'!$N$4:$N$2342,$D12,'Grid Data'!$O$4:$O$2342,T$4,'Grid Data'!$M$4:$M$2342,$D$2)*100, 0)</f>
        <v>9.8077000000000005</v>
      </c>
      <c r="U12" s="4">
        <f>IF(  U75&gt;$E$2, SUMIFS(IF($G$2="CPR",'Grid Data'!$V$4:$V$2342,'Grid Data'!$W$4:$W$2342),'Grid Data'!$N$4:$N$2342,$D12,'Grid Data'!$O$4:$O$2342,U$4,'Grid Data'!$M$4:$M$2342,$D$2)*100, 0)</f>
        <v>10.649000000000001</v>
      </c>
      <c r="V12" s="4">
        <f>IF(  V75&gt;$E$2, SUMIFS(IF($G$2="CPR",'Grid Data'!$V$4:$V$2342,'Grid Data'!$W$4:$W$2342),'Grid Data'!$N$4:$N$2342,$D12,'Grid Data'!$O$4:$O$2342,V$4,'Grid Data'!$M$4:$M$2342,$D$2)*100, 0)</f>
        <v>11.015700000000001</v>
      </c>
      <c r="W12" s="4">
        <f>IF(  W75&gt;$E$2, SUMIFS(IF($G$2="CPR",'Grid Data'!$V$4:$V$2342,'Grid Data'!$W$4:$W$2342),'Grid Data'!$N$4:$N$2342,$D12,'Grid Data'!$O$4:$O$2342,W$4,'Grid Data'!$M$4:$M$2342,$D$2)*100, 0)</f>
        <v>10.2058</v>
      </c>
      <c r="X12" s="4">
        <f>IF(  X75&gt;$E$2, SUMIFS(IF($G$2="CPR",'Grid Data'!$V$4:$V$2342,'Grid Data'!$W$4:$W$2342),'Grid Data'!$N$4:$N$2342,$D12,'Grid Data'!$O$4:$O$2342,X$4,'Grid Data'!$M$4:$M$2342,$D$2)*100, 0)</f>
        <v>7.9985999999999997</v>
      </c>
      <c r="Y12" s="4">
        <f>IF(  Y75&gt;$E$2, SUMIFS(IF($G$2="CPR",'Grid Data'!$V$4:$V$2342,'Grid Data'!$W$4:$W$2342),'Grid Data'!$N$4:$N$2342,$D12,'Grid Data'!$O$4:$O$2342,Y$4,'Grid Data'!$M$4:$M$2342,$D$2)*100, 0)</f>
        <v>10.482200000000001</v>
      </c>
      <c r="Z12" s="4">
        <f>IF(  Z75&gt;$E$2, SUMIFS(IF($G$2="CPR",'Grid Data'!$V$4:$V$2342,'Grid Data'!$W$4:$W$2342),'Grid Data'!$N$4:$N$2342,$D12,'Grid Data'!$O$4:$O$2342,Z$4,'Grid Data'!$M$4:$M$2342,$D$2)*100, 0)</f>
        <v>7.4405999999999999</v>
      </c>
      <c r="AA12" s="4">
        <f>IF(  AA75&gt;$E$2, SUMIFS(IF($G$2="CPR",'Grid Data'!$V$4:$V$2342,'Grid Data'!$W$4:$W$2342),'Grid Data'!$N$4:$N$2342,$D12,'Grid Data'!$O$4:$O$2342,AA$4,'Grid Data'!$M$4:$M$2342,$D$2)*100, 0)</f>
        <v>7.2314000000000007</v>
      </c>
      <c r="AB12" s="4">
        <f>IF(  AB75&gt;$E$2, SUMIFS(IF($G$2="CPR",'Grid Data'!$V$4:$V$2342,'Grid Data'!$W$4:$W$2342),'Grid Data'!$N$4:$N$2342,$D12,'Grid Data'!$O$4:$O$2342,AB$4,'Grid Data'!$M$4:$M$2342,$D$2)*100, 0)</f>
        <v>6.7873000000000001</v>
      </c>
      <c r="AC12" s="4">
        <f>IF(  AC75&gt;$E$2, SUMIFS(IF($G$2="CPR",'Grid Data'!$V$4:$V$2342,'Grid Data'!$W$4:$W$2342),'Grid Data'!$N$4:$N$2342,$D12,'Grid Data'!$O$4:$O$2342,AC$4,'Grid Data'!$M$4:$M$2342,$D$2)*100, 0)</f>
        <v>5.9492000000000003</v>
      </c>
      <c r="AD12" s="4">
        <f>IF(  AD75&gt;$E$2, SUMIFS(IF($G$2="CPR",'Grid Data'!$V$4:$V$2342,'Grid Data'!$W$4:$W$2342),'Grid Data'!$N$4:$N$2342,$D12,'Grid Data'!$O$4:$O$2342,AD$4,'Grid Data'!$M$4:$M$2342,$D$2)*100, 0)</f>
        <v>6.3052999999999999</v>
      </c>
      <c r="AE12" s="4">
        <f>IF(  AE75&gt;$E$2, SUMIFS(IF($G$2="CPR",'Grid Data'!$V$4:$V$2342,'Grid Data'!$W$4:$W$2342),'Grid Data'!$N$4:$N$2342,$D12,'Grid Data'!$O$4:$O$2342,AE$4,'Grid Data'!$M$4:$M$2342,$D$2)*100, 0)</f>
        <v>0</v>
      </c>
      <c r="AF12" s="4">
        <f>IF(  AF75&gt;$E$2, SUMIFS(IF($G$2="CPR",'Grid Data'!$V$4:$V$2342,'Grid Data'!$W$4:$W$2342),'Grid Data'!$N$4:$N$2342,$D12,'Grid Data'!$O$4:$O$2342,AF$4,'Grid Data'!$M$4:$M$2342,$D$2)*100, 0)</f>
        <v>0</v>
      </c>
      <c r="AG12" s="4">
        <f>IF(  AG75&gt;$E$2, SUMIFS(IF($G$2="CPR",'Grid Data'!$V$4:$V$2342,'Grid Data'!$W$4:$W$2342),'Grid Data'!$N$4:$N$2342,$D12,'Grid Data'!$O$4:$O$2342,AG$4,'Grid Data'!$M$4:$M$2342,$D$2)*100, 0)</f>
        <v>0</v>
      </c>
      <c r="AH12" s="4">
        <f>IF(  AH75&gt;$E$2, SUMIFS(IF($G$2="CPR",'Grid Data'!$V$4:$V$2342,'Grid Data'!$W$4:$W$2342),'Grid Data'!$N$4:$N$2342,$D12,'Grid Data'!$O$4:$O$2342,AH$4,'Grid Data'!$M$4:$M$2342,$D$2)*100, 0)</f>
        <v>0</v>
      </c>
    </row>
    <row r="13" spans="4:34" x14ac:dyDescent="0.35">
      <c r="D13">
        <v>4000</v>
      </c>
      <c r="E13" s="4">
        <f>IF(  E76&gt;$E$2, SUMIFS(IF($G$2="CPR",'Grid Data'!$V$4:$V$2342,'Grid Data'!$W$4:$W$2342),'Grid Data'!$N$4:$N$2342,$D13,'Grid Data'!$O$4:$O$2342,E$4,'Grid Data'!$M$4:$M$2342,$D$2)*100, 0)</f>
        <v>6.5200000000000008E-2</v>
      </c>
      <c r="F13" s="4">
        <f>IF(  F76&gt;$E$2, SUMIFS(IF($G$2="CPR",'Grid Data'!$V$4:$V$2342,'Grid Data'!$W$4:$W$2342),'Grid Data'!$N$4:$N$2342,$D13,'Grid Data'!$O$4:$O$2342,F$4,'Grid Data'!$M$4:$M$2342,$D$2)*100, 0)</f>
        <v>1.1716</v>
      </c>
      <c r="G13" s="4">
        <f>IF(  G76&gt;$E$2, SUMIFS(IF($G$2="CPR",'Grid Data'!$V$4:$V$2342,'Grid Data'!$W$4:$W$2342),'Grid Data'!$N$4:$N$2342,$D13,'Grid Data'!$O$4:$O$2342,G$4,'Grid Data'!$M$4:$M$2342,$D$2)*100, 0)</f>
        <v>1.7257000000000002</v>
      </c>
      <c r="H13" s="4">
        <f>IF(  H76&gt;$E$2, SUMIFS(IF($G$2="CPR",'Grid Data'!$V$4:$V$2342,'Grid Data'!$W$4:$W$2342),'Grid Data'!$N$4:$N$2342,$D13,'Grid Data'!$O$4:$O$2342,H$4,'Grid Data'!$M$4:$M$2342,$D$2)*100, 0)</f>
        <v>0</v>
      </c>
      <c r="I13" s="4">
        <f>IF(  I76&gt;$E$2, SUMIFS(IF($G$2="CPR",'Grid Data'!$V$4:$V$2342,'Grid Data'!$W$4:$W$2342),'Grid Data'!$N$4:$N$2342,$D13,'Grid Data'!$O$4:$O$2342,I$4,'Grid Data'!$M$4:$M$2342,$D$2)*100, 0)</f>
        <v>3.0664000000000002</v>
      </c>
      <c r="J13" s="4">
        <f>IF(  J76&gt;$E$2, SUMIFS(IF($G$2="CPR",'Grid Data'!$V$4:$V$2342,'Grid Data'!$W$4:$W$2342),'Grid Data'!$N$4:$N$2342,$D13,'Grid Data'!$O$4:$O$2342,J$4,'Grid Data'!$M$4:$M$2342,$D$2)*100, 0)</f>
        <v>0</v>
      </c>
      <c r="K13" s="4">
        <f>IF(  K76&gt;$E$2, SUMIFS(IF($G$2="CPR",'Grid Data'!$V$4:$V$2342,'Grid Data'!$W$4:$W$2342),'Grid Data'!$N$4:$N$2342,$D13,'Grid Data'!$O$4:$O$2342,K$4,'Grid Data'!$M$4:$M$2342,$D$2)*100, 0)</f>
        <v>1.7652000000000001</v>
      </c>
      <c r="L13" s="4">
        <f>IF(  L76&gt;$E$2, SUMIFS(IF($G$2="CPR",'Grid Data'!$V$4:$V$2342,'Grid Data'!$W$4:$W$2342),'Grid Data'!$N$4:$N$2342,$D13,'Grid Data'!$O$4:$O$2342,L$4,'Grid Data'!$M$4:$M$2342,$D$2)*100, 0)</f>
        <v>0</v>
      </c>
      <c r="M13" s="4">
        <f>IF(  M76&gt;$E$2, SUMIFS(IF($G$2="CPR",'Grid Data'!$V$4:$V$2342,'Grid Data'!$W$4:$W$2342),'Grid Data'!$N$4:$N$2342,$D13,'Grid Data'!$O$4:$O$2342,M$4,'Grid Data'!$M$4:$M$2342,$D$2)*100, 0)</f>
        <v>1.1573</v>
      </c>
      <c r="N13" s="4">
        <f>IF(  N76&gt;$E$2, SUMIFS(IF($G$2="CPR",'Grid Data'!$V$4:$V$2342,'Grid Data'!$W$4:$W$2342),'Grid Data'!$N$4:$N$2342,$D13,'Grid Data'!$O$4:$O$2342,N$4,'Grid Data'!$M$4:$M$2342,$D$2)*100, 0)</f>
        <v>5.468</v>
      </c>
      <c r="O13" s="4">
        <f>IF(  O76&gt;$E$2, SUMIFS(IF($G$2="CPR",'Grid Data'!$V$4:$V$2342,'Grid Data'!$W$4:$W$2342),'Grid Data'!$N$4:$N$2342,$D13,'Grid Data'!$O$4:$O$2342,O$4,'Grid Data'!$M$4:$M$2342,$D$2)*100, 0)</f>
        <v>0</v>
      </c>
      <c r="P13" s="4">
        <f>IF(  P76&gt;$E$2, SUMIFS(IF($G$2="CPR",'Grid Data'!$V$4:$V$2342,'Grid Data'!$W$4:$W$2342),'Grid Data'!$N$4:$N$2342,$D13,'Grid Data'!$O$4:$O$2342,P$4,'Grid Data'!$M$4:$M$2342,$D$2)*100, 0)</f>
        <v>0</v>
      </c>
      <c r="Q13" s="4">
        <f>IF(  Q76&gt;$E$2, SUMIFS(IF($G$2="CPR",'Grid Data'!$V$4:$V$2342,'Grid Data'!$W$4:$W$2342),'Grid Data'!$N$4:$N$2342,$D13,'Grid Data'!$O$4:$O$2342,Q$4,'Grid Data'!$M$4:$M$2342,$D$2)*100, 0)</f>
        <v>0</v>
      </c>
      <c r="R13" s="4">
        <f>IF(  R76&gt;$E$2, SUMIFS(IF($G$2="CPR",'Grid Data'!$V$4:$V$2342,'Grid Data'!$W$4:$W$2342),'Grid Data'!$N$4:$N$2342,$D13,'Grid Data'!$O$4:$O$2342,R$4,'Grid Data'!$M$4:$M$2342,$D$2)*100, 0)</f>
        <v>0</v>
      </c>
      <c r="S13" s="4">
        <f>IF(  S76&gt;$E$2, SUMIFS(IF($G$2="CPR",'Grid Data'!$V$4:$V$2342,'Grid Data'!$W$4:$W$2342),'Grid Data'!$N$4:$N$2342,$D13,'Grid Data'!$O$4:$O$2342,S$4,'Grid Data'!$M$4:$M$2342,$D$2)*100, 0)</f>
        <v>8.6234000000000002</v>
      </c>
      <c r="T13" s="4">
        <f>IF(  T76&gt;$E$2, SUMIFS(IF($G$2="CPR",'Grid Data'!$V$4:$V$2342,'Grid Data'!$W$4:$W$2342),'Grid Data'!$N$4:$N$2342,$D13,'Grid Data'!$O$4:$O$2342,T$4,'Grid Data'!$M$4:$M$2342,$D$2)*100, 0)</f>
        <v>11.103999999999999</v>
      </c>
      <c r="U13" s="4">
        <f>IF(  U76&gt;$E$2, SUMIFS(IF($G$2="CPR",'Grid Data'!$V$4:$V$2342,'Grid Data'!$W$4:$W$2342),'Grid Data'!$N$4:$N$2342,$D13,'Grid Data'!$O$4:$O$2342,U$4,'Grid Data'!$M$4:$M$2342,$D$2)*100, 0)</f>
        <v>11.597100000000001</v>
      </c>
      <c r="V13" s="4">
        <f>IF(  V76&gt;$E$2, SUMIFS(IF($G$2="CPR",'Grid Data'!$V$4:$V$2342,'Grid Data'!$W$4:$W$2342),'Grid Data'!$N$4:$N$2342,$D13,'Grid Data'!$O$4:$O$2342,V$4,'Grid Data'!$M$4:$M$2342,$D$2)*100, 0)</f>
        <v>10.3057</v>
      </c>
      <c r="W13" s="4">
        <f>IF(  W76&gt;$E$2, SUMIFS(IF($G$2="CPR",'Grid Data'!$V$4:$V$2342,'Grid Data'!$W$4:$W$2342),'Grid Data'!$N$4:$N$2342,$D13,'Grid Data'!$O$4:$O$2342,W$4,'Grid Data'!$M$4:$M$2342,$D$2)*100, 0)</f>
        <v>6.8890999999999991</v>
      </c>
      <c r="X13" s="4">
        <f>IF(  X76&gt;$E$2, SUMIFS(IF($G$2="CPR",'Grid Data'!$V$4:$V$2342,'Grid Data'!$W$4:$W$2342),'Grid Data'!$N$4:$N$2342,$D13,'Grid Data'!$O$4:$O$2342,X$4,'Grid Data'!$M$4:$M$2342,$D$2)*100, 0)</f>
        <v>7.5535000000000005</v>
      </c>
      <c r="Y13" s="4">
        <f>IF(  Y76&gt;$E$2, SUMIFS(IF($G$2="CPR",'Grid Data'!$V$4:$V$2342,'Grid Data'!$W$4:$W$2342),'Grid Data'!$N$4:$N$2342,$D13,'Grid Data'!$O$4:$O$2342,Y$4,'Grid Data'!$M$4:$M$2342,$D$2)*100, 0)</f>
        <v>10.050800000000001</v>
      </c>
      <c r="Z13" s="4">
        <f>IF(  Z76&gt;$E$2, SUMIFS(IF($G$2="CPR",'Grid Data'!$V$4:$V$2342,'Grid Data'!$W$4:$W$2342),'Grid Data'!$N$4:$N$2342,$D13,'Grid Data'!$O$4:$O$2342,Z$4,'Grid Data'!$M$4:$M$2342,$D$2)*100, 0)</f>
        <v>6.3784999999999998</v>
      </c>
      <c r="AA13" s="4">
        <f>IF(  AA76&gt;$E$2, SUMIFS(IF($G$2="CPR",'Grid Data'!$V$4:$V$2342,'Grid Data'!$W$4:$W$2342),'Grid Data'!$N$4:$N$2342,$D13,'Grid Data'!$O$4:$O$2342,AA$4,'Grid Data'!$M$4:$M$2342,$D$2)*100, 0)</f>
        <v>7.1110000000000007</v>
      </c>
      <c r="AB13" s="4">
        <f>IF(  AB76&gt;$E$2, SUMIFS(IF($G$2="CPR",'Grid Data'!$V$4:$V$2342,'Grid Data'!$W$4:$W$2342),'Grid Data'!$N$4:$N$2342,$D13,'Grid Data'!$O$4:$O$2342,AB$4,'Grid Data'!$M$4:$M$2342,$D$2)*100, 0)</f>
        <v>7.9727000000000006</v>
      </c>
      <c r="AC13" s="4">
        <f>IF(  AC76&gt;$E$2, SUMIFS(IF($G$2="CPR",'Grid Data'!$V$4:$V$2342,'Grid Data'!$W$4:$W$2342),'Grid Data'!$N$4:$N$2342,$D13,'Grid Data'!$O$4:$O$2342,AC$4,'Grid Data'!$M$4:$M$2342,$D$2)*100, 0)</f>
        <v>6.2210999999999999</v>
      </c>
      <c r="AD13" s="4">
        <f>IF(  AD76&gt;$E$2, SUMIFS(IF($G$2="CPR",'Grid Data'!$V$4:$V$2342,'Grid Data'!$W$4:$W$2342),'Grid Data'!$N$4:$N$2342,$D13,'Grid Data'!$O$4:$O$2342,AD$4,'Grid Data'!$M$4:$M$2342,$D$2)*100, 0)</f>
        <v>7.0320999999999998</v>
      </c>
      <c r="AE13" s="4">
        <f>IF(  AE76&gt;$E$2, SUMIFS(IF($G$2="CPR",'Grid Data'!$V$4:$V$2342,'Grid Data'!$W$4:$W$2342),'Grid Data'!$N$4:$N$2342,$D13,'Grid Data'!$O$4:$O$2342,AE$4,'Grid Data'!$M$4:$M$2342,$D$2)*100, 0)</f>
        <v>0</v>
      </c>
      <c r="AF13" s="4">
        <f>IF(  AF76&gt;$E$2, SUMIFS(IF($G$2="CPR",'Grid Data'!$V$4:$V$2342,'Grid Data'!$W$4:$W$2342),'Grid Data'!$N$4:$N$2342,$D13,'Grid Data'!$O$4:$O$2342,AF$4,'Grid Data'!$M$4:$M$2342,$D$2)*100, 0)</f>
        <v>0</v>
      </c>
      <c r="AG13" s="4">
        <f>IF(  AG76&gt;$E$2, SUMIFS(IF($G$2="CPR",'Grid Data'!$V$4:$V$2342,'Grid Data'!$W$4:$W$2342),'Grid Data'!$N$4:$N$2342,$D13,'Grid Data'!$O$4:$O$2342,AG$4,'Grid Data'!$M$4:$M$2342,$D$2)*100, 0)</f>
        <v>0</v>
      </c>
      <c r="AH13" s="4">
        <f>IF(  AH76&gt;$E$2, SUMIFS(IF($G$2="CPR",'Grid Data'!$V$4:$V$2342,'Grid Data'!$W$4:$W$2342),'Grid Data'!$N$4:$N$2342,$D13,'Grid Data'!$O$4:$O$2342,AH$4,'Grid Data'!$M$4:$M$2342,$D$2)*100, 0)</f>
        <v>0</v>
      </c>
    </row>
    <row r="14" spans="4:34" x14ac:dyDescent="0.35">
      <c r="D14">
        <v>4250</v>
      </c>
      <c r="E14" s="4">
        <f>IF(  E77&gt;$E$2, SUMIFS(IF($G$2="CPR",'Grid Data'!$V$4:$V$2342,'Grid Data'!$W$4:$W$2342),'Grid Data'!$N$4:$N$2342,$D14,'Grid Data'!$O$4:$O$2342,E$4,'Grid Data'!$M$4:$M$2342,$D$2)*100, 0)</f>
        <v>0</v>
      </c>
      <c r="F14" s="4">
        <f>IF(  F77&gt;$E$2, SUMIFS(IF($G$2="CPR",'Grid Data'!$V$4:$V$2342,'Grid Data'!$W$4:$W$2342),'Grid Data'!$N$4:$N$2342,$D14,'Grid Data'!$O$4:$O$2342,F$4,'Grid Data'!$M$4:$M$2342,$D$2)*100, 0)</f>
        <v>0</v>
      </c>
      <c r="G14" s="4">
        <f>IF(  G77&gt;$E$2, SUMIFS(IF($G$2="CPR",'Grid Data'!$V$4:$V$2342,'Grid Data'!$W$4:$W$2342),'Grid Data'!$N$4:$N$2342,$D14,'Grid Data'!$O$4:$O$2342,G$4,'Grid Data'!$M$4:$M$2342,$D$2)*100, 0)</f>
        <v>12.2431</v>
      </c>
      <c r="H14" s="4">
        <f>IF(  H77&gt;$E$2, SUMIFS(IF($G$2="CPR",'Grid Data'!$V$4:$V$2342,'Grid Data'!$W$4:$W$2342),'Grid Data'!$N$4:$N$2342,$D14,'Grid Data'!$O$4:$O$2342,H$4,'Grid Data'!$M$4:$M$2342,$D$2)*100, 0)</f>
        <v>8.1968999999999994</v>
      </c>
      <c r="I14" s="4">
        <f>IF(  I77&gt;$E$2, SUMIFS(IF($G$2="CPR",'Grid Data'!$V$4:$V$2342,'Grid Data'!$W$4:$W$2342),'Grid Data'!$N$4:$N$2342,$D14,'Grid Data'!$O$4:$O$2342,I$4,'Grid Data'!$M$4:$M$2342,$D$2)*100, 0)</f>
        <v>0</v>
      </c>
      <c r="J14" s="4">
        <f>IF(  J77&gt;$E$2, SUMIFS(IF($G$2="CPR",'Grid Data'!$V$4:$V$2342,'Grid Data'!$W$4:$W$2342),'Grid Data'!$N$4:$N$2342,$D14,'Grid Data'!$O$4:$O$2342,J$4,'Grid Data'!$M$4:$M$2342,$D$2)*100, 0)</f>
        <v>2.3256999999999999</v>
      </c>
      <c r="K14" s="4">
        <f>IF(  K77&gt;$E$2, SUMIFS(IF($G$2="CPR",'Grid Data'!$V$4:$V$2342,'Grid Data'!$W$4:$W$2342),'Grid Data'!$N$4:$N$2342,$D14,'Grid Data'!$O$4:$O$2342,K$4,'Grid Data'!$M$4:$M$2342,$D$2)*100, 0)</f>
        <v>0</v>
      </c>
      <c r="L14" s="4">
        <f>IF(  L77&gt;$E$2, SUMIFS(IF($G$2="CPR",'Grid Data'!$V$4:$V$2342,'Grid Data'!$W$4:$W$2342),'Grid Data'!$N$4:$N$2342,$D14,'Grid Data'!$O$4:$O$2342,L$4,'Grid Data'!$M$4:$M$2342,$D$2)*100, 0)</f>
        <v>7.7934000000000001</v>
      </c>
      <c r="M14" s="4">
        <f>IF(  M77&gt;$E$2, SUMIFS(IF($G$2="CPR",'Grid Data'!$V$4:$V$2342,'Grid Data'!$W$4:$W$2342),'Grid Data'!$N$4:$N$2342,$D14,'Grid Data'!$O$4:$O$2342,M$4,'Grid Data'!$M$4:$M$2342,$D$2)*100, 0)</f>
        <v>0.878</v>
      </c>
      <c r="N14" s="4">
        <f>IF(  N77&gt;$E$2, SUMIFS(IF($G$2="CPR",'Grid Data'!$V$4:$V$2342,'Grid Data'!$W$4:$W$2342),'Grid Data'!$N$4:$N$2342,$D14,'Grid Data'!$O$4:$O$2342,N$4,'Grid Data'!$M$4:$M$2342,$D$2)*100, 0)</f>
        <v>0</v>
      </c>
      <c r="O14" s="4">
        <f>IF(  O77&gt;$E$2, SUMIFS(IF($G$2="CPR",'Grid Data'!$V$4:$V$2342,'Grid Data'!$W$4:$W$2342),'Grid Data'!$N$4:$N$2342,$D14,'Grid Data'!$O$4:$O$2342,O$4,'Grid Data'!$M$4:$M$2342,$D$2)*100, 0)</f>
        <v>0</v>
      </c>
      <c r="P14" s="4">
        <f>IF(  P77&gt;$E$2, SUMIFS(IF($G$2="CPR",'Grid Data'!$V$4:$V$2342,'Grid Data'!$W$4:$W$2342),'Grid Data'!$N$4:$N$2342,$D14,'Grid Data'!$O$4:$O$2342,P$4,'Grid Data'!$M$4:$M$2342,$D$2)*100, 0)</f>
        <v>0</v>
      </c>
      <c r="Q14" s="4">
        <f>IF(  Q77&gt;$E$2, SUMIFS(IF($G$2="CPR",'Grid Data'!$V$4:$V$2342,'Grid Data'!$W$4:$W$2342),'Grid Data'!$N$4:$N$2342,$D14,'Grid Data'!$O$4:$O$2342,Q$4,'Grid Data'!$M$4:$M$2342,$D$2)*100, 0)</f>
        <v>9.1524999999999999</v>
      </c>
      <c r="R14" s="4">
        <f>IF(  R77&gt;$E$2, SUMIFS(IF($G$2="CPR",'Grid Data'!$V$4:$V$2342,'Grid Data'!$W$4:$W$2342),'Grid Data'!$N$4:$N$2342,$D14,'Grid Data'!$O$4:$O$2342,R$4,'Grid Data'!$M$4:$M$2342,$D$2)*100, 0)</f>
        <v>19.434100000000001</v>
      </c>
      <c r="S14" s="4">
        <f>IF(  S77&gt;$E$2, SUMIFS(IF($G$2="CPR",'Grid Data'!$V$4:$V$2342,'Grid Data'!$W$4:$W$2342),'Grid Data'!$N$4:$N$2342,$D14,'Grid Data'!$O$4:$O$2342,S$4,'Grid Data'!$M$4:$M$2342,$D$2)*100, 0)</f>
        <v>7.1651999999999996</v>
      </c>
      <c r="T14" s="4">
        <f>IF(  T77&gt;$E$2, SUMIFS(IF($G$2="CPR",'Grid Data'!$V$4:$V$2342,'Grid Data'!$W$4:$W$2342),'Grid Data'!$N$4:$N$2342,$D14,'Grid Data'!$O$4:$O$2342,T$4,'Grid Data'!$M$4:$M$2342,$D$2)*100, 0)</f>
        <v>9.7769999999999992</v>
      </c>
      <c r="U14" s="4">
        <f>IF(  U77&gt;$E$2, SUMIFS(IF($G$2="CPR",'Grid Data'!$V$4:$V$2342,'Grid Data'!$W$4:$W$2342),'Grid Data'!$N$4:$N$2342,$D14,'Grid Data'!$O$4:$O$2342,U$4,'Grid Data'!$M$4:$M$2342,$D$2)*100, 0)</f>
        <v>9.8123000000000005</v>
      </c>
      <c r="V14" s="4">
        <f>IF(  V77&gt;$E$2, SUMIFS(IF($G$2="CPR",'Grid Data'!$V$4:$V$2342,'Grid Data'!$W$4:$W$2342),'Grid Data'!$N$4:$N$2342,$D14,'Grid Data'!$O$4:$O$2342,V$4,'Grid Data'!$M$4:$M$2342,$D$2)*100, 0)</f>
        <v>9.7812999999999999</v>
      </c>
      <c r="W14" s="4">
        <f>IF(  W77&gt;$E$2, SUMIFS(IF($G$2="CPR",'Grid Data'!$V$4:$V$2342,'Grid Data'!$W$4:$W$2342),'Grid Data'!$N$4:$N$2342,$D14,'Grid Data'!$O$4:$O$2342,W$4,'Grid Data'!$M$4:$M$2342,$D$2)*100, 0)</f>
        <v>12.9824</v>
      </c>
      <c r="X14" s="4">
        <f>IF(  X77&gt;$E$2, SUMIFS(IF($G$2="CPR",'Grid Data'!$V$4:$V$2342,'Grid Data'!$W$4:$W$2342),'Grid Data'!$N$4:$N$2342,$D14,'Grid Data'!$O$4:$O$2342,X$4,'Grid Data'!$M$4:$M$2342,$D$2)*100, 0)</f>
        <v>9.2591000000000001</v>
      </c>
      <c r="Y14" s="4">
        <f>IF(  Y77&gt;$E$2, SUMIFS(IF($G$2="CPR",'Grid Data'!$V$4:$V$2342,'Grid Data'!$W$4:$W$2342),'Grid Data'!$N$4:$N$2342,$D14,'Grid Data'!$O$4:$O$2342,Y$4,'Grid Data'!$M$4:$M$2342,$D$2)*100, 0)</f>
        <v>7.4348999999999998</v>
      </c>
      <c r="Z14" s="4">
        <f>IF(  Z77&gt;$E$2, SUMIFS(IF($G$2="CPR",'Grid Data'!$V$4:$V$2342,'Grid Data'!$W$4:$W$2342),'Grid Data'!$N$4:$N$2342,$D14,'Grid Data'!$O$4:$O$2342,Z$4,'Grid Data'!$M$4:$M$2342,$D$2)*100, 0)</f>
        <v>7.2066000000000008</v>
      </c>
      <c r="AA14" s="4">
        <f>IF(  AA77&gt;$E$2, SUMIFS(IF($G$2="CPR",'Grid Data'!$V$4:$V$2342,'Grid Data'!$W$4:$W$2342),'Grid Data'!$N$4:$N$2342,$D14,'Grid Data'!$O$4:$O$2342,AA$4,'Grid Data'!$M$4:$M$2342,$D$2)*100, 0)</f>
        <v>8.0970999999999993</v>
      </c>
      <c r="AB14" s="4">
        <f>IF(  AB77&gt;$E$2, SUMIFS(IF($G$2="CPR",'Grid Data'!$V$4:$V$2342,'Grid Data'!$W$4:$W$2342),'Grid Data'!$N$4:$N$2342,$D14,'Grid Data'!$O$4:$O$2342,AB$4,'Grid Data'!$M$4:$M$2342,$D$2)*100, 0)</f>
        <v>7.3965000000000005</v>
      </c>
      <c r="AC14" s="4">
        <f>IF(  AC77&gt;$E$2, SUMIFS(IF($G$2="CPR",'Grid Data'!$V$4:$V$2342,'Grid Data'!$W$4:$W$2342),'Grid Data'!$N$4:$N$2342,$D14,'Grid Data'!$O$4:$O$2342,AC$4,'Grid Data'!$M$4:$M$2342,$D$2)*100, 0)</f>
        <v>8.3890000000000011</v>
      </c>
      <c r="AD14" s="4">
        <f>IF(  AD77&gt;$E$2, SUMIFS(IF($G$2="CPR",'Grid Data'!$V$4:$V$2342,'Grid Data'!$W$4:$W$2342),'Grid Data'!$N$4:$N$2342,$D14,'Grid Data'!$O$4:$O$2342,AD$4,'Grid Data'!$M$4:$M$2342,$D$2)*100, 0)</f>
        <v>7.0166999999999993</v>
      </c>
      <c r="AE14" s="4">
        <f>IF(  AE77&gt;$E$2, SUMIFS(IF($G$2="CPR",'Grid Data'!$V$4:$V$2342,'Grid Data'!$W$4:$W$2342),'Grid Data'!$N$4:$N$2342,$D14,'Grid Data'!$O$4:$O$2342,AE$4,'Grid Data'!$M$4:$M$2342,$D$2)*100, 0)</f>
        <v>0</v>
      </c>
      <c r="AF14" s="4">
        <f>IF(  AF77&gt;$E$2, SUMIFS(IF($G$2="CPR",'Grid Data'!$V$4:$V$2342,'Grid Data'!$W$4:$W$2342),'Grid Data'!$N$4:$N$2342,$D14,'Grid Data'!$O$4:$O$2342,AF$4,'Grid Data'!$M$4:$M$2342,$D$2)*100, 0)</f>
        <v>0</v>
      </c>
      <c r="AG14" s="4">
        <f>IF(  AG77&gt;$E$2, SUMIFS(IF($G$2="CPR",'Grid Data'!$V$4:$V$2342,'Grid Data'!$W$4:$W$2342),'Grid Data'!$N$4:$N$2342,$D14,'Grid Data'!$O$4:$O$2342,AG$4,'Grid Data'!$M$4:$M$2342,$D$2)*100, 0)</f>
        <v>0</v>
      </c>
      <c r="AH14" s="4">
        <f>IF(  AH77&gt;$E$2, SUMIFS(IF($G$2="CPR",'Grid Data'!$V$4:$V$2342,'Grid Data'!$W$4:$W$2342),'Grid Data'!$N$4:$N$2342,$D14,'Grid Data'!$O$4:$O$2342,AH$4,'Grid Data'!$M$4:$M$2342,$D$2)*100, 0)</f>
        <v>0</v>
      </c>
    </row>
    <row r="15" spans="4:34" x14ac:dyDescent="0.35">
      <c r="D15">
        <v>4500</v>
      </c>
      <c r="E15" s="4">
        <f>IF(  E78&gt;$E$2, SUMIFS(IF($G$2="CPR",'Grid Data'!$V$4:$V$2342,'Grid Data'!$W$4:$W$2342),'Grid Data'!$N$4:$N$2342,$D15,'Grid Data'!$O$4:$O$2342,E$4,'Grid Data'!$M$4:$M$2342,$D$2)*100, 0)</f>
        <v>2.5112999999999999</v>
      </c>
      <c r="F15" s="4">
        <f>IF(  F78&gt;$E$2, SUMIFS(IF($G$2="CPR",'Grid Data'!$V$4:$V$2342,'Grid Data'!$W$4:$W$2342),'Grid Data'!$N$4:$N$2342,$D15,'Grid Data'!$O$4:$O$2342,F$4,'Grid Data'!$M$4:$M$2342,$D$2)*100, 0)</f>
        <v>3.4895</v>
      </c>
      <c r="G15" s="4">
        <f>IF(  G78&gt;$E$2, SUMIFS(IF($G$2="CPR",'Grid Data'!$V$4:$V$2342,'Grid Data'!$W$4:$W$2342),'Grid Data'!$N$4:$N$2342,$D15,'Grid Data'!$O$4:$O$2342,G$4,'Grid Data'!$M$4:$M$2342,$D$2)*100, 0)</f>
        <v>0</v>
      </c>
      <c r="H15" s="4">
        <f>IF(  H78&gt;$E$2, SUMIFS(IF($G$2="CPR",'Grid Data'!$V$4:$V$2342,'Grid Data'!$W$4:$W$2342),'Grid Data'!$N$4:$N$2342,$D15,'Grid Data'!$O$4:$O$2342,H$4,'Grid Data'!$M$4:$M$2342,$D$2)*100, 0)</f>
        <v>0</v>
      </c>
      <c r="I15" s="4">
        <f>IF(  I78&gt;$E$2, SUMIFS(IF($G$2="CPR",'Grid Data'!$V$4:$V$2342,'Grid Data'!$W$4:$W$2342),'Grid Data'!$N$4:$N$2342,$D15,'Grid Data'!$O$4:$O$2342,I$4,'Grid Data'!$M$4:$M$2342,$D$2)*100, 0)</f>
        <v>0</v>
      </c>
      <c r="J15" s="4">
        <f>IF(  J78&gt;$E$2, SUMIFS(IF($G$2="CPR",'Grid Data'!$V$4:$V$2342,'Grid Data'!$W$4:$W$2342),'Grid Data'!$N$4:$N$2342,$D15,'Grid Data'!$O$4:$O$2342,J$4,'Grid Data'!$M$4:$M$2342,$D$2)*100, 0)</f>
        <v>3.2836999999999996</v>
      </c>
      <c r="K15" s="4">
        <f>IF(  K78&gt;$E$2, SUMIFS(IF($G$2="CPR",'Grid Data'!$V$4:$V$2342,'Grid Data'!$W$4:$W$2342),'Grid Data'!$N$4:$N$2342,$D15,'Grid Data'!$O$4:$O$2342,K$4,'Grid Data'!$M$4:$M$2342,$D$2)*100, 0)</f>
        <v>2.5754000000000001</v>
      </c>
      <c r="L15" s="4">
        <f>IF(  L78&gt;$E$2, SUMIFS(IF($G$2="CPR",'Grid Data'!$V$4:$V$2342,'Grid Data'!$W$4:$W$2342),'Grid Data'!$N$4:$N$2342,$D15,'Grid Data'!$O$4:$O$2342,L$4,'Grid Data'!$M$4:$M$2342,$D$2)*100, 0)</f>
        <v>3.2502999999999997</v>
      </c>
      <c r="M15" s="4">
        <f>IF(  M78&gt;$E$2, SUMIFS(IF($G$2="CPR",'Grid Data'!$V$4:$V$2342,'Grid Data'!$W$4:$W$2342),'Grid Data'!$N$4:$N$2342,$D15,'Grid Data'!$O$4:$O$2342,M$4,'Grid Data'!$M$4:$M$2342,$D$2)*100, 0)</f>
        <v>4.5996000000000006</v>
      </c>
      <c r="N15" s="4">
        <f>IF(  N78&gt;$E$2, SUMIFS(IF($G$2="CPR",'Grid Data'!$V$4:$V$2342,'Grid Data'!$W$4:$W$2342),'Grid Data'!$N$4:$N$2342,$D15,'Grid Data'!$O$4:$O$2342,N$4,'Grid Data'!$M$4:$M$2342,$D$2)*100, 0)</f>
        <v>1.5935999999999999</v>
      </c>
      <c r="O15" s="4">
        <f>IF(  O78&gt;$E$2, SUMIFS(IF($G$2="CPR",'Grid Data'!$V$4:$V$2342,'Grid Data'!$W$4:$W$2342),'Grid Data'!$N$4:$N$2342,$D15,'Grid Data'!$O$4:$O$2342,O$4,'Grid Data'!$M$4:$M$2342,$D$2)*100, 0)</f>
        <v>1.9952000000000001</v>
      </c>
      <c r="P15" s="4">
        <f>IF(  P78&gt;$E$2, SUMIFS(IF($G$2="CPR",'Grid Data'!$V$4:$V$2342,'Grid Data'!$W$4:$W$2342),'Grid Data'!$N$4:$N$2342,$D15,'Grid Data'!$O$4:$O$2342,P$4,'Grid Data'!$M$4:$M$2342,$D$2)*100, 0)</f>
        <v>8.879900000000001</v>
      </c>
      <c r="Q15" s="4">
        <f>IF(  Q78&gt;$E$2, SUMIFS(IF($G$2="CPR",'Grid Data'!$V$4:$V$2342,'Grid Data'!$W$4:$W$2342),'Grid Data'!$N$4:$N$2342,$D15,'Grid Data'!$O$4:$O$2342,Q$4,'Grid Data'!$M$4:$M$2342,$D$2)*100, 0)</f>
        <v>4.2680000000000007</v>
      </c>
      <c r="R15" s="4">
        <f>IF(  R78&gt;$E$2, SUMIFS(IF($G$2="CPR",'Grid Data'!$V$4:$V$2342,'Grid Data'!$W$4:$W$2342),'Grid Data'!$N$4:$N$2342,$D15,'Grid Data'!$O$4:$O$2342,R$4,'Grid Data'!$M$4:$M$2342,$D$2)*100, 0)</f>
        <v>3.0274999999999999</v>
      </c>
      <c r="S15" s="4">
        <f>IF(  S78&gt;$E$2, SUMIFS(IF($G$2="CPR",'Grid Data'!$V$4:$V$2342,'Grid Data'!$W$4:$W$2342),'Grid Data'!$N$4:$N$2342,$D15,'Grid Data'!$O$4:$O$2342,S$4,'Grid Data'!$M$4:$M$2342,$D$2)*100, 0)</f>
        <v>12.575600000000001</v>
      </c>
      <c r="T15" s="4">
        <f>IF(  T78&gt;$E$2, SUMIFS(IF($G$2="CPR",'Grid Data'!$V$4:$V$2342,'Grid Data'!$W$4:$W$2342),'Grid Data'!$N$4:$N$2342,$D15,'Grid Data'!$O$4:$O$2342,T$4,'Grid Data'!$M$4:$M$2342,$D$2)*100, 0)</f>
        <v>12.625300000000001</v>
      </c>
      <c r="U15" s="4">
        <f>IF(  U78&gt;$E$2, SUMIFS(IF($G$2="CPR",'Grid Data'!$V$4:$V$2342,'Grid Data'!$W$4:$W$2342),'Grid Data'!$N$4:$N$2342,$D15,'Grid Data'!$O$4:$O$2342,U$4,'Grid Data'!$M$4:$M$2342,$D$2)*100, 0)</f>
        <v>10.4328</v>
      </c>
      <c r="V15" s="4">
        <f>IF(  V78&gt;$E$2, SUMIFS(IF($G$2="CPR",'Grid Data'!$V$4:$V$2342,'Grid Data'!$W$4:$W$2342),'Grid Data'!$N$4:$N$2342,$D15,'Grid Data'!$O$4:$O$2342,V$4,'Grid Data'!$M$4:$M$2342,$D$2)*100, 0)</f>
        <v>4.2988</v>
      </c>
      <c r="W15" s="4">
        <f>IF(  W78&gt;$E$2, SUMIFS(IF($G$2="CPR",'Grid Data'!$V$4:$V$2342,'Grid Data'!$W$4:$W$2342),'Grid Data'!$N$4:$N$2342,$D15,'Grid Data'!$O$4:$O$2342,W$4,'Grid Data'!$M$4:$M$2342,$D$2)*100, 0)</f>
        <v>2.6970000000000001</v>
      </c>
      <c r="X15" s="4">
        <f>IF(  X78&gt;$E$2, SUMIFS(IF($G$2="CPR",'Grid Data'!$V$4:$V$2342,'Grid Data'!$W$4:$W$2342),'Grid Data'!$N$4:$N$2342,$D15,'Grid Data'!$O$4:$O$2342,X$4,'Grid Data'!$M$4:$M$2342,$D$2)*100, 0)</f>
        <v>11.4971</v>
      </c>
      <c r="Y15" s="4">
        <f>IF(  Y78&gt;$E$2, SUMIFS(IF($G$2="CPR",'Grid Data'!$V$4:$V$2342,'Grid Data'!$W$4:$W$2342),'Grid Data'!$N$4:$N$2342,$D15,'Grid Data'!$O$4:$O$2342,Y$4,'Grid Data'!$M$4:$M$2342,$D$2)*100, 0)</f>
        <v>7.4140999999999995</v>
      </c>
      <c r="Z15" s="4">
        <f>IF(  Z78&gt;$E$2, SUMIFS(IF($G$2="CPR",'Grid Data'!$V$4:$V$2342,'Grid Data'!$W$4:$W$2342),'Grid Data'!$N$4:$N$2342,$D15,'Grid Data'!$O$4:$O$2342,Z$4,'Grid Data'!$M$4:$M$2342,$D$2)*100, 0)</f>
        <v>10.064500000000001</v>
      </c>
      <c r="AA15" s="4">
        <f>IF(  AA78&gt;$E$2, SUMIFS(IF($G$2="CPR",'Grid Data'!$V$4:$V$2342,'Grid Data'!$W$4:$W$2342),'Grid Data'!$N$4:$N$2342,$D15,'Grid Data'!$O$4:$O$2342,AA$4,'Grid Data'!$M$4:$M$2342,$D$2)*100, 0)</f>
        <v>10.7059</v>
      </c>
      <c r="AB15" s="4">
        <f>IF(  AB78&gt;$E$2, SUMIFS(IF($G$2="CPR",'Grid Data'!$V$4:$V$2342,'Grid Data'!$W$4:$W$2342),'Grid Data'!$N$4:$N$2342,$D15,'Grid Data'!$O$4:$O$2342,AB$4,'Grid Data'!$M$4:$M$2342,$D$2)*100, 0)</f>
        <v>10.158300000000001</v>
      </c>
      <c r="AC15" s="4">
        <f>IF(  AC78&gt;$E$2, SUMIFS(IF($G$2="CPR",'Grid Data'!$V$4:$V$2342,'Grid Data'!$W$4:$W$2342),'Grid Data'!$N$4:$N$2342,$D15,'Grid Data'!$O$4:$O$2342,AC$4,'Grid Data'!$M$4:$M$2342,$D$2)*100, 0)</f>
        <v>7.0747</v>
      </c>
      <c r="AD15" s="4">
        <f>IF(  AD78&gt;$E$2, SUMIFS(IF($G$2="CPR",'Grid Data'!$V$4:$V$2342,'Grid Data'!$W$4:$W$2342),'Grid Data'!$N$4:$N$2342,$D15,'Grid Data'!$O$4:$O$2342,AD$4,'Grid Data'!$M$4:$M$2342,$D$2)*100, 0)</f>
        <v>7.9604999999999997</v>
      </c>
      <c r="AE15" s="4">
        <f>IF(  AE78&gt;$E$2, SUMIFS(IF($G$2="CPR",'Grid Data'!$V$4:$V$2342,'Grid Data'!$W$4:$W$2342),'Grid Data'!$N$4:$N$2342,$D15,'Grid Data'!$O$4:$O$2342,AE$4,'Grid Data'!$M$4:$M$2342,$D$2)*100, 0)</f>
        <v>2.4758</v>
      </c>
      <c r="AF15" s="4">
        <f>IF(  AF78&gt;$E$2, SUMIFS(IF($G$2="CPR",'Grid Data'!$V$4:$V$2342,'Grid Data'!$W$4:$W$2342),'Grid Data'!$N$4:$N$2342,$D15,'Grid Data'!$O$4:$O$2342,AF$4,'Grid Data'!$M$4:$M$2342,$D$2)*100, 0)</f>
        <v>0</v>
      </c>
      <c r="AG15" s="4">
        <f>IF(  AG78&gt;$E$2, SUMIFS(IF($G$2="CPR",'Grid Data'!$V$4:$V$2342,'Grid Data'!$W$4:$W$2342),'Grid Data'!$N$4:$N$2342,$D15,'Grid Data'!$O$4:$O$2342,AG$4,'Grid Data'!$M$4:$M$2342,$D$2)*100, 0)</f>
        <v>0</v>
      </c>
      <c r="AH15" s="4">
        <f>IF(  AH78&gt;$E$2, SUMIFS(IF($G$2="CPR",'Grid Data'!$V$4:$V$2342,'Grid Data'!$W$4:$W$2342),'Grid Data'!$N$4:$N$2342,$D15,'Grid Data'!$O$4:$O$2342,AH$4,'Grid Data'!$M$4:$M$2342,$D$2)*100, 0)</f>
        <v>0</v>
      </c>
    </row>
    <row r="16" spans="4:34" x14ac:dyDescent="0.35">
      <c r="D16">
        <v>4750</v>
      </c>
      <c r="E16" s="4">
        <f>IF(  E79&gt;$E$2, SUMIFS(IF($G$2="CPR",'Grid Data'!$V$4:$V$2342,'Grid Data'!$W$4:$W$2342),'Grid Data'!$N$4:$N$2342,$D16,'Grid Data'!$O$4:$O$2342,E$4,'Grid Data'!$M$4:$M$2342,$D$2)*100, 0)</f>
        <v>1.0224</v>
      </c>
      <c r="F16" s="4">
        <f>IF(  F79&gt;$E$2, SUMIFS(IF($G$2="CPR",'Grid Data'!$V$4:$V$2342,'Grid Data'!$W$4:$W$2342),'Grid Data'!$N$4:$N$2342,$D16,'Grid Data'!$O$4:$O$2342,F$4,'Grid Data'!$M$4:$M$2342,$D$2)*100, 0)</f>
        <v>0</v>
      </c>
      <c r="G16" s="4">
        <f>IF(  G79&gt;$E$2, SUMIFS(IF($G$2="CPR",'Grid Data'!$V$4:$V$2342,'Grid Data'!$W$4:$W$2342),'Grid Data'!$N$4:$N$2342,$D16,'Grid Data'!$O$4:$O$2342,G$4,'Grid Data'!$M$4:$M$2342,$D$2)*100, 0)</f>
        <v>3.1959</v>
      </c>
      <c r="H16" s="4">
        <f>IF(  H79&gt;$E$2, SUMIFS(IF($G$2="CPR",'Grid Data'!$V$4:$V$2342,'Grid Data'!$W$4:$W$2342),'Grid Data'!$N$4:$N$2342,$D16,'Grid Data'!$O$4:$O$2342,H$4,'Grid Data'!$M$4:$M$2342,$D$2)*100, 0)</f>
        <v>0</v>
      </c>
      <c r="I16" s="4">
        <f>IF(  I79&gt;$E$2, SUMIFS(IF($G$2="CPR",'Grid Data'!$V$4:$V$2342,'Grid Data'!$W$4:$W$2342),'Grid Data'!$N$4:$N$2342,$D16,'Grid Data'!$O$4:$O$2342,I$4,'Grid Data'!$M$4:$M$2342,$D$2)*100, 0)</f>
        <v>3.7618999999999998</v>
      </c>
      <c r="J16" s="4">
        <f>IF(  J79&gt;$E$2, SUMIFS(IF($G$2="CPR",'Grid Data'!$V$4:$V$2342,'Grid Data'!$W$4:$W$2342),'Grid Data'!$N$4:$N$2342,$D16,'Grid Data'!$O$4:$O$2342,J$4,'Grid Data'!$M$4:$M$2342,$D$2)*100, 0)</f>
        <v>1.5999999999999999E-3</v>
      </c>
      <c r="K16" s="4">
        <f>IF(  K79&gt;$E$2, SUMIFS(IF($G$2="CPR",'Grid Data'!$V$4:$V$2342,'Grid Data'!$W$4:$W$2342),'Grid Data'!$N$4:$N$2342,$D16,'Grid Data'!$O$4:$O$2342,K$4,'Grid Data'!$M$4:$M$2342,$D$2)*100, 0)</f>
        <v>0</v>
      </c>
      <c r="L16" s="4">
        <f>IF(  L79&gt;$E$2, SUMIFS(IF($G$2="CPR",'Grid Data'!$V$4:$V$2342,'Grid Data'!$W$4:$W$2342),'Grid Data'!$N$4:$N$2342,$D16,'Grid Data'!$O$4:$O$2342,L$4,'Grid Data'!$M$4:$M$2342,$D$2)*100, 0)</f>
        <v>10.206200000000001</v>
      </c>
      <c r="M16" s="4">
        <f>IF(  M79&gt;$E$2, SUMIFS(IF($G$2="CPR",'Grid Data'!$V$4:$V$2342,'Grid Data'!$W$4:$W$2342),'Grid Data'!$N$4:$N$2342,$D16,'Grid Data'!$O$4:$O$2342,M$4,'Grid Data'!$M$4:$M$2342,$D$2)*100, 0)</f>
        <v>7.7679</v>
      </c>
      <c r="N16" s="4">
        <f>IF(  N79&gt;$E$2, SUMIFS(IF($G$2="CPR",'Grid Data'!$V$4:$V$2342,'Grid Data'!$W$4:$W$2342),'Grid Data'!$N$4:$N$2342,$D16,'Grid Data'!$O$4:$O$2342,N$4,'Grid Data'!$M$4:$M$2342,$D$2)*100, 0)</f>
        <v>9.9124999999999996</v>
      </c>
      <c r="O16" s="4">
        <f>IF(  O79&gt;$E$2, SUMIFS(IF($G$2="CPR",'Grid Data'!$V$4:$V$2342,'Grid Data'!$W$4:$W$2342),'Grid Data'!$N$4:$N$2342,$D16,'Grid Data'!$O$4:$O$2342,O$4,'Grid Data'!$M$4:$M$2342,$D$2)*100, 0)</f>
        <v>1.6613</v>
      </c>
      <c r="P16" s="4">
        <f>IF(  P79&gt;$E$2, SUMIFS(IF($G$2="CPR",'Grid Data'!$V$4:$V$2342,'Grid Data'!$W$4:$W$2342),'Grid Data'!$N$4:$N$2342,$D16,'Grid Data'!$O$4:$O$2342,P$4,'Grid Data'!$M$4:$M$2342,$D$2)*100, 0)</f>
        <v>9.5910999999999991</v>
      </c>
      <c r="Q16" s="4">
        <f>IF(  Q79&gt;$E$2, SUMIFS(IF($G$2="CPR",'Grid Data'!$V$4:$V$2342,'Grid Data'!$W$4:$W$2342),'Grid Data'!$N$4:$N$2342,$D16,'Grid Data'!$O$4:$O$2342,Q$4,'Grid Data'!$M$4:$M$2342,$D$2)*100, 0)</f>
        <v>9.0472999999999999</v>
      </c>
      <c r="R16" s="4">
        <f>IF(  R79&gt;$E$2, SUMIFS(IF($G$2="CPR",'Grid Data'!$V$4:$V$2342,'Grid Data'!$W$4:$W$2342),'Grid Data'!$N$4:$N$2342,$D16,'Grid Data'!$O$4:$O$2342,R$4,'Grid Data'!$M$4:$M$2342,$D$2)*100, 0)</f>
        <v>9.3864000000000001</v>
      </c>
      <c r="S16" s="4">
        <f>IF(  S79&gt;$E$2, SUMIFS(IF($G$2="CPR",'Grid Data'!$V$4:$V$2342,'Grid Data'!$W$4:$W$2342),'Grid Data'!$N$4:$N$2342,$D16,'Grid Data'!$O$4:$O$2342,S$4,'Grid Data'!$M$4:$M$2342,$D$2)*100, 0)</f>
        <v>10.489700000000001</v>
      </c>
      <c r="T16" s="4">
        <f>IF(  T79&gt;$E$2, SUMIFS(IF($G$2="CPR",'Grid Data'!$V$4:$V$2342,'Grid Data'!$W$4:$W$2342),'Grid Data'!$N$4:$N$2342,$D16,'Grid Data'!$O$4:$O$2342,T$4,'Grid Data'!$M$4:$M$2342,$D$2)*100, 0)</f>
        <v>12.133900000000001</v>
      </c>
      <c r="U16" s="4">
        <f>IF(  U79&gt;$E$2, SUMIFS(IF($G$2="CPR",'Grid Data'!$V$4:$V$2342,'Grid Data'!$W$4:$W$2342),'Grid Data'!$N$4:$N$2342,$D16,'Grid Data'!$O$4:$O$2342,U$4,'Grid Data'!$M$4:$M$2342,$D$2)*100, 0)</f>
        <v>11.980599999999999</v>
      </c>
      <c r="V16" s="4">
        <f>IF(  V79&gt;$E$2, SUMIFS(IF($G$2="CPR",'Grid Data'!$V$4:$V$2342,'Grid Data'!$W$4:$W$2342),'Grid Data'!$N$4:$N$2342,$D16,'Grid Data'!$O$4:$O$2342,V$4,'Grid Data'!$M$4:$M$2342,$D$2)*100, 0)</f>
        <v>11.446099999999999</v>
      </c>
      <c r="W16" s="4">
        <f>IF(  W79&gt;$E$2, SUMIFS(IF($G$2="CPR",'Grid Data'!$V$4:$V$2342,'Grid Data'!$W$4:$W$2342),'Grid Data'!$N$4:$N$2342,$D16,'Grid Data'!$O$4:$O$2342,W$4,'Grid Data'!$M$4:$M$2342,$D$2)*100, 0)</f>
        <v>10.024700000000001</v>
      </c>
      <c r="X16" s="4">
        <f>IF(  X79&gt;$E$2, SUMIFS(IF($G$2="CPR",'Grid Data'!$V$4:$V$2342,'Grid Data'!$W$4:$W$2342),'Grid Data'!$N$4:$N$2342,$D16,'Grid Data'!$O$4:$O$2342,X$4,'Grid Data'!$M$4:$M$2342,$D$2)*100, 0)</f>
        <v>9.0647000000000002</v>
      </c>
      <c r="Y16" s="4">
        <f>IF(  Y79&gt;$E$2, SUMIFS(IF($G$2="CPR",'Grid Data'!$V$4:$V$2342,'Grid Data'!$W$4:$W$2342),'Grid Data'!$N$4:$N$2342,$D16,'Grid Data'!$O$4:$O$2342,Y$4,'Grid Data'!$M$4:$M$2342,$D$2)*100, 0)</f>
        <v>8.0986000000000011</v>
      </c>
      <c r="Z16" s="4">
        <f>IF(  Z79&gt;$E$2, SUMIFS(IF($G$2="CPR",'Grid Data'!$V$4:$V$2342,'Grid Data'!$W$4:$W$2342),'Grid Data'!$N$4:$N$2342,$D16,'Grid Data'!$O$4:$O$2342,Z$4,'Grid Data'!$M$4:$M$2342,$D$2)*100, 0)</f>
        <v>10.0664</v>
      </c>
      <c r="AA16" s="4">
        <f>IF(  AA79&gt;$E$2, SUMIFS(IF($G$2="CPR",'Grid Data'!$V$4:$V$2342,'Grid Data'!$W$4:$W$2342),'Grid Data'!$N$4:$N$2342,$D16,'Grid Data'!$O$4:$O$2342,AA$4,'Grid Data'!$M$4:$M$2342,$D$2)*100, 0)</f>
        <v>9.4510000000000005</v>
      </c>
      <c r="AB16" s="4">
        <f>IF(  AB79&gt;$E$2, SUMIFS(IF($G$2="CPR",'Grid Data'!$V$4:$V$2342,'Grid Data'!$W$4:$W$2342),'Grid Data'!$N$4:$N$2342,$D16,'Grid Data'!$O$4:$O$2342,AB$4,'Grid Data'!$M$4:$M$2342,$D$2)*100, 0)</f>
        <v>6.7111000000000001</v>
      </c>
      <c r="AC16" s="4">
        <f>IF(  AC79&gt;$E$2, SUMIFS(IF($G$2="CPR",'Grid Data'!$V$4:$V$2342,'Grid Data'!$W$4:$W$2342),'Grid Data'!$N$4:$N$2342,$D16,'Grid Data'!$O$4:$O$2342,AC$4,'Grid Data'!$M$4:$M$2342,$D$2)*100, 0)</f>
        <v>5.0727000000000002</v>
      </c>
      <c r="AD16" s="4">
        <f>IF(  AD79&gt;$E$2, SUMIFS(IF($G$2="CPR",'Grid Data'!$V$4:$V$2342,'Grid Data'!$W$4:$W$2342),'Grid Data'!$N$4:$N$2342,$D16,'Grid Data'!$O$4:$O$2342,AD$4,'Grid Data'!$M$4:$M$2342,$D$2)*100, 0)</f>
        <v>5.5503</v>
      </c>
      <c r="AE16" s="4">
        <f>IF(  AE79&gt;$E$2, SUMIFS(IF($G$2="CPR",'Grid Data'!$V$4:$V$2342,'Grid Data'!$W$4:$W$2342),'Grid Data'!$N$4:$N$2342,$D16,'Grid Data'!$O$4:$O$2342,AE$4,'Grid Data'!$M$4:$M$2342,$D$2)*100, 0)</f>
        <v>4.4275000000000002</v>
      </c>
      <c r="AF16" s="4">
        <f>IF(  AF79&gt;$E$2, SUMIFS(IF($G$2="CPR",'Grid Data'!$V$4:$V$2342,'Grid Data'!$W$4:$W$2342),'Grid Data'!$N$4:$N$2342,$D16,'Grid Data'!$O$4:$O$2342,AF$4,'Grid Data'!$M$4:$M$2342,$D$2)*100, 0)</f>
        <v>0</v>
      </c>
      <c r="AG16" s="4">
        <f>IF(  AG79&gt;$E$2, SUMIFS(IF($G$2="CPR",'Grid Data'!$V$4:$V$2342,'Grid Data'!$W$4:$W$2342),'Grid Data'!$N$4:$N$2342,$D16,'Grid Data'!$O$4:$O$2342,AG$4,'Grid Data'!$M$4:$M$2342,$D$2)*100, 0)</f>
        <v>0</v>
      </c>
      <c r="AH16" s="4">
        <f>IF(  AH79&gt;$E$2, SUMIFS(IF($G$2="CPR",'Grid Data'!$V$4:$V$2342,'Grid Data'!$W$4:$W$2342),'Grid Data'!$N$4:$N$2342,$D16,'Grid Data'!$O$4:$O$2342,AH$4,'Grid Data'!$M$4:$M$2342,$D$2)*100, 0)</f>
        <v>0</v>
      </c>
    </row>
    <row r="17" spans="4:34" x14ac:dyDescent="0.35">
      <c r="D17">
        <v>5000</v>
      </c>
      <c r="E17" s="4">
        <f>IF(  E80&gt;$E$2, SUMIFS(IF($G$2="CPR",'Grid Data'!$V$4:$V$2342,'Grid Data'!$W$4:$W$2342),'Grid Data'!$N$4:$N$2342,$D17,'Grid Data'!$O$4:$O$2342,E$4,'Grid Data'!$M$4:$M$2342,$D$2)*100, 0)</f>
        <v>1.004</v>
      </c>
      <c r="F17" s="4">
        <f>IF(  F80&gt;$E$2, SUMIFS(IF($G$2="CPR",'Grid Data'!$V$4:$V$2342,'Grid Data'!$W$4:$W$2342),'Grid Data'!$N$4:$N$2342,$D17,'Grid Data'!$O$4:$O$2342,F$4,'Grid Data'!$M$4:$M$2342,$D$2)*100, 0)</f>
        <v>1.2548999999999999</v>
      </c>
      <c r="G17" s="4">
        <f>IF(  G80&gt;$E$2, SUMIFS(IF($G$2="CPR",'Grid Data'!$V$4:$V$2342,'Grid Data'!$W$4:$W$2342),'Grid Data'!$N$4:$N$2342,$D17,'Grid Data'!$O$4:$O$2342,G$4,'Grid Data'!$M$4:$M$2342,$D$2)*100, 0)</f>
        <v>2.9678</v>
      </c>
      <c r="H17" s="4">
        <f>IF(  H80&gt;$E$2, SUMIFS(IF($G$2="CPR",'Grid Data'!$V$4:$V$2342,'Grid Data'!$W$4:$W$2342),'Grid Data'!$N$4:$N$2342,$D17,'Grid Data'!$O$4:$O$2342,H$4,'Grid Data'!$M$4:$M$2342,$D$2)*100, 0)</f>
        <v>1.7193000000000001</v>
      </c>
      <c r="I17" s="4">
        <f>IF(  I80&gt;$E$2, SUMIFS(IF($G$2="CPR",'Grid Data'!$V$4:$V$2342,'Grid Data'!$W$4:$W$2342),'Grid Data'!$N$4:$N$2342,$D17,'Grid Data'!$O$4:$O$2342,I$4,'Grid Data'!$M$4:$M$2342,$D$2)*100, 0)</f>
        <v>2.6797</v>
      </c>
      <c r="J17" s="4">
        <f>IF(  J80&gt;$E$2, SUMIFS(IF($G$2="CPR",'Grid Data'!$V$4:$V$2342,'Grid Data'!$W$4:$W$2342),'Grid Data'!$N$4:$N$2342,$D17,'Grid Data'!$O$4:$O$2342,J$4,'Grid Data'!$M$4:$M$2342,$D$2)*100, 0)</f>
        <v>0</v>
      </c>
      <c r="K17" s="4">
        <f>IF(  K80&gt;$E$2, SUMIFS(IF($G$2="CPR",'Grid Data'!$V$4:$V$2342,'Grid Data'!$W$4:$W$2342),'Grid Data'!$N$4:$N$2342,$D17,'Grid Data'!$O$4:$O$2342,K$4,'Grid Data'!$M$4:$M$2342,$D$2)*100, 0)</f>
        <v>0.59570000000000001</v>
      </c>
      <c r="L17" s="4">
        <f>IF(  L80&gt;$E$2, SUMIFS(IF($G$2="CPR",'Grid Data'!$V$4:$V$2342,'Grid Data'!$W$4:$W$2342),'Grid Data'!$N$4:$N$2342,$D17,'Grid Data'!$O$4:$O$2342,L$4,'Grid Data'!$M$4:$M$2342,$D$2)*100, 0)</f>
        <v>2.2689999999999997</v>
      </c>
      <c r="M17" s="4">
        <f>IF(  M80&gt;$E$2, SUMIFS(IF($G$2="CPR",'Grid Data'!$V$4:$V$2342,'Grid Data'!$W$4:$W$2342),'Grid Data'!$N$4:$N$2342,$D17,'Grid Data'!$O$4:$O$2342,M$4,'Grid Data'!$M$4:$M$2342,$D$2)*100, 0)</f>
        <v>9.1349999999999998</v>
      </c>
      <c r="N17" s="4">
        <f>IF(  N80&gt;$E$2, SUMIFS(IF($G$2="CPR",'Grid Data'!$V$4:$V$2342,'Grid Data'!$W$4:$W$2342),'Grid Data'!$N$4:$N$2342,$D17,'Grid Data'!$O$4:$O$2342,N$4,'Grid Data'!$M$4:$M$2342,$D$2)*100, 0)</f>
        <v>7.7511999999999999</v>
      </c>
      <c r="O17" s="4">
        <f>IF(  O80&gt;$E$2, SUMIFS(IF($G$2="CPR",'Grid Data'!$V$4:$V$2342,'Grid Data'!$W$4:$W$2342),'Grid Data'!$N$4:$N$2342,$D17,'Grid Data'!$O$4:$O$2342,O$4,'Grid Data'!$M$4:$M$2342,$D$2)*100, 0)</f>
        <v>5.9104000000000001</v>
      </c>
      <c r="P17" s="4">
        <f>IF(  P80&gt;$E$2, SUMIFS(IF($G$2="CPR",'Grid Data'!$V$4:$V$2342,'Grid Data'!$W$4:$W$2342),'Grid Data'!$N$4:$N$2342,$D17,'Grid Data'!$O$4:$O$2342,P$4,'Grid Data'!$M$4:$M$2342,$D$2)*100, 0)</f>
        <v>5.6933999999999996</v>
      </c>
      <c r="Q17" s="4">
        <f>IF(  Q80&gt;$E$2, SUMIFS(IF($G$2="CPR",'Grid Data'!$V$4:$V$2342,'Grid Data'!$W$4:$W$2342),'Grid Data'!$N$4:$N$2342,$D17,'Grid Data'!$O$4:$O$2342,Q$4,'Grid Data'!$M$4:$M$2342,$D$2)*100, 0)</f>
        <v>7.282</v>
      </c>
      <c r="R17" s="4">
        <f>IF(  R80&gt;$E$2, SUMIFS(IF($G$2="CPR",'Grid Data'!$V$4:$V$2342,'Grid Data'!$W$4:$W$2342),'Grid Data'!$N$4:$N$2342,$D17,'Grid Data'!$O$4:$O$2342,R$4,'Grid Data'!$M$4:$M$2342,$D$2)*100, 0)</f>
        <v>10.650600000000001</v>
      </c>
      <c r="S17" s="4">
        <f>IF(  S80&gt;$E$2, SUMIFS(IF($G$2="CPR",'Grid Data'!$V$4:$V$2342,'Grid Data'!$W$4:$W$2342),'Grid Data'!$N$4:$N$2342,$D17,'Grid Data'!$O$4:$O$2342,S$4,'Grid Data'!$M$4:$M$2342,$D$2)*100, 0)</f>
        <v>13.4856</v>
      </c>
      <c r="T17" s="4">
        <f>IF(  T80&gt;$E$2, SUMIFS(IF($G$2="CPR",'Grid Data'!$V$4:$V$2342,'Grid Data'!$W$4:$W$2342),'Grid Data'!$N$4:$N$2342,$D17,'Grid Data'!$O$4:$O$2342,T$4,'Grid Data'!$M$4:$M$2342,$D$2)*100, 0)</f>
        <v>14.262499999999999</v>
      </c>
      <c r="U17" s="4">
        <f>IF(  U80&gt;$E$2, SUMIFS(IF($G$2="CPR",'Grid Data'!$V$4:$V$2342,'Grid Data'!$W$4:$W$2342),'Grid Data'!$N$4:$N$2342,$D17,'Grid Data'!$O$4:$O$2342,U$4,'Grid Data'!$M$4:$M$2342,$D$2)*100, 0)</f>
        <v>0</v>
      </c>
      <c r="V17" s="4">
        <f>IF(  V80&gt;$E$2, SUMIFS(IF($G$2="CPR",'Grid Data'!$V$4:$V$2342,'Grid Data'!$W$4:$W$2342),'Grid Data'!$N$4:$N$2342,$D17,'Grid Data'!$O$4:$O$2342,V$4,'Grid Data'!$M$4:$M$2342,$D$2)*100, 0)</f>
        <v>0</v>
      </c>
      <c r="W17" s="4">
        <f>IF(  W80&gt;$E$2, SUMIFS(IF($G$2="CPR",'Grid Data'!$V$4:$V$2342,'Grid Data'!$W$4:$W$2342),'Grid Data'!$N$4:$N$2342,$D17,'Grid Data'!$O$4:$O$2342,W$4,'Grid Data'!$M$4:$M$2342,$D$2)*100, 0)</f>
        <v>38.219200000000001</v>
      </c>
      <c r="X17" s="4">
        <f>IF(  X80&gt;$E$2, SUMIFS(IF($G$2="CPR",'Grid Data'!$V$4:$V$2342,'Grid Data'!$W$4:$W$2342),'Grid Data'!$N$4:$N$2342,$D17,'Grid Data'!$O$4:$O$2342,X$4,'Grid Data'!$M$4:$M$2342,$D$2)*100, 0)</f>
        <v>13.034299999999998</v>
      </c>
      <c r="Y17" s="4">
        <f>IF(  Y80&gt;$E$2, SUMIFS(IF($G$2="CPR",'Grid Data'!$V$4:$V$2342,'Grid Data'!$W$4:$W$2342),'Grid Data'!$N$4:$N$2342,$D17,'Grid Data'!$O$4:$O$2342,Y$4,'Grid Data'!$M$4:$M$2342,$D$2)*100, 0)</f>
        <v>10.0602</v>
      </c>
      <c r="Z17" s="4">
        <f>IF(  Z80&gt;$E$2, SUMIFS(IF($G$2="CPR",'Grid Data'!$V$4:$V$2342,'Grid Data'!$W$4:$W$2342),'Grid Data'!$N$4:$N$2342,$D17,'Grid Data'!$O$4:$O$2342,Z$4,'Grid Data'!$M$4:$M$2342,$D$2)*100, 0)</f>
        <v>10.0337</v>
      </c>
      <c r="AA17" s="4">
        <f>IF(  AA80&gt;$E$2, SUMIFS(IF($G$2="CPR",'Grid Data'!$V$4:$V$2342,'Grid Data'!$W$4:$W$2342),'Grid Data'!$N$4:$N$2342,$D17,'Grid Data'!$O$4:$O$2342,AA$4,'Grid Data'!$M$4:$M$2342,$D$2)*100, 0)</f>
        <v>0</v>
      </c>
      <c r="AB17" s="4">
        <f>IF(  AB80&gt;$E$2, SUMIFS(IF($G$2="CPR",'Grid Data'!$V$4:$V$2342,'Grid Data'!$W$4:$W$2342),'Grid Data'!$N$4:$N$2342,$D17,'Grid Data'!$O$4:$O$2342,AB$4,'Grid Data'!$M$4:$M$2342,$D$2)*100, 0)</f>
        <v>5.2061000000000002</v>
      </c>
      <c r="AC17" s="4">
        <f>IF(  AC80&gt;$E$2, SUMIFS(IF($G$2="CPR",'Grid Data'!$V$4:$V$2342,'Grid Data'!$W$4:$W$2342),'Grid Data'!$N$4:$N$2342,$D17,'Grid Data'!$O$4:$O$2342,AC$4,'Grid Data'!$M$4:$M$2342,$D$2)*100, 0)</f>
        <v>9.0778999999999996</v>
      </c>
      <c r="AD17" s="4">
        <f>IF(  AD80&gt;$E$2, SUMIFS(IF($G$2="CPR",'Grid Data'!$V$4:$V$2342,'Grid Data'!$W$4:$W$2342),'Grid Data'!$N$4:$N$2342,$D17,'Grid Data'!$O$4:$O$2342,AD$4,'Grid Data'!$M$4:$M$2342,$D$2)*100, 0)</f>
        <v>7.8134999999999994</v>
      </c>
      <c r="AE17" s="4">
        <f>IF(  AE80&gt;$E$2, SUMIFS(IF($G$2="CPR",'Grid Data'!$V$4:$V$2342,'Grid Data'!$W$4:$W$2342),'Grid Data'!$N$4:$N$2342,$D17,'Grid Data'!$O$4:$O$2342,AE$4,'Grid Data'!$M$4:$M$2342,$D$2)*100, 0)</f>
        <v>4.2354000000000003</v>
      </c>
      <c r="AF17" s="4">
        <f>IF(  AF80&gt;$E$2, SUMIFS(IF($G$2="CPR",'Grid Data'!$V$4:$V$2342,'Grid Data'!$W$4:$W$2342),'Grid Data'!$N$4:$N$2342,$D17,'Grid Data'!$O$4:$O$2342,AF$4,'Grid Data'!$M$4:$M$2342,$D$2)*100, 0)</f>
        <v>0</v>
      </c>
      <c r="AG17" s="4">
        <f>IF(  AG80&gt;$E$2, SUMIFS(IF($G$2="CPR",'Grid Data'!$V$4:$V$2342,'Grid Data'!$W$4:$W$2342),'Grid Data'!$N$4:$N$2342,$D17,'Grid Data'!$O$4:$O$2342,AG$4,'Grid Data'!$M$4:$M$2342,$D$2)*100, 0)</f>
        <v>7.3347999999999995</v>
      </c>
      <c r="AH17" s="4">
        <f>IF(  AH80&gt;$E$2, SUMIFS(IF($G$2="CPR",'Grid Data'!$V$4:$V$2342,'Grid Data'!$W$4:$W$2342),'Grid Data'!$N$4:$N$2342,$D17,'Grid Data'!$O$4:$O$2342,AH$4,'Grid Data'!$M$4:$M$2342,$D$2)*100, 0)</f>
        <v>0</v>
      </c>
    </row>
    <row r="18" spans="4:34" x14ac:dyDescent="0.35">
      <c r="D18">
        <v>5250</v>
      </c>
      <c r="E18" s="4">
        <f>IF(  E81&gt;$E$2, SUMIFS(IF($G$2="CPR",'Grid Data'!$V$4:$V$2342,'Grid Data'!$W$4:$W$2342),'Grid Data'!$N$4:$N$2342,$D18,'Grid Data'!$O$4:$O$2342,E$4,'Grid Data'!$M$4:$M$2342,$D$2)*100, 0)</f>
        <v>1.9349000000000001</v>
      </c>
      <c r="F18" s="4">
        <f>IF(  F81&gt;$E$2, SUMIFS(IF($G$2="CPR",'Grid Data'!$V$4:$V$2342,'Grid Data'!$W$4:$W$2342),'Grid Data'!$N$4:$N$2342,$D18,'Grid Data'!$O$4:$O$2342,F$4,'Grid Data'!$M$4:$M$2342,$D$2)*100, 0)</f>
        <v>4.6028000000000002</v>
      </c>
      <c r="G18" s="4">
        <f>IF(  G81&gt;$E$2, SUMIFS(IF($G$2="CPR",'Grid Data'!$V$4:$V$2342,'Grid Data'!$W$4:$W$2342),'Grid Data'!$N$4:$N$2342,$D18,'Grid Data'!$O$4:$O$2342,G$4,'Grid Data'!$M$4:$M$2342,$D$2)*100, 0)</f>
        <v>9.9216999999999995</v>
      </c>
      <c r="H18" s="4">
        <f>IF(  H81&gt;$E$2, SUMIFS(IF($G$2="CPR",'Grid Data'!$V$4:$V$2342,'Grid Data'!$W$4:$W$2342),'Grid Data'!$N$4:$N$2342,$D18,'Grid Data'!$O$4:$O$2342,H$4,'Grid Data'!$M$4:$M$2342,$D$2)*100, 0)</f>
        <v>1.9174</v>
      </c>
      <c r="I18" s="4">
        <f>IF(  I81&gt;$E$2, SUMIFS(IF($G$2="CPR",'Grid Data'!$V$4:$V$2342,'Grid Data'!$W$4:$W$2342),'Grid Data'!$N$4:$N$2342,$D18,'Grid Data'!$O$4:$O$2342,I$4,'Grid Data'!$M$4:$M$2342,$D$2)*100, 0)</f>
        <v>4.0282999999999998</v>
      </c>
      <c r="J18" s="4">
        <f>IF(  J81&gt;$E$2, SUMIFS(IF($G$2="CPR",'Grid Data'!$V$4:$V$2342,'Grid Data'!$W$4:$W$2342),'Grid Data'!$N$4:$N$2342,$D18,'Grid Data'!$O$4:$O$2342,J$4,'Grid Data'!$M$4:$M$2342,$D$2)*100, 0)</f>
        <v>2.0337999999999998</v>
      </c>
      <c r="K18" s="4">
        <f>IF(  K81&gt;$E$2, SUMIFS(IF($G$2="CPR",'Grid Data'!$V$4:$V$2342,'Grid Data'!$W$4:$W$2342),'Grid Data'!$N$4:$N$2342,$D18,'Grid Data'!$O$4:$O$2342,K$4,'Grid Data'!$M$4:$M$2342,$D$2)*100, 0)</f>
        <v>11.5862</v>
      </c>
      <c r="L18" s="4">
        <f>IF(  L81&gt;$E$2, SUMIFS(IF($G$2="CPR",'Grid Data'!$V$4:$V$2342,'Grid Data'!$W$4:$W$2342),'Grid Data'!$N$4:$N$2342,$D18,'Grid Data'!$O$4:$O$2342,L$4,'Grid Data'!$M$4:$M$2342,$D$2)*100, 0)</f>
        <v>5.9857000000000005</v>
      </c>
      <c r="M18" s="4">
        <f>IF(  M81&gt;$E$2, SUMIFS(IF($G$2="CPR",'Grid Data'!$V$4:$V$2342,'Grid Data'!$W$4:$W$2342),'Grid Data'!$N$4:$N$2342,$D18,'Grid Data'!$O$4:$O$2342,M$4,'Grid Data'!$M$4:$M$2342,$D$2)*100, 0)</f>
        <v>11.581300000000001</v>
      </c>
      <c r="N18" s="4">
        <f>IF(  N81&gt;$E$2, SUMIFS(IF($G$2="CPR",'Grid Data'!$V$4:$V$2342,'Grid Data'!$W$4:$W$2342),'Grid Data'!$N$4:$N$2342,$D18,'Grid Data'!$O$4:$O$2342,N$4,'Grid Data'!$M$4:$M$2342,$D$2)*100, 0)</f>
        <v>12.903999999999998</v>
      </c>
      <c r="O18" s="4">
        <f>IF(  O81&gt;$E$2, SUMIFS(IF($G$2="CPR",'Grid Data'!$V$4:$V$2342,'Grid Data'!$W$4:$W$2342),'Grid Data'!$N$4:$N$2342,$D18,'Grid Data'!$O$4:$O$2342,O$4,'Grid Data'!$M$4:$M$2342,$D$2)*100, 0)</f>
        <v>10.5709</v>
      </c>
      <c r="P18" s="4">
        <f>IF(  P81&gt;$E$2, SUMIFS(IF($G$2="CPR",'Grid Data'!$V$4:$V$2342,'Grid Data'!$W$4:$W$2342),'Grid Data'!$N$4:$N$2342,$D18,'Grid Data'!$O$4:$O$2342,P$4,'Grid Data'!$M$4:$M$2342,$D$2)*100, 0)</f>
        <v>10.959299999999999</v>
      </c>
      <c r="Q18" s="4">
        <f>IF(  Q81&gt;$E$2, SUMIFS(IF($G$2="CPR",'Grid Data'!$V$4:$V$2342,'Grid Data'!$W$4:$W$2342),'Grid Data'!$N$4:$N$2342,$D18,'Grid Data'!$O$4:$O$2342,Q$4,'Grid Data'!$M$4:$M$2342,$D$2)*100, 0)</f>
        <v>8.7418999999999993</v>
      </c>
      <c r="R18" s="4">
        <f>IF(  R81&gt;$E$2, SUMIFS(IF($G$2="CPR",'Grid Data'!$V$4:$V$2342,'Grid Data'!$W$4:$W$2342),'Grid Data'!$N$4:$N$2342,$D18,'Grid Data'!$O$4:$O$2342,R$4,'Grid Data'!$M$4:$M$2342,$D$2)*100, 0)</f>
        <v>13.6145</v>
      </c>
      <c r="S18" s="4">
        <f>IF(  S81&gt;$E$2, SUMIFS(IF($G$2="CPR",'Grid Data'!$V$4:$V$2342,'Grid Data'!$W$4:$W$2342),'Grid Data'!$N$4:$N$2342,$D18,'Grid Data'!$O$4:$O$2342,S$4,'Grid Data'!$M$4:$M$2342,$D$2)*100, 0)</f>
        <v>12.5245</v>
      </c>
      <c r="T18" s="4">
        <f>IF(  T81&gt;$E$2, SUMIFS(IF($G$2="CPR",'Grid Data'!$V$4:$V$2342,'Grid Data'!$W$4:$W$2342),'Grid Data'!$N$4:$N$2342,$D18,'Grid Data'!$O$4:$O$2342,T$4,'Grid Data'!$M$4:$M$2342,$D$2)*100, 0)</f>
        <v>12.998899999999999</v>
      </c>
      <c r="U18" s="4">
        <f>IF(  U81&gt;$E$2, SUMIFS(IF($G$2="CPR",'Grid Data'!$V$4:$V$2342,'Grid Data'!$W$4:$W$2342),'Grid Data'!$N$4:$N$2342,$D18,'Grid Data'!$O$4:$O$2342,U$4,'Grid Data'!$M$4:$M$2342,$D$2)*100, 0)</f>
        <v>9.2018000000000004</v>
      </c>
      <c r="V18" s="4">
        <f>IF(  V81&gt;$E$2, SUMIFS(IF($G$2="CPR",'Grid Data'!$V$4:$V$2342,'Grid Data'!$W$4:$W$2342),'Grid Data'!$N$4:$N$2342,$D18,'Grid Data'!$O$4:$O$2342,V$4,'Grid Data'!$M$4:$M$2342,$D$2)*100, 0)</f>
        <v>6.2122999999999999</v>
      </c>
      <c r="W18" s="4">
        <f>IF(  W81&gt;$E$2, SUMIFS(IF($G$2="CPR",'Grid Data'!$V$4:$V$2342,'Grid Data'!$W$4:$W$2342),'Grid Data'!$N$4:$N$2342,$D18,'Grid Data'!$O$4:$O$2342,W$4,'Grid Data'!$M$4:$M$2342,$D$2)*100, 0)</f>
        <v>30.454900000000002</v>
      </c>
      <c r="X18" s="4">
        <f>IF(  X81&gt;$E$2, SUMIFS(IF($G$2="CPR",'Grid Data'!$V$4:$V$2342,'Grid Data'!$W$4:$W$2342),'Grid Data'!$N$4:$N$2342,$D18,'Grid Data'!$O$4:$O$2342,X$4,'Grid Data'!$M$4:$M$2342,$D$2)*100, 0)</f>
        <v>13.146099999999999</v>
      </c>
      <c r="Y18" s="4">
        <f>IF(  Y81&gt;$E$2, SUMIFS(IF($G$2="CPR",'Grid Data'!$V$4:$V$2342,'Grid Data'!$W$4:$W$2342),'Grid Data'!$N$4:$N$2342,$D18,'Grid Data'!$O$4:$O$2342,Y$4,'Grid Data'!$M$4:$M$2342,$D$2)*100, 0)</f>
        <v>10.6214</v>
      </c>
      <c r="Z18" s="4">
        <f>IF(  Z81&gt;$E$2, SUMIFS(IF($G$2="CPR",'Grid Data'!$V$4:$V$2342,'Grid Data'!$W$4:$W$2342),'Grid Data'!$N$4:$N$2342,$D18,'Grid Data'!$O$4:$O$2342,Z$4,'Grid Data'!$M$4:$M$2342,$D$2)*100, 0)</f>
        <v>22.854299999999999</v>
      </c>
      <c r="AA18" s="4">
        <f>IF(  AA81&gt;$E$2, SUMIFS(IF($G$2="CPR",'Grid Data'!$V$4:$V$2342,'Grid Data'!$W$4:$W$2342),'Grid Data'!$N$4:$N$2342,$D18,'Grid Data'!$O$4:$O$2342,AA$4,'Grid Data'!$M$4:$M$2342,$D$2)*100, 0)</f>
        <v>0</v>
      </c>
      <c r="AB18" s="4">
        <f>IF(  AB81&gt;$E$2, SUMIFS(IF($G$2="CPR",'Grid Data'!$V$4:$V$2342,'Grid Data'!$W$4:$W$2342),'Grid Data'!$N$4:$N$2342,$D18,'Grid Data'!$O$4:$O$2342,AB$4,'Grid Data'!$M$4:$M$2342,$D$2)*100, 0)</f>
        <v>9.2958999999999996</v>
      </c>
      <c r="AC18" s="4">
        <f>IF(  AC81&gt;$E$2, SUMIFS(IF($G$2="CPR",'Grid Data'!$V$4:$V$2342,'Grid Data'!$W$4:$W$2342),'Grid Data'!$N$4:$N$2342,$D18,'Grid Data'!$O$4:$O$2342,AC$4,'Grid Data'!$M$4:$M$2342,$D$2)*100, 0)</f>
        <v>19.7439</v>
      </c>
      <c r="AD18" s="4">
        <f>IF(  AD81&gt;$E$2, SUMIFS(IF($G$2="CPR",'Grid Data'!$V$4:$V$2342,'Grid Data'!$W$4:$W$2342),'Grid Data'!$N$4:$N$2342,$D18,'Grid Data'!$O$4:$O$2342,AD$4,'Grid Data'!$M$4:$M$2342,$D$2)*100, 0)</f>
        <v>5.3590999999999998</v>
      </c>
      <c r="AE18" s="4">
        <f>IF(  AE81&gt;$E$2, SUMIFS(IF($G$2="CPR",'Grid Data'!$V$4:$V$2342,'Grid Data'!$W$4:$W$2342),'Grid Data'!$N$4:$N$2342,$D18,'Grid Data'!$O$4:$O$2342,AE$4,'Grid Data'!$M$4:$M$2342,$D$2)*100, 0)</f>
        <v>4.7787999999999995</v>
      </c>
      <c r="AF18" s="4">
        <f>IF(  AF81&gt;$E$2, SUMIFS(IF($G$2="CPR",'Grid Data'!$V$4:$V$2342,'Grid Data'!$W$4:$W$2342),'Grid Data'!$N$4:$N$2342,$D18,'Grid Data'!$O$4:$O$2342,AF$4,'Grid Data'!$M$4:$M$2342,$D$2)*100, 0)</f>
        <v>0</v>
      </c>
      <c r="AG18" s="4">
        <f>IF(  AG81&gt;$E$2, SUMIFS(IF($G$2="CPR",'Grid Data'!$V$4:$V$2342,'Grid Data'!$W$4:$W$2342),'Grid Data'!$N$4:$N$2342,$D18,'Grid Data'!$O$4:$O$2342,AG$4,'Grid Data'!$M$4:$M$2342,$D$2)*100, 0)</f>
        <v>6.9736000000000002</v>
      </c>
      <c r="AH18" s="4">
        <f>IF(  AH81&gt;$E$2, SUMIFS(IF($G$2="CPR",'Grid Data'!$V$4:$V$2342,'Grid Data'!$W$4:$W$2342),'Grid Data'!$N$4:$N$2342,$D18,'Grid Data'!$O$4:$O$2342,AH$4,'Grid Data'!$M$4:$M$2342,$D$2)*100, 0)</f>
        <v>0</v>
      </c>
    </row>
    <row r="19" spans="4:34" x14ac:dyDescent="0.35">
      <c r="D19">
        <v>5500</v>
      </c>
      <c r="E19" s="4">
        <f>IF(  E82&gt;$E$2, SUMIFS(IF($G$2="CPR",'Grid Data'!$V$4:$V$2342,'Grid Data'!$W$4:$W$2342),'Grid Data'!$N$4:$N$2342,$D19,'Grid Data'!$O$4:$O$2342,E$4,'Grid Data'!$M$4:$M$2342,$D$2)*100, 0)</f>
        <v>1.746</v>
      </c>
      <c r="F19" s="4">
        <f>IF(  F82&gt;$E$2, SUMIFS(IF($G$2="CPR",'Grid Data'!$V$4:$V$2342,'Grid Data'!$W$4:$W$2342),'Grid Data'!$N$4:$N$2342,$D19,'Grid Data'!$O$4:$O$2342,F$4,'Grid Data'!$M$4:$M$2342,$D$2)*100, 0)</f>
        <v>3.2422</v>
      </c>
      <c r="G19" s="4">
        <f>IF(  G82&gt;$E$2, SUMIFS(IF($G$2="CPR",'Grid Data'!$V$4:$V$2342,'Grid Data'!$W$4:$W$2342),'Grid Data'!$N$4:$N$2342,$D19,'Grid Data'!$O$4:$O$2342,G$4,'Grid Data'!$M$4:$M$2342,$D$2)*100, 0)</f>
        <v>8.341899999999999</v>
      </c>
      <c r="H19" s="4">
        <f>IF(  H82&gt;$E$2, SUMIFS(IF($G$2="CPR",'Grid Data'!$V$4:$V$2342,'Grid Data'!$W$4:$W$2342),'Grid Data'!$N$4:$N$2342,$D19,'Grid Data'!$O$4:$O$2342,H$4,'Grid Data'!$M$4:$M$2342,$D$2)*100, 0)</f>
        <v>5.3955000000000002</v>
      </c>
      <c r="I19" s="4">
        <f>IF(  I82&gt;$E$2, SUMIFS(IF($G$2="CPR",'Grid Data'!$V$4:$V$2342,'Grid Data'!$W$4:$W$2342),'Grid Data'!$N$4:$N$2342,$D19,'Grid Data'!$O$4:$O$2342,I$4,'Grid Data'!$M$4:$M$2342,$D$2)*100, 0)</f>
        <v>2.0581999999999998</v>
      </c>
      <c r="J19" s="4">
        <f>IF(  J82&gt;$E$2, SUMIFS(IF($G$2="CPR",'Grid Data'!$V$4:$V$2342,'Grid Data'!$W$4:$W$2342),'Grid Data'!$N$4:$N$2342,$D19,'Grid Data'!$O$4:$O$2342,J$4,'Grid Data'!$M$4:$M$2342,$D$2)*100, 0)</f>
        <v>6.7881999999999998</v>
      </c>
      <c r="K19" s="4">
        <f>IF(  K82&gt;$E$2, SUMIFS(IF($G$2="CPR",'Grid Data'!$V$4:$V$2342,'Grid Data'!$W$4:$W$2342),'Grid Data'!$N$4:$N$2342,$D19,'Grid Data'!$O$4:$O$2342,K$4,'Grid Data'!$M$4:$M$2342,$D$2)*100, 0)</f>
        <v>13.660400000000001</v>
      </c>
      <c r="L19" s="4">
        <f>IF(  L82&gt;$E$2, SUMIFS(IF($G$2="CPR",'Grid Data'!$V$4:$V$2342,'Grid Data'!$W$4:$W$2342),'Grid Data'!$N$4:$N$2342,$D19,'Grid Data'!$O$4:$O$2342,L$4,'Grid Data'!$M$4:$M$2342,$D$2)*100, 0)</f>
        <v>5.4219999999999997</v>
      </c>
      <c r="M19" s="4">
        <f>IF(  M82&gt;$E$2, SUMIFS(IF($G$2="CPR",'Grid Data'!$V$4:$V$2342,'Grid Data'!$W$4:$W$2342),'Grid Data'!$N$4:$N$2342,$D19,'Grid Data'!$O$4:$O$2342,M$4,'Grid Data'!$M$4:$M$2342,$D$2)*100, 0)</f>
        <v>8.8390000000000004</v>
      </c>
      <c r="N19" s="4">
        <f>IF(  N82&gt;$E$2, SUMIFS(IF($G$2="CPR",'Grid Data'!$V$4:$V$2342,'Grid Data'!$W$4:$W$2342),'Grid Data'!$N$4:$N$2342,$D19,'Grid Data'!$O$4:$O$2342,N$4,'Grid Data'!$M$4:$M$2342,$D$2)*100, 0)</f>
        <v>10.506500000000001</v>
      </c>
      <c r="O19" s="4">
        <f>IF(  O82&gt;$E$2, SUMIFS(IF($G$2="CPR",'Grid Data'!$V$4:$V$2342,'Grid Data'!$W$4:$W$2342),'Grid Data'!$N$4:$N$2342,$D19,'Grid Data'!$O$4:$O$2342,O$4,'Grid Data'!$M$4:$M$2342,$D$2)*100, 0)</f>
        <v>8.5687999999999995</v>
      </c>
      <c r="P19" s="4">
        <f>IF(  P82&gt;$E$2, SUMIFS(IF($G$2="CPR",'Grid Data'!$V$4:$V$2342,'Grid Data'!$W$4:$W$2342),'Grid Data'!$N$4:$N$2342,$D19,'Grid Data'!$O$4:$O$2342,P$4,'Grid Data'!$M$4:$M$2342,$D$2)*100, 0)</f>
        <v>14.682799999999999</v>
      </c>
      <c r="Q19" s="4">
        <f>IF(  Q82&gt;$E$2, SUMIFS(IF($G$2="CPR",'Grid Data'!$V$4:$V$2342,'Grid Data'!$W$4:$W$2342),'Grid Data'!$N$4:$N$2342,$D19,'Grid Data'!$O$4:$O$2342,Q$4,'Grid Data'!$M$4:$M$2342,$D$2)*100, 0)</f>
        <v>12.4122</v>
      </c>
      <c r="R19" s="4">
        <f>IF(  R82&gt;$E$2, SUMIFS(IF($G$2="CPR",'Grid Data'!$V$4:$V$2342,'Grid Data'!$W$4:$W$2342),'Grid Data'!$N$4:$N$2342,$D19,'Grid Data'!$O$4:$O$2342,R$4,'Grid Data'!$M$4:$M$2342,$D$2)*100, 0)</f>
        <v>14.106299999999999</v>
      </c>
      <c r="S19" s="4">
        <f>IF(  S82&gt;$E$2, SUMIFS(IF($G$2="CPR",'Grid Data'!$V$4:$V$2342,'Grid Data'!$W$4:$W$2342),'Grid Data'!$N$4:$N$2342,$D19,'Grid Data'!$O$4:$O$2342,S$4,'Grid Data'!$M$4:$M$2342,$D$2)*100, 0)</f>
        <v>14.6983</v>
      </c>
      <c r="T19" s="4">
        <f>IF(  T82&gt;$E$2, SUMIFS(IF($G$2="CPR",'Grid Data'!$V$4:$V$2342,'Grid Data'!$W$4:$W$2342),'Grid Data'!$N$4:$N$2342,$D19,'Grid Data'!$O$4:$O$2342,T$4,'Grid Data'!$M$4:$M$2342,$D$2)*100, 0)</f>
        <v>13.491200000000001</v>
      </c>
      <c r="U19" s="4">
        <f>IF(  U82&gt;$E$2, SUMIFS(IF($G$2="CPR",'Grid Data'!$V$4:$V$2342,'Grid Data'!$W$4:$W$2342),'Grid Data'!$N$4:$N$2342,$D19,'Grid Data'!$O$4:$O$2342,U$4,'Grid Data'!$M$4:$M$2342,$D$2)*100, 0)</f>
        <v>0</v>
      </c>
      <c r="V19" s="4">
        <f>IF(  V82&gt;$E$2, SUMIFS(IF($G$2="CPR",'Grid Data'!$V$4:$V$2342,'Grid Data'!$W$4:$W$2342),'Grid Data'!$N$4:$N$2342,$D19,'Grid Data'!$O$4:$O$2342,V$4,'Grid Data'!$M$4:$M$2342,$D$2)*100, 0)</f>
        <v>0</v>
      </c>
      <c r="W19" s="4">
        <f>IF(  W82&gt;$E$2, SUMIFS(IF($G$2="CPR",'Grid Data'!$V$4:$V$2342,'Grid Data'!$W$4:$W$2342),'Grid Data'!$N$4:$N$2342,$D19,'Grid Data'!$O$4:$O$2342,W$4,'Grid Data'!$M$4:$M$2342,$D$2)*100, 0)</f>
        <v>0</v>
      </c>
      <c r="X19" s="4">
        <f>IF(  X82&gt;$E$2, SUMIFS(IF($G$2="CPR",'Grid Data'!$V$4:$V$2342,'Grid Data'!$W$4:$W$2342),'Grid Data'!$N$4:$N$2342,$D19,'Grid Data'!$O$4:$O$2342,X$4,'Grid Data'!$M$4:$M$2342,$D$2)*100, 0)</f>
        <v>38.133699999999997</v>
      </c>
      <c r="Y19" s="4">
        <f>IF(  Y82&gt;$E$2, SUMIFS(IF($G$2="CPR",'Grid Data'!$V$4:$V$2342,'Grid Data'!$W$4:$W$2342),'Grid Data'!$N$4:$N$2342,$D19,'Grid Data'!$O$4:$O$2342,Y$4,'Grid Data'!$M$4:$M$2342,$D$2)*100, 0)</f>
        <v>17.204800000000002</v>
      </c>
      <c r="Z19" s="4">
        <f>IF(  Z82&gt;$E$2, SUMIFS(IF($G$2="CPR",'Grid Data'!$V$4:$V$2342,'Grid Data'!$W$4:$W$2342),'Grid Data'!$N$4:$N$2342,$D19,'Grid Data'!$O$4:$O$2342,Z$4,'Grid Data'!$M$4:$M$2342,$D$2)*100, 0)</f>
        <v>20.3536</v>
      </c>
      <c r="AA19" s="4">
        <f>IF(  AA82&gt;$E$2, SUMIFS(IF($G$2="CPR",'Grid Data'!$V$4:$V$2342,'Grid Data'!$W$4:$W$2342),'Grid Data'!$N$4:$N$2342,$D19,'Grid Data'!$O$4:$O$2342,AA$4,'Grid Data'!$M$4:$M$2342,$D$2)*100, 0)</f>
        <v>0</v>
      </c>
      <c r="AB19" s="4">
        <f>IF(  AB82&gt;$E$2, SUMIFS(IF($G$2="CPR",'Grid Data'!$V$4:$V$2342,'Grid Data'!$W$4:$W$2342),'Grid Data'!$N$4:$N$2342,$D19,'Grid Data'!$O$4:$O$2342,AB$4,'Grid Data'!$M$4:$M$2342,$D$2)*100, 0)</f>
        <v>0</v>
      </c>
      <c r="AC19" s="4">
        <f>IF(  AC82&gt;$E$2, SUMIFS(IF($G$2="CPR",'Grid Data'!$V$4:$V$2342,'Grid Data'!$W$4:$W$2342),'Grid Data'!$N$4:$N$2342,$D19,'Grid Data'!$O$4:$O$2342,AC$4,'Grid Data'!$M$4:$M$2342,$D$2)*100, 0)</f>
        <v>0</v>
      </c>
      <c r="AD19" s="4">
        <f>IF(  AD82&gt;$E$2, SUMIFS(IF($G$2="CPR",'Grid Data'!$V$4:$V$2342,'Grid Data'!$W$4:$W$2342),'Grid Data'!$N$4:$N$2342,$D19,'Grid Data'!$O$4:$O$2342,AD$4,'Grid Data'!$M$4:$M$2342,$D$2)*100, 0)</f>
        <v>5.1506000000000007</v>
      </c>
      <c r="AE19" s="4">
        <f>IF(  AE82&gt;$E$2, SUMIFS(IF($G$2="CPR",'Grid Data'!$V$4:$V$2342,'Grid Data'!$W$4:$W$2342),'Grid Data'!$N$4:$N$2342,$D19,'Grid Data'!$O$4:$O$2342,AE$4,'Grid Data'!$M$4:$M$2342,$D$2)*100, 0)</f>
        <v>8.6321999999999992</v>
      </c>
      <c r="AF19" s="4">
        <f>IF(  AF82&gt;$E$2, SUMIFS(IF($G$2="CPR",'Grid Data'!$V$4:$V$2342,'Grid Data'!$W$4:$W$2342),'Grid Data'!$N$4:$N$2342,$D19,'Grid Data'!$O$4:$O$2342,AF$4,'Grid Data'!$M$4:$M$2342,$D$2)*100, 0)</f>
        <v>0</v>
      </c>
      <c r="AG19" s="4">
        <f>IF(  AG82&gt;$E$2, SUMIFS(IF($G$2="CPR",'Grid Data'!$V$4:$V$2342,'Grid Data'!$W$4:$W$2342),'Grid Data'!$N$4:$N$2342,$D19,'Grid Data'!$O$4:$O$2342,AG$4,'Grid Data'!$M$4:$M$2342,$D$2)*100, 0)</f>
        <v>8.4708000000000006</v>
      </c>
      <c r="AH19" s="4">
        <f>IF(  AH82&gt;$E$2, SUMIFS(IF($G$2="CPR",'Grid Data'!$V$4:$V$2342,'Grid Data'!$W$4:$W$2342),'Grid Data'!$N$4:$N$2342,$D19,'Grid Data'!$O$4:$O$2342,AH$4,'Grid Data'!$M$4:$M$2342,$D$2)*100, 0)</f>
        <v>0</v>
      </c>
    </row>
    <row r="20" spans="4:34" x14ac:dyDescent="0.35">
      <c r="D20">
        <v>5750</v>
      </c>
      <c r="E20" s="4">
        <f>IF(  E83&gt;$E$2, SUMIFS(IF($G$2="CPR",'Grid Data'!$V$4:$V$2342,'Grid Data'!$W$4:$W$2342),'Grid Data'!$N$4:$N$2342,$D20,'Grid Data'!$O$4:$O$2342,E$4,'Grid Data'!$M$4:$M$2342,$D$2)*100, 0)</f>
        <v>2.0990000000000002</v>
      </c>
      <c r="F20" s="4">
        <f>IF(  F83&gt;$E$2, SUMIFS(IF($G$2="CPR",'Grid Data'!$V$4:$V$2342,'Grid Data'!$W$4:$W$2342),'Grid Data'!$N$4:$N$2342,$D20,'Grid Data'!$O$4:$O$2342,F$4,'Grid Data'!$M$4:$M$2342,$D$2)*100, 0)</f>
        <v>3.0846</v>
      </c>
      <c r="G20" s="4">
        <f>IF(  G83&gt;$E$2, SUMIFS(IF($G$2="CPR",'Grid Data'!$V$4:$V$2342,'Grid Data'!$W$4:$W$2342),'Grid Data'!$N$4:$N$2342,$D20,'Grid Data'!$O$4:$O$2342,G$4,'Grid Data'!$M$4:$M$2342,$D$2)*100, 0)</f>
        <v>25.101099999999999</v>
      </c>
      <c r="H20" s="4">
        <f>IF(  H83&gt;$E$2, SUMIFS(IF($G$2="CPR",'Grid Data'!$V$4:$V$2342,'Grid Data'!$W$4:$W$2342),'Grid Data'!$N$4:$N$2342,$D20,'Grid Data'!$O$4:$O$2342,H$4,'Grid Data'!$M$4:$M$2342,$D$2)*100, 0)</f>
        <v>20.263200000000001</v>
      </c>
      <c r="I20" s="4">
        <f>IF(  I83&gt;$E$2, SUMIFS(IF($G$2="CPR",'Grid Data'!$V$4:$V$2342,'Grid Data'!$W$4:$W$2342),'Grid Data'!$N$4:$N$2342,$D20,'Grid Data'!$O$4:$O$2342,I$4,'Grid Data'!$M$4:$M$2342,$D$2)*100, 0)</f>
        <v>18.558800000000002</v>
      </c>
      <c r="J20" s="4">
        <f>IF(  J83&gt;$E$2, SUMIFS(IF($G$2="CPR",'Grid Data'!$V$4:$V$2342,'Grid Data'!$W$4:$W$2342),'Grid Data'!$N$4:$N$2342,$D20,'Grid Data'!$O$4:$O$2342,J$4,'Grid Data'!$M$4:$M$2342,$D$2)*100, 0)</f>
        <v>18.479799999999997</v>
      </c>
      <c r="K20" s="4">
        <f>IF(  K83&gt;$E$2, SUMIFS(IF($G$2="CPR",'Grid Data'!$V$4:$V$2342,'Grid Data'!$W$4:$W$2342),'Grid Data'!$N$4:$N$2342,$D20,'Grid Data'!$O$4:$O$2342,K$4,'Grid Data'!$M$4:$M$2342,$D$2)*100, 0)</f>
        <v>16.394200000000001</v>
      </c>
      <c r="L20" s="4">
        <f>IF(  L83&gt;$E$2, SUMIFS(IF($G$2="CPR",'Grid Data'!$V$4:$V$2342,'Grid Data'!$W$4:$W$2342),'Grid Data'!$N$4:$N$2342,$D20,'Grid Data'!$O$4:$O$2342,L$4,'Grid Data'!$M$4:$M$2342,$D$2)*100, 0)</f>
        <v>16.716699999999999</v>
      </c>
      <c r="M20" s="4">
        <f>IF(  M83&gt;$E$2, SUMIFS(IF($G$2="CPR",'Grid Data'!$V$4:$V$2342,'Grid Data'!$W$4:$W$2342),'Grid Data'!$N$4:$N$2342,$D20,'Grid Data'!$O$4:$O$2342,M$4,'Grid Data'!$M$4:$M$2342,$D$2)*100, 0)</f>
        <v>16.814999999999998</v>
      </c>
      <c r="N20" s="4">
        <f>IF(  N83&gt;$E$2, SUMIFS(IF($G$2="CPR",'Grid Data'!$V$4:$V$2342,'Grid Data'!$W$4:$W$2342),'Grid Data'!$N$4:$N$2342,$D20,'Grid Data'!$O$4:$O$2342,N$4,'Grid Data'!$M$4:$M$2342,$D$2)*100, 0)</f>
        <v>14.896799999999999</v>
      </c>
      <c r="O20" s="4">
        <f>IF(  O83&gt;$E$2, SUMIFS(IF($G$2="CPR",'Grid Data'!$V$4:$V$2342,'Grid Data'!$W$4:$W$2342),'Grid Data'!$N$4:$N$2342,$D20,'Grid Data'!$O$4:$O$2342,O$4,'Grid Data'!$M$4:$M$2342,$D$2)*100, 0)</f>
        <v>15.571299999999999</v>
      </c>
      <c r="P20" s="4">
        <f>IF(  P83&gt;$E$2, SUMIFS(IF($G$2="CPR",'Grid Data'!$V$4:$V$2342,'Grid Data'!$W$4:$W$2342),'Grid Data'!$N$4:$N$2342,$D20,'Grid Data'!$O$4:$O$2342,P$4,'Grid Data'!$M$4:$M$2342,$D$2)*100, 0)</f>
        <v>18.0473</v>
      </c>
      <c r="Q20" s="4">
        <f>IF(  Q83&gt;$E$2, SUMIFS(IF($G$2="CPR",'Grid Data'!$V$4:$V$2342,'Grid Data'!$W$4:$W$2342),'Grid Data'!$N$4:$N$2342,$D20,'Grid Data'!$O$4:$O$2342,Q$4,'Grid Data'!$M$4:$M$2342,$D$2)*100, 0)</f>
        <v>17.752800000000001</v>
      </c>
      <c r="R20" s="4">
        <f>IF(  R83&gt;$E$2, SUMIFS(IF($G$2="CPR",'Grid Data'!$V$4:$V$2342,'Grid Data'!$W$4:$W$2342),'Grid Data'!$N$4:$N$2342,$D20,'Grid Data'!$O$4:$O$2342,R$4,'Grid Data'!$M$4:$M$2342,$D$2)*100, 0)</f>
        <v>17.913399999999999</v>
      </c>
      <c r="S20" s="4">
        <f>IF(  S83&gt;$E$2, SUMIFS(IF($G$2="CPR",'Grid Data'!$V$4:$V$2342,'Grid Data'!$W$4:$W$2342),'Grid Data'!$N$4:$N$2342,$D20,'Grid Data'!$O$4:$O$2342,S$4,'Grid Data'!$M$4:$M$2342,$D$2)*100, 0)</f>
        <v>19.145400000000002</v>
      </c>
      <c r="T20" s="4">
        <f>IF(  T83&gt;$E$2, SUMIFS(IF($G$2="CPR",'Grid Data'!$V$4:$V$2342,'Grid Data'!$W$4:$W$2342),'Grid Data'!$N$4:$N$2342,$D20,'Grid Data'!$O$4:$O$2342,T$4,'Grid Data'!$M$4:$M$2342,$D$2)*100, 0)</f>
        <v>15.169499999999999</v>
      </c>
      <c r="U20" s="4">
        <f>IF(  U83&gt;$E$2, SUMIFS(IF($G$2="CPR",'Grid Data'!$V$4:$V$2342,'Grid Data'!$W$4:$W$2342),'Grid Data'!$N$4:$N$2342,$D20,'Grid Data'!$O$4:$O$2342,U$4,'Grid Data'!$M$4:$M$2342,$D$2)*100, 0)</f>
        <v>0</v>
      </c>
      <c r="V20" s="4">
        <f>IF(  V83&gt;$E$2, SUMIFS(IF($G$2="CPR",'Grid Data'!$V$4:$V$2342,'Grid Data'!$W$4:$W$2342),'Grid Data'!$N$4:$N$2342,$D20,'Grid Data'!$O$4:$O$2342,V$4,'Grid Data'!$M$4:$M$2342,$D$2)*100, 0)</f>
        <v>0</v>
      </c>
      <c r="W20" s="4">
        <f>IF(  W83&gt;$E$2, SUMIFS(IF($G$2="CPR",'Grid Data'!$V$4:$V$2342,'Grid Data'!$W$4:$W$2342),'Grid Data'!$N$4:$N$2342,$D20,'Grid Data'!$O$4:$O$2342,W$4,'Grid Data'!$M$4:$M$2342,$D$2)*100, 0)</f>
        <v>0</v>
      </c>
      <c r="X20" s="4">
        <f>IF(  X83&gt;$E$2, SUMIFS(IF($G$2="CPR",'Grid Data'!$V$4:$V$2342,'Grid Data'!$W$4:$W$2342),'Grid Data'!$N$4:$N$2342,$D20,'Grid Data'!$O$4:$O$2342,X$4,'Grid Data'!$M$4:$M$2342,$D$2)*100, 0)</f>
        <v>12.4842</v>
      </c>
      <c r="Y20" s="4">
        <f>IF(  Y83&gt;$E$2, SUMIFS(IF($G$2="CPR",'Grid Data'!$V$4:$V$2342,'Grid Data'!$W$4:$W$2342),'Grid Data'!$N$4:$N$2342,$D20,'Grid Data'!$O$4:$O$2342,Y$4,'Grid Data'!$M$4:$M$2342,$D$2)*100, 0)</f>
        <v>12.2416</v>
      </c>
      <c r="Z20" s="4">
        <f>IF(  Z83&gt;$E$2, SUMIFS(IF($G$2="CPR",'Grid Data'!$V$4:$V$2342,'Grid Data'!$W$4:$W$2342),'Grid Data'!$N$4:$N$2342,$D20,'Grid Data'!$O$4:$O$2342,Z$4,'Grid Data'!$M$4:$M$2342,$D$2)*100, 0)</f>
        <v>0</v>
      </c>
      <c r="AA20" s="4">
        <f>IF(  AA83&gt;$E$2, SUMIFS(IF($G$2="CPR",'Grid Data'!$V$4:$V$2342,'Grid Data'!$W$4:$W$2342),'Grid Data'!$N$4:$N$2342,$D20,'Grid Data'!$O$4:$O$2342,AA$4,'Grid Data'!$M$4:$M$2342,$D$2)*100, 0)</f>
        <v>0</v>
      </c>
      <c r="AB20" s="4">
        <f>IF(  AB83&gt;$E$2, SUMIFS(IF($G$2="CPR",'Grid Data'!$V$4:$V$2342,'Grid Data'!$W$4:$W$2342),'Grid Data'!$N$4:$N$2342,$D20,'Grid Data'!$O$4:$O$2342,AB$4,'Grid Data'!$M$4:$M$2342,$D$2)*100, 0)</f>
        <v>0</v>
      </c>
      <c r="AC20" s="4">
        <f>IF(  AC83&gt;$E$2, SUMIFS(IF($G$2="CPR",'Grid Data'!$V$4:$V$2342,'Grid Data'!$W$4:$W$2342),'Grid Data'!$N$4:$N$2342,$D20,'Grid Data'!$O$4:$O$2342,AC$4,'Grid Data'!$M$4:$M$2342,$D$2)*100, 0)</f>
        <v>0</v>
      </c>
      <c r="AD20" s="4">
        <f>IF(  AD83&gt;$E$2, SUMIFS(IF($G$2="CPR",'Grid Data'!$V$4:$V$2342,'Grid Data'!$W$4:$W$2342),'Grid Data'!$N$4:$N$2342,$D20,'Grid Data'!$O$4:$O$2342,AD$4,'Grid Data'!$M$4:$M$2342,$D$2)*100, 0)</f>
        <v>0</v>
      </c>
      <c r="AE20" s="4">
        <f>IF(  AE83&gt;$E$2, SUMIFS(IF($G$2="CPR",'Grid Data'!$V$4:$V$2342,'Grid Data'!$W$4:$W$2342),'Grid Data'!$N$4:$N$2342,$D20,'Grid Data'!$O$4:$O$2342,AE$4,'Grid Data'!$M$4:$M$2342,$D$2)*100, 0)</f>
        <v>11.4619</v>
      </c>
      <c r="AF20" s="4">
        <f>IF(  AF83&gt;$E$2, SUMIFS(IF($G$2="CPR",'Grid Data'!$V$4:$V$2342,'Grid Data'!$W$4:$W$2342),'Grid Data'!$N$4:$N$2342,$D20,'Grid Data'!$O$4:$O$2342,AF$4,'Grid Data'!$M$4:$M$2342,$D$2)*100, 0)</f>
        <v>0</v>
      </c>
      <c r="AG20" s="4">
        <f>IF(  AG83&gt;$E$2, SUMIFS(IF($G$2="CPR",'Grid Data'!$V$4:$V$2342,'Grid Data'!$W$4:$W$2342),'Grid Data'!$N$4:$N$2342,$D20,'Grid Data'!$O$4:$O$2342,AG$4,'Grid Data'!$M$4:$M$2342,$D$2)*100, 0)</f>
        <v>5.9589999999999996</v>
      </c>
      <c r="AH20" s="4">
        <f>IF(  AH83&gt;$E$2, SUMIFS(IF($G$2="CPR",'Grid Data'!$V$4:$V$2342,'Grid Data'!$W$4:$W$2342),'Grid Data'!$N$4:$N$2342,$D20,'Grid Data'!$O$4:$O$2342,AH$4,'Grid Data'!$M$4:$M$2342,$D$2)*100, 0)</f>
        <v>0</v>
      </c>
    </row>
    <row r="21" spans="4:34" x14ac:dyDescent="0.35">
      <c r="D21">
        <v>6000</v>
      </c>
      <c r="E21" s="4">
        <f>IF(  E84&gt;$E$2, SUMIFS(IF($G$2="CPR",'Grid Data'!$V$4:$V$2342,'Grid Data'!$W$4:$W$2342),'Grid Data'!$N$4:$N$2342,$D21,'Grid Data'!$O$4:$O$2342,E$4,'Grid Data'!$M$4:$M$2342,$D$2)*100, 0)</f>
        <v>2.6270000000000002</v>
      </c>
      <c r="F21" s="4">
        <f>IF(  F84&gt;$E$2, SUMIFS(IF($G$2="CPR",'Grid Data'!$V$4:$V$2342,'Grid Data'!$W$4:$W$2342),'Grid Data'!$N$4:$N$2342,$D21,'Grid Data'!$O$4:$O$2342,F$4,'Grid Data'!$M$4:$M$2342,$D$2)*100, 0)</f>
        <v>4.7355999999999998</v>
      </c>
      <c r="G21" s="4">
        <f>IF(  G84&gt;$E$2, SUMIFS(IF($G$2="CPR",'Grid Data'!$V$4:$V$2342,'Grid Data'!$W$4:$W$2342),'Grid Data'!$N$4:$N$2342,$D21,'Grid Data'!$O$4:$O$2342,G$4,'Grid Data'!$M$4:$M$2342,$D$2)*100, 0)</f>
        <v>53.0533</v>
      </c>
      <c r="H21" s="4">
        <f>IF(  H84&gt;$E$2, SUMIFS(IF($G$2="CPR",'Grid Data'!$V$4:$V$2342,'Grid Data'!$W$4:$W$2342),'Grid Data'!$N$4:$N$2342,$D21,'Grid Data'!$O$4:$O$2342,H$4,'Grid Data'!$M$4:$M$2342,$D$2)*100, 0)</f>
        <v>26.453700000000001</v>
      </c>
      <c r="I21" s="4">
        <f>IF(  I84&gt;$E$2, SUMIFS(IF($G$2="CPR",'Grid Data'!$V$4:$V$2342,'Grid Data'!$W$4:$W$2342),'Grid Data'!$N$4:$N$2342,$D21,'Grid Data'!$O$4:$O$2342,I$4,'Grid Data'!$M$4:$M$2342,$D$2)*100, 0)</f>
        <v>21.414999999999999</v>
      </c>
      <c r="J21" s="4">
        <f>IF(  J84&gt;$E$2, SUMIFS(IF($G$2="CPR",'Grid Data'!$V$4:$V$2342,'Grid Data'!$W$4:$W$2342),'Grid Data'!$N$4:$N$2342,$D21,'Grid Data'!$O$4:$O$2342,J$4,'Grid Data'!$M$4:$M$2342,$D$2)*100, 0)</f>
        <v>22.694200000000002</v>
      </c>
      <c r="K21" s="4">
        <f>IF(  K84&gt;$E$2, SUMIFS(IF($G$2="CPR",'Grid Data'!$V$4:$V$2342,'Grid Data'!$W$4:$W$2342),'Grid Data'!$N$4:$N$2342,$D21,'Grid Data'!$O$4:$O$2342,K$4,'Grid Data'!$M$4:$M$2342,$D$2)*100, 0)</f>
        <v>20.482099999999999</v>
      </c>
      <c r="L21" s="4">
        <f>IF(  L84&gt;$E$2, SUMIFS(IF($G$2="CPR",'Grid Data'!$V$4:$V$2342,'Grid Data'!$W$4:$W$2342),'Grid Data'!$N$4:$N$2342,$D21,'Grid Data'!$O$4:$O$2342,L$4,'Grid Data'!$M$4:$M$2342,$D$2)*100, 0)</f>
        <v>22.152100000000001</v>
      </c>
      <c r="M21" s="4">
        <f>IF(  M84&gt;$E$2, SUMIFS(IF($G$2="CPR",'Grid Data'!$V$4:$V$2342,'Grid Data'!$W$4:$W$2342),'Grid Data'!$N$4:$N$2342,$D21,'Grid Data'!$O$4:$O$2342,M$4,'Grid Data'!$M$4:$M$2342,$D$2)*100, 0)</f>
        <v>16.9025</v>
      </c>
      <c r="N21" s="4">
        <f>IF(  N84&gt;$E$2, SUMIFS(IF($G$2="CPR",'Grid Data'!$V$4:$V$2342,'Grid Data'!$W$4:$W$2342),'Grid Data'!$N$4:$N$2342,$D21,'Grid Data'!$O$4:$O$2342,N$4,'Grid Data'!$M$4:$M$2342,$D$2)*100, 0)</f>
        <v>21.830400000000001</v>
      </c>
      <c r="O21" s="4">
        <f>IF(  O84&gt;$E$2, SUMIFS(IF($G$2="CPR",'Grid Data'!$V$4:$V$2342,'Grid Data'!$W$4:$W$2342),'Grid Data'!$N$4:$N$2342,$D21,'Grid Data'!$O$4:$O$2342,O$4,'Grid Data'!$M$4:$M$2342,$D$2)*100, 0)</f>
        <v>25.046000000000003</v>
      </c>
      <c r="P21" s="4">
        <f>IF(  P84&gt;$E$2, SUMIFS(IF($G$2="CPR",'Grid Data'!$V$4:$V$2342,'Grid Data'!$W$4:$W$2342),'Grid Data'!$N$4:$N$2342,$D21,'Grid Data'!$O$4:$O$2342,P$4,'Grid Data'!$M$4:$M$2342,$D$2)*100, 0)</f>
        <v>27.465</v>
      </c>
      <c r="Q21" s="4">
        <f>IF(  Q84&gt;$E$2, SUMIFS(IF($G$2="CPR",'Grid Data'!$V$4:$V$2342,'Grid Data'!$W$4:$W$2342),'Grid Data'!$N$4:$N$2342,$D21,'Grid Data'!$O$4:$O$2342,Q$4,'Grid Data'!$M$4:$M$2342,$D$2)*100, 0)</f>
        <v>22.215699999999998</v>
      </c>
      <c r="R21" s="4">
        <f>IF(  R84&gt;$E$2, SUMIFS(IF($G$2="CPR",'Grid Data'!$V$4:$V$2342,'Grid Data'!$W$4:$W$2342),'Grid Data'!$N$4:$N$2342,$D21,'Grid Data'!$O$4:$O$2342,R$4,'Grid Data'!$M$4:$M$2342,$D$2)*100, 0)</f>
        <v>23.0456</v>
      </c>
      <c r="S21" s="4">
        <f>IF(  S84&gt;$E$2, SUMIFS(IF($G$2="CPR",'Grid Data'!$V$4:$V$2342,'Grid Data'!$W$4:$W$2342),'Grid Data'!$N$4:$N$2342,$D21,'Grid Data'!$O$4:$O$2342,S$4,'Grid Data'!$M$4:$M$2342,$D$2)*100, 0)</f>
        <v>22.582899999999999</v>
      </c>
      <c r="T21" s="4">
        <f>IF(  T84&gt;$E$2, SUMIFS(IF($G$2="CPR",'Grid Data'!$V$4:$V$2342,'Grid Data'!$W$4:$W$2342),'Grid Data'!$N$4:$N$2342,$D21,'Grid Data'!$O$4:$O$2342,T$4,'Grid Data'!$M$4:$M$2342,$D$2)*100, 0)</f>
        <v>24.416399999999999</v>
      </c>
      <c r="U21" s="4">
        <f>IF(  U84&gt;$E$2, SUMIFS(IF($G$2="CPR",'Grid Data'!$V$4:$V$2342,'Grid Data'!$W$4:$W$2342),'Grid Data'!$N$4:$N$2342,$D21,'Grid Data'!$O$4:$O$2342,U$4,'Grid Data'!$M$4:$M$2342,$D$2)*100, 0)</f>
        <v>0</v>
      </c>
      <c r="V21" s="4">
        <f>IF(  V84&gt;$E$2, SUMIFS(IF($G$2="CPR",'Grid Data'!$V$4:$V$2342,'Grid Data'!$W$4:$W$2342),'Grid Data'!$N$4:$N$2342,$D21,'Grid Data'!$O$4:$O$2342,V$4,'Grid Data'!$M$4:$M$2342,$D$2)*100, 0)</f>
        <v>0</v>
      </c>
      <c r="W21" s="4">
        <f>IF(  W84&gt;$E$2, SUMIFS(IF($G$2="CPR",'Grid Data'!$V$4:$V$2342,'Grid Data'!$W$4:$W$2342),'Grid Data'!$N$4:$N$2342,$D21,'Grid Data'!$O$4:$O$2342,W$4,'Grid Data'!$M$4:$M$2342,$D$2)*100, 0)</f>
        <v>0</v>
      </c>
      <c r="X21" s="4">
        <f>IF(  X84&gt;$E$2, SUMIFS(IF($G$2="CPR",'Grid Data'!$V$4:$V$2342,'Grid Data'!$W$4:$W$2342),'Grid Data'!$N$4:$N$2342,$D21,'Grid Data'!$O$4:$O$2342,X$4,'Grid Data'!$M$4:$M$2342,$D$2)*100, 0)</f>
        <v>0</v>
      </c>
      <c r="Y21" s="4">
        <f>IF(  Y84&gt;$E$2, SUMIFS(IF($G$2="CPR",'Grid Data'!$V$4:$V$2342,'Grid Data'!$W$4:$W$2342),'Grid Data'!$N$4:$N$2342,$D21,'Grid Data'!$O$4:$O$2342,Y$4,'Grid Data'!$M$4:$M$2342,$D$2)*100, 0)</f>
        <v>0</v>
      </c>
      <c r="Z21" s="4">
        <f>IF(  Z84&gt;$E$2, SUMIFS(IF($G$2="CPR",'Grid Data'!$V$4:$V$2342,'Grid Data'!$W$4:$W$2342),'Grid Data'!$N$4:$N$2342,$D21,'Grid Data'!$O$4:$O$2342,Z$4,'Grid Data'!$M$4:$M$2342,$D$2)*100, 0)</f>
        <v>0</v>
      </c>
      <c r="AA21" s="4">
        <f>IF(  AA84&gt;$E$2, SUMIFS(IF($G$2="CPR",'Grid Data'!$V$4:$V$2342,'Grid Data'!$W$4:$W$2342),'Grid Data'!$N$4:$N$2342,$D21,'Grid Data'!$O$4:$O$2342,AA$4,'Grid Data'!$M$4:$M$2342,$D$2)*100, 0)</f>
        <v>0</v>
      </c>
      <c r="AB21" s="4">
        <f>IF(  AB84&gt;$E$2, SUMIFS(IF($G$2="CPR",'Grid Data'!$V$4:$V$2342,'Grid Data'!$W$4:$W$2342),'Grid Data'!$N$4:$N$2342,$D21,'Grid Data'!$O$4:$O$2342,AB$4,'Grid Data'!$M$4:$M$2342,$D$2)*100, 0)</f>
        <v>0</v>
      </c>
      <c r="AC21" s="4">
        <f>IF(  AC84&gt;$E$2, SUMIFS(IF($G$2="CPR",'Grid Data'!$V$4:$V$2342,'Grid Data'!$W$4:$W$2342),'Grid Data'!$N$4:$N$2342,$D21,'Grid Data'!$O$4:$O$2342,AC$4,'Grid Data'!$M$4:$M$2342,$D$2)*100, 0)</f>
        <v>0</v>
      </c>
      <c r="AD21" s="4">
        <f>IF(  AD84&gt;$E$2, SUMIFS(IF($G$2="CPR",'Grid Data'!$V$4:$V$2342,'Grid Data'!$W$4:$W$2342),'Grid Data'!$N$4:$N$2342,$D21,'Grid Data'!$O$4:$O$2342,AD$4,'Grid Data'!$M$4:$M$2342,$D$2)*100, 0)</f>
        <v>0</v>
      </c>
      <c r="AE21" s="4">
        <f>IF(  AE84&gt;$E$2, SUMIFS(IF($G$2="CPR",'Grid Data'!$V$4:$V$2342,'Grid Data'!$W$4:$W$2342),'Grid Data'!$N$4:$N$2342,$D21,'Grid Data'!$O$4:$O$2342,AE$4,'Grid Data'!$M$4:$M$2342,$D$2)*100, 0)</f>
        <v>10.0238</v>
      </c>
      <c r="AF21" s="4">
        <f>IF(  AF84&gt;$E$2, SUMIFS(IF($G$2="CPR",'Grid Data'!$V$4:$V$2342,'Grid Data'!$W$4:$W$2342),'Grid Data'!$N$4:$N$2342,$D21,'Grid Data'!$O$4:$O$2342,AF$4,'Grid Data'!$M$4:$M$2342,$D$2)*100, 0)</f>
        <v>8.9784000000000006</v>
      </c>
      <c r="AG21" s="4">
        <f>IF(  AG84&gt;$E$2, SUMIFS(IF($G$2="CPR",'Grid Data'!$V$4:$V$2342,'Grid Data'!$W$4:$W$2342),'Grid Data'!$N$4:$N$2342,$D21,'Grid Data'!$O$4:$O$2342,AG$4,'Grid Data'!$M$4:$M$2342,$D$2)*100, 0)</f>
        <v>6.7982000000000005</v>
      </c>
      <c r="AH21" s="4">
        <f>IF(  AH84&gt;$E$2, SUMIFS(IF($G$2="CPR",'Grid Data'!$V$4:$V$2342,'Grid Data'!$W$4:$W$2342),'Grid Data'!$N$4:$N$2342,$D21,'Grid Data'!$O$4:$O$2342,AH$4,'Grid Data'!$M$4:$M$2342,$D$2)*100, 0)</f>
        <v>0</v>
      </c>
    </row>
    <row r="22" spans="4:34" x14ac:dyDescent="0.35">
      <c r="D22">
        <v>6250</v>
      </c>
      <c r="E22" s="4">
        <f>IF(  E85&gt;$E$2, SUMIFS(IF($G$2="CPR",'Grid Data'!$V$4:$V$2342,'Grid Data'!$W$4:$W$2342),'Grid Data'!$N$4:$N$2342,$D22,'Grid Data'!$O$4:$O$2342,E$4,'Grid Data'!$M$4:$M$2342,$D$2)*100, 0)</f>
        <v>2.7195</v>
      </c>
      <c r="F22" s="4">
        <f>IF(  F85&gt;$E$2, SUMIFS(IF($G$2="CPR",'Grid Data'!$V$4:$V$2342,'Grid Data'!$W$4:$W$2342),'Grid Data'!$N$4:$N$2342,$D22,'Grid Data'!$O$4:$O$2342,F$4,'Grid Data'!$M$4:$M$2342,$D$2)*100, 0)</f>
        <v>4.0377999999999998</v>
      </c>
      <c r="G22" s="4">
        <f>IF(  G85&gt;$E$2, SUMIFS(IF($G$2="CPR",'Grid Data'!$V$4:$V$2342,'Grid Data'!$W$4:$W$2342),'Grid Data'!$N$4:$N$2342,$D22,'Grid Data'!$O$4:$O$2342,G$4,'Grid Data'!$M$4:$M$2342,$D$2)*100, 0)</f>
        <v>78.003599999999992</v>
      </c>
      <c r="H22" s="4">
        <f>IF(  H85&gt;$E$2, SUMIFS(IF($G$2="CPR",'Grid Data'!$V$4:$V$2342,'Grid Data'!$W$4:$W$2342),'Grid Data'!$N$4:$N$2342,$D22,'Grid Data'!$O$4:$O$2342,H$4,'Grid Data'!$M$4:$M$2342,$D$2)*100, 0)</f>
        <v>43.0505</v>
      </c>
      <c r="I22" s="4">
        <f>IF(  I85&gt;$E$2, SUMIFS(IF($G$2="CPR",'Grid Data'!$V$4:$V$2342,'Grid Data'!$W$4:$W$2342),'Grid Data'!$N$4:$N$2342,$D22,'Grid Data'!$O$4:$O$2342,I$4,'Grid Data'!$M$4:$M$2342,$D$2)*100, 0)</f>
        <v>31.770799999999998</v>
      </c>
      <c r="J22" s="4">
        <f>IF(  J85&gt;$E$2, SUMIFS(IF($G$2="CPR",'Grid Data'!$V$4:$V$2342,'Grid Data'!$W$4:$W$2342),'Grid Data'!$N$4:$N$2342,$D22,'Grid Data'!$O$4:$O$2342,J$4,'Grid Data'!$M$4:$M$2342,$D$2)*100, 0)</f>
        <v>31.509399999999999</v>
      </c>
      <c r="K22" s="4">
        <f>IF(  K85&gt;$E$2, SUMIFS(IF($G$2="CPR",'Grid Data'!$V$4:$V$2342,'Grid Data'!$W$4:$W$2342),'Grid Data'!$N$4:$N$2342,$D22,'Grid Data'!$O$4:$O$2342,K$4,'Grid Data'!$M$4:$M$2342,$D$2)*100, 0)</f>
        <v>32.111699999999999</v>
      </c>
      <c r="L22" s="4">
        <f>IF(  L85&gt;$E$2, SUMIFS(IF($G$2="CPR",'Grid Data'!$V$4:$V$2342,'Grid Data'!$W$4:$W$2342),'Grid Data'!$N$4:$N$2342,$D22,'Grid Data'!$O$4:$O$2342,L$4,'Grid Data'!$M$4:$M$2342,$D$2)*100, 0)</f>
        <v>29.012900000000002</v>
      </c>
      <c r="M22" s="4">
        <f>IF(  M85&gt;$E$2, SUMIFS(IF($G$2="CPR",'Grid Data'!$V$4:$V$2342,'Grid Data'!$W$4:$W$2342),'Grid Data'!$N$4:$N$2342,$D22,'Grid Data'!$O$4:$O$2342,M$4,'Grid Data'!$M$4:$M$2342,$D$2)*100, 0)</f>
        <v>27.913</v>
      </c>
      <c r="N22" s="4">
        <f>IF(  N85&gt;$E$2, SUMIFS(IF($G$2="CPR",'Grid Data'!$V$4:$V$2342,'Grid Data'!$W$4:$W$2342),'Grid Data'!$N$4:$N$2342,$D22,'Grid Data'!$O$4:$O$2342,N$4,'Grid Data'!$M$4:$M$2342,$D$2)*100, 0)</f>
        <v>27.455000000000002</v>
      </c>
      <c r="O22" s="4">
        <f>IF(  O85&gt;$E$2, SUMIFS(IF($G$2="CPR",'Grid Data'!$V$4:$V$2342,'Grid Data'!$W$4:$W$2342),'Grid Data'!$N$4:$N$2342,$D22,'Grid Data'!$O$4:$O$2342,O$4,'Grid Data'!$M$4:$M$2342,$D$2)*100, 0)</f>
        <v>28.798400000000001</v>
      </c>
      <c r="P22" s="4">
        <f>IF(  P85&gt;$E$2, SUMIFS(IF($G$2="CPR",'Grid Data'!$V$4:$V$2342,'Grid Data'!$W$4:$W$2342),'Grid Data'!$N$4:$N$2342,$D22,'Grid Data'!$O$4:$O$2342,P$4,'Grid Data'!$M$4:$M$2342,$D$2)*100, 0)</f>
        <v>29.462500000000002</v>
      </c>
      <c r="Q22" s="4">
        <f>IF(  Q85&gt;$E$2, SUMIFS(IF($G$2="CPR",'Grid Data'!$V$4:$V$2342,'Grid Data'!$W$4:$W$2342),'Grid Data'!$N$4:$N$2342,$D22,'Grid Data'!$O$4:$O$2342,Q$4,'Grid Data'!$M$4:$M$2342,$D$2)*100, 0)</f>
        <v>27.3049</v>
      </c>
      <c r="R22" s="4">
        <f>IF(  R85&gt;$E$2, SUMIFS(IF($G$2="CPR",'Grid Data'!$V$4:$V$2342,'Grid Data'!$W$4:$W$2342),'Grid Data'!$N$4:$N$2342,$D22,'Grid Data'!$O$4:$O$2342,R$4,'Grid Data'!$M$4:$M$2342,$D$2)*100, 0)</f>
        <v>27.686899999999998</v>
      </c>
      <c r="S22" s="4">
        <f>IF(  S85&gt;$E$2, SUMIFS(IF($G$2="CPR",'Grid Data'!$V$4:$V$2342,'Grid Data'!$W$4:$W$2342),'Grid Data'!$N$4:$N$2342,$D22,'Grid Data'!$O$4:$O$2342,S$4,'Grid Data'!$M$4:$M$2342,$D$2)*100, 0)</f>
        <v>26.807399999999998</v>
      </c>
      <c r="T22" s="4">
        <f>IF(  T85&gt;$E$2, SUMIFS(IF($G$2="CPR",'Grid Data'!$V$4:$V$2342,'Grid Data'!$W$4:$W$2342),'Grid Data'!$N$4:$N$2342,$D22,'Grid Data'!$O$4:$O$2342,T$4,'Grid Data'!$M$4:$M$2342,$D$2)*100, 0)</f>
        <v>26.352599999999999</v>
      </c>
      <c r="U22" s="4">
        <f>IF(  U85&gt;$E$2, SUMIFS(IF($G$2="CPR",'Grid Data'!$V$4:$V$2342,'Grid Data'!$W$4:$W$2342),'Grid Data'!$N$4:$N$2342,$D22,'Grid Data'!$O$4:$O$2342,U$4,'Grid Data'!$M$4:$M$2342,$D$2)*100, 0)</f>
        <v>0</v>
      </c>
      <c r="V22" s="4">
        <f>IF(  V85&gt;$E$2, SUMIFS(IF($G$2="CPR",'Grid Data'!$V$4:$V$2342,'Grid Data'!$W$4:$W$2342),'Grid Data'!$N$4:$N$2342,$D22,'Grid Data'!$O$4:$O$2342,V$4,'Grid Data'!$M$4:$M$2342,$D$2)*100, 0)</f>
        <v>0</v>
      </c>
      <c r="W22" s="4">
        <f>IF(  W85&gt;$E$2, SUMIFS(IF($G$2="CPR",'Grid Data'!$V$4:$V$2342,'Grid Data'!$W$4:$W$2342),'Grid Data'!$N$4:$N$2342,$D22,'Grid Data'!$O$4:$O$2342,W$4,'Grid Data'!$M$4:$M$2342,$D$2)*100, 0)</f>
        <v>0</v>
      </c>
      <c r="X22" s="4">
        <f>IF(  X85&gt;$E$2, SUMIFS(IF($G$2="CPR",'Grid Data'!$V$4:$V$2342,'Grid Data'!$W$4:$W$2342),'Grid Data'!$N$4:$N$2342,$D22,'Grid Data'!$O$4:$O$2342,X$4,'Grid Data'!$M$4:$M$2342,$D$2)*100, 0)</f>
        <v>0</v>
      </c>
      <c r="Y22" s="4">
        <f>IF(  Y85&gt;$E$2, SUMIFS(IF($G$2="CPR",'Grid Data'!$V$4:$V$2342,'Grid Data'!$W$4:$W$2342),'Grid Data'!$N$4:$N$2342,$D22,'Grid Data'!$O$4:$O$2342,Y$4,'Grid Data'!$M$4:$M$2342,$D$2)*100, 0)</f>
        <v>0</v>
      </c>
      <c r="Z22" s="4">
        <f>IF(  Z85&gt;$E$2, SUMIFS(IF($G$2="CPR",'Grid Data'!$V$4:$V$2342,'Grid Data'!$W$4:$W$2342),'Grid Data'!$N$4:$N$2342,$D22,'Grid Data'!$O$4:$O$2342,Z$4,'Grid Data'!$M$4:$M$2342,$D$2)*100, 0)</f>
        <v>0</v>
      </c>
      <c r="AA22" s="4">
        <f>IF(  AA85&gt;$E$2, SUMIFS(IF($G$2="CPR",'Grid Data'!$V$4:$V$2342,'Grid Data'!$W$4:$W$2342),'Grid Data'!$N$4:$N$2342,$D22,'Grid Data'!$O$4:$O$2342,AA$4,'Grid Data'!$M$4:$M$2342,$D$2)*100, 0)</f>
        <v>0</v>
      </c>
      <c r="AB22" s="4">
        <f>IF(  AB85&gt;$E$2, SUMIFS(IF($G$2="CPR",'Grid Data'!$V$4:$V$2342,'Grid Data'!$W$4:$W$2342),'Grid Data'!$N$4:$N$2342,$D22,'Grid Data'!$O$4:$O$2342,AB$4,'Grid Data'!$M$4:$M$2342,$D$2)*100, 0)</f>
        <v>0</v>
      </c>
      <c r="AC22" s="4">
        <f>IF(  AC85&gt;$E$2, SUMIFS(IF($G$2="CPR",'Grid Data'!$V$4:$V$2342,'Grid Data'!$W$4:$W$2342),'Grid Data'!$N$4:$N$2342,$D22,'Grid Data'!$O$4:$O$2342,AC$4,'Grid Data'!$M$4:$M$2342,$D$2)*100, 0)</f>
        <v>0</v>
      </c>
      <c r="AD22" s="4">
        <f>IF(  AD85&gt;$E$2, SUMIFS(IF($G$2="CPR",'Grid Data'!$V$4:$V$2342,'Grid Data'!$W$4:$W$2342),'Grid Data'!$N$4:$N$2342,$D22,'Grid Data'!$O$4:$O$2342,AD$4,'Grid Data'!$M$4:$M$2342,$D$2)*100, 0)</f>
        <v>0</v>
      </c>
      <c r="AE22" s="4">
        <f>IF(  AE85&gt;$E$2, SUMIFS(IF($G$2="CPR",'Grid Data'!$V$4:$V$2342,'Grid Data'!$W$4:$W$2342),'Grid Data'!$N$4:$N$2342,$D22,'Grid Data'!$O$4:$O$2342,AE$4,'Grid Data'!$M$4:$M$2342,$D$2)*100, 0)</f>
        <v>20.819900000000001</v>
      </c>
      <c r="AF22" s="4">
        <f>IF(  AF85&gt;$E$2, SUMIFS(IF($G$2="CPR",'Grid Data'!$V$4:$V$2342,'Grid Data'!$W$4:$W$2342),'Grid Data'!$N$4:$N$2342,$D22,'Grid Data'!$O$4:$O$2342,AF$4,'Grid Data'!$M$4:$M$2342,$D$2)*100, 0)</f>
        <v>2.8872</v>
      </c>
      <c r="AG22" s="4">
        <f>IF(  AG85&gt;$E$2, SUMIFS(IF($G$2="CPR",'Grid Data'!$V$4:$V$2342,'Grid Data'!$W$4:$W$2342),'Grid Data'!$N$4:$N$2342,$D22,'Grid Data'!$O$4:$O$2342,AG$4,'Grid Data'!$M$4:$M$2342,$D$2)*100, 0)</f>
        <v>4.7098000000000004</v>
      </c>
      <c r="AH22" s="4">
        <f>IF(  AH85&gt;$E$2, SUMIFS(IF($G$2="CPR",'Grid Data'!$V$4:$V$2342,'Grid Data'!$W$4:$W$2342),'Grid Data'!$N$4:$N$2342,$D22,'Grid Data'!$O$4:$O$2342,AH$4,'Grid Data'!$M$4:$M$2342,$D$2)*100, 0)</f>
        <v>0</v>
      </c>
    </row>
    <row r="23" spans="4:34" x14ac:dyDescent="0.35">
      <c r="D23">
        <v>6500</v>
      </c>
      <c r="E23" s="4">
        <f>IF(  E86&gt;$E$2, SUMIFS(IF($G$2="CPR",'Grid Data'!$V$4:$V$2342,'Grid Data'!$W$4:$W$2342),'Grid Data'!$N$4:$N$2342,$D23,'Grid Data'!$O$4:$O$2342,E$4,'Grid Data'!$M$4:$M$2342,$D$2)*100, 0)</f>
        <v>2.6663999999999999</v>
      </c>
      <c r="F23" s="4">
        <f>IF(  F86&gt;$E$2, SUMIFS(IF($G$2="CPR",'Grid Data'!$V$4:$V$2342,'Grid Data'!$W$4:$W$2342),'Grid Data'!$N$4:$N$2342,$D23,'Grid Data'!$O$4:$O$2342,F$4,'Grid Data'!$M$4:$M$2342,$D$2)*100, 0)</f>
        <v>3.7815000000000003</v>
      </c>
      <c r="G23" s="4">
        <f>IF(  G86&gt;$E$2, SUMIFS(IF($G$2="CPR",'Grid Data'!$V$4:$V$2342,'Grid Data'!$W$4:$W$2342),'Grid Data'!$N$4:$N$2342,$D23,'Grid Data'!$O$4:$O$2342,G$4,'Grid Data'!$M$4:$M$2342,$D$2)*100, 0)</f>
        <v>91.552599999999998</v>
      </c>
      <c r="H23" s="4">
        <f>IF(  H86&gt;$E$2, SUMIFS(IF($G$2="CPR",'Grid Data'!$V$4:$V$2342,'Grid Data'!$W$4:$W$2342),'Grid Data'!$N$4:$N$2342,$D23,'Grid Data'!$O$4:$O$2342,H$4,'Grid Data'!$M$4:$M$2342,$D$2)*100, 0)</f>
        <v>52.545400000000001</v>
      </c>
      <c r="I23" s="4">
        <f>IF(  I86&gt;$E$2, SUMIFS(IF($G$2="CPR",'Grid Data'!$V$4:$V$2342,'Grid Data'!$W$4:$W$2342),'Grid Data'!$N$4:$N$2342,$D23,'Grid Data'!$O$4:$O$2342,I$4,'Grid Data'!$M$4:$M$2342,$D$2)*100, 0)</f>
        <v>41.238700000000001</v>
      </c>
      <c r="J23" s="4">
        <f>IF(  J86&gt;$E$2, SUMIFS(IF($G$2="CPR",'Grid Data'!$V$4:$V$2342,'Grid Data'!$W$4:$W$2342),'Grid Data'!$N$4:$N$2342,$D23,'Grid Data'!$O$4:$O$2342,J$4,'Grid Data'!$M$4:$M$2342,$D$2)*100, 0)</f>
        <v>43.668700000000001</v>
      </c>
      <c r="K23" s="4">
        <f>IF(  K86&gt;$E$2, SUMIFS(IF($G$2="CPR",'Grid Data'!$V$4:$V$2342,'Grid Data'!$W$4:$W$2342),'Grid Data'!$N$4:$N$2342,$D23,'Grid Data'!$O$4:$O$2342,K$4,'Grid Data'!$M$4:$M$2342,$D$2)*100, 0)</f>
        <v>43.339399999999998</v>
      </c>
      <c r="L23" s="4">
        <f>IF(  L86&gt;$E$2, SUMIFS(IF($G$2="CPR",'Grid Data'!$V$4:$V$2342,'Grid Data'!$W$4:$W$2342),'Grid Data'!$N$4:$N$2342,$D23,'Grid Data'!$O$4:$O$2342,L$4,'Grid Data'!$M$4:$M$2342,$D$2)*100, 0)</f>
        <v>28.404299999999999</v>
      </c>
      <c r="M23" s="4">
        <f>IF(  M86&gt;$E$2, SUMIFS(IF($G$2="CPR",'Grid Data'!$V$4:$V$2342,'Grid Data'!$W$4:$W$2342),'Grid Data'!$N$4:$N$2342,$D23,'Grid Data'!$O$4:$O$2342,M$4,'Grid Data'!$M$4:$M$2342,$D$2)*100, 0)</f>
        <v>35.278599999999997</v>
      </c>
      <c r="N23" s="4">
        <f>IF(  N86&gt;$E$2, SUMIFS(IF($G$2="CPR",'Grid Data'!$V$4:$V$2342,'Grid Data'!$W$4:$W$2342),'Grid Data'!$N$4:$N$2342,$D23,'Grid Data'!$O$4:$O$2342,N$4,'Grid Data'!$M$4:$M$2342,$D$2)*100, 0)</f>
        <v>22.163699999999999</v>
      </c>
      <c r="O23" s="4">
        <f>IF(  O86&gt;$E$2, SUMIFS(IF($G$2="CPR",'Grid Data'!$V$4:$V$2342,'Grid Data'!$W$4:$W$2342),'Grid Data'!$N$4:$N$2342,$D23,'Grid Data'!$O$4:$O$2342,O$4,'Grid Data'!$M$4:$M$2342,$D$2)*100, 0)</f>
        <v>30.947700000000001</v>
      </c>
      <c r="P23" s="4">
        <f>IF(  P86&gt;$E$2, SUMIFS(IF($G$2="CPR",'Grid Data'!$V$4:$V$2342,'Grid Data'!$W$4:$W$2342),'Grid Data'!$N$4:$N$2342,$D23,'Grid Data'!$O$4:$O$2342,P$4,'Grid Data'!$M$4:$M$2342,$D$2)*100, 0)</f>
        <v>35.891500000000001</v>
      </c>
      <c r="Q23" s="4">
        <f>IF(  Q86&gt;$E$2, SUMIFS(IF($G$2="CPR",'Grid Data'!$V$4:$V$2342,'Grid Data'!$W$4:$W$2342),'Grid Data'!$N$4:$N$2342,$D23,'Grid Data'!$O$4:$O$2342,Q$4,'Grid Data'!$M$4:$M$2342,$D$2)*100, 0)</f>
        <v>32.0289</v>
      </c>
      <c r="R23" s="4">
        <f>IF(  R86&gt;$E$2, SUMIFS(IF($G$2="CPR",'Grid Data'!$V$4:$V$2342,'Grid Data'!$W$4:$W$2342),'Grid Data'!$N$4:$N$2342,$D23,'Grid Data'!$O$4:$O$2342,R$4,'Grid Data'!$M$4:$M$2342,$D$2)*100, 0)</f>
        <v>32.684999999999995</v>
      </c>
      <c r="S23" s="4">
        <f>IF(  S86&gt;$E$2, SUMIFS(IF($G$2="CPR",'Grid Data'!$V$4:$V$2342,'Grid Data'!$W$4:$W$2342),'Grid Data'!$N$4:$N$2342,$D23,'Grid Data'!$O$4:$O$2342,S$4,'Grid Data'!$M$4:$M$2342,$D$2)*100, 0)</f>
        <v>29.863600000000002</v>
      </c>
      <c r="T23" s="4">
        <f>IF(  T86&gt;$E$2, SUMIFS(IF($G$2="CPR",'Grid Data'!$V$4:$V$2342,'Grid Data'!$W$4:$W$2342),'Grid Data'!$N$4:$N$2342,$D23,'Grid Data'!$O$4:$O$2342,T$4,'Grid Data'!$M$4:$M$2342,$D$2)*100, 0)</f>
        <v>48.3093</v>
      </c>
      <c r="U23" s="4">
        <f>IF(  U86&gt;$E$2, SUMIFS(IF($G$2="CPR",'Grid Data'!$V$4:$V$2342,'Grid Data'!$W$4:$W$2342),'Grid Data'!$N$4:$N$2342,$D23,'Grid Data'!$O$4:$O$2342,U$4,'Grid Data'!$M$4:$M$2342,$D$2)*100, 0)</f>
        <v>0</v>
      </c>
      <c r="V23" s="4">
        <f>IF(  V86&gt;$E$2, SUMIFS(IF($G$2="CPR",'Grid Data'!$V$4:$V$2342,'Grid Data'!$W$4:$W$2342),'Grid Data'!$N$4:$N$2342,$D23,'Grid Data'!$O$4:$O$2342,V$4,'Grid Data'!$M$4:$M$2342,$D$2)*100, 0)</f>
        <v>0</v>
      </c>
      <c r="W23" s="4">
        <f>IF(  W86&gt;$E$2, SUMIFS(IF($G$2="CPR",'Grid Data'!$V$4:$V$2342,'Grid Data'!$W$4:$W$2342),'Grid Data'!$N$4:$N$2342,$D23,'Grid Data'!$O$4:$O$2342,W$4,'Grid Data'!$M$4:$M$2342,$D$2)*100, 0)</f>
        <v>0</v>
      </c>
      <c r="X23" s="4">
        <f>IF(  X86&gt;$E$2, SUMIFS(IF($G$2="CPR",'Grid Data'!$V$4:$V$2342,'Grid Data'!$W$4:$W$2342),'Grid Data'!$N$4:$N$2342,$D23,'Grid Data'!$O$4:$O$2342,X$4,'Grid Data'!$M$4:$M$2342,$D$2)*100, 0)</f>
        <v>0</v>
      </c>
      <c r="Y23" s="4">
        <f>IF(  Y86&gt;$E$2, SUMIFS(IF($G$2="CPR",'Grid Data'!$V$4:$V$2342,'Grid Data'!$W$4:$W$2342),'Grid Data'!$N$4:$N$2342,$D23,'Grid Data'!$O$4:$O$2342,Y$4,'Grid Data'!$M$4:$M$2342,$D$2)*100, 0)</f>
        <v>0</v>
      </c>
      <c r="Z23" s="4">
        <f>IF(  Z86&gt;$E$2, SUMIFS(IF($G$2="CPR",'Grid Data'!$V$4:$V$2342,'Grid Data'!$W$4:$W$2342),'Grid Data'!$N$4:$N$2342,$D23,'Grid Data'!$O$4:$O$2342,Z$4,'Grid Data'!$M$4:$M$2342,$D$2)*100, 0)</f>
        <v>0</v>
      </c>
      <c r="AA23" s="4">
        <f>IF(  AA86&gt;$E$2, SUMIFS(IF($G$2="CPR",'Grid Data'!$V$4:$V$2342,'Grid Data'!$W$4:$W$2342),'Grid Data'!$N$4:$N$2342,$D23,'Grid Data'!$O$4:$O$2342,AA$4,'Grid Data'!$M$4:$M$2342,$D$2)*100, 0)</f>
        <v>0</v>
      </c>
      <c r="AB23" s="4">
        <f>IF(  AB86&gt;$E$2, SUMIFS(IF($G$2="CPR",'Grid Data'!$V$4:$V$2342,'Grid Data'!$W$4:$W$2342),'Grid Data'!$N$4:$N$2342,$D23,'Grid Data'!$O$4:$O$2342,AB$4,'Grid Data'!$M$4:$M$2342,$D$2)*100, 0)</f>
        <v>0</v>
      </c>
      <c r="AC23" s="4">
        <f>IF(  AC86&gt;$E$2, SUMIFS(IF($G$2="CPR",'Grid Data'!$V$4:$V$2342,'Grid Data'!$W$4:$W$2342),'Grid Data'!$N$4:$N$2342,$D23,'Grid Data'!$O$4:$O$2342,AC$4,'Grid Data'!$M$4:$M$2342,$D$2)*100, 0)</f>
        <v>0</v>
      </c>
      <c r="AD23" s="4">
        <f>IF(  AD86&gt;$E$2, SUMIFS(IF($G$2="CPR",'Grid Data'!$V$4:$V$2342,'Grid Data'!$W$4:$W$2342),'Grid Data'!$N$4:$N$2342,$D23,'Grid Data'!$O$4:$O$2342,AD$4,'Grid Data'!$M$4:$M$2342,$D$2)*100, 0)</f>
        <v>0</v>
      </c>
      <c r="AE23" s="4">
        <f>IF(  AE86&gt;$E$2, SUMIFS(IF($G$2="CPR",'Grid Data'!$V$4:$V$2342,'Grid Data'!$W$4:$W$2342),'Grid Data'!$N$4:$N$2342,$D23,'Grid Data'!$O$4:$O$2342,AE$4,'Grid Data'!$M$4:$M$2342,$D$2)*100, 0)</f>
        <v>5.3224999999999998</v>
      </c>
      <c r="AF23" s="4">
        <f>IF(  AF86&gt;$E$2, SUMIFS(IF($G$2="CPR",'Grid Data'!$V$4:$V$2342,'Grid Data'!$W$4:$W$2342),'Grid Data'!$N$4:$N$2342,$D23,'Grid Data'!$O$4:$O$2342,AF$4,'Grid Data'!$M$4:$M$2342,$D$2)*100, 0)</f>
        <v>5.2728999999999999</v>
      </c>
      <c r="AG23" s="4">
        <f>IF(  AG86&gt;$E$2, SUMIFS(IF($G$2="CPR",'Grid Data'!$V$4:$V$2342,'Grid Data'!$W$4:$W$2342),'Grid Data'!$N$4:$N$2342,$D23,'Grid Data'!$O$4:$O$2342,AG$4,'Grid Data'!$M$4:$M$2342,$D$2)*100, 0)</f>
        <v>7.1128</v>
      </c>
      <c r="AH23" s="4">
        <f>IF(  AH86&gt;$E$2, SUMIFS(IF($G$2="CPR",'Grid Data'!$V$4:$V$2342,'Grid Data'!$W$4:$W$2342),'Grid Data'!$N$4:$N$2342,$D23,'Grid Data'!$O$4:$O$2342,AH$4,'Grid Data'!$M$4:$M$2342,$D$2)*100, 0)</f>
        <v>5.2496999999999998</v>
      </c>
    </row>
    <row r="24" spans="4:34" x14ac:dyDescent="0.35">
      <c r="D24">
        <v>6750</v>
      </c>
      <c r="E24" s="4">
        <f>IF(  E87&gt;$E$2, SUMIFS(IF($G$2="CPR",'Grid Data'!$V$4:$V$2342,'Grid Data'!$W$4:$W$2342),'Grid Data'!$N$4:$N$2342,$D24,'Grid Data'!$O$4:$O$2342,E$4,'Grid Data'!$M$4:$M$2342,$D$2)*100, 0)</f>
        <v>2.7553000000000001</v>
      </c>
      <c r="F24" s="4">
        <f>IF(  F87&gt;$E$2, SUMIFS(IF($G$2="CPR",'Grid Data'!$V$4:$V$2342,'Grid Data'!$W$4:$W$2342),'Grid Data'!$N$4:$N$2342,$D24,'Grid Data'!$O$4:$O$2342,F$4,'Grid Data'!$M$4:$M$2342,$D$2)*100, 0)</f>
        <v>5.9322999999999997</v>
      </c>
      <c r="G24" s="4">
        <f>IF(  G87&gt;$E$2, SUMIFS(IF($G$2="CPR",'Grid Data'!$V$4:$V$2342,'Grid Data'!$W$4:$W$2342),'Grid Data'!$N$4:$N$2342,$D24,'Grid Data'!$O$4:$O$2342,G$4,'Grid Data'!$M$4:$M$2342,$D$2)*100, 0)</f>
        <v>96.609300000000005</v>
      </c>
      <c r="H24" s="4">
        <f>IF(  H87&gt;$E$2, SUMIFS(IF($G$2="CPR",'Grid Data'!$V$4:$V$2342,'Grid Data'!$W$4:$W$2342),'Grid Data'!$N$4:$N$2342,$D24,'Grid Data'!$O$4:$O$2342,H$4,'Grid Data'!$M$4:$M$2342,$D$2)*100, 0)</f>
        <v>71.435900000000004</v>
      </c>
      <c r="I24" s="4">
        <f>IF(  I87&gt;$E$2, SUMIFS(IF($G$2="CPR",'Grid Data'!$V$4:$V$2342,'Grid Data'!$W$4:$W$2342),'Grid Data'!$N$4:$N$2342,$D24,'Grid Data'!$O$4:$O$2342,I$4,'Grid Data'!$M$4:$M$2342,$D$2)*100, 0)</f>
        <v>53.241799999999998</v>
      </c>
      <c r="J24" s="4">
        <f>IF(  J87&gt;$E$2, SUMIFS(IF($G$2="CPR",'Grid Data'!$V$4:$V$2342,'Grid Data'!$W$4:$W$2342),'Grid Data'!$N$4:$N$2342,$D24,'Grid Data'!$O$4:$O$2342,J$4,'Grid Data'!$M$4:$M$2342,$D$2)*100, 0)</f>
        <v>54.183400000000006</v>
      </c>
      <c r="K24" s="4">
        <f>IF(  K87&gt;$E$2, SUMIFS(IF($G$2="CPR",'Grid Data'!$V$4:$V$2342,'Grid Data'!$W$4:$W$2342),'Grid Data'!$N$4:$N$2342,$D24,'Grid Data'!$O$4:$O$2342,K$4,'Grid Data'!$M$4:$M$2342,$D$2)*100, 0)</f>
        <v>47.018700000000003</v>
      </c>
      <c r="L24" s="4">
        <f>IF(  L87&gt;$E$2, SUMIFS(IF($G$2="CPR",'Grid Data'!$V$4:$V$2342,'Grid Data'!$W$4:$W$2342),'Grid Data'!$N$4:$N$2342,$D24,'Grid Data'!$O$4:$O$2342,L$4,'Grid Data'!$M$4:$M$2342,$D$2)*100, 0)</f>
        <v>41.038899999999998</v>
      </c>
      <c r="M24" s="4">
        <f>IF(  M87&gt;$E$2, SUMIFS(IF($G$2="CPR",'Grid Data'!$V$4:$V$2342,'Grid Data'!$W$4:$W$2342),'Grid Data'!$N$4:$N$2342,$D24,'Grid Data'!$O$4:$O$2342,M$4,'Grid Data'!$M$4:$M$2342,$D$2)*100, 0)</f>
        <v>45.841000000000001</v>
      </c>
      <c r="N24" s="4">
        <f>IF(  N87&gt;$E$2, SUMIFS(IF($G$2="CPR",'Grid Data'!$V$4:$V$2342,'Grid Data'!$W$4:$W$2342),'Grid Data'!$N$4:$N$2342,$D24,'Grid Data'!$O$4:$O$2342,N$4,'Grid Data'!$M$4:$M$2342,$D$2)*100, 0)</f>
        <v>31.783099999999997</v>
      </c>
      <c r="O24" s="4">
        <f>IF(  O87&gt;$E$2, SUMIFS(IF($G$2="CPR",'Grid Data'!$V$4:$V$2342,'Grid Data'!$W$4:$W$2342),'Grid Data'!$N$4:$N$2342,$D24,'Grid Data'!$O$4:$O$2342,O$4,'Grid Data'!$M$4:$M$2342,$D$2)*100, 0)</f>
        <v>37.433699999999995</v>
      </c>
      <c r="P24" s="4">
        <f>IF(  P87&gt;$E$2, SUMIFS(IF($G$2="CPR",'Grid Data'!$V$4:$V$2342,'Grid Data'!$W$4:$W$2342),'Grid Data'!$N$4:$N$2342,$D24,'Grid Data'!$O$4:$O$2342,P$4,'Grid Data'!$M$4:$M$2342,$D$2)*100, 0)</f>
        <v>37.840000000000003</v>
      </c>
      <c r="Q24" s="4">
        <f>IF(  Q87&gt;$E$2, SUMIFS(IF($G$2="CPR",'Grid Data'!$V$4:$V$2342,'Grid Data'!$W$4:$W$2342),'Grid Data'!$N$4:$N$2342,$D24,'Grid Data'!$O$4:$O$2342,Q$4,'Grid Data'!$M$4:$M$2342,$D$2)*100, 0)</f>
        <v>34.520899999999997</v>
      </c>
      <c r="R24" s="4">
        <f>IF(  R87&gt;$E$2, SUMIFS(IF($G$2="CPR",'Grid Data'!$V$4:$V$2342,'Grid Data'!$W$4:$W$2342),'Grid Data'!$N$4:$N$2342,$D24,'Grid Data'!$O$4:$O$2342,R$4,'Grid Data'!$M$4:$M$2342,$D$2)*100, 0)</f>
        <v>34.795099999999998</v>
      </c>
      <c r="S24" s="4">
        <f>IF(  S87&gt;$E$2, SUMIFS(IF($G$2="CPR",'Grid Data'!$V$4:$V$2342,'Grid Data'!$W$4:$W$2342),'Grid Data'!$N$4:$N$2342,$D24,'Grid Data'!$O$4:$O$2342,S$4,'Grid Data'!$M$4:$M$2342,$D$2)*100, 0)</f>
        <v>31.973700000000001</v>
      </c>
      <c r="T24" s="4">
        <f>IF(  T87&gt;$E$2, SUMIFS(IF($G$2="CPR",'Grid Data'!$V$4:$V$2342,'Grid Data'!$W$4:$W$2342),'Grid Data'!$N$4:$N$2342,$D24,'Grid Data'!$O$4:$O$2342,T$4,'Grid Data'!$M$4:$M$2342,$D$2)*100, 0)</f>
        <v>20.789200000000001</v>
      </c>
      <c r="U24" s="4">
        <f>IF(  U87&gt;$E$2, SUMIFS(IF($G$2="CPR",'Grid Data'!$V$4:$V$2342,'Grid Data'!$W$4:$W$2342),'Grid Data'!$N$4:$N$2342,$D24,'Grid Data'!$O$4:$O$2342,U$4,'Grid Data'!$M$4:$M$2342,$D$2)*100, 0)</f>
        <v>0</v>
      </c>
      <c r="V24" s="4">
        <f>IF(  V87&gt;$E$2, SUMIFS(IF($G$2="CPR",'Grid Data'!$V$4:$V$2342,'Grid Data'!$W$4:$W$2342),'Grid Data'!$N$4:$N$2342,$D24,'Grid Data'!$O$4:$O$2342,V$4,'Grid Data'!$M$4:$M$2342,$D$2)*100, 0)</f>
        <v>0</v>
      </c>
      <c r="W24" s="4">
        <f>IF(  W87&gt;$E$2, SUMIFS(IF($G$2="CPR",'Grid Data'!$V$4:$V$2342,'Grid Data'!$W$4:$W$2342),'Grid Data'!$N$4:$N$2342,$D24,'Grid Data'!$O$4:$O$2342,W$4,'Grid Data'!$M$4:$M$2342,$D$2)*100, 0)</f>
        <v>0</v>
      </c>
      <c r="X24" s="4">
        <f>IF(  X87&gt;$E$2, SUMIFS(IF($G$2="CPR",'Grid Data'!$V$4:$V$2342,'Grid Data'!$W$4:$W$2342),'Grid Data'!$N$4:$N$2342,$D24,'Grid Data'!$O$4:$O$2342,X$4,'Grid Data'!$M$4:$M$2342,$D$2)*100, 0)</f>
        <v>0</v>
      </c>
      <c r="Y24" s="4">
        <f>IF(  Y87&gt;$E$2, SUMIFS(IF($G$2="CPR",'Grid Data'!$V$4:$V$2342,'Grid Data'!$W$4:$W$2342),'Grid Data'!$N$4:$N$2342,$D24,'Grid Data'!$O$4:$O$2342,Y$4,'Grid Data'!$M$4:$M$2342,$D$2)*100, 0)</f>
        <v>0</v>
      </c>
      <c r="Z24" s="4">
        <f>IF(  Z87&gt;$E$2, SUMIFS(IF($G$2="CPR",'Grid Data'!$V$4:$V$2342,'Grid Data'!$W$4:$W$2342),'Grid Data'!$N$4:$N$2342,$D24,'Grid Data'!$O$4:$O$2342,Z$4,'Grid Data'!$M$4:$M$2342,$D$2)*100, 0)</f>
        <v>0</v>
      </c>
      <c r="AA24" s="4">
        <f>IF(  AA87&gt;$E$2, SUMIFS(IF($G$2="CPR",'Grid Data'!$V$4:$V$2342,'Grid Data'!$W$4:$W$2342),'Grid Data'!$N$4:$N$2342,$D24,'Grid Data'!$O$4:$O$2342,AA$4,'Grid Data'!$M$4:$M$2342,$D$2)*100, 0)</f>
        <v>0</v>
      </c>
      <c r="AB24" s="4">
        <f>IF(  AB87&gt;$E$2, SUMIFS(IF($G$2="CPR",'Grid Data'!$V$4:$V$2342,'Grid Data'!$W$4:$W$2342),'Grid Data'!$N$4:$N$2342,$D24,'Grid Data'!$O$4:$O$2342,AB$4,'Grid Data'!$M$4:$M$2342,$D$2)*100, 0)</f>
        <v>0</v>
      </c>
      <c r="AC24" s="4">
        <f>IF(  AC87&gt;$E$2, SUMIFS(IF($G$2="CPR",'Grid Data'!$V$4:$V$2342,'Grid Data'!$W$4:$W$2342),'Grid Data'!$N$4:$N$2342,$D24,'Grid Data'!$O$4:$O$2342,AC$4,'Grid Data'!$M$4:$M$2342,$D$2)*100, 0)</f>
        <v>0</v>
      </c>
      <c r="AD24" s="4">
        <f>IF(  AD87&gt;$E$2, SUMIFS(IF($G$2="CPR",'Grid Data'!$V$4:$V$2342,'Grid Data'!$W$4:$W$2342),'Grid Data'!$N$4:$N$2342,$D24,'Grid Data'!$O$4:$O$2342,AD$4,'Grid Data'!$M$4:$M$2342,$D$2)*100, 0)</f>
        <v>0</v>
      </c>
      <c r="AE24" s="4">
        <f>IF(  AE87&gt;$E$2, SUMIFS(IF($G$2="CPR",'Grid Data'!$V$4:$V$2342,'Grid Data'!$W$4:$W$2342),'Grid Data'!$N$4:$N$2342,$D24,'Grid Data'!$O$4:$O$2342,AE$4,'Grid Data'!$M$4:$M$2342,$D$2)*100, 0)</f>
        <v>0</v>
      </c>
      <c r="AF24" s="4">
        <f>IF(  AF87&gt;$E$2, SUMIFS(IF($G$2="CPR",'Grid Data'!$V$4:$V$2342,'Grid Data'!$W$4:$W$2342),'Grid Data'!$N$4:$N$2342,$D24,'Grid Data'!$O$4:$O$2342,AF$4,'Grid Data'!$M$4:$M$2342,$D$2)*100, 0)</f>
        <v>2.4535999999999998</v>
      </c>
      <c r="AG24" s="4">
        <f>IF(  AG87&gt;$E$2, SUMIFS(IF($G$2="CPR",'Grid Data'!$V$4:$V$2342,'Grid Data'!$W$4:$W$2342),'Grid Data'!$N$4:$N$2342,$D24,'Grid Data'!$O$4:$O$2342,AG$4,'Grid Data'!$M$4:$M$2342,$D$2)*100, 0)</f>
        <v>15.692999999999998</v>
      </c>
      <c r="AH24" s="4">
        <f>IF(  AH87&gt;$E$2, SUMIFS(IF($G$2="CPR",'Grid Data'!$V$4:$V$2342,'Grid Data'!$W$4:$W$2342),'Grid Data'!$N$4:$N$2342,$D24,'Grid Data'!$O$4:$O$2342,AH$4,'Grid Data'!$M$4:$M$2342,$D$2)*100, 0)</f>
        <v>5.2336999999999998</v>
      </c>
    </row>
    <row r="25" spans="4:34" x14ac:dyDescent="0.35">
      <c r="D25">
        <v>7000</v>
      </c>
      <c r="E25" s="4">
        <f>IF(  E88&gt;$E$2, SUMIFS(IF($G$2="CPR",'Grid Data'!$V$4:$V$2342,'Grid Data'!$W$4:$W$2342),'Grid Data'!$N$4:$N$2342,$D25,'Grid Data'!$O$4:$O$2342,E$4,'Grid Data'!$M$4:$M$2342,$D$2)*100, 0)</f>
        <v>3.9432</v>
      </c>
      <c r="F25" s="4">
        <f>IF(  F88&gt;$E$2, SUMIFS(IF($G$2="CPR",'Grid Data'!$V$4:$V$2342,'Grid Data'!$W$4:$W$2342),'Grid Data'!$N$4:$N$2342,$D25,'Grid Data'!$O$4:$O$2342,F$4,'Grid Data'!$M$4:$M$2342,$D$2)*100, 0)</f>
        <v>3.903</v>
      </c>
      <c r="G25" s="4">
        <f>IF(  G88&gt;$E$2, SUMIFS(IF($G$2="CPR",'Grid Data'!$V$4:$V$2342,'Grid Data'!$W$4:$W$2342),'Grid Data'!$N$4:$N$2342,$D25,'Grid Data'!$O$4:$O$2342,G$4,'Grid Data'!$M$4:$M$2342,$D$2)*100, 0)</f>
        <v>99.458699999999993</v>
      </c>
      <c r="H25" s="4">
        <f>IF(  H88&gt;$E$2, SUMIFS(IF($G$2="CPR",'Grid Data'!$V$4:$V$2342,'Grid Data'!$W$4:$W$2342),'Grid Data'!$N$4:$N$2342,$D25,'Grid Data'!$O$4:$O$2342,H$4,'Grid Data'!$M$4:$M$2342,$D$2)*100, 0)</f>
        <v>78.2042</v>
      </c>
      <c r="I25" s="4">
        <f>IF(  I88&gt;$E$2, SUMIFS(IF($G$2="CPR",'Grid Data'!$V$4:$V$2342,'Grid Data'!$W$4:$W$2342),'Grid Data'!$N$4:$N$2342,$D25,'Grid Data'!$O$4:$O$2342,I$4,'Grid Data'!$M$4:$M$2342,$D$2)*100, 0)</f>
        <v>65.169799999999995</v>
      </c>
      <c r="J25" s="4">
        <f>IF(  J88&gt;$E$2, SUMIFS(IF($G$2="CPR",'Grid Data'!$V$4:$V$2342,'Grid Data'!$W$4:$W$2342),'Grid Data'!$N$4:$N$2342,$D25,'Grid Data'!$O$4:$O$2342,J$4,'Grid Data'!$M$4:$M$2342,$D$2)*100, 0)</f>
        <v>58.940899999999999</v>
      </c>
      <c r="K25" s="4">
        <f>IF(  K88&gt;$E$2, SUMIFS(IF($G$2="CPR",'Grid Data'!$V$4:$V$2342,'Grid Data'!$W$4:$W$2342),'Grid Data'!$N$4:$N$2342,$D25,'Grid Data'!$O$4:$O$2342,K$4,'Grid Data'!$M$4:$M$2342,$D$2)*100, 0)</f>
        <v>59.050699999999999</v>
      </c>
      <c r="L25" s="4">
        <f>IF(  L88&gt;$E$2, SUMIFS(IF($G$2="CPR",'Grid Data'!$V$4:$V$2342,'Grid Data'!$W$4:$W$2342),'Grid Data'!$N$4:$N$2342,$D25,'Grid Data'!$O$4:$O$2342,L$4,'Grid Data'!$M$4:$M$2342,$D$2)*100, 0)</f>
        <v>45.655900000000003</v>
      </c>
      <c r="M25" s="4">
        <f>IF(  M88&gt;$E$2, SUMIFS(IF($G$2="CPR",'Grid Data'!$V$4:$V$2342,'Grid Data'!$W$4:$W$2342),'Grid Data'!$N$4:$N$2342,$D25,'Grid Data'!$O$4:$O$2342,M$4,'Grid Data'!$M$4:$M$2342,$D$2)*100, 0)</f>
        <v>40.807300000000005</v>
      </c>
      <c r="N25" s="4">
        <f>IF(  N88&gt;$E$2, SUMIFS(IF($G$2="CPR",'Grid Data'!$V$4:$V$2342,'Grid Data'!$W$4:$W$2342),'Grid Data'!$N$4:$N$2342,$D25,'Grid Data'!$O$4:$O$2342,N$4,'Grid Data'!$M$4:$M$2342,$D$2)*100, 0)</f>
        <v>56.997399999999999</v>
      </c>
      <c r="O25" s="4">
        <f>IF(  O88&gt;$E$2, SUMIFS(IF($G$2="CPR",'Grid Data'!$V$4:$V$2342,'Grid Data'!$W$4:$W$2342),'Grid Data'!$N$4:$N$2342,$D25,'Grid Data'!$O$4:$O$2342,O$4,'Grid Data'!$M$4:$M$2342,$D$2)*100, 0)</f>
        <v>40.088900000000002</v>
      </c>
      <c r="P25" s="4">
        <f>IF(  P88&gt;$E$2, SUMIFS(IF($G$2="CPR",'Grid Data'!$V$4:$V$2342,'Grid Data'!$W$4:$W$2342),'Grid Data'!$N$4:$N$2342,$D25,'Grid Data'!$O$4:$O$2342,P$4,'Grid Data'!$M$4:$M$2342,$D$2)*100, 0)</f>
        <v>42.761400000000002</v>
      </c>
      <c r="Q25" s="4">
        <f>IF(  Q88&gt;$E$2, SUMIFS(IF($G$2="CPR",'Grid Data'!$V$4:$V$2342,'Grid Data'!$W$4:$W$2342),'Grid Data'!$N$4:$N$2342,$D25,'Grid Data'!$O$4:$O$2342,Q$4,'Grid Data'!$M$4:$M$2342,$D$2)*100, 0)</f>
        <v>38.1721</v>
      </c>
      <c r="R25" s="4">
        <f>IF(  R88&gt;$E$2, SUMIFS(IF($G$2="CPR",'Grid Data'!$V$4:$V$2342,'Grid Data'!$W$4:$W$2342),'Grid Data'!$N$4:$N$2342,$D25,'Grid Data'!$O$4:$O$2342,R$4,'Grid Data'!$M$4:$M$2342,$D$2)*100, 0)</f>
        <v>29.819099999999999</v>
      </c>
      <c r="S25" s="4">
        <f>IF(  S88&gt;$E$2, SUMIFS(IF($G$2="CPR",'Grid Data'!$V$4:$V$2342,'Grid Data'!$W$4:$W$2342),'Grid Data'!$N$4:$N$2342,$D25,'Grid Data'!$O$4:$O$2342,S$4,'Grid Data'!$M$4:$M$2342,$D$2)*100, 0)</f>
        <v>36.406300000000002</v>
      </c>
      <c r="T25" s="4">
        <f>IF(  T88&gt;$E$2, SUMIFS(IF($G$2="CPR",'Grid Data'!$V$4:$V$2342,'Grid Data'!$W$4:$W$2342),'Grid Data'!$N$4:$N$2342,$D25,'Grid Data'!$O$4:$O$2342,T$4,'Grid Data'!$M$4:$M$2342,$D$2)*100, 0)</f>
        <v>0</v>
      </c>
      <c r="U25" s="4">
        <f>IF(  U88&gt;$E$2, SUMIFS(IF($G$2="CPR",'Grid Data'!$V$4:$V$2342,'Grid Data'!$W$4:$W$2342),'Grid Data'!$N$4:$N$2342,$D25,'Grid Data'!$O$4:$O$2342,U$4,'Grid Data'!$M$4:$M$2342,$D$2)*100, 0)</f>
        <v>0</v>
      </c>
      <c r="V25" s="4">
        <f>IF(  V88&gt;$E$2, SUMIFS(IF($G$2="CPR",'Grid Data'!$V$4:$V$2342,'Grid Data'!$W$4:$W$2342),'Grid Data'!$N$4:$N$2342,$D25,'Grid Data'!$O$4:$O$2342,V$4,'Grid Data'!$M$4:$M$2342,$D$2)*100, 0)</f>
        <v>0</v>
      </c>
      <c r="W25" s="4">
        <f>IF(  W88&gt;$E$2, SUMIFS(IF($G$2="CPR",'Grid Data'!$V$4:$V$2342,'Grid Data'!$W$4:$W$2342),'Grid Data'!$N$4:$N$2342,$D25,'Grid Data'!$O$4:$O$2342,W$4,'Grid Data'!$M$4:$M$2342,$D$2)*100, 0)</f>
        <v>0</v>
      </c>
      <c r="X25" s="4">
        <f>IF(  X88&gt;$E$2, SUMIFS(IF($G$2="CPR",'Grid Data'!$V$4:$V$2342,'Grid Data'!$W$4:$W$2342),'Grid Data'!$N$4:$N$2342,$D25,'Grid Data'!$O$4:$O$2342,X$4,'Grid Data'!$M$4:$M$2342,$D$2)*100, 0)</f>
        <v>0</v>
      </c>
      <c r="Y25" s="4">
        <f>IF(  Y88&gt;$E$2, SUMIFS(IF($G$2="CPR",'Grid Data'!$V$4:$V$2342,'Grid Data'!$W$4:$W$2342),'Grid Data'!$N$4:$N$2342,$D25,'Grid Data'!$O$4:$O$2342,Y$4,'Grid Data'!$M$4:$M$2342,$D$2)*100, 0)</f>
        <v>0</v>
      </c>
      <c r="Z25" s="4">
        <f>IF(  Z88&gt;$E$2, SUMIFS(IF($G$2="CPR",'Grid Data'!$V$4:$V$2342,'Grid Data'!$W$4:$W$2342),'Grid Data'!$N$4:$N$2342,$D25,'Grid Data'!$O$4:$O$2342,Z$4,'Grid Data'!$M$4:$M$2342,$D$2)*100, 0)</f>
        <v>0</v>
      </c>
      <c r="AA25" s="4">
        <f>IF(  AA88&gt;$E$2, SUMIFS(IF($G$2="CPR",'Grid Data'!$V$4:$V$2342,'Grid Data'!$W$4:$W$2342),'Grid Data'!$N$4:$N$2342,$D25,'Grid Data'!$O$4:$O$2342,AA$4,'Grid Data'!$M$4:$M$2342,$D$2)*100, 0)</f>
        <v>0</v>
      </c>
      <c r="AB25" s="4">
        <f>IF(  AB88&gt;$E$2, SUMIFS(IF($G$2="CPR",'Grid Data'!$V$4:$V$2342,'Grid Data'!$W$4:$W$2342),'Grid Data'!$N$4:$N$2342,$D25,'Grid Data'!$O$4:$O$2342,AB$4,'Grid Data'!$M$4:$M$2342,$D$2)*100, 0)</f>
        <v>0</v>
      </c>
      <c r="AC25" s="4">
        <f>IF(  AC88&gt;$E$2, SUMIFS(IF($G$2="CPR",'Grid Data'!$V$4:$V$2342,'Grid Data'!$W$4:$W$2342),'Grid Data'!$N$4:$N$2342,$D25,'Grid Data'!$O$4:$O$2342,AC$4,'Grid Data'!$M$4:$M$2342,$D$2)*100, 0)</f>
        <v>0</v>
      </c>
      <c r="AD25" s="4">
        <f>IF(  AD88&gt;$E$2, SUMIFS(IF($G$2="CPR",'Grid Data'!$V$4:$V$2342,'Grid Data'!$W$4:$W$2342),'Grid Data'!$N$4:$N$2342,$D25,'Grid Data'!$O$4:$O$2342,AD$4,'Grid Data'!$M$4:$M$2342,$D$2)*100, 0)</f>
        <v>0</v>
      </c>
      <c r="AE25" s="4">
        <f>IF(  AE88&gt;$E$2, SUMIFS(IF($G$2="CPR",'Grid Data'!$V$4:$V$2342,'Grid Data'!$W$4:$W$2342),'Grid Data'!$N$4:$N$2342,$D25,'Grid Data'!$O$4:$O$2342,AE$4,'Grid Data'!$M$4:$M$2342,$D$2)*100, 0)</f>
        <v>0</v>
      </c>
      <c r="AF25" s="4">
        <f>IF(  AF88&gt;$E$2, SUMIFS(IF($G$2="CPR",'Grid Data'!$V$4:$V$2342,'Grid Data'!$W$4:$W$2342),'Grid Data'!$N$4:$N$2342,$D25,'Grid Data'!$O$4:$O$2342,AF$4,'Grid Data'!$M$4:$M$2342,$D$2)*100, 0)</f>
        <v>17.301300000000001</v>
      </c>
      <c r="AG25" s="4">
        <f>IF(  AG88&gt;$E$2, SUMIFS(IF($G$2="CPR",'Grid Data'!$V$4:$V$2342,'Grid Data'!$W$4:$W$2342),'Grid Data'!$N$4:$N$2342,$D25,'Grid Data'!$O$4:$O$2342,AG$4,'Grid Data'!$M$4:$M$2342,$D$2)*100, 0)</f>
        <v>4.5220000000000002</v>
      </c>
      <c r="AH25" s="4">
        <f>IF(  AH88&gt;$E$2, SUMIFS(IF($G$2="CPR",'Grid Data'!$V$4:$V$2342,'Grid Data'!$W$4:$W$2342),'Grid Data'!$N$4:$N$2342,$D25,'Grid Data'!$O$4:$O$2342,AH$4,'Grid Data'!$M$4:$M$2342,$D$2)*100, 0)</f>
        <v>8.9726999999999997</v>
      </c>
    </row>
    <row r="26" spans="4:34" x14ac:dyDescent="0.35">
      <c r="D26">
        <v>7250</v>
      </c>
      <c r="E26" s="4">
        <f>IF(  E89&gt;$E$2, SUMIFS(IF($G$2="CPR",'Grid Data'!$V$4:$V$2342,'Grid Data'!$W$4:$W$2342),'Grid Data'!$N$4:$N$2342,$D26,'Grid Data'!$O$4:$O$2342,E$4,'Grid Data'!$M$4:$M$2342,$D$2)*100, 0)</f>
        <v>9.7080000000000002</v>
      </c>
      <c r="F26" s="4">
        <f>IF(  F89&gt;$E$2, SUMIFS(IF($G$2="CPR",'Grid Data'!$V$4:$V$2342,'Grid Data'!$W$4:$W$2342),'Grid Data'!$N$4:$N$2342,$D26,'Grid Data'!$O$4:$O$2342,F$4,'Grid Data'!$M$4:$M$2342,$D$2)*100, 0)</f>
        <v>8.2138000000000009</v>
      </c>
      <c r="G26" s="4">
        <f>IF(  G89&gt;$E$2, SUMIFS(IF($G$2="CPR",'Grid Data'!$V$4:$V$2342,'Grid Data'!$W$4:$W$2342),'Grid Data'!$N$4:$N$2342,$D26,'Grid Data'!$O$4:$O$2342,G$4,'Grid Data'!$M$4:$M$2342,$D$2)*100, 0)</f>
        <v>99.9255</v>
      </c>
      <c r="H26" s="4">
        <f>IF(  H89&gt;$E$2, SUMIFS(IF($G$2="CPR",'Grid Data'!$V$4:$V$2342,'Grid Data'!$W$4:$W$2342),'Grid Data'!$N$4:$N$2342,$D26,'Grid Data'!$O$4:$O$2342,H$4,'Grid Data'!$M$4:$M$2342,$D$2)*100, 0)</f>
        <v>87.467399999999998</v>
      </c>
      <c r="I26" s="4">
        <f>IF(  I89&gt;$E$2, SUMIFS(IF($G$2="CPR",'Grid Data'!$V$4:$V$2342,'Grid Data'!$W$4:$W$2342),'Grid Data'!$N$4:$N$2342,$D26,'Grid Data'!$O$4:$O$2342,I$4,'Grid Data'!$M$4:$M$2342,$D$2)*100, 0)</f>
        <v>69.291600000000003</v>
      </c>
      <c r="J26" s="4">
        <f>IF(  J89&gt;$E$2, SUMIFS(IF($G$2="CPR",'Grid Data'!$V$4:$V$2342,'Grid Data'!$W$4:$W$2342),'Grid Data'!$N$4:$N$2342,$D26,'Grid Data'!$O$4:$O$2342,J$4,'Grid Data'!$M$4:$M$2342,$D$2)*100, 0)</f>
        <v>66.015900000000002</v>
      </c>
      <c r="K26" s="4">
        <f>IF(  K89&gt;$E$2, SUMIFS(IF($G$2="CPR",'Grid Data'!$V$4:$V$2342,'Grid Data'!$W$4:$W$2342),'Grid Data'!$N$4:$N$2342,$D26,'Grid Data'!$O$4:$O$2342,K$4,'Grid Data'!$M$4:$M$2342,$D$2)*100, 0)</f>
        <v>54.382399999999997</v>
      </c>
      <c r="L26" s="4">
        <f>IF(  L89&gt;$E$2, SUMIFS(IF($G$2="CPR",'Grid Data'!$V$4:$V$2342,'Grid Data'!$W$4:$W$2342),'Grid Data'!$N$4:$N$2342,$D26,'Grid Data'!$O$4:$O$2342,L$4,'Grid Data'!$M$4:$M$2342,$D$2)*100, 0)</f>
        <v>59.472899999999996</v>
      </c>
      <c r="M26" s="4">
        <f>IF(  M89&gt;$E$2, SUMIFS(IF($G$2="CPR",'Grid Data'!$V$4:$V$2342,'Grid Data'!$W$4:$W$2342),'Grid Data'!$N$4:$N$2342,$D26,'Grid Data'!$O$4:$O$2342,M$4,'Grid Data'!$M$4:$M$2342,$D$2)*100, 0)</f>
        <v>44.036500000000004</v>
      </c>
      <c r="N26" s="4">
        <f>IF(  N89&gt;$E$2, SUMIFS(IF($G$2="CPR",'Grid Data'!$V$4:$V$2342,'Grid Data'!$W$4:$W$2342),'Grid Data'!$N$4:$N$2342,$D26,'Grid Data'!$O$4:$O$2342,N$4,'Grid Data'!$M$4:$M$2342,$D$2)*100, 0)</f>
        <v>67.118399999999994</v>
      </c>
      <c r="O26" s="4">
        <f>IF(  O89&gt;$E$2, SUMIFS(IF($G$2="CPR",'Grid Data'!$V$4:$V$2342,'Grid Data'!$W$4:$W$2342),'Grid Data'!$N$4:$N$2342,$D26,'Grid Data'!$O$4:$O$2342,O$4,'Grid Data'!$M$4:$M$2342,$D$2)*100, 0)</f>
        <v>35.262500000000003</v>
      </c>
      <c r="P26" s="4">
        <f>IF(  P89&gt;$E$2, SUMIFS(IF($G$2="CPR",'Grid Data'!$V$4:$V$2342,'Grid Data'!$W$4:$W$2342),'Grid Data'!$N$4:$N$2342,$D26,'Grid Data'!$O$4:$O$2342,P$4,'Grid Data'!$M$4:$M$2342,$D$2)*100, 0)</f>
        <v>45.716200000000001</v>
      </c>
      <c r="Q26" s="4">
        <f>IF(  Q89&gt;$E$2, SUMIFS(IF($G$2="CPR",'Grid Data'!$V$4:$V$2342,'Grid Data'!$W$4:$W$2342),'Grid Data'!$N$4:$N$2342,$D26,'Grid Data'!$O$4:$O$2342,Q$4,'Grid Data'!$M$4:$M$2342,$D$2)*100, 0)</f>
        <v>41.497799999999998</v>
      </c>
      <c r="R26" s="4">
        <f>IF(  R89&gt;$E$2, SUMIFS(IF($G$2="CPR",'Grid Data'!$V$4:$V$2342,'Grid Data'!$W$4:$W$2342),'Grid Data'!$N$4:$N$2342,$D26,'Grid Data'!$O$4:$O$2342,R$4,'Grid Data'!$M$4:$M$2342,$D$2)*100, 0)</f>
        <v>38.107400000000005</v>
      </c>
      <c r="S26" s="4">
        <f>IF(  S89&gt;$E$2, SUMIFS(IF($G$2="CPR",'Grid Data'!$V$4:$V$2342,'Grid Data'!$W$4:$W$2342),'Grid Data'!$N$4:$N$2342,$D26,'Grid Data'!$O$4:$O$2342,S$4,'Grid Data'!$M$4:$M$2342,$D$2)*100, 0)</f>
        <v>38.99</v>
      </c>
      <c r="T26" s="4">
        <f>IF(  T89&gt;$E$2, SUMIFS(IF($G$2="CPR",'Grid Data'!$V$4:$V$2342,'Grid Data'!$W$4:$W$2342),'Grid Data'!$N$4:$N$2342,$D26,'Grid Data'!$O$4:$O$2342,T$4,'Grid Data'!$M$4:$M$2342,$D$2)*100, 0)</f>
        <v>0</v>
      </c>
      <c r="U26" s="4">
        <f>IF(  U89&gt;$E$2, SUMIFS(IF($G$2="CPR",'Grid Data'!$V$4:$V$2342,'Grid Data'!$W$4:$W$2342),'Grid Data'!$N$4:$N$2342,$D26,'Grid Data'!$O$4:$O$2342,U$4,'Grid Data'!$M$4:$M$2342,$D$2)*100, 0)</f>
        <v>0</v>
      </c>
      <c r="V26" s="4">
        <f>IF(  V89&gt;$E$2, SUMIFS(IF($G$2="CPR",'Grid Data'!$V$4:$V$2342,'Grid Data'!$W$4:$W$2342),'Grid Data'!$N$4:$N$2342,$D26,'Grid Data'!$O$4:$O$2342,V$4,'Grid Data'!$M$4:$M$2342,$D$2)*100, 0)</f>
        <v>0</v>
      </c>
      <c r="W26" s="4">
        <f>IF(  W89&gt;$E$2, SUMIFS(IF($G$2="CPR",'Grid Data'!$V$4:$V$2342,'Grid Data'!$W$4:$W$2342),'Grid Data'!$N$4:$N$2342,$D26,'Grid Data'!$O$4:$O$2342,W$4,'Grid Data'!$M$4:$M$2342,$D$2)*100, 0)</f>
        <v>0</v>
      </c>
      <c r="X26" s="4">
        <f>IF(  X89&gt;$E$2, SUMIFS(IF($G$2="CPR",'Grid Data'!$V$4:$V$2342,'Grid Data'!$W$4:$W$2342),'Grid Data'!$N$4:$N$2342,$D26,'Grid Data'!$O$4:$O$2342,X$4,'Grid Data'!$M$4:$M$2342,$D$2)*100, 0)</f>
        <v>0</v>
      </c>
      <c r="Y26" s="4">
        <f>IF(  Y89&gt;$E$2, SUMIFS(IF($G$2="CPR",'Grid Data'!$V$4:$V$2342,'Grid Data'!$W$4:$W$2342),'Grid Data'!$N$4:$N$2342,$D26,'Grid Data'!$O$4:$O$2342,Y$4,'Grid Data'!$M$4:$M$2342,$D$2)*100, 0)</f>
        <v>0</v>
      </c>
      <c r="Z26" s="4">
        <f>IF(  Z89&gt;$E$2, SUMIFS(IF($G$2="CPR",'Grid Data'!$V$4:$V$2342,'Grid Data'!$W$4:$W$2342),'Grid Data'!$N$4:$N$2342,$D26,'Grid Data'!$O$4:$O$2342,Z$4,'Grid Data'!$M$4:$M$2342,$D$2)*100, 0)</f>
        <v>0</v>
      </c>
      <c r="AA26" s="4">
        <f>IF(  AA89&gt;$E$2, SUMIFS(IF($G$2="CPR",'Grid Data'!$V$4:$V$2342,'Grid Data'!$W$4:$W$2342),'Grid Data'!$N$4:$N$2342,$D26,'Grid Data'!$O$4:$O$2342,AA$4,'Grid Data'!$M$4:$M$2342,$D$2)*100, 0)</f>
        <v>0</v>
      </c>
      <c r="AB26" s="4">
        <f>IF(  AB89&gt;$E$2, SUMIFS(IF($G$2="CPR",'Grid Data'!$V$4:$V$2342,'Grid Data'!$W$4:$W$2342),'Grid Data'!$N$4:$N$2342,$D26,'Grid Data'!$O$4:$O$2342,AB$4,'Grid Data'!$M$4:$M$2342,$D$2)*100, 0)</f>
        <v>0</v>
      </c>
      <c r="AC26" s="4">
        <f>IF(  AC89&gt;$E$2, SUMIFS(IF($G$2="CPR",'Grid Data'!$V$4:$V$2342,'Grid Data'!$W$4:$W$2342),'Grid Data'!$N$4:$N$2342,$D26,'Grid Data'!$O$4:$O$2342,AC$4,'Grid Data'!$M$4:$M$2342,$D$2)*100, 0)</f>
        <v>0</v>
      </c>
      <c r="AD26" s="4">
        <f>IF(  AD89&gt;$E$2, SUMIFS(IF($G$2="CPR",'Grid Data'!$V$4:$V$2342,'Grid Data'!$W$4:$W$2342),'Grid Data'!$N$4:$N$2342,$D26,'Grid Data'!$O$4:$O$2342,AD$4,'Grid Data'!$M$4:$M$2342,$D$2)*100, 0)</f>
        <v>0</v>
      </c>
      <c r="AE26" s="4">
        <f>IF(  AE89&gt;$E$2, SUMIFS(IF($G$2="CPR",'Grid Data'!$V$4:$V$2342,'Grid Data'!$W$4:$W$2342),'Grid Data'!$N$4:$N$2342,$D26,'Grid Data'!$O$4:$O$2342,AE$4,'Grid Data'!$M$4:$M$2342,$D$2)*100, 0)</f>
        <v>0</v>
      </c>
      <c r="AF26" s="4">
        <f>IF(  AF89&gt;$E$2, SUMIFS(IF($G$2="CPR",'Grid Data'!$V$4:$V$2342,'Grid Data'!$W$4:$W$2342),'Grid Data'!$N$4:$N$2342,$D26,'Grid Data'!$O$4:$O$2342,AF$4,'Grid Data'!$M$4:$M$2342,$D$2)*100, 0)</f>
        <v>0</v>
      </c>
      <c r="AG26" s="4">
        <f>IF(  AG89&gt;$E$2, SUMIFS(IF($G$2="CPR",'Grid Data'!$V$4:$V$2342,'Grid Data'!$W$4:$W$2342),'Grid Data'!$N$4:$N$2342,$D26,'Grid Data'!$O$4:$O$2342,AG$4,'Grid Data'!$M$4:$M$2342,$D$2)*100, 0)</f>
        <v>1.8905000000000001</v>
      </c>
      <c r="AH26" s="4">
        <f>IF(  AH89&gt;$E$2, SUMIFS(IF($G$2="CPR",'Grid Data'!$V$4:$V$2342,'Grid Data'!$W$4:$W$2342),'Grid Data'!$N$4:$N$2342,$D26,'Grid Data'!$O$4:$O$2342,AH$4,'Grid Data'!$M$4:$M$2342,$D$2)*100, 0)</f>
        <v>13.559899999999999</v>
      </c>
    </row>
    <row r="27" spans="4:34" x14ac:dyDescent="0.35">
      <c r="D27">
        <v>7500</v>
      </c>
      <c r="E27" s="4">
        <f>IF(  E90&gt;$E$2, SUMIFS(IF($G$2="CPR",'Grid Data'!$V$4:$V$2342,'Grid Data'!$W$4:$W$2342),'Grid Data'!$N$4:$N$2342,$D27,'Grid Data'!$O$4:$O$2342,E$4,'Grid Data'!$M$4:$M$2342,$D$2)*100, 0)</f>
        <v>26.027000000000001</v>
      </c>
      <c r="F27" s="4">
        <f>IF(  F90&gt;$E$2, SUMIFS(IF($G$2="CPR",'Grid Data'!$V$4:$V$2342,'Grid Data'!$W$4:$W$2342),'Grid Data'!$N$4:$N$2342,$D27,'Grid Data'!$O$4:$O$2342,F$4,'Grid Data'!$M$4:$M$2342,$D$2)*100, 0)</f>
        <v>23.197000000000003</v>
      </c>
      <c r="G27" s="4">
        <f>IF(  G90&gt;$E$2, SUMIFS(IF($G$2="CPR",'Grid Data'!$V$4:$V$2342,'Grid Data'!$W$4:$W$2342),'Grid Data'!$N$4:$N$2342,$D27,'Grid Data'!$O$4:$O$2342,G$4,'Grid Data'!$M$4:$M$2342,$D$2)*100, 0)</f>
        <v>99.99860000000001</v>
      </c>
      <c r="H27" s="4">
        <f>IF(  H90&gt;$E$2, SUMIFS(IF($G$2="CPR",'Grid Data'!$V$4:$V$2342,'Grid Data'!$W$4:$W$2342),'Grid Data'!$N$4:$N$2342,$D27,'Grid Data'!$O$4:$O$2342,H$4,'Grid Data'!$M$4:$M$2342,$D$2)*100, 0)</f>
        <v>93.484999999999999</v>
      </c>
      <c r="I27" s="4">
        <f>IF(  I90&gt;$E$2, SUMIFS(IF($G$2="CPR",'Grid Data'!$V$4:$V$2342,'Grid Data'!$W$4:$W$2342),'Grid Data'!$N$4:$N$2342,$D27,'Grid Data'!$O$4:$O$2342,I$4,'Grid Data'!$M$4:$M$2342,$D$2)*100, 0)</f>
        <v>56.844999999999999</v>
      </c>
      <c r="J27" s="4">
        <f>IF(  J90&gt;$E$2, SUMIFS(IF($G$2="CPR",'Grid Data'!$V$4:$V$2342,'Grid Data'!$W$4:$W$2342),'Grid Data'!$N$4:$N$2342,$D27,'Grid Data'!$O$4:$O$2342,J$4,'Grid Data'!$M$4:$M$2342,$D$2)*100, 0)</f>
        <v>0</v>
      </c>
      <c r="K27" s="4">
        <f>IF(  K90&gt;$E$2, SUMIFS(IF($G$2="CPR",'Grid Data'!$V$4:$V$2342,'Grid Data'!$W$4:$W$2342),'Grid Data'!$N$4:$N$2342,$D27,'Grid Data'!$O$4:$O$2342,K$4,'Grid Data'!$M$4:$M$2342,$D$2)*100, 0)</f>
        <v>46.9465</v>
      </c>
      <c r="L27" s="4">
        <f>IF(  L90&gt;$E$2, SUMIFS(IF($G$2="CPR",'Grid Data'!$V$4:$V$2342,'Grid Data'!$W$4:$W$2342),'Grid Data'!$N$4:$N$2342,$D27,'Grid Data'!$O$4:$O$2342,L$4,'Grid Data'!$M$4:$M$2342,$D$2)*100, 0)</f>
        <v>63.494900000000001</v>
      </c>
      <c r="M27" s="4">
        <f>IF(  M90&gt;$E$2, SUMIFS(IF($G$2="CPR",'Grid Data'!$V$4:$V$2342,'Grid Data'!$W$4:$W$2342),'Grid Data'!$N$4:$N$2342,$D27,'Grid Data'!$O$4:$O$2342,M$4,'Grid Data'!$M$4:$M$2342,$D$2)*100, 0)</f>
        <v>36.365600000000001</v>
      </c>
      <c r="N27" s="4">
        <f>IF(  N90&gt;$E$2, SUMIFS(IF($G$2="CPR",'Grid Data'!$V$4:$V$2342,'Grid Data'!$W$4:$W$2342),'Grid Data'!$N$4:$N$2342,$D27,'Grid Data'!$O$4:$O$2342,N$4,'Grid Data'!$M$4:$M$2342,$D$2)*100, 0)</f>
        <v>38.573900000000002</v>
      </c>
      <c r="O27" s="4">
        <f>IF(  O90&gt;$E$2, SUMIFS(IF($G$2="CPR",'Grid Data'!$V$4:$V$2342,'Grid Data'!$W$4:$W$2342),'Grid Data'!$N$4:$N$2342,$D27,'Grid Data'!$O$4:$O$2342,O$4,'Grid Data'!$M$4:$M$2342,$D$2)*100, 0)</f>
        <v>74.60090000000001</v>
      </c>
      <c r="P27" s="4">
        <f>IF(  P90&gt;$E$2, SUMIFS(IF($G$2="CPR",'Grid Data'!$V$4:$V$2342,'Grid Data'!$W$4:$W$2342),'Grid Data'!$N$4:$N$2342,$D27,'Grid Data'!$O$4:$O$2342,P$4,'Grid Data'!$M$4:$M$2342,$D$2)*100, 0)</f>
        <v>49.845600000000005</v>
      </c>
      <c r="Q27" s="4">
        <f>IF(  Q90&gt;$E$2, SUMIFS(IF($G$2="CPR",'Grid Data'!$V$4:$V$2342,'Grid Data'!$W$4:$W$2342),'Grid Data'!$N$4:$N$2342,$D27,'Grid Data'!$O$4:$O$2342,Q$4,'Grid Data'!$M$4:$M$2342,$D$2)*100, 0)</f>
        <v>35.512</v>
      </c>
      <c r="R27" s="4">
        <f>IF(  R90&gt;$E$2, SUMIFS(IF($G$2="CPR",'Grid Data'!$V$4:$V$2342,'Grid Data'!$W$4:$W$2342),'Grid Data'!$N$4:$N$2342,$D27,'Grid Data'!$O$4:$O$2342,R$4,'Grid Data'!$M$4:$M$2342,$D$2)*100, 0)</f>
        <v>47.938699999999997</v>
      </c>
      <c r="S27" s="4">
        <f>IF(  S90&gt;$E$2, SUMIFS(IF($G$2="CPR",'Grid Data'!$V$4:$V$2342,'Grid Data'!$W$4:$W$2342),'Grid Data'!$N$4:$N$2342,$D27,'Grid Data'!$O$4:$O$2342,S$4,'Grid Data'!$M$4:$M$2342,$D$2)*100, 0)</f>
        <v>29.5198</v>
      </c>
      <c r="T27" s="4">
        <f>IF(  T90&gt;$E$2, SUMIFS(IF($G$2="CPR",'Grid Data'!$V$4:$V$2342,'Grid Data'!$W$4:$W$2342),'Grid Data'!$N$4:$N$2342,$D27,'Grid Data'!$O$4:$O$2342,T$4,'Grid Data'!$M$4:$M$2342,$D$2)*100, 0)</f>
        <v>0</v>
      </c>
      <c r="U27" s="4">
        <f>IF(  U90&gt;$E$2, SUMIFS(IF($G$2="CPR",'Grid Data'!$V$4:$V$2342,'Grid Data'!$W$4:$W$2342),'Grid Data'!$N$4:$N$2342,$D27,'Grid Data'!$O$4:$O$2342,U$4,'Grid Data'!$M$4:$M$2342,$D$2)*100, 0)</f>
        <v>0</v>
      </c>
      <c r="V27" s="4">
        <f>IF(  V90&gt;$E$2, SUMIFS(IF($G$2="CPR",'Grid Data'!$V$4:$V$2342,'Grid Data'!$W$4:$W$2342),'Grid Data'!$N$4:$N$2342,$D27,'Grid Data'!$O$4:$O$2342,V$4,'Grid Data'!$M$4:$M$2342,$D$2)*100, 0)</f>
        <v>0</v>
      </c>
      <c r="W27" s="4">
        <f>IF(  W90&gt;$E$2, SUMIFS(IF($G$2="CPR",'Grid Data'!$V$4:$V$2342,'Grid Data'!$W$4:$W$2342),'Grid Data'!$N$4:$N$2342,$D27,'Grid Data'!$O$4:$O$2342,W$4,'Grid Data'!$M$4:$M$2342,$D$2)*100, 0)</f>
        <v>0</v>
      </c>
      <c r="X27" s="4">
        <f>IF(  X90&gt;$E$2, SUMIFS(IF($G$2="CPR",'Grid Data'!$V$4:$V$2342,'Grid Data'!$W$4:$W$2342),'Grid Data'!$N$4:$N$2342,$D27,'Grid Data'!$O$4:$O$2342,X$4,'Grid Data'!$M$4:$M$2342,$D$2)*100, 0)</f>
        <v>0</v>
      </c>
      <c r="Y27" s="4">
        <f>IF(  Y90&gt;$E$2, SUMIFS(IF($G$2="CPR",'Grid Data'!$V$4:$V$2342,'Grid Data'!$W$4:$W$2342),'Grid Data'!$N$4:$N$2342,$D27,'Grid Data'!$O$4:$O$2342,Y$4,'Grid Data'!$M$4:$M$2342,$D$2)*100, 0)</f>
        <v>0</v>
      </c>
      <c r="Z27" s="4">
        <f>IF(  Z90&gt;$E$2, SUMIFS(IF($G$2="CPR",'Grid Data'!$V$4:$V$2342,'Grid Data'!$W$4:$W$2342),'Grid Data'!$N$4:$N$2342,$D27,'Grid Data'!$O$4:$O$2342,Z$4,'Grid Data'!$M$4:$M$2342,$D$2)*100, 0)</f>
        <v>0</v>
      </c>
      <c r="AA27" s="4">
        <f>IF(  AA90&gt;$E$2, SUMIFS(IF($G$2="CPR",'Grid Data'!$V$4:$V$2342,'Grid Data'!$W$4:$W$2342),'Grid Data'!$N$4:$N$2342,$D27,'Grid Data'!$O$4:$O$2342,AA$4,'Grid Data'!$M$4:$M$2342,$D$2)*100, 0)</f>
        <v>0</v>
      </c>
      <c r="AB27" s="4">
        <f>IF(  AB90&gt;$E$2, SUMIFS(IF($G$2="CPR",'Grid Data'!$V$4:$V$2342,'Grid Data'!$W$4:$W$2342),'Grid Data'!$N$4:$N$2342,$D27,'Grid Data'!$O$4:$O$2342,AB$4,'Grid Data'!$M$4:$M$2342,$D$2)*100, 0)</f>
        <v>0</v>
      </c>
      <c r="AC27" s="4">
        <f>IF(  AC90&gt;$E$2, SUMIFS(IF($G$2="CPR",'Grid Data'!$V$4:$V$2342,'Grid Data'!$W$4:$W$2342),'Grid Data'!$N$4:$N$2342,$D27,'Grid Data'!$O$4:$O$2342,AC$4,'Grid Data'!$M$4:$M$2342,$D$2)*100, 0)</f>
        <v>0</v>
      </c>
      <c r="AD27" s="4">
        <f>IF(  AD90&gt;$E$2, SUMIFS(IF($G$2="CPR",'Grid Data'!$V$4:$V$2342,'Grid Data'!$W$4:$W$2342),'Grid Data'!$N$4:$N$2342,$D27,'Grid Data'!$O$4:$O$2342,AD$4,'Grid Data'!$M$4:$M$2342,$D$2)*100, 0)</f>
        <v>0</v>
      </c>
      <c r="AE27" s="4">
        <f>IF(  AE90&gt;$E$2, SUMIFS(IF($G$2="CPR",'Grid Data'!$V$4:$V$2342,'Grid Data'!$W$4:$W$2342),'Grid Data'!$N$4:$N$2342,$D27,'Grid Data'!$O$4:$O$2342,AE$4,'Grid Data'!$M$4:$M$2342,$D$2)*100, 0)</f>
        <v>0</v>
      </c>
      <c r="AF27" s="4">
        <f>IF(  AF90&gt;$E$2, SUMIFS(IF($G$2="CPR",'Grid Data'!$V$4:$V$2342,'Grid Data'!$W$4:$W$2342),'Grid Data'!$N$4:$N$2342,$D27,'Grid Data'!$O$4:$O$2342,AF$4,'Grid Data'!$M$4:$M$2342,$D$2)*100, 0)</f>
        <v>0</v>
      </c>
      <c r="AG27" s="4">
        <f>IF(  AG90&gt;$E$2, SUMIFS(IF($G$2="CPR",'Grid Data'!$V$4:$V$2342,'Grid Data'!$W$4:$W$2342),'Grid Data'!$N$4:$N$2342,$D27,'Grid Data'!$O$4:$O$2342,AG$4,'Grid Data'!$M$4:$M$2342,$D$2)*100, 0)</f>
        <v>7.7538</v>
      </c>
      <c r="AH27" s="4">
        <f>IF(  AH90&gt;$E$2, SUMIFS(IF($G$2="CPR",'Grid Data'!$V$4:$V$2342,'Grid Data'!$W$4:$W$2342),'Grid Data'!$N$4:$N$2342,$D27,'Grid Data'!$O$4:$O$2342,AH$4,'Grid Data'!$M$4:$M$2342,$D$2)*100, 0)</f>
        <v>16.014900000000001</v>
      </c>
    </row>
    <row r="28" spans="4:34" x14ac:dyDescent="0.35">
      <c r="D28">
        <v>7750</v>
      </c>
      <c r="E28" s="4">
        <f>IF(  E91&gt;$E$2, SUMIFS(IF($G$2="CPR",'Grid Data'!$V$4:$V$2342,'Grid Data'!$W$4:$W$2342),'Grid Data'!$N$4:$N$2342,$D28,'Grid Data'!$O$4:$O$2342,E$4,'Grid Data'!$M$4:$M$2342,$D$2)*100, 0)</f>
        <v>34.3123</v>
      </c>
      <c r="F28" s="4">
        <f>IF(  F91&gt;$E$2, SUMIFS(IF($G$2="CPR",'Grid Data'!$V$4:$V$2342,'Grid Data'!$W$4:$W$2342),'Grid Data'!$N$4:$N$2342,$D28,'Grid Data'!$O$4:$O$2342,F$4,'Grid Data'!$M$4:$M$2342,$D$2)*100, 0)</f>
        <v>44.163999999999994</v>
      </c>
      <c r="G28" s="4">
        <f>IF(  G91&gt;$E$2, SUMIFS(IF($G$2="CPR",'Grid Data'!$V$4:$V$2342,'Grid Data'!$W$4:$W$2342),'Grid Data'!$N$4:$N$2342,$D28,'Grid Data'!$O$4:$O$2342,G$4,'Grid Data'!$M$4:$M$2342,$D$2)*100, 0)</f>
        <v>99.980400000000003</v>
      </c>
      <c r="H28" s="4">
        <f>IF(  H91&gt;$E$2, SUMIFS(IF($G$2="CPR",'Grid Data'!$V$4:$V$2342,'Grid Data'!$W$4:$W$2342),'Grid Data'!$N$4:$N$2342,$D28,'Grid Data'!$O$4:$O$2342,H$4,'Grid Data'!$M$4:$M$2342,$D$2)*100, 0)</f>
        <v>96.00800000000001</v>
      </c>
      <c r="I28" s="4">
        <f>IF(  I91&gt;$E$2, SUMIFS(IF($G$2="CPR",'Grid Data'!$V$4:$V$2342,'Grid Data'!$W$4:$W$2342),'Grid Data'!$N$4:$N$2342,$D28,'Grid Data'!$O$4:$O$2342,I$4,'Grid Data'!$M$4:$M$2342,$D$2)*100, 0)</f>
        <v>91.084800000000001</v>
      </c>
      <c r="J28" s="4">
        <f>IF(  J91&gt;$E$2, SUMIFS(IF($G$2="CPR",'Grid Data'!$V$4:$V$2342,'Grid Data'!$W$4:$W$2342),'Grid Data'!$N$4:$N$2342,$D28,'Grid Data'!$O$4:$O$2342,J$4,'Grid Data'!$M$4:$M$2342,$D$2)*100, 0)</f>
        <v>57.185900000000004</v>
      </c>
      <c r="K28" s="4">
        <f>IF(  K91&gt;$E$2, SUMIFS(IF($G$2="CPR",'Grid Data'!$V$4:$V$2342,'Grid Data'!$W$4:$W$2342),'Grid Data'!$N$4:$N$2342,$D28,'Grid Data'!$O$4:$O$2342,K$4,'Grid Data'!$M$4:$M$2342,$D$2)*100, 0)</f>
        <v>66.397999999999996</v>
      </c>
      <c r="L28" s="4">
        <f>IF(  L91&gt;$E$2, SUMIFS(IF($G$2="CPR",'Grid Data'!$V$4:$V$2342,'Grid Data'!$W$4:$W$2342),'Grid Data'!$N$4:$N$2342,$D28,'Grid Data'!$O$4:$O$2342,L$4,'Grid Data'!$M$4:$M$2342,$D$2)*100, 0)</f>
        <v>41.031199999999998</v>
      </c>
      <c r="M28" s="4">
        <f>IF(  M91&gt;$E$2, SUMIFS(IF($G$2="CPR",'Grid Data'!$V$4:$V$2342,'Grid Data'!$W$4:$W$2342),'Grid Data'!$N$4:$N$2342,$D28,'Grid Data'!$O$4:$O$2342,M$4,'Grid Data'!$M$4:$M$2342,$D$2)*100, 0)</f>
        <v>41.712500000000006</v>
      </c>
      <c r="N28" s="4">
        <f>IF(  N91&gt;$E$2, SUMIFS(IF($G$2="CPR",'Grid Data'!$V$4:$V$2342,'Grid Data'!$W$4:$W$2342),'Grid Data'!$N$4:$N$2342,$D28,'Grid Data'!$O$4:$O$2342,N$4,'Grid Data'!$M$4:$M$2342,$D$2)*100, 0)</f>
        <v>49.853999999999999</v>
      </c>
      <c r="O28" s="4">
        <f>IF(  O91&gt;$E$2, SUMIFS(IF($G$2="CPR",'Grid Data'!$V$4:$V$2342,'Grid Data'!$W$4:$W$2342),'Grid Data'!$N$4:$N$2342,$D28,'Grid Data'!$O$4:$O$2342,O$4,'Grid Data'!$M$4:$M$2342,$D$2)*100, 0)</f>
        <v>60.858900000000006</v>
      </c>
      <c r="P28" s="4">
        <f>IF(  P91&gt;$E$2, SUMIFS(IF($G$2="CPR",'Grid Data'!$V$4:$V$2342,'Grid Data'!$W$4:$W$2342),'Grid Data'!$N$4:$N$2342,$D28,'Grid Data'!$O$4:$O$2342,P$4,'Grid Data'!$M$4:$M$2342,$D$2)*100, 0)</f>
        <v>44.377000000000002</v>
      </c>
      <c r="Q28" s="4">
        <f>IF(  Q91&gt;$E$2, SUMIFS(IF($G$2="CPR",'Grid Data'!$V$4:$V$2342,'Grid Data'!$W$4:$W$2342),'Grid Data'!$N$4:$N$2342,$D28,'Grid Data'!$O$4:$O$2342,Q$4,'Grid Data'!$M$4:$M$2342,$D$2)*100, 0)</f>
        <v>51.384099999999997</v>
      </c>
      <c r="R28" s="4">
        <f>IF(  R91&gt;$E$2, SUMIFS(IF($G$2="CPR",'Grid Data'!$V$4:$V$2342,'Grid Data'!$W$4:$W$2342),'Grid Data'!$N$4:$N$2342,$D28,'Grid Data'!$O$4:$O$2342,R$4,'Grid Data'!$M$4:$M$2342,$D$2)*100, 0)</f>
        <v>51.143000000000008</v>
      </c>
      <c r="S28" s="4">
        <f>IF(  S91&gt;$E$2, SUMIFS(IF($G$2="CPR",'Grid Data'!$V$4:$V$2342,'Grid Data'!$W$4:$W$2342),'Grid Data'!$N$4:$N$2342,$D28,'Grid Data'!$O$4:$O$2342,S$4,'Grid Data'!$M$4:$M$2342,$D$2)*100, 0)</f>
        <v>36.153200000000005</v>
      </c>
      <c r="T28" s="4">
        <f>IF(  T91&gt;$E$2, SUMIFS(IF($G$2="CPR",'Grid Data'!$V$4:$V$2342,'Grid Data'!$W$4:$W$2342),'Grid Data'!$N$4:$N$2342,$D28,'Grid Data'!$O$4:$O$2342,T$4,'Grid Data'!$M$4:$M$2342,$D$2)*100, 0)</f>
        <v>0</v>
      </c>
      <c r="U28" s="4">
        <f>IF(  U91&gt;$E$2, SUMIFS(IF($G$2="CPR",'Grid Data'!$V$4:$V$2342,'Grid Data'!$W$4:$W$2342),'Grid Data'!$N$4:$N$2342,$D28,'Grid Data'!$O$4:$O$2342,U$4,'Grid Data'!$M$4:$M$2342,$D$2)*100, 0)</f>
        <v>0</v>
      </c>
      <c r="V28" s="4">
        <f>IF(  V91&gt;$E$2, SUMIFS(IF($G$2="CPR",'Grid Data'!$V$4:$V$2342,'Grid Data'!$W$4:$W$2342),'Grid Data'!$N$4:$N$2342,$D28,'Grid Data'!$O$4:$O$2342,V$4,'Grid Data'!$M$4:$M$2342,$D$2)*100, 0)</f>
        <v>0</v>
      </c>
      <c r="W28" s="4">
        <f>IF(  W91&gt;$E$2, SUMIFS(IF($G$2="CPR",'Grid Data'!$V$4:$V$2342,'Grid Data'!$W$4:$W$2342),'Grid Data'!$N$4:$N$2342,$D28,'Grid Data'!$O$4:$O$2342,W$4,'Grid Data'!$M$4:$M$2342,$D$2)*100, 0)</f>
        <v>0</v>
      </c>
      <c r="X28" s="4">
        <f>IF(  X91&gt;$E$2, SUMIFS(IF($G$2="CPR",'Grid Data'!$V$4:$V$2342,'Grid Data'!$W$4:$W$2342),'Grid Data'!$N$4:$N$2342,$D28,'Grid Data'!$O$4:$O$2342,X$4,'Grid Data'!$M$4:$M$2342,$D$2)*100, 0)</f>
        <v>0</v>
      </c>
      <c r="Y28" s="4">
        <f>IF(  Y91&gt;$E$2, SUMIFS(IF($G$2="CPR",'Grid Data'!$V$4:$V$2342,'Grid Data'!$W$4:$W$2342),'Grid Data'!$N$4:$N$2342,$D28,'Grid Data'!$O$4:$O$2342,Y$4,'Grid Data'!$M$4:$M$2342,$D$2)*100, 0)</f>
        <v>0</v>
      </c>
      <c r="Z28" s="4">
        <f>IF(  Z91&gt;$E$2, SUMIFS(IF($G$2="CPR",'Grid Data'!$V$4:$V$2342,'Grid Data'!$W$4:$W$2342),'Grid Data'!$N$4:$N$2342,$D28,'Grid Data'!$O$4:$O$2342,Z$4,'Grid Data'!$M$4:$M$2342,$D$2)*100, 0)</f>
        <v>0</v>
      </c>
      <c r="AA28" s="4">
        <f>IF(  AA91&gt;$E$2, SUMIFS(IF($G$2="CPR",'Grid Data'!$V$4:$V$2342,'Grid Data'!$W$4:$W$2342),'Grid Data'!$N$4:$N$2342,$D28,'Grid Data'!$O$4:$O$2342,AA$4,'Grid Data'!$M$4:$M$2342,$D$2)*100, 0)</f>
        <v>0</v>
      </c>
      <c r="AB28" s="4">
        <f>IF(  AB91&gt;$E$2, SUMIFS(IF($G$2="CPR",'Grid Data'!$V$4:$V$2342,'Grid Data'!$W$4:$W$2342),'Grid Data'!$N$4:$N$2342,$D28,'Grid Data'!$O$4:$O$2342,AB$4,'Grid Data'!$M$4:$M$2342,$D$2)*100, 0)</f>
        <v>0</v>
      </c>
      <c r="AC28" s="4">
        <f>IF(  AC91&gt;$E$2, SUMIFS(IF($G$2="CPR",'Grid Data'!$V$4:$V$2342,'Grid Data'!$W$4:$W$2342),'Grid Data'!$N$4:$N$2342,$D28,'Grid Data'!$O$4:$O$2342,AC$4,'Grid Data'!$M$4:$M$2342,$D$2)*100, 0)</f>
        <v>0</v>
      </c>
      <c r="AD28" s="4">
        <f>IF(  AD91&gt;$E$2, SUMIFS(IF($G$2="CPR",'Grid Data'!$V$4:$V$2342,'Grid Data'!$W$4:$W$2342),'Grid Data'!$N$4:$N$2342,$D28,'Grid Data'!$O$4:$O$2342,AD$4,'Grid Data'!$M$4:$M$2342,$D$2)*100, 0)</f>
        <v>0</v>
      </c>
      <c r="AE28" s="4">
        <f>IF(  AE91&gt;$E$2, SUMIFS(IF($G$2="CPR",'Grid Data'!$V$4:$V$2342,'Grid Data'!$W$4:$W$2342),'Grid Data'!$N$4:$N$2342,$D28,'Grid Data'!$O$4:$O$2342,AE$4,'Grid Data'!$M$4:$M$2342,$D$2)*100, 0)</f>
        <v>0</v>
      </c>
      <c r="AF28" s="4">
        <f>IF(  AF91&gt;$E$2, SUMIFS(IF($G$2="CPR",'Grid Data'!$V$4:$V$2342,'Grid Data'!$W$4:$W$2342),'Grid Data'!$N$4:$N$2342,$D28,'Grid Data'!$O$4:$O$2342,AF$4,'Grid Data'!$M$4:$M$2342,$D$2)*100, 0)</f>
        <v>0</v>
      </c>
      <c r="AG28" s="4">
        <f>IF(  AG91&gt;$E$2, SUMIFS(IF($G$2="CPR",'Grid Data'!$V$4:$V$2342,'Grid Data'!$W$4:$W$2342),'Grid Data'!$N$4:$N$2342,$D28,'Grid Data'!$O$4:$O$2342,AG$4,'Grid Data'!$M$4:$M$2342,$D$2)*100, 0)</f>
        <v>0</v>
      </c>
      <c r="AH28" s="4">
        <f>IF(  AH91&gt;$E$2, SUMIFS(IF($G$2="CPR",'Grid Data'!$V$4:$V$2342,'Grid Data'!$W$4:$W$2342),'Grid Data'!$N$4:$N$2342,$D28,'Grid Data'!$O$4:$O$2342,AH$4,'Grid Data'!$M$4:$M$2342,$D$2)*100, 0)</f>
        <v>0</v>
      </c>
    </row>
    <row r="29" spans="4:34" x14ac:dyDescent="0.35">
      <c r="D29">
        <v>8000</v>
      </c>
      <c r="E29" s="4">
        <f>IF(  E92&gt;$E$2, SUMIFS(IF($G$2="CPR",'Grid Data'!$V$4:$V$2342,'Grid Data'!$W$4:$W$2342),'Grid Data'!$N$4:$N$2342,$D29,'Grid Data'!$O$4:$O$2342,E$4,'Grid Data'!$M$4:$M$2342,$D$2)*100, 0)</f>
        <v>0</v>
      </c>
      <c r="F29" s="4">
        <f>IF(  F92&gt;$E$2, SUMIFS(IF($G$2="CPR",'Grid Data'!$V$4:$V$2342,'Grid Data'!$W$4:$W$2342),'Grid Data'!$N$4:$N$2342,$D29,'Grid Data'!$O$4:$O$2342,F$4,'Grid Data'!$M$4:$M$2342,$D$2)*100, 0)</f>
        <v>0</v>
      </c>
      <c r="G29" s="4">
        <f>IF(  G92&gt;$E$2, SUMIFS(IF($G$2="CPR",'Grid Data'!$V$4:$V$2342,'Grid Data'!$W$4:$W$2342),'Grid Data'!$N$4:$N$2342,$D29,'Grid Data'!$O$4:$O$2342,G$4,'Grid Data'!$M$4:$M$2342,$D$2)*100, 0)</f>
        <v>0</v>
      </c>
      <c r="H29" s="4">
        <f>IF(  H92&gt;$E$2, SUMIFS(IF($G$2="CPR",'Grid Data'!$V$4:$V$2342,'Grid Data'!$W$4:$W$2342),'Grid Data'!$N$4:$N$2342,$D29,'Grid Data'!$O$4:$O$2342,H$4,'Grid Data'!$M$4:$M$2342,$D$2)*100, 0)</f>
        <v>0</v>
      </c>
      <c r="I29" s="4">
        <f>IF(  I92&gt;$E$2, SUMIFS(IF($G$2="CPR",'Grid Data'!$V$4:$V$2342,'Grid Data'!$W$4:$W$2342),'Grid Data'!$N$4:$N$2342,$D29,'Grid Data'!$O$4:$O$2342,I$4,'Grid Data'!$M$4:$M$2342,$D$2)*100, 0)</f>
        <v>0</v>
      </c>
      <c r="J29" s="4">
        <f>IF(  J92&gt;$E$2, SUMIFS(IF($G$2="CPR",'Grid Data'!$V$4:$V$2342,'Grid Data'!$W$4:$W$2342),'Grid Data'!$N$4:$N$2342,$D29,'Grid Data'!$O$4:$O$2342,J$4,'Grid Data'!$M$4:$M$2342,$D$2)*100, 0)</f>
        <v>0</v>
      </c>
      <c r="K29" s="4">
        <f>IF(  K92&gt;$E$2, SUMIFS(IF($G$2="CPR",'Grid Data'!$V$4:$V$2342,'Grid Data'!$W$4:$W$2342),'Grid Data'!$N$4:$N$2342,$D29,'Grid Data'!$O$4:$O$2342,K$4,'Grid Data'!$M$4:$M$2342,$D$2)*100, 0)</f>
        <v>0</v>
      </c>
      <c r="L29" s="4">
        <f>IF(  L92&gt;$E$2, SUMIFS(IF($G$2="CPR",'Grid Data'!$V$4:$V$2342,'Grid Data'!$W$4:$W$2342),'Grid Data'!$N$4:$N$2342,$D29,'Grid Data'!$O$4:$O$2342,L$4,'Grid Data'!$M$4:$M$2342,$D$2)*100, 0)</f>
        <v>0</v>
      </c>
      <c r="M29" s="4">
        <f>IF(  M92&gt;$E$2, SUMIFS(IF($G$2="CPR",'Grid Data'!$V$4:$V$2342,'Grid Data'!$W$4:$W$2342),'Grid Data'!$N$4:$N$2342,$D29,'Grid Data'!$O$4:$O$2342,M$4,'Grid Data'!$M$4:$M$2342,$D$2)*100, 0)</f>
        <v>0</v>
      </c>
      <c r="N29" s="4">
        <f>IF(  N92&gt;$E$2, SUMIFS(IF($G$2="CPR",'Grid Data'!$V$4:$V$2342,'Grid Data'!$W$4:$W$2342),'Grid Data'!$N$4:$N$2342,$D29,'Grid Data'!$O$4:$O$2342,N$4,'Grid Data'!$M$4:$M$2342,$D$2)*100, 0)</f>
        <v>0</v>
      </c>
      <c r="O29" s="4">
        <f>IF(  O92&gt;$E$2, SUMIFS(IF($G$2="CPR",'Grid Data'!$V$4:$V$2342,'Grid Data'!$W$4:$W$2342),'Grid Data'!$N$4:$N$2342,$D29,'Grid Data'!$O$4:$O$2342,O$4,'Grid Data'!$M$4:$M$2342,$D$2)*100, 0)</f>
        <v>62.920600000000007</v>
      </c>
      <c r="P29" s="4">
        <f>IF(  P92&gt;$E$2, SUMIFS(IF($G$2="CPR",'Grid Data'!$V$4:$V$2342,'Grid Data'!$W$4:$W$2342),'Grid Data'!$N$4:$N$2342,$D29,'Grid Data'!$O$4:$O$2342,P$4,'Grid Data'!$M$4:$M$2342,$D$2)*100, 0)</f>
        <v>52.7971</v>
      </c>
      <c r="Q29" s="4">
        <f>IF(  Q92&gt;$E$2, SUMIFS(IF($G$2="CPR",'Grid Data'!$V$4:$V$2342,'Grid Data'!$W$4:$W$2342),'Grid Data'!$N$4:$N$2342,$D29,'Grid Data'!$O$4:$O$2342,Q$4,'Grid Data'!$M$4:$M$2342,$D$2)*100, 0)</f>
        <v>50.336899999999993</v>
      </c>
      <c r="R29" s="4">
        <f>IF(  R92&gt;$E$2, SUMIFS(IF($G$2="CPR",'Grid Data'!$V$4:$V$2342,'Grid Data'!$W$4:$W$2342),'Grid Data'!$N$4:$N$2342,$D29,'Grid Data'!$O$4:$O$2342,R$4,'Grid Data'!$M$4:$M$2342,$D$2)*100, 0)</f>
        <v>0</v>
      </c>
      <c r="S29" s="4">
        <f>IF(  S92&gt;$E$2, SUMIFS(IF($G$2="CPR",'Grid Data'!$V$4:$V$2342,'Grid Data'!$W$4:$W$2342),'Grid Data'!$N$4:$N$2342,$D29,'Grid Data'!$O$4:$O$2342,S$4,'Grid Data'!$M$4:$M$2342,$D$2)*100, 0)</f>
        <v>0</v>
      </c>
      <c r="T29" s="4">
        <f>IF(  T92&gt;$E$2, SUMIFS(IF($G$2="CPR",'Grid Data'!$V$4:$V$2342,'Grid Data'!$W$4:$W$2342),'Grid Data'!$N$4:$N$2342,$D29,'Grid Data'!$O$4:$O$2342,T$4,'Grid Data'!$M$4:$M$2342,$D$2)*100, 0)</f>
        <v>0</v>
      </c>
      <c r="U29" s="4">
        <f>IF(  U92&gt;$E$2, SUMIFS(IF($G$2="CPR",'Grid Data'!$V$4:$V$2342,'Grid Data'!$W$4:$W$2342),'Grid Data'!$N$4:$N$2342,$D29,'Grid Data'!$O$4:$O$2342,U$4,'Grid Data'!$M$4:$M$2342,$D$2)*100, 0)</f>
        <v>0</v>
      </c>
      <c r="V29" s="4">
        <f>IF(  V92&gt;$E$2, SUMIFS(IF($G$2="CPR",'Grid Data'!$V$4:$V$2342,'Grid Data'!$W$4:$W$2342),'Grid Data'!$N$4:$N$2342,$D29,'Grid Data'!$O$4:$O$2342,V$4,'Grid Data'!$M$4:$M$2342,$D$2)*100, 0)</f>
        <v>0</v>
      </c>
      <c r="W29" s="4">
        <f>IF(  W92&gt;$E$2, SUMIFS(IF($G$2="CPR",'Grid Data'!$V$4:$V$2342,'Grid Data'!$W$4:$W$2342),'Grid Data'!$N$4:$N$2342,$D29,'Grid Data'!$O$4:$O$2342,W$4,'Grid Data'!$M$4:$M$2342,$D$2)*100, 0)</f>
        <v>0</v>
      </c>
      <c r="X29" s="4">
        <f>IF(  X92&gt;$E$2, SUMIFS(IF($G$2="CPR",'Grid Data'!$V$4:$V$2342,'Grid Data'!$W$4:$W$2342),'Grid Data'!$N$4:$N$2342,$D29,'Grid Data'!$O$4:$O$2342,X$4,'Grid Data'!$M$4:$M$2342,$D$2)*100, 0)</f>
        <v>0</v>
      </c>
      <c r="Y29" s="4">
        <f>IF(  Y92&gt;$E$2, SUMIFS(IF($G$2="CPR",'Grid Data'!$V$4:$V$2342,'Grid Data'!$W$4:$W$2342),'Grid Data'!$N$4:$N$2342,$D29,'Grid Data'!$O$4:$O$2342,Y$4,'Grid Data'!$M$4:$M$2342,$D$2)*100, 0)</f>
        <v>0</v>
      </c>
      <c r="Z29" s="4">
        <f>IF(  Z92&gt;$E$2, SUMIFS(IF($G$2="CPR",'Grid Data'!$V$4:$V$2342,'Grid Data'!$W$4:$W$2342),'Grid Data'!$N$4:$N$2342,$D29,'Grid Data'!$O$4:$O$2342,Z$4,'Grid Data'!$M$4:$M$2342,$D$2)*100, 0)</f>
        <v>0</v>
      </c>
      <c r="AA29" s="4">
        <f>IF(  AA92&gt;$E$2, SUMIFS(IF($G$2="CPR",'Grid Data'!$V$4:$V$2342,'Grid Data'!$W$4:$W$2342),'Grid Data'!$N$4:$N$2342,$D29,'Grid Data'!$O$4:$O$2342,AA$4,'Grid Data'!$M$4:$M$2342,$D$2)*100, 0)</f>
        <v>0</v>
      </c>
      <c r="AB29" s="4">
        <f>IF(  AB92&gt;$E$2, SUMIFS(IF($G$2="CPR",'Grid Data'!$V$4:$V$2342,'Grid Data'!$W$4:$W$2342),'Grid Data'!$N$4:$N$2342,$D29,'Grid Data'!$O$4:$O$2342,AB$4,'Grid Data'!$M$4:$M$2342,$D$2)*100, 0)</f>
        <v>0</v>
      </c>
      <c r="AC29" s="4">
        <f>IF(  AC92&gt;$E$2, SUMIFS(IF($G$2="CPR",'Grid Data'!$V$4:$V$2342,'Grid Data'!$W$4:$W$2342),'Grid Data'!$N$4:$N$2342,$D29,'Grid Data'!$O$4:$O$2342,AC$4,'Grid Data'!$M$4:$M$2342,$D$2)*100, 0)</f>
        <v>0</v>
      </c>
      <c r="AD29" s="4">
        <f>IF(  AD92&gt;$E$2, SUMIFS(IF($G$2="CPR",'Grid Data'!$V$4:$V$2342,'Grid Data'!$W$4:$W$2342),'Grid Data'!$N$4:$N$2342,$D29,'Grid Data'!$O$4:$O$2342,AD$4,'Grid Data'!$M$4:$M$2342,$D$2)*100, 0)</f>
        <v>0</v>
      </c>
      <c r="AE29" s="4">
        <f>IF(  AE92&gt;$E$2, SUMIFS(IF($G$2="CPR",'Grid Data'!$V$4:$V$2342,'Grid Data'!$W$4:$W$2342),'Grid Data'!$N$4:$N$2342,$D29,'Grid Data'!$O$4:$O$2342,AE$4,'Grid Data'!$M$4:$M$2342,$D$2)*100, 0)</f>
        <v>0</v>
      </c>
      <c r="AF29" s="4">
        <f>IF(  AF92&gt;$E$2, SUMIFS(IF($G$2="CPR",'Grid Data'!$V$4:$V$2342,'Grid Data'!$W$4:$W$2342),'Grid Data'!$N$4:$N$2342,$D29,'Grid Data'!$O$4:$O$2342,AF$4,'Grid Data'!$M$4:$M$2342,$D$2)*100, 0)</f>
        <v>0</v>
      </c>
      <c r="AG29" s="4">
        <f>IF(  AG92&gt;$E$2, SUMIFS(IF($G$2="CPR",'Grid Data'!$V$4:$V$2342,'Grid Data'!$W$4:$W$2342),'Grid Data'!$N$4:$N$2342,$D29,'Grid Data'!$O$4:$O$2342,AG$4,'Grid Data'!$M$4:$M$2342,$D$2)*100, 0)</f>
        <v>13.386799999999999</v>
      </c>
      <c r="AH29" s="4">
        <f>IF(  AH92&gt;$E$2, SUMIFS(IF($G$2="CPR",'Grid Data'!$V$4:$V$2342,'Grid Data'!$W$4:$W$2342),'Grid Data'!$N$4:$N$2342,$D29,'Grid Data'!$O$4:$O$2342,AH$4,'Grid Data'!$M$4:$M$2342,$D$2)*100, 0)</f>
        <v>3.4965999999999999</v>
      </c>
    </row>
    <row r="30" spans="4:34" x14ac:dyDescent="0.35">
      <c r="D30">
        <v>8250</v>
      </c>
      <c r="E30" s="4">
        <f>IF(  E93&gt;$E$2, SUMIFS(IF($G$2="CPR",'Grid Data'!$V$4:$V$2342,'Grid Data'!$W$4:$W$2342),'Grid Data'!$N$4:$N$2342,$D30,'Grid Data'!$O$4:$O$2342,E$4,'Grid Data'!$M$4:$M$2342,$D$2)*100, 0)</f>
        <v>0</v>
      </c>
      <c r="F30" s="4">
        <f>IF(  F93&gt;$E$2, SUMIFS(IF($G$2="CPR",'Grid Data'!$V$4:$V$2342,'Grid Data'!$W$4:$W$2342),'Grid Data'!$N$4:$N$2342,$D30,'Grid Data'!$O$4:$O$2342,F$4,'Grid Data'!$M$4:$M$2342,$D$2)*100, 0)</f>
        <v>0</v>
      </c>
      <c r="G30" s="4">
        <f>IF(  G93&gt;$E$2, SUMIFS(IF($G$2="CPR",'Grid Data'!$V$4:$V$2342,'Grid Data'!$W$4:$W$2342),'Grid Data'!$N$4:$N$2342,$D30,'Grid Data'!$O$4:$O$2342,G$4,'Grid Data'!$M$4:$M$2342,$D$2)*100, 0)</f>
        <v>0</v>
      </c>
      <c r="H30" s="4">
        <f>IF(  H93&gt;$E$2, SUMIFS(IF($G$2="CPR",'Grid Data'!$V$4:$V$2342,'Grid Data'!$W$4:$W$2342),'Grid Data'!$N$4:$N$2342,$D30,'Grid Data'!$O$4:$O$2342,H$4,'Grid Data'!$M$4:$M$2342,$D$2)*100, 0)</f>
        <v>0</v>
      </c>
      <c r="I30" s="4">
        <f>IF(  I93&gt;$E$2, SUMIFS(IF($G$2="CPR",'Grid Data'!$V$4:$V$2342,'Grid Data'!$W$4:$W$2342),'Grid Data'!$N$4:$N$2342,$D30,'Grid Data'!$O$4:$O$2342,I$4,'Grid Data'!$M$4:$M$2342,$D$2)*100, 0)</f>
        <v>0</v>
      </c>
      <c r="J30" s="4">
        <f>IF(  J93&gt;$E$2, SUMIFS(IF($G$2="CPR",'Grid Data'!$V$4:$V$2342,'Grid Data'!$W$4:$W$2342),'Grid Data'!$N$4:$N$2342,$D30,'Grid Data'!$O$4:$O$2342,J$4,'Grid Data'!$M$4:$M$2342,$D$2)*100, 0)</f>
        <v>0</v>
      </c>
      <c r="K30" s="4">
        <f>IF(  K93&gt;$E$2, SUMIFS(IF($G$2="CPR",'Grid Data'!$V$4:$V$2342,'Grid Data'!$W$4:$W$2342),'Grid Data'!$N$4:$N$2342,$D30,'Grid Data'!$O$4:$O$2342,K$4,'Grid Data'!$M$4:$M$2342,$D$2)*100, 0)</f>
        <v>0</v>
      </c>
      <c r="L30" s="4">
        <f>IF(  L93&gt;$E$2, SUMIFS(IF($G$2="CPR",'Grid Data'!$V$4:$V$2342,'Grid Data'!$W$4:$W$2342),'Grid Data'!$N$4:$N$2342,$D30,'Grid Data'!$O$4:$O$2342,L$4,'Grid Data'!$M$4:$M$2342,$D$2)*100, 0)</f>
        <v>0</v>
      </c>
      <c r="M30" s="4">
        <f>IF(  M93&gt;$E$2, SUMIFS(IF($G$2="CPR",'Grid Data'!$V$4:$V$2342,'Grid Data'!$W$4:$W$2342),'Grid Data'!$N$4:$N$2342,$D30,'Grid Data'!$O$4:$O$2342,M$4,'Grid Data'!$M$4:$M$2342,$D$2)*100, 0)</f>
        <v>0</v>
      </c>
      <c r="N30" s="4">
        <f>IF(  N93&gt;$E$2, SUMIFS(IF($G$2="CPR",'Grid Data'!$V$4:$V$2342,'Grid Data'!$W$4:$W$2342),'Grid Data'!$N$4:$N$2342,$D30,'Grid Data'!$O$4:$O$2342,N$4,'Grid Data'!$M$4:$M$2342,$D$2)*100, 0)</f>
        <v>0</v>
      </c>
      <c r="O30" s="4">
        <f>IF(  O93&gt;$E$2, SUMIFS(IF($G$2="CPR",'Grid Data'!$V$4:$V$2342,'Grid Data'!$W$4:$W$2342),'Grid Data'!$N$4:$N$2342,$D30,'Grid Data'!$O$4:$O$2342,O$4,'Grid Data'!$M$4:$M$2342,$D$2)*100, 0)</f>
        <v>0</v>
      </c>
      <c r="P30" s="4">
        <f>IF(  P93&gt;$E$2, SUMIFS(IF($G$2="CPR",'Grid Data'!$V$4:$V$2342,'Grid Data'!$W$4:$W$2342),'Grid Data'!$N$4:$N$2342,$D30,'Grid Data'!$O$4:$O$2342,P$4,'Grid Data'!$M$4:$M$2342,$D$2)*100, 0)</f>
        <v>0</v>
      </c>
      <c r="Q30" s="4">
        <f>IF(  Q93&gt;$E$2, SUMIFS(IF($G$2="CPR",'Grid Data'!$V$4:$V$2342,'Grid Data'!$W$4:$W$2342),'Grid Data'!$N$4:$N$2342,$D30,'Grid Data'!$O$4:$O$2342,Q$4,'Grid Data'!$M$4:$M$2342,$D$2)*100, 0)</f>
        <v>56.754300000000001</v>
      </c>
      <c r="R30" s="4">
        <f>IF(  R93&gt;$E$2, SUMIFS(IF($G$2="CPR",'Grid Data'!$V$4:$V$2342,'Grid Data'!$W$4:$W$2342),'Grid Data'!$N$4:$N$2342,$D30,'Grid Data'!$O$4:$O$2342,R$4,'Grid Data'!$M$4:$M$2342,$D$2)*100, 0)</f>
        <v>0</v>
      </c>
      <c r="S30" s="4">
        <f>IF(  S93&gt;$E$2, SUMIFS(IF($G$2="CPR",'Grid Data'!$V$4:$V$2342,'Grid Data'!$W$4:$W$2342),'Grid Data'!$N$4:$N$2342,$D30,'Grid Data'!$O$4:$O$2342,S$4,'Grid Data'!$M$4:$M$2342,$D$2)*100, 0)</f>
        <v>0</v>
      </c>
      <c r="T30" s="4">
        <f>IF(  T93&gt;$E$2, SUMIFS(IF($G$2="CPR",'Grid Data'!$V$4:$V$2342,'Grid Data'!$W$4:$W$2342),'Grid Data'!$N$4:$N$2342,$D30,'Grid Data'!$O$4:$O$2342,T$4,'Grid Data'!$M$4:$M$2342,$D$2)*100, 0)</f>
        <v>0</v>
      </c>
      <c r="U30" s="4">
        <f>IF(  U93&gt;$E$2, SUMIFS(IF($G$2="CPR",'Grid Data'!$V$4:$V$2342,'Grid Data'!$W$4:$W$2342),'Grid Data'!$N$4:$N$2342,$D30,'Grid Data'!$O$4:$O$2342,U$4,'Grid Data'!$M$4:$M$2342,$D$2)*100, 0)</f>
        <v>0</v>
      </c>
      <c r="V30" s="4">
        <f>IF(  V93&gt;$E$2, SUMIFS(IF($G$2="CPR",'Grid Data'!$V$4:$V$2342,'Grid Data'!$W$4:$W$2342),'Grid Data'!$N$4:$N$2342,$D30,'Grid Data'!$O$4:$O$2342,V$4,'Grid Data'!$M$4:$M$2342,$D$2)*100, 0)</f>
        <v>0</v>
      </c>
      <c r="W30" s="4">
        <f>IF(  W93&gt;$E$2, SUMIFS(IF($G$2="CPR",'Grid Data'!$V$4:$V$2342,'Grid Data'!$W$4:$W$2342),'Grid Data'!$N$4:$N$2342,$D30,'Grid Data'!$O$4:$O$2342,W$4,'Grid Data'!$M$4:$M$2342,$D$2)*100, 0)</f>
        <v>0</v>
      </c>
      <c r="X30" s="4">
        <f>IF(  X93&gt;$E$2, SUMIFS(IF($G$2="CPR",'Grid Data'!$V$4:$V$2342,'Grid Data'!$W$4:$W$2342),'Grid Data'!$N$4:$N$2342,$D30,'Grid Data'!$O$4:$O$2342,X$4,'Grid Data'!$M$4:$M$2342,$D$2)*100, 0)</f>
        <v>0</v>
      </c>
      <c r="Y30" s="4">
        <f>IF(  Y93&gt;$E$2, SUMIFS(IF($G$2="CPR",'Grid Data'!$V$4:$V$2342,'Grid Data'!$W$4:$W$2342),'Grid Data'!$N$4:$N$2342,$D30,'Grid Data'!$O$4:$O$2342,Y$4,'Grid Data'!$M$4:$M$2342,$D$2)*100, 0)</f>
        <v>0</v>
      </c>
      <c r="Z30" s="4">
        <f>IF(  Z93&gt;$E$2, SUMIFS(IF($G$2="CPR",'Grid Data'!$V$4:$V$2342,'Grid Data'!$W$4:$W$2342),'Grid Data'!$N$4:$N$2342,$D30,'Grid Data'!$O$4:$O$2342,Z$4,'Grid Data'!$M$4:$M$2342,$D$2)*100, 0)</f>
        <v>0</v>
      </c>
      <c r="AA30" s="4">
        <f>IF(  AA93&gt;$E$2, SUMIFS(IF($G$2="CPR",'Grid Data'!$V$4:$V$2342,'Grid Data'!$W$4:$W$2342),'Grid Data'!$N$4:$N$2342,$D30,'Grid Data'!$O$4:$O$2342,AA$4,'Grid Data'!$M$4:$M$2342,$D$2)*100, 0)</f>
        <v>0</v>
      </c>
      <c r="AB30" s="4">
        <f>IF(  AB93&gt;$E$2, SUMIFS(IF($G$2="CPR",'Grid Data'!$V$4:$V$2342,'Grid Data'!$W$4:$W$2342),'Grid Data'!$N$4:$N$2342,$D30,'Grid Data'!$O$4:$O$2342,AB$4,'Grid Data'!$M$4:$M$2342,$D$2)*100, 0)</f>
        <v>0</v>
      </c>
      <c r="AC30" s="4">
        <f>IF(  AC93&gt;$E$2, SUMIFS(IF($G$2="CPR",'Grid Data'!$V$4:$V$2342,'Grid Data'!$W$4:$W$2342),'Grid Data'!$N$4:$N$2342,$D30,'Grid Data'!$O$4:$O$2342,AC$4,'Grid Data'!$M$4:$M$2342,$D$2)*100, 0)</f>
        <v>0</v>
      </c>
      <c r="AD30" s="4">
        <f>IF(  AD93&gt;$E$2, SUMIFS(IF($G$2="CPR",'Grid Data'!$V$4:$V$2342,'Grid Data'!$W$4:$W$2342),'Grid Data'!$N$4:$N$2342,$D30,'Grid Data'!$O$4:$O$2342,AD$4,'Grid Data'!$M$4:$M$2342,$D$2)*100, 0)</f>
        <v>0</v>
      </c>
      <c r="AE30" s="4">
        <f>IF(  AE93&gt;$E$2, SUMIFS(IF($G$2="CPR",'Grid Data'!$V$4:$V$2342,'Grid Data'!$W$4:$W$2342),'Grid Data'!$N$4:$N$2342,$D30,'Grid Data'!$O$4:$O$2342,AE$4,'Grid Data'!$M$4:$M$2342,$D$2)*100, 0)</f>
        <v>0</v>
      </c>
      <c r="AF30" s="4">
        <f>IF(  AF93&gt;$E$2, SUMIFS(IF($G$2="CPR",'Grid Data'!$V$4:$V$2342,'Grid Data'!$W$4:$W$2342),'Grid Data'!$N$4:$N$2342,$D30,'Grid Data'!$O$4:$O$2342,AF$4,'Grid Data'!$M$4:$M$2342,$D$2)*100, 0)</f>
        <v>0</v>
      </c>
      <c r="AG30" s="4">
        <f>IF(  AG93&gt;$E$2, SUMIFS(IF($G$2="CPR",'Grid Data'!$V$4:$V$2342,'Grid Data'!$W$4:$W$2342),'Grid Data'!$N$4:$N$2342,$D30,'Grid Data'!$O$4:$O$2342,AG$4,'Grid Data'!$M$4:$M$2342,$D$2)*100, 0)</f>
        <v>0</v>
      </c>
      <c r="AH30" s="4">
        <f>IF(  AH93&gt;$E$2, SUMIFS(IF($G$2="CPR",'Grid Data'!$V$4:$V$2342,'Grid Data'!$W$4:$W$2342),'Grid Data'!$N$4:$N$2342,$D30,'Grid Data'!$O$4:$O$2342,AH$4,'Grid Data'!$M$4:$M$2342,$D$2)*100, 0)</f>
        <v>0</v>
      </c>
    </row>
    <row r="31" spans="4:34" x14ac:dyDescent="0.35">
      <c r="D31">
        <v>8500</v>
      </c>
      <c r="E31" s="4">
        <f>IF(  E94&gt;$E$2, SUMIFS(IF($G$2="CPR",'Grid Data'!$V$4:$V$2342,'Grid Data'!$W$4:$W$2342),'Grid Data'!$N$4:$N$2342,$D31,'Grid Data'!$O$4:$O$2342,E$4,'Grid Data'!$M$4:$M$2342,$D$2)*100, 0)</f>
        <v>0</v>
      </c>
      <c r="F31" s="4">
        <f>IF(  F94&gt;$E$2, SUMIFS(IF($G$2="CPR",'Grid Data'!$V$4:$V$2342,'Grid Data'!$W$4:$W$2342),'Grid Data'!$N$4:$N$2342,$D31,'Grid Data'!$O$4:$O$2342,F$4,'Grid Data'!$M$4:$M$2342,$D$2)*100, 0)</f>
        <v>0</v>
      </c>
      <c r="G31" s="4">
        <f>IF(  G94&gt;$E$2, SUMIFS(IF($G$2="CPR",'Grid Data'!$V$4:$V$2342,'Grid Data'!$W$4:$W$2342),'Grid Data'!$N$4:$N$2342,$D31,'Grid Data'!$O$4:$O$2342,G$4,'Grid Data'!$M$4:$M$2342,$D$2)*100, 0)</f>
        <v>0</v>
      </c>
      <c r="H31" s="4">
        <f>IF(  H94&gt;$E$2, SUMIFS(IF($G$2="CPR",'Grid Data'!$V$4:$V$2342,'Grid Data'!$W$4:$W$2342),'Grid Data'!$N$4:$N$2342,$D31,'Grid Data'!$O$4:$O$2342,H$4,'Grid Data'!$M$4:$M$2342,$D$2)*100, 0)</f>
        <v>0</v>
      </c>
      <c r="I31" s="4">
        <f>IF(  I94&gt;$E$2, SUMIFS(IF($G$2="CPR",'Grid Data'!$V$4:$V$2342,'Grid Data'!$W$4:$W$2342),'Grid Data'!$N$4:$N$2342,$D31,'Grid Data'!$O$4:$O$2342,I$4,'Grid Data'!$M$4:$M$2342,$D$2)*100, 0)</f>
        <v>0</v>
      </c>
      <c r="J31" s="4">
        <f>IF(  J94&gt;$E$2, SUMIFS(IF($G$2="CPR",'Grid Data'!$V$4:$V$2342,'Grid Data'!$W$4:$W$2342),'Grid Data'!$N$4:$N$2342,$D31,'Grid Data'!$O$4:$O$2342,J$4,'Grid Data'!$M$4:$M$2342,$D$2)*100, 0)</f>
        <v>0</v>
      </c>
      <c r="K31" s="4">
        <f>IF(  K94&gt;$E$2, SUMIFS(IF($G$2="CPR",'Grid Data'!$V$4:$V$2342,'Grid Data'!$W$4:$W$2342),'Grid Data'!$N$4:$N$2342,$D31,'Grid Data'!$O$4:$O$2342,K$4,'Grid Data'!$M$4:$M$2342,$D$2)*100, 0)</f>
        <v>0</v>
      </c>
      <c r="L31" s="4">
        <f>IF(  L94&gt;$E$2, SUMIFS(IF($G$2="CPR",'Grid Data'!$V$4:$V$2342,'Grid Data'!$W$4:$W$2342),'Grid Data'!$N$4:$N$2342,$D31,'Grid Data'!$O$4:$O$2342,L$4,'Grid Data'!$M$4:$M$2342,$D$2)*100, 0)</f>
        <v>0</v>
      </c>
      <c r="M31" s="4">
        <f>IF(  M94&gt;$E$2, SUMIFS(IF($G$2="CPR",'Grid Data'!$V$4:$V$2342,'Grid Data'!$W$4:$W$2342),'Grid Data'!$N$4:$N$2342,$D31,'Grid Data'!$O$4:$O$2342,M$4,'Grid Data'!$M$4:$M$2342,$D$2)*100, 0)</f>
        <v>0</v>
      </c>
      <c r="N31" s="4">
        <f>IF(  N94&gt;$E$2, SUMIFS(IF($G$2="CPR",'Grid Data'!$V$4:$V$2342,'Grid Data'!$W$4:$W$2342),'Grid Data'!$N$4:$N$2342,$D31,'Grid Data'!$O$4:$O$2342,N$4,'Grid Data'!$M$4:$M$2342,$D$2)*100, 0)</f>
        <v>0</v>
      </c>
      <c r="O31" s="4">
        <f>IF(  O94&gt;$E$2, SUMIFS(IF($G$2="CPR",'Grid Data'!$V$4:$V$2342,'Grid Data'!$W$4:$W$2342),'Grid Data'!$N$4:$N$2342,$D31,'Grid Data'!$O$4:$O$2342,O$4,'Grid Data'!$M$4:$M$2342,$D$2)*100, 0)</f>
        <v>0</v>
      </c>
      <c r="P31" s="4">
        <f>IF(  P94&gt;$E$2, SUMIFS(IF($G$2="CPR",'Grid Data'!$V$4:$V$2342,'Grid Data'!$W$4:$W$2342),'Grid Data'!$N$4:$N$2342,$D31,'Grid Data'!$O$4:$O$2342,P$4,'Grid Data'!$M$4:$M$2342,$D$2)*100, 0)</f>
        <v>0</v>
      </c>
      <c r="Q31" s="4">
        <f>IF(  Q94&gt;$E$2, SUMIFS(IF($G$2="CPR",'Grid Data'!$V$4:$V$2342,'Grid Data'!$W$4:$W$2342),'Grid Data'!$N$4:$N$2342,$D31,'Grid Data'!$O$4:$O$2342,Q$4,'Grid Data'!$M$4:$M$2342,$D$2)*100, 0)</f>
        <v>0</v>
      </c>
      <c r="R31" s="4">
        <f>IF(  R94&gt;$E$2, SUMIFS(IF($G$2="CPR",'Grid Data'!$V$4:$V$2342,'Grid Data'!$W$4:$W$2342),'Grid Data'!$N$4:$N$2342,$D31,'Grid Data'!$O$4:$O$2342,R$4,'Grid Data'!$M$4:$M$2342,$D$2)*100, 0)</f>
        <v>0</v>
      </c>
      <c r="S31" s="4">
        <f>IF(  S94&gt;$E$2, SUMIFS(IF($G$2="CPR",'Grid Data'!$V$4:$V$2342,'Grid Data'!$W$4:$W$2342),'Grid Data'!$N$4:$N$2342,$D31,'Grid Data'!$O$4:$O$2342,S$4,'Grid Data'!$M$4:$M$2342,$D$2)*100, 0)</f>
        <v>0</v>
      </c>
      <c r="T31" s="4">
        <f>IF(  T94&gt;$E$2, SUMIFS(IF($G$2="CPR",'Grid Data'!$V$4:$V$2342,'Grid Data'!$W$4:$W$2342),'Grid Data'!$N$4:$N$2342,$D31,'Grid Data'!$O$4:$O$2342,T$4,'Grid Data'!$M$4:$M$2342,$D$2)*100, 0)</f>
        <v>0</v>
      </c>
      <c r="U31" s="4">
        <f>IF(  U94&gt;$E$2, SUMIFS(IF($G$2="CPR",'Grid Data'!$V$4:$V$2342,'Grid Data'!$W$4:$W$2342),'Grid Data'!$N$4:$N$2342,$D31,'Grid Data'!$O$4:$O$2342,U$4,'Grid Data'!$M$4:$M$2342,$D$2)*100, 0)</f>
        <v>0</v>
      </c>
      <c r="V31" s="4">
        <f>IF(  V94&gt;$E$2, SUMIFS(IF($G$2="CPR",'Grid Data'!$V$4:$V$2342,'Grid Data'!$W$4:$W$2342),'Grid Data'!$N$4:$N$2342,$D31,'Grid Data'!$O$4:$O$2342,V$4,'Grid Data'!$M$4:$M$2342,$D$2)*100, 0)</f>
        <v>0</v>
      </c>
      <c r="W31" s="4">
        <f>IF(  W94&gt;$E$2, SUMIFS(IF($G$2="CPR",'Grid Data'!$V$4:$V$2342,'Grid Data'!$W$4:$W$2342),'Grid Data'!$N$4:$N$2342,$D31,'Grid Data'!$O$4:$O$2342,W$4,'Grid Data'!$M$4:$M$2342,$D$2)*100, 0)</f>
        <v>0</v>
      </c>
      <c r="X31" s="4">
        <f>IF(  X94&gt;$E$2, SUMIFS(IF($G$2="CPR",'Grid Data'!$V$4:$V$2342,'Grid Data'!$W$4:$W$2342),'Grid Data'!$N$4:$N$2342,$D31,'Grid Data'!$O$4:$O$2342,X$4,'Grid Data'!$M$4:$M$2342,$D$2)*100, 0)</f>
        <v>0</v>
      </c>
      <c r="Y31" s="4">
        <f>IF(  Y94&gt;$E$2, SUMIFS(IF($G$2="CPR",'Grid Data'!$V$4:$V$2342,'Grid Data'!$W$4:$W$2342),'Grid Data'!$N$4:$N$2342,$D31,'Grid Data'!$O$4:$O$2342,Y$4,'Grid Data'!$M$4:$M$2342,$D$2)*100, 0)</f>
        <v>0</v>
      </c>
      <c r="Z31" s="4">
        <f>IF(  Z94&gt;$E$2, SUMIFS(IF($G$2="CPR",'Grid Data'!$V$4:$V$2342,'Grid Data'!$W$4:$W$2342),'Grid Data'!$N$4:$N$2342,$D31,'Grid Data'!$O$4:$O$2342,Z$4,'Grid Data'!$M$4:$M$2342,$D$2)*100, 0)</f>
        <v>0</v>
      </c>
      <c r="AA31" s="4">
        <f>IF(  AA94&gt;$E$2, SUMIFS(IF($G$2="CPR",'Grid Data'!$V$4:$V$2342,'Grid Data'!$W$4:$W$2342),'Grid Data'!$N$4:$N$2342,$D31,'Grid Data'!$O$4:$O$2342,AA$4,'Grid Data'!$M$4:$M$2342,$D$2)*100, 0)</f>
        <v>0</v>
      </c>
      <c r="AB31" s="4">
        <f>IF(  AB94&gt;$E$2, SUMIFS(IF($G$2="CPR",'Grid Data'!$V$4:$V$2342,'Grid Data'!$W$4:$W$2342),'Grid Data'!$N$4:$N$2342,$D31,'Grid Data'!$O$4:$O$2342,AB$4,'Grid Data'!$M$4:$M$2342,$D$2)*100, 0)</f>
        <v>0</v>
      </c>
      <c r="AC31" s="4">
        <f>IF(  AC94&gt;$E$2, SUMIFS(IF($G$2="CPR",'Grid Data'!$V$4:$V$2342,'Grid Data'!$W$4:$W$2342),'Grid Data'!$N$4:$N$2342,$D31,'Grid Data'!$O$4:$O$2342,AC$4,'Grid Data'!$M$4:$M$2342,$D$2)*100, 0)</f>
        <v>0</v>
      </c>
      <c r="AD31" s="4">
        <f>IF(  AD94&gt;$E$2, SUMIFS(IF($G$2="CPR",'Grid Data'!$V$4:$V$2342,'Grid Data'!$W$4:$W$2342),'Grid Data'!$N$4:$N$2342,$D31,'Grid Data'!$O$4:$O$2342,AD$4,'Grid Data'!$M$4:$M$2342,$D$2)*100, 0)</f>
        <v>0</v>
      </c>
      <c r="AE31" s="4">
        <f>IF(  AE94&gt;$E$2, SUMIFS(IF($G$2="CPR",'Grid Data'!$V$4:$V$2342,'Grid Data'!$W$4:$W$2342),'Grid Data'!$N$4:$N$2342,$D31,'Grid Data'!$O$4:$O$2342,AE$4,'Grid Data'!$M$4:$M$2342,$D$2)*100, 0)</f>
        <v>0</v>
      </c>
      <c r="AF31" s="4">
        <f>IF(  AF94&gt;$E$2, SUMIFS(IF($G$2="CPR",'Grid Data'!$V$4:$V$2342,'Grid Data'!$W$4:$W$2342),'Grid Data'!$N$4:$N$2342,$D31,'Grid Data'!$O$4:$O$2342,AF$4,'Grid Data'!$M$4:$M$2342,$D$2)*100, 0)</f>
        <v>0</v>
      </c>
      <c r="AG31" s="4">
        <f>IF(  AG94&gt;$E$2, SUMIFS(IF($G$2="CPR",'Grid Data'!$V$4:$V$2342,'Grid Data'!$W$4:$W$2342),'Grid Data'!$N$4:$N$2342,$D31,'Grid Data'!$O$4:$O$2342,AG$4,'Grid Data'!$M$4:$M$2342,$D$2)*100, 0)</f>
        <v>0.6996</v>
      </c>
      <c r="AH31" s="4">
        <f>IF(  AH94&gt;$E$2, SUMIFS(IF($G$2="CPR",'Grid Data'!$V$4:$V$2342,'Grid Data'!$W$4:$W$2342),'Grid Data'!$N$4:$N$2342,$D31,'Grid Data'!$O$4:$O$2342,AH$4,'Grid Data'!$M$4:$M$2342,$D$2)*100, 0)</f>
        <v>8.6282999999999994</v>
      </c>
    </row>
    <row r="32" spans="4:34" x14ac:dyDescent="0.35">
      <c r="D32">
        <v>9000</v>
      </c>
      <c r="E32" s="4">
        <f>IF(  E95&gt;$E$2, SUMIFS(IF($G$2="CPR",'Grid Data'!$V$4:$V$2342,'Grid Data'!$W$4:$W$2342),'Grid Data'!$N$4:$N$2342,$D32,'Grid Data'!$O$4:$O$2342,E$4,'Grid Data'!$M$4:$M$2342,$D$2)*100, 0)</f>
        <v>0</v>
      </c>
      <c r="F32" s="4">
        <f>IF(  F95&gt;$E$2, SUMIFS(IF($G$2="CPR",'Grid Data'!$V$4:$V$2342,'Grid Data'!$W$4:$W$2342),'Grid Data'!$N$4:$N$2342,$D32,'Grid Data'!$O$4:$O$2342,F$4,'Grid Data'!$M$4:$M$2342,$D$2)*100, 0)</f>
        <v>0</v>
      </c>
      <c r="G32" s="4">
        <f>IF(  G95&gt;$E$2, SUMIFS(IF($G$2="CPR",'Grid Data'!$V$4:$V$2342,'Grid Data'!$W$4:$W$2342),'Grid Data'!$N$4:$N$2342,$D32,'Grid Data'!$O$4:$O$2342,G$4,'Grid Data'!$M$4:$M$2342,$D$2)*100, 0)</f>
        <v>0</v>
      </c>
      <c r="H32" s="4">
        <f>IF(  H95&gt;$E$2, SUMIFS(IF($G$2="CPR",'Grid Data'!$V$4:$V$2342,'Grid Data'!$W$4:$W$2342),'Grid Data'!$N$4:$N$2342,$D32,'Grid Data'!$O$4:$O$2342,H$4,'Grid Data'!$M$4:$M$2342,$D$2)*100, 0)</f>
        <v>0</v>
      </c>
      <c r="I32" s="4">
        <f>IF(  I95&gt;$E$2, SUMIFS(IF($G$2="CPR",'Grid Data'!$V$4:$V$2342,'Grid Data'!$W$4:$W$2342),'Grid Data'!$N$4:$N$2342,$D32,'Grid Data'!$O$4:$O$2342,I$4,'Grid Data'!$M$4:$M$2342,$D$2)*100, 0)</f>
        <v>0</v>
      </c>
      <c r="J32" s="4">
        <f>IF(  J95&gt;$E$2, SUMIFS(IF($G$2="CPR",'Grid Data'!$V$4:$V$2342,'Grid Data'!$W$4:$W$2342),'Grid Data'!$N$4:$N$2342,$D32,'Grid Data'!$O$4:$O$2342,J$4,'Grid Data'!$M$4:$M$2342,$D$2)*100, 0)</f>
        <v>0</v>
      </c>
      <c r="K32" s="4">
        <f>IF(  K95&gt;$E$2, SUMIFS(IF($G$2="CPR",'Grid Data'!$V$4:$V$2342,'Grid Data'!$W$4:$W$2342),'Grid Data'!$N$4:$N$2342,$D32,'Grid Data'!$O$4:$O$2342,K$4,'Grid Data'!$M$4:$M$2342,$D$2)*100, 0)</f>
        <v>0</v>
      </c>
      <c r="L32" s="4">
        <f>IF(  L95&gt;$E$2, SUMIFS(IF($G$2="CPR",'Grid Data'!$V$4:$V$2342,'Grid Data'!$W$4:$W$2342),'Grid Data'!$N$4:$N$2342,$D32,'Grid Data'!$O$4:$O$2342,L$4,'Grid Data'!$M$4:$M$2342,$D$2)*100, 0)</f>
        <v>0</v>
      </c>
      <c r="M32" s="4">
        <f>IF(  M95&gt;$E$2, SUMIFS(IF($G$2="CPR",'Grid Data'!$V$4:$V$2342,'Grid Data'!$W$4:$W$2342),'Grid Data'!$N$4:$N$2342,$D32,'Grid Data'!$O$4:$O$2342,M$4,'Grid Data'!$M$4:$M$2342,$D$2)*100, 0)</f>
        <v>0</v>
      </c>
      <c r="N32" s="4">
        <f>IF(  N95&gt;$E$2, SUMIFS(IF($G$2="CPR",'Grid Data'!$V$4:$V$2342,'Grid Data'!$W$4:$W$2342),'Grid Data'!$N$4:$N$2342,$D32,'Grid Data'!$O$4:$O$2342,N$4,'Grid Data'!$M$4:$M$2342,$D$2)*100, 0)</f>
        <v>0</v>
      </c>
      <c r="O32" s="4">
        <f>IF(  O95&gt;$E$2, SUMIFS(IF($G$2="CPR",'Grid Data'!$V$4:$V$2342,'Grid Data'!$W$4:$W$2342),'Grid Data'!$N$4:$N$2342,$D32,'Grid Data'!$O$4:$O$2342,O$4,'Grid Data'!$M$4:$M$2342,$D$2)*100, 0)</f>
        <v>0</v>
      </c>
      <c r="P32" s="4">
        <f>IF(  P95&gt;$E$2, SUMIFS(IF($G$2="CPR",'Grid Data'!$V$4:$V$2342,'Grid Data'!$W$4:$W$2342),'Grid Data'!$N$4:$N$2342,$D32,'Grid Data'!$O$4:$O$2342,P$4,'Grid Data'!$M$4:$M$2342,$D$2)*100, 0)</f>
        <v>0</v>
      </c>
      <c r="Q32" s="4">
        <f>IF(  Q95&gt;$E$2, SUMIFS(IF($G$2="CPR",'Grid Data'!$V$4:$V$2342,'Grid Data'!$W$4:$W$2342),'Grid Data'!$N$4:$N$2342,$D32,'Grid Data'!$O$4:$O$2342,Q$4,'Grid Data'!$M$4:$M$2342,$D$2)*100, 0)</f>
        <v>0</v>
      </c>
      <c r="R32" s="4">
        <f>IF(  R95&gt;$E$2, SUMIFS(IF($G$2="CPR",'Grid Data'!$V$4:$V$2342,'Grid Data'!$W$4:$W$2342),'Grid Data'!$N$4:$N$2342,$D32,'Grid Data'!$O$4:$O$2342,R$4,'Grid Data'!$M$4:$M$2342,$D$2)*100, 0)</f>
        <v>0</v>
      </c>
      <c r="S32" s="4">
        <f>IF(  S95&gt;$E$2, SUMIFS(IF($G$2="CPR",'Grid Data'!$V$4:$V$2342,'Grid Data'!$W$4:$W$2342),'Grid Data'!$N$4:$N$2342,$D32,'Grid Data'!$O$4:$O$2342,S$4,'Grid Data'!$M$4:$M$2342,$D$2)*100, 0)</f>
        <v>0</v>
      </c>
      <c r="T32" s="4">
        <f>IF(  T95&gt;$E$2, SUMIFS(IF($G$2="CPR",'Grid Data'!$V$4:$V$2342,'Grid Data'!$W$4:$W$2342),'Grid Data'!$N$4:$N$2342,$D32,'Grid Data'!$O$4:$O$2342,T$4,'Grid Data'!$M$4:$M$2342,$D$2)*100, 0)</f>
        <v>0</v>
      </c>
      <c r="U32" s="4">
        <f>IF(  U95&gt;$E$2, SUMIFS(IF($G$2="CPR",'Grid Data'!$V$4:$V$2342,'Grid Data'!$W$4:$W$2342),'Grid Data'!$N$4:$N$2342,$D32,'Grid Data'!$O$4:$O$2342,U$4,'Grid Data'!$M$4:$M$2342,$D$2)*100, 0)</f>
        <v>0</v>
      </c>
      <c r="V32" s="4">
        <f>IF(  V95&gt;$E$2, SUMIFS(IF($G$2="CPR",'Grid Data'!$V$4:$V$2342,'Grid Data'!$W$4:$W$2342),'Grid Data'!$N$4:$N$2342,$D32,'Grid Data'!$O$4:$O$2342,V$4,'Grid Data'!$M$4:$M$2342,$D$2)*100, 0)</f>
        <v>0</v>
      </c>
      <c r="W32" s="4">
        <f>IF(  W95&gt;$E$2, SUMIFS(IF($G$2="CPR",'Grid Data'!$V$4:$V$2342,'Grid Data'!$W$4:$W$2342),'Grid Data'!$N$4:$N$2342,$D32,'Grid Data'!$O$4:$O$2342,W$4,'Grid Data'!$M$4:$M$2342,$D$2)*100, 0)</f>
        <v>0</v>
      </c>
      <c r="X32" s="4">
        <f>IF(  X95&gt;$E$2, SUMIFS(IF($G$2="CPR",'Grid Data'!$V$4:$V$2342,'Grid Data'!$W$4:$W$2342),'Grid Data'!$N$4:$N$2342,$D32,'Grid Data'!$O$4:$O$2342,X$4,'Grid Data'!$M$4:$M$2342,$D$2)*100, 0)</f>
        <v>0</v>
      </c>
      <c r="Y32" s="4">
        <f>IF(  Y95&gt;$E$2, SUMIFS(IF($G$2="CPR",'Grid Data'!$V$4:$V$2342,'Grid Data'!$W$4:$W$2342),'Grid Data'!$N$4:$N$2342,$D32,'Grid Data'!$O$4:$O$2342,Y$4,'Grid Data'!$M$4:$M$2342,$D$2)*100, 0)</f>
        <v>0</v>
      </c>
      <c r="Z32" s="4">
        <f>IF(  Z95&gt;$E$2, SUMIFS(IF($G$2="CPR",'Grid Data'!$V$4:$V$2342,'Grid Data'!$W$4:$W$2342),'Grid Data'!$N$4:$N$2342,$D32,'Grid Data'!$O$4:$O$2342,Z$4,'Grid Data'!$M$4:$M$2342,$D$2)*100, 0)</f>
        <v>0</v>
      </c>
      <c r="AA32" s="4">
        <f>IF(  AA95&gt;$E$2, SUMIFS(IF($G$2="CPR",'Grid Data'!$V$4:$V$2342,'Grid Data'!$W$4:$W$2342),'Grid Data'!$N$4:$N$2342,$D32,'Grid Data'!$O$4:$O$2342,AA$4,'Grid Data'!$M$4:$M$2342,$D$2)*100, 0)</f>
        <v>0</v>
      </c>
      <c r="AB32" s="4">
        <f>IF(  AB95&gt;$E$2, SUMIFS(IF($G$2="CPR",'Grid Data'!$V$4:$V$2342,'Grid Data'!$W$4:$W$2342),'Grid Data'!$N$4:$N$2342,$D32,'Grid Data'!$O$4:$O$2342,AB$4,'Grid Data'!$M$4:$M$2342,$D$2)*100, 0)</f>
        <v>0</v>
      </c>
      <c r="AC32" s="4">
        <f>IF(  AC95&gt;$E$2, SUMIFS(IF($G$2="CPR",'Grid Data'!$V$4:$V$2342,'Grid Data'!$W$4:$W$2342),'Grid Data'!$N$4:$N$2342,$D32,'Grid Data'!$O$4:$O$2342,AC$4,'Grid Data'!$M$4:$M$2342,$D$2)*100, 0)</f>
        <v>0</v>
      </c>
      <c r="AD32" s="4">
        <f>IF(  AD95&gt;$E$2, SUMIFS(IF($G$2="CPR",'Grid Data'!$V$4:$V$2342,'Grid Data'!$W$4:$W$2342),'Grid Data'!$N$4:$N$2342,$D32,'Grid Data'!$O$4:$O$2342,AD$4,'Grid Data'!$M$4:$M$2342,$D$2)*100, 0)</f>
        <v>0</v>
      </c>
      <c r="AE32" s="4">
        <f>IF(  AE95&gt;$E$2, SUMIFS(IF($G$2="CPR",'Grid Data'!$V$4:$V$2342,'Grid Data'!$W$4:$W$2342),'Grid Data'!$N$4:$N$2342,$D32,'Grid Data'!$O$4:$O$2342,AE$4,'Grid Data'!$M$4:$M$2342,$D$2)*100, 0)</f>
        <v>0</v>
      </c>
      <c r="AF32" s="4">
        <f>IF(  AF95&gt;$E$2, SUMIFS(IF($G$2="CPR",'Grid Data'!$V$4:$V$2342,'Grid Data'!$W$4:$W$2342),'Grid Data'!$N$4:$N$2342,$D32,'Grid Data'!$O$4:$O$2342,AF$4,'Grid Data'!$M$4:$M$2342,$D$2)*100, 0)</f>
        <v>0</v>
      </c>
      <c r="AG32" s="4">
        <f>IF(  AG95&gt;$E$2, SUMIFS(IF($G$2="CPR",'Grid Data'!$V$4:$V$2342,'Grid Data'!$W$4:$W$2342),'Grid Data'!$N$4:$N$2342,$D32,'Grid Data'!$O$4:$O$2342,AG$4,'Grid Data'!$M$4:$M$2342,$D$2)*100, 0)</f>
        <v>0</v>
      </c>
      <c r="AH32" s="4">
        <f>IF(  AH95&gt;$E$2, SUMIFS(IF($G$2="CPR",'Grid Data'!$V$4:$V$2342,'Grid Data'!$W$4:$W$2342),'Grid Data'!$N$4:$N$2342,$D32,'Grid Data'!$O$4:$O$2342,AH$4,'Grid Data'!$M$4:$M$2342,$D$2)*100, 0)</f>
        <v>0</v>
      </c>
    </row>
    <row r="33" spans="1:34" x14ac:dyDescent="0.35">
      <c r="D33">
        <v>20000</v>
      </c>
      <c r="E33" s="4">
        <f>IF(  E96&gt;$E$2, SUMIFS(IF($G$2="CPR",'Grid Data'!$V$4:$V$2342,'Grid Data'!$W$4:$W$2342),'Grid Data'!$N$4:$N$2342,$D33,'Grid Data'!$O$4:$O$2342,E$4,'Grid Data'!$M$4:$M$2342,$D$2)*100, 0)</f>
        <v>0</v>
      </c>
      <c r="F33" s="4">
        <f>IF(  F96&gt;$E$2, SUMIFS(IF($G$2="CPR",'Grid Data'!$V$4:$V$2342,'Grid Data'!$W$4:$W$2342),'Grid Data'!$N$4:$N$2342,$D33,'Grid Data'!$O$4:$O$2342,F$4,'Grid Data'!$M$4:$M$2342,$D$2)*100, 0)</f>
        <v>0</v>
      </c>
      <c r="G33" s="4">
        <f>IF(  G96&gt;$E$2, SUMIFS(IF($G$2="CPR",'Grid Data'!$V$4:$V$2342,'Grid Data'!$W$4:$W$2342),'Grid Data'!$N$4:$N$2342,$D33,'Grid Data'!$O$4:$O$2342,G$4,'Grid Data'!$M$4:$M$2342,$D$2)*100, 0)</f>
        <v>0</v>
      </c>
      <c r="H33" s="4">
        <f>IF(  H96&gt;$E$2, SUMIFS(IF($G$2="CPR",'Grid Data'!$V$4:$V$2342,'Grid Data'!$W$4:$W$2342),'Grid Data'!$N$4:$N$2342,$D33,'Grid Data'!$O$4:$O$2342,H$4,'Grid Data'!$M$4:$M$2342,$D$2)*100, 0)</f>
        <v>0</v>
      </c>
      <c r="I33" s="4">
        <f>IF(  I96&gt;$E$2, SUMIFS(IF($G$2="CPR",'Grid Data'!$V$4:$V$2342,'Grid Data'!$W$4:$W$2342),'Grid Data'!$N$4:$N$2342,$D33,'Grid Data'!$O$4:$O$2342,I$4,'Grid Data'!$M$4:$M$2342,$D$2)*100, 0)</f>
        <v>0</v>
      </c>
      <c r="J33" s="4">
        <f>IF(  J96&gt;$E$2, SUMIFS(IF($G$2="CPR",'Grid Data'!$V$4:$V$2342,'Grid Data'!$W$4:$W$2342),'Grid Data'!$N$4:$N$2342,$D33,'Grid Data'!$O$4:$O$2342,J$4,'Grid Data'!$M$4:$M$2342,$D$2)*100, 0)</f>
        <v>0</v>
      </c>
      <c r="K33" s="4">
        <f>IF(  K96&gt;$E$2, SUMIFS(IF($G$2="CPR",'Grid Data'!$V$4:$V$2342,'Grid Data'!$W$4:$W$2342),'Grid Data'!$N$4:$N$2342,$D33,'Grid Data'!$O$4:$O$2342,K$4,'Grid Data'!$M$4:$M$2342,$D$2)*100, 0)</f>
        <v>0</v>
      </c>
      <c r="L33" s="4">
        <f>IF(  L96&gt;$E$2, SUMIFS(IF($G$2="CPR",'Grid Data'!$V$4:$V$2342,'Grid Data'!$W$4:$W$2342),'Grid Data'!$N$4:$N$2342,$D33,'Grid Data'!$O$4:$O$2342,L$4,'Grid Data'!$M$4:$M$2342,$D$2)*100, 0)</f>
        <v>0</v>
      </c>
      <c r="M33" s="4">
        <f>IF(  M96&gt;$E$2, SUMIFS(IF($G$2="CPR",'Grid Data'!$V$4:$V$2342,'Grid Data'!$W$4:$W$2342),'Grid Data'!$N$4:$N$2342,$D33,'Grid Data'!$O$4:$O$2342,M$4,'Grid Data'!$M$4:$M$2342,$D$2)*100, 0)</f>
        <v>0</v>
      </c>
      <c r="N33" s="4">
        <f>IF(  N96&gt;$E$2, SUMIFS(IF($G$2="CPR",'Grid Data'!$V$4:$V$2342,'Grid Data'!$W$4:$W$2342),'Grid Data'!$N$4:$N$2342,$D33,'Grid Data'!$O$4:$O$2342,N$4,'Grid Data'!$M$4:$M$2342,$D$2)*100, 0)</f>
        <v>0</v>
      </c>
      <c r="O33" s="4">
        <f>IF(  O96&gt;$E$2, SUMIFS(IF($G$2="CPR",'Grid Data'!$V$4:$V$2342,'Grid Data'!$W$4:$W$2342),'Grid Data'!$N$4:$N$2342,$D33,'Grid Data'!$O$4:$O$2342,O$4,'Grid Data'!$M$4:$M$2342,$D$2)*100, 0)</f>
        <v>0</v>
      </c>
      <c r="P33" s="4">
        <f>IF(  P96&gt;$E$2, SUMIFS(IF($G$2="CPR",'Grid Data'!$V$4:$V$2342,'Grid Data'!$W$4:$W$2342),'Grid Data'!$N$4:$N$2342,$D33,'Grid Data'!$O$4:$O$2342,P$4,'Grid Data'!$M$4:$M$2342,$D$2)*100, 0)</f>
        <v>0</v>
      </c>
      <c r="Q33" s="4">
        <f>IF(  Q96&gt;$E$2, SUMIFS(IF($G$2="CPR",'Grid Data'!$V$4:$V$2342,'Grid Data'!$W$4:$W$2342),'Grid Data'!$N$4:$N$2342,$D33,'Grid Data'!$O$4:$O$2342,Q$4,'Grid Data'!$M$4:$M$2342,$D$2)*100, 0)</f>
        <v>0</v>
      </c>
      <c r="R33" s="4">
        <f>IF(  R96&gt;$E$2, SUMIFS(IF($G$2="CPR",'Grid Data'!$V$4:$V$2342,'Grid Data'!$W$4:$W$2342),'Grid Data'!$N$4:$N$2342,$D33,'Grid Data'!$O$4:$O$2342,R$4,'Grid Data'!$M$4:$M$2342,$D$2)*100, 0)</f>
        <v>0</v>
      </c>
      <c r="S33" s="4">
        <f>IF(  S96&gt;$E$2, SUMIFS(IF($G$2="CPR",'Grid Data'!$V$4:$V$2342,'Grid Data'!$W$4:$W$2342),'Grid Data'!$N$4:$N$2342,$D33,'Grid Data'!$O$4:$O$2342,S$4,'Grid Data'!$M$4:$M$2342,$D$2)*100, 0)</f>
        <v>0</v>
      </c>
      <c r="T33" s="4">
        <f>IF(  T96&gt;$E$2, SUMIFS(IF($G$2="CPR",'Grid Data'!$V$4:$V$2342,'Grid Data'!$W$4:$W$2342),'Grid Data'!$N$4:$N$2342,$D33,'Grid Data'!$O$4:$O$2342,T$4,'Grid Data'!$M$4:$M$2342,$D$2)*100, 0)</f>
        <v>0</v>
      </c>
      <c r="U33" s="4">
        <f>IF(  U96&gt;$E$2, SUMIFS(IF($G$2="CPR",'Grid Data'!$V$4:$V$2342,'Grid Data'!$W$4:$W$2342),'Grid Data'!$N$4:$N$2342,$D33,'Grid Data'!$O$4:$O$2342,U$4,'Grid Data'!$M$4:$M$2342,$D$2)*100, 0)</f>
        <v>0</v>
      </c>
      <c r="V33" s="4">
        <f>IF(  V96&gt;$E$2, SUMIFS(IF($G$2="CPR",'Grid Data'!$V$4:$V$2342,'Grid Data'!$W$4:$W$2342),'Grid Data'!$N$4:$N$2342,$D33,'Grid Data'!$O$4:$O$2342,V$4,'Grid Data'!$M$4:$M$2342,$D$2)*100, 0)</f>
        <v>0</v>
      </c>
      <c r="W33" s="4">
        <f>IF(  W96&gt;$E$2, SUMIFS(IF($G$2="CPR",'Grid Data'!$V$4:$V$2342,'Grid Data'!$W$4:$W$2342),'Grid Data'!$N$4:$N$2342,$D33,'Grid Data'!$O$4:$O$2342,W$4,'Grid Data'!$M$4:$M$2342,$D$2)*100, 0)</f>
        <v>0</v>
      </c>
      <c r="X33" s="4">
        <f>IF(  X96&gt;$E$2, SUMIFS(IF($G$2="CPR",'Grid Data'!$V$4:$V$2342,'Grid Data'!$W$4:$W$2342),'Grid Data'!$N$4:$N$2342,$D33,'Grid Data'!$O$4:$O$2342,X$4,'Grid Data'!$M$4:$M$2342,$D$2)*100, 0)</f>
        <v>0</v>
      </c>
      <c r="Y33" s="4">
        <f>IF(  Y96&gt;$E$2, SUMIFS(IF($G$2="CPR",'Grid Data'!$V$4:$V$2342,'Grid Data'!$W$4:$W$2342),'Grid Data'!$N$4:$N$2342,$D33,'Grid Data'!$O$4:$O$2342,Y$4,'Grid Data'!$M$4:$M$2342,$D$2)*100, 0)</f>
        <v>0</v>
      </c>
      <c r="Z33" s="4">
        <f>IF(  Z96&gt;$E$2, SUMIFS(IF($G$2="CPR",'Grid Data'!$V$4:$V$2342,'Grid Data'!$W$4:$W$2342),'Grid Data'!$N$4:$N$2342,$D33,'Grid Data'!$O$4:$O$2342,Z$4,'Grid Data'!$M$4:$M$2342,$D$2)*100, 0)</f>
        <v>0</v>
      </c>
      <c r="AA33" s="4">
        <f>IF(  AA96&gt;$E$2, SUMIFS(IF($G$2="CPR",'Grid Data'!$V$4:$V$2342,'Grid Data'!$W$4:$W$2342),'Grid Data'!$N$4:$N$2342,$D33,'Grid Data'!$O$4:$O$2342,AA$4,'Grid Data'!$M$4:$M$2342,$D$2)*100, 0)</f>
        <v>0</v>
      </c>
      <c r="AB33" s="4">
        <f>IF(  AB96&gt;$E$2, SUMIFS(IF($G$2="CPR",'Grid Data'!$V$4:$V$2342,'Grid Data'!$W$4:$W$2342),'Grid Data'!$N$4:$N$2342,$D33,'Grid Data'!$O$4:$O$2342,AB$4,'Grid Data'!$M$4:$M$2342,$D$2)*100, 0)</f>
        <v>0</v>
      </c>
      <c r="AC33" s="4">
        <f>IF(  AC96&gt;$E$2, SUMIFS(IF($G$2="CPR",'Grid Data'!$V$4:$V$2342,'Grid Data'!$W$4:$W$2342),'Grid Data'!$N$4:$N$2342,$D33,'Grid Data'!$O$4:$O$2342,AC$4,'Grid Data'!$M$4:$M$2342,$D$2)*100, 0)</f>
        <v>0</v>
      </c>
      <c r="AD33" s="4">
        <f>IF(  AD96&gt;$E$2, SUMIFS(IF($G$2="CPR",'Grid Data'!$V$4:$V$2342,'Grid Data'!$W$4:$W$2342),'Grid Data'!$N$4:$N$2342,$D33,'Grid Data'!$O$4:$O$2342,AD$4,'Grid Data'!$M$4:$M$2342,$D$2)*100, 0)</f>
        <v>0</v>
      </c>
      <c r="AE33" s="4">
        <f>IF(  AE96&gt;$E$2, SUMIFS(IF($G$2="CPR",'Grid Data'!$V$4:$V$2342,'Grid Data'!$W$4:$W$2342),'Grid Data'!$N$4:$N$2342,$D33,'Grid Data'!$O$4:$O$2342,AE$4,'Grid Data'!$M$4:$M$2342,$D$2)*100, 0)</f>
        <v>0</v>
      </c>
      <c r="AF33" s="4">
        <f>IF(  AF96&gt;$E$2, SUMIFS(IF($G$2="CPR",'Grid Data'!$V$4:$V$2342,'Grid Data'!$W$4:$W$2342),'Grid Data'!$N$4:$N$2342,$D33,'Grid Data'!$O$4:$O$2342,AF$4,'Grid Data'!$M$4:$M$2342,$D$2)*100, 0)</f>
        <v>0</v>
      </c>
      <c r="AG33" s="4">
        <f>IF(  AG96&gt;$E$2, SUMIFS(IF($G$2="CPR",'Grid Data'!$V$4:$V$2342,'Grid Data'!$W$4:$W$2342),'Grid Data'!$N$4:$N$2342,$D33,'Grid Data'!$O$4:$O$2342,AG$4,'Grid Data'!$M$4:$M$2342,$D$2)*100, 0)</f>
        <v>0</v>
      </c>
      <c r="AH33" s="4">
        <f>IF(  AH96&gt;$E$2, SUMIFS(IF($G$2="CPR",'Grid Data'!$V$4:$V$2342,'Grid Data'!$W$4:$W$2342),'Grid Data'!$N$4:$N$2342,$D33,'Grid Data'!$O$4:$O$2342,AH$4,'Grid Data'!$M$4:$M$2342,$D$2)*100, 0)</f>
        <v>0</v>
      </c>
    </row>
    <row r="34" spans="1:34" x14ac:dyDescent="0.35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35">
      <c r="E35" s="6" t="s">
        <v>7</v>
      </c>
    </row>
    <row r="36" spans="1:34" x14ac:dyDescent="0.35">
      <c r="D36" s="3" t="s">
        <v>6</v>
      </c>
      <c r="E36">
        <v>5</v>
      </c>
      <c r="F36">
        <v>6</v>
      </c>
      <c r="G36">
        <v>7</v>
      </c>
      <c r="H36">
        <v>8</v>
      </c>
      <c r="I36">
        <v>9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24</v>
      </c>
      <c r="Q36">
        <v>30</v>
      </c>
      <c r="R36">
        <v>36</v>
      </c>
      <c r="S36">
        <v>42</v>
      </c>
      <c r="T36">
        <v>48</v>
      </c>
      <c r="U36">
        <v>54</v>
      </c>
      <c r="V36">
        <v>60</v>
      </c>
      <c r="W36">
        <v>72</v>
      </c>
      <c r="X36">
        <v>84</v>
      </c>
      <c r="Y36">
        <v>96</v>
      </c>
      <c r="Z36">
        <v>108</v>
      </c>
      <c r="AA36">
        <v>120</v>
      </c>
      <c r="AB36">
        <v>144</v>
      </c>
      <c r="AC36">
        <v>168</v>
      </c>
      <c r="AD36">
        <v>192</v>
      </c>
      <c r="AE36">
        <v>216</v>
      </c>
      <c r="AF36">
        <v>240</v>
      </c>
      <c r="AG36">
        <v>320</v>
      </c>
      <c r="AH36">
        <v>360</v>
      </c>
    </row>
    <row r="37" spans="1:34" x14ac:dyDescent="0.35">
      <c r="D37">
        <v>2000</v>
      </c>
      <c r="E37" s="5" t="str">
        <f>IF(  E68&gt;$E$2, SUMIFS(IF($G$2="CPR",'Grid Data'!$AH$4:$AH$2342,'Grid Data'!$AI$4:$AI$2342),'Grid Data'!$Z$4:$Z$2342,$D37,'Grid Data'!$AA$4:$AA$2342,E$4,'Grid Data'!$Y$4:$Y$2342,$D$2)*100-E5, "--")</f>
        <v>--</v>
      </c>
      <c r="F37" s="5" t="str">
        <f>IF(  F68&gt;$E$2, SUMIFS(IF($G$2="CPR",'Grid Data'!$AH$4:$AH$2342,'Grid Data'!$AI$4:$AI$2342),'Grid Data'!$Z$4:$Z$2342,$D37,'Grid Data'!$AA$4:$AA$2342,F$4,'Grid Data'!$Y$4:$Y$2342,$D$2)*100-F5, "--")</f>
        <v>--</v>
      </c>
      <c r="G37" s="5" t="str">
        <f>IF(  G68&gt;$E$2, SUMIFS(IF($G$2="CPR",'Grid Data'!$AH$4:$AH$2342,'Grid Data'!$AI$4:$AI$2342),'Grid Data'!$Z$4:$Z$2342,$D37,'Grid Data'!$AA$4:$AA$2342,G$4,'Grid Data'!$Y$4:$Y$2342,$D$2)*100-G5, "--")</f>
        <v>--</v>
      </c>
      <c r="H37" s="5" t="str">
        <f>IF(  H68&gt;$E$2, SUMIFS(IF($G$2="CPR",'Grid Data'!$AH$4:$AH$2342,'Grid Data'!$AI$4:$AI$2342),'Grid Data'!$Z$4:$Z$2342,$D37,'Grid Data'!$AA$4:$AA$2342,H$4,'Grid Data'!$Y$4:$Y$2342,$D$2)*100-H5, "--")</f>
        <v>--</v>
      </c>
      <c r="I37" s="5" t="str">
        <f>IF(  I68&gt;$E$2, SUMIFS(IF($G$2="CPR",'Grid Data'!$AH$4:$AH$2342,'Grid Data'!$AI$4:$AI$2342),'Grid Data'!$Z$4:$Z$2342,$D37,'Grid Data'!$AA$4:$AA$2342,I$4,'Grid Data'!$Y$4:$Y$2342,$D$2)*100-I5, "--")</f>
        <v>--</v>
      </c>
      <c r="J37" s="5" t="str">
        <f>IF(  J68&gt;$E$2, SUMIFS(IF($G$2="CPR",'Grid Data'!$AH$4:$AH$2342,'Grid Data'!$AI$4:$AI$2342),'Grid Data'!$Z$4:$Z$2342,$D37,'Grid Data'!$AA$4:$AA$2342,J$4,'Grid Data'!$Y$4:$Y$2342,$D$2)*100-J5, "--")</f>
        <v>--</v>
      </c>
      <c r="K37" s="5" t="str">
        <f>IF(  K68&gt;$E$2, SUMIFS(IF($G$2="CPR",'Grid Data'!$AH$4:$AH$2342,'Grid Data'!$AI$4:$AI$2342),'Grid Data'!$Z$4:$Z$2342,$D37,'Grid Data'!$AA$4:$AA$2342,K$4,'Grid Data'!$Y$4:$Y$2342,$D$2)*100-K5, "--")</f>
        <v>--</v>
      </c>
      <c r="L37" s="5" t="str">
        <f>IF(  L68&gt;$E$2, SUMIFS(IF($G$2="CPR",'Grid Data'!$AH$4:$AH$2342,'Grid Data'!$AI$4:$AI$2342),'Grid Data'!$Z$4:$Z$2342,$D37,'Grid Data'!$AA$4:$AA$2342,L$4,'Grid Data'!$Y$4:$Y$2342,$D$2)*100-L5, "--")</f>
        <v>--</v>
      </c>
      <c r="M37" s="5" t="str">
        <f>IF(  M68&gt;$E$2, SUMIFS(IF($G$2="CPR",'Grid Data'!$AH$4:$AH$2342,'Grid Data'!$AI$4:$AI$2342),'Grid Data'!$Z$4:$Z$2342,$D37,'Grid Data'!$AA$4:$AA$2342,M$4,'Grid Data'!$Y$4:$Y$2342,$D$2)*100-M5, "--")</f>
        <v>--</v>
      </c>
      <c r="N37" s="5" t="str">
        <f>IF(  N68&gt;$E$2, SUMIFS(IF($G$2="CPR",'Grid Data'!$AH$4:$AH$2342,'Grid Data'!$AI$4:$AI$2342),'Grid Data'!$Z$4:$Z$2342,$D37,'Grid Data'!$AA$4:$AA$2342,N$4,'Grid Data'!$Y$4:$Y$2342,$D$2)*100-N5, "--")</f>
        <v>--</v>
      </c>
      <c r="O37" s="5" t="str">
        <f>IF(  O68&gt;$E$2, SUMIFS(IF($G$2="CPR",'Grid Data'!$AH$4:$AH$2342,'Grid Data'!$AI$4:$AI$2342),'Grid Data'!$Z$4:$Z$2342,$D37,'Grid Data'!$AA$4:$AA$2342,O$4,'Grid Data'!$Y$4:$Y$2342,$D$2)*100-O5, "--")</f>
        <v>--</v>
      </c>
      <c r="P37" s="5" t="str">
        <f>IF(  P68&gt;$E$2, SUMIFS(IF($G$2="CPR",'Grid Data'!$AH$4:$AH$2342,'Grid Data'!$AI$4:$AI$2342),'Grid Data'!$Z$4:$Z$2342,$D37,'Grid Data'!$AA$4:$AA$2342,P$4,'Grid Data'!$Y$4:$Y$2342,$D$2)*100-P5, "--")</f>
        <v>--</v>
      </c>
      <c r="Q37" s="5" t="str">
        <f>IF(  Q68&gt;$E$2, SUMIFS(IF($G$2="CPR",'Grid Data'!$AH$4:$AH$2342,'Grid Data'!$AI$4:$AI$2342),'Grid Data'!$Z$4:$Z$2342,$D37,'Grid Data'!$AA$4:$AA$2342,Q$4,'Grid Data'!$Y$4:$Y$2342,$D$2)*100-Q5, "--")</f>
        <v>--</v>
      </c>
      <c r="R37" s="5" t="str">
        <f>IF(  R68&gt;$E$2, SUMIFS(IF($G$2="CPR",'Grid Data'!$AH$4:$AH$2342,'Grid Data'!$AI$4:$AI$2342),'Grid Data'!$Z$4:$Z$2342,$D37,'Grid Data'!$AA$4:$AA$2342,R$4,'Grid Data'!$Y$4:$Y$2342,$D$2)*100-R5, "--")</f>
        <v>--</v>
      </c>
      <c r="S37" s="5" t="str">
        <f>IF(  S68&gt;$E$2, SUMIFS(IF($G$2="CPR",'Grid Data'!$AH$4:$AH$2342,'Grid Data'!$AI$4:$AI$2342),'Grid Data'!$Z$4:$Z$2342,$D37,'Grid Data'!$AA$4:$AA$2342,S$4,'Grid Data'!$Y$4:$Y$2342,$D$2)*100-S5, "--")</f>
        <v>--</v>
      </c>
      <c r="T37" s="5" t="str">
        <f>IF(  T68&gt;$E$2, SUMIFS(IF($G$2="CPR",'Grid Data'!$AH$4:$AH$2342,'Grid Data'!$AI$4:$AI$2342),'Grid Data'!$Z$4:$Z$2342,$D37,'Grid Data'!$AA$4:$AA$2342,T$4,'Grid Data'!$Y$4:$Y$2342,$D$2)*100-T5, "--")</f>
        <v>--</v>
      </c>
      <c r="U37" s="5">
        <f>IF(  U68&gt;$E$2, SUMIFS(IF($G$2="CPR",'Grid Data'!$AH$4:$AH$2342,'Grid Data'!$AI$4:$AI$2342),'Grid Data'!$Z$4:$Z$2342,$D37,'Grid Data'!$AA$4:$AA$2342,U$4,'Grid Data'!$Y$4:$Y$2342,$D$2)*100-U5, "--")</f>
        <v>-4.3751999999999995</v>
      </c>
      <c r="V37" s="5">
        <f>IF(  V68&gt;$E$2, SUMIFS(IF($G$2="CPR",'Grid Data'!$AH$4:$AH$2342,'Grid Data'!$AI$4:$AI$2342),'Grid Data'!$Z$4:$Z$2342,$D37,'Grid Data'!$AA$4:$AA$2342,V$4,'Grid Data'!$Y$4:$Y$2342,$D$2)*100-V5, "--")</f>
        <v>-3.1766000000000001</v>
      </c>
      <c r="W37" s="5">
        <f>IF(  W68&gt;$E$2, SUMIFS(IF($G$2="CPR",'Grid Data'!$AH$4:$AH$2342,'Grid Data'!$AI$4:$AI$2342),'Grid Data'!$Z$4:$Z$2342,$D37,'Grid Data'!$AA$4:$AA$2342,W$4,'Grid Data'!$Y$4:$Y$2342,$D$2)*100-W5, "--")</f>
        <v>-5.5651000000000002</v>
      </c>
      <c r="X37" s="5" t="str">
        <f>IF(  X68&gt;$E$2, SUMIFS(IF($G$2="CPR",'Grid Data'!$AH$4:$AH$2342,'Grid Data'!$AI$4:$AI$2342),'Grid Data'!$Z$4:$Z$2342,$D37,'Grid Data'!$AA$4:$AA$2342,X$4,'Grid Data'!$Y$4:$Y$2342,$D$2)*100-X5, "--")</f>
        <v>--</v>
      </c>
      <c r="Y37" s="5" t="str">
        <f>IF(  Y68&gt;$E$2, SUMIFS(IF($G$2="CPR",'Grid Data'!$AH$4:$AH$2342,'Grid Data'!$AI$4:$AI$2342),'Grid Data'!$Z$4:$Z$2342,$D37,'Grid Data'!$AA$4:$AA$2342,Y$4,'Grid Data'!$Y$4:$Y$2342,$D$2)*100-Y5, "--")</f>
        <v>--</v>
      </c>
      <c r="Z37" s="5" t="str">
        <f>IF(  Z68&gt;$E$2, SUMIFS(IF($G$2="CPR",'Grid Data'!$AH$4:$AH$2342,'Grid Data'!$AI$4:$AI$2342),'Grid Data'!$Z$4:$Z$2342,$D37,'Grid Data'!$AA$4:$AA$2342,Z$4,'Grid Data'!$Y$4:$Y$2342,$D$2)*100-Z5, "--")</f>
        <v>--</v>
      </c>
      <c r="AA37" s="5" t="str">
        <f>IF(  AA68&gt;$E$2, SUMIFS(IF($G$2="CPR",'Grid Data'!$AH$4:$AH$2342,'Grid Data'!$AI$4:$AI$2342),'Grid Data'!$Z$4:$Z$2342,$D37,'Grid Data'!$AA$4:$AA$2342,AA$4,'Grid Data'!$Y$4:$Y$2342,$D$2)*100-AA5, "--")</f>
        <v>--</v>
      </c>
      <c r="AB37" s="5" t="str">
        <f>IF(  AB68&gt;$E$2, SUMIFS(IF($G$2="CPR",'Grid Data'!$AH$4:$AH$2342,'Grid Data'!$AI$4:$AI$2342),'Grid Data'!$Z$4:$Z$2342,$D37,'Grid Data'!$AA$4:$AA$2342,AB$4,'Grid Data'!$Y$4:$Y$2342,$D$2)*100-AB5, "--")</f>
        <v>--</v>
      </c>
      <c r="AC37" s="5" t="str">
        <f>IF(  AC68&gt;$E$2, SUMIFS(IF($G$2="CPR",'Grid Data'!$AH$4:$AH$2342,'Grid Data'!$AI$4:$AI$2342),'Grid Data'!$Z$4:$Z$2342,$D37,'Grid Data'!$AA$4:$AA$2342,AC$4,'Grid Data'!$Y$4:$Y$2342,$D$2)*100-AC5, "--")</f>
        <v>--</v>
      </c>
      <c r="AD37" s="5" t="str">
        <f>IF(  AD68&gt;$E$2, SUMIFS(IF($G$2="CPR",'Grid Data'!$AH$4:$AH$2342,'Grid Data'!$AI$4:$AI$2342),'Grid Data'!$Z$4:$Z$2342,$D37,'Grid Data'!$AA$4:$AA$2342,AD$4,'Grid Data'!$Y$4:$Y$2342,$D$2)*100-AD5, "--")</f>
        <v>--</v>
      </c>
      <c r="AE37" s="5" t="str">
        <f>IF(  AE68&gt;$E$2, SUMIFS(IF($G$2="CPR",'Grid Data'!$AH$4:$AH$2342,'Grid Data'!$AI$4:$AI$2342),'Grid Data'!$Z$4:$Z$2342,$D37,'Grid Data'!$AA$4:$AA$2342,AE$4,'Grid Data'!$Y$4:$Y$2342,$D$2)*100-AE5, "--")</f>
        <v>--</v>
      </c>
      <c r="AF37" s="5" t="str">
        <f>IF(  AF68&gt;$E$2, SUMIFS(IF($G$2="CPR",'Grid Data'!$AH$4:$AH$2342,'Grid Data'!$AI$4:$AI$2342),'Grid Data'!$Z$4:$Z$2342,$D37,'Grid Data'!$AA$4:$AA$2342,AF$4,'Grid Data'!$Y$4:$Y$2342,$D$2)*100-AF5, "--")</f>
        <v>--</v>
      </c>
      <c r="AG37" s="5" t="str">
        <f>IF(  AG68&gt;$E$2, SUMIFS(IF($G$2="CPR",'Grid Data'!$AH$4:$AH$2342,'Grid Data'!$AI$4:$AI$2342),'Grid Data'!$Z$4:$Z$2342,$D37,'Grid Data'!$AA$4:$AA$2342,AG$4,'Grid Data'!$Y$4:$Y$2342,$D$2)*100-AG5, "--")</f>
        <v>--</v>
      </c>
      <c r="AH37" s="5" t="str">
        <f>IF(  AH68&gt;$E$2, SUMIFS(IF($G$2="CPR",'Grid Data'!$AH$4:$AH$2342,'Grid Data'!$AI$4:$AI$2342),'Grid Data'!$Z$4:$Z$2342,$D37,'Grid Data'!$AA$4:$AA$2342,AH$4,'Grid Data'!$Y$4:$Y$2342,$D$2)*100-AH5, "--")</f>
        <v>--</v>
      </c>
    </row>
    <row r="38" spans="1:34" x14ac:dyDescent="0.35">
      <c r="A38">
        <f>SUMPRODUCT(T37:W46,T68:W77)/SUM(T68:W77)</f>
        <v>-7.2806650058755027</v>
      </c>
      <c r="D38">
        <v>2250</v>
      </c>
      <c r="E38" s="5" t="str">
        <f>IF(  E69&gt;$E$2, SUMIFS(IF($G$2="CPR",'Grid Data'!$AH$4:$AH$2342,'Grid Data'!$AI$4:$AI$2342),'Grid Data'!$Z$4:$Z$2342,$D38,'Grid Data'!$AA$4:$AA$2342,E$4,'Grid Data'!$Y$4:$Y$2342,$D$2)*100-E6, "--")</f>
        <v>--</v>
      </c>
      <c r="F38" s="5" t="str">
        <f>IF(  F69&gt;$E$2, SUMIFS(IF($G$2="CPR",'Grid Data'!$AH$4:$AH$2342,'Grid Data'!$AI$4:$AI$2342),'Grid Data'!$Z$4:$Z$2342,$D38,'Grid Data'!$AA$4:$AA$2342,F$4,'Grid Data'!$Y$4:$Y$2342,$D$2)*100-F6, "--")</f>
        <v>--</v>
      </c>
      <c r="G38" s="5" t="str">
        <f>IF(  G69&gt;$E$2, SUMIFS(IF($G$2="CPR",'Grid Data'!$AH$4:$AH$2342,'Grid Data'!$AI$4:$AI$2342),'Grid Data'!$Z$4:$Z$2342,$D38,'Grid Data'!$AA$4:$AA$2342,G$4,'Grid Data'!$Y$4:$Y$2342,$D$2)*100-G6, "--")</f>
        <v>--</v>
      </c>
      <c r="H38" s="5" t="str">
        <f>IF(  H69&gt;$E$2, SUMIFS(IF($G$2="CPR",'Grid Data'!$AH$4:$AH$2342,'Grid Data'!$AI$4:$AI$2342),'Grid Data'!$Z$4:$Z$2342,$D38,'Grid Data'!$AA$4:$AA$2342,H$4,'Grid Data'!$Y$4:$Y$2342,$D$2)*100-H6, "--")</f>
        <v>--</v>
      </c>
      <c r="I38" s="5" t="str">
        <f>IF(  I69&gt;$E$2, SUMIFS(IF($G$2="CPR",'Grid Data'!$AH$4:$AH$2342,'Grid Data'!$AI$4:$AI$2342),'Grid Data'!$Z$4:$Z$2342,$D38,'Grid Data'!$AA$4:$AA$2342,I$4,'Grid Data'!$Y$4:$Y$2342,$D$2)*100-I6, "--")</f>
        <v>--</v>
      </c>
      <c r="J38" s="5" t="str">
        <f>IF(  J69&gt;$E$2, SUMIFS(IF($G$2="CPR",'Grid Data'!$AH$4:$AH$2342,'Grid Data'!$AI$4:$AI$2342),'Grid Data'!$Z$4:$Z$2342,$D38,'Grid Data'!$AA$4:$AA$2342,J$4,'Grid Data'!$Y$4:$Y$2342,$D$2)*100-J6, "--")</f>
        <v>--</v>
      </c>
      <c r="K38" s="5" t="str">
        <f>IF(  K69&gt;$E$2, SUMIFS(IF($G$2="CPR",'Grid Data'!$AH$4:$AH$2342,'Grid Data'!$AI$4:$AI$2342),'Grid Data'!$Z$4:$Z$2342,$D38,'Grid Data'!$AA$4:$AA$2342,K$4,'Grid Data'!$Y$4:$Y$2342,$D$2)*100-K6, "--")</f>
        <v>--</v>
      </c>
      <c r="L38" s="5" t="str">
        <f>IF(  L69&gt;$E$2, SUMIFS(IF($G$2="CPR",'Grid Data'!$AH$4:$AH$2342,'Grid Data'!$AI$4:$AI$2342),'Grid Data'!$Z$4:$Z$2342,$D38,'Grid Data'!$AA$4:$AA$2342,L$4,'Grid Data'!$Y$4:$Y$2342,$D$2)*100-L6, "--")</f>
        <v>--</v>
      </c>
      <c r="M38" s="5" t="str">
        <f>IF(  M69&gt;$E$2, SUMIFS(IF($G$2="CPR",'Grid Data'!$AH$4:$AH$2342,'Grid Data'!$AI$4:$AI$2342),'Grid Data'!$Z$4:$Z$2342,$D38,'Grid Data'!$AA$4:$AA$2342,M$4,'Grid Data'!$Y$4:$Y$2342,$D$2)*100-M6, "--")</f>
        <v>--</v>
      </c>
      <c r="N38" s="5" t="str">
        <f>IF(  N69&gt;$E$2, SUMIFS(IF($G$2="CPR",'Grid Data'!$AH$4:$AH$2342,'Grid Data'!$AI$4:$AI$2342),'Grid Data'!$Z$4:$Z$2342,$D38,'Grid Data'!$AA$4:$AA$2342,N$4,'Grid Data'!$Y$4:$Y$2342,$D$2)*100-N6, "--")</f>
        <v>--</v>
      </c>
      <c r="O38" s="5" t="str">
        <f>IF(  O69&gt;$E$2, SUMIFS(IF($G$2="CPR",'Grid Data'!$AH$4:$AH$2342,'Grid Data'!$AI$4:$AI$2342),'Grid Data'!$Z$4:$Z$2342,$D38,'Grid Data'!$AA$4:$AA$2342,O$4,'Grid Data'!$Y$4:$Y$2342,$D$2)*100-O6, "--")</f>
        <v>--</v>
      </c>
      <c r="P38" s="5" t="str">
        <f>IF(  P69&gt;$E$2, SUMIFS(IF($G$2="CPR",'Grid Data'!$AH$4:$AH$2342,'Grid Data'!$AI$4:$AI$2342),'Grid Data'!$Z$4:$Z$2342,$D38,'Grid Data'!$AA$4:$AA$2342,P$4,'Grid Data'!$Y$4:$Y$2342,$D$2)*100-P6, "--")</f>
        <v>--</v>
      </c>
      <c r="Q38" s="5" t="str">
        <f>IF(  Q69&gt;$E$2, SUMIFS(IF($G$2="CPR",'Grid Data'!$AH$4:$AH$2342,'Grid Data'!$AI$4:$AI$2342),'Grid Data'!$Z$4:$Z$2342,$D38,'Grid Data'!$AA$4:$AA$2342,Q$4,'Grid Data'!$Y$4:$Y$2342,$D$2)*100-Q6, "--")</f>
        <v>--</v>
      </c>
      <c r="R38" s="5" t="str">
        <f>IF(  R69&gt;$E$2, SUMIFS(IF($G$2="CPR",'Grid Data'!$AH$4:$AH$2342,'Grid Data'!$AI$4:$AI$2342),'Grid Data'!$Z$4:$Z$2342,$D38,'Grid Data'!$AA$4:$AA$2342,R$4,'Grid Data'!$Y$4:$Y$2342,$D$2)*100-R6, "--")</f>
        <v>--</v>
      </c>
      <c r="S38" s="5" t="str">
        <f>IF(  S69&gt;$E$2, SUMIFS(IF($G$2="CPR",'Grid Data'!$AH$4:$AH$2342,'Grid Data'!$AI$4:$AI$2342),'Grid Data'!$Z$4:$Z$2342,$D38,'Grid Data'!$AA$4:$AA$2342,S$4,'Grid Data'!$Y$4:$Y$2342,$D$2)*100-S6, "--")</f>
        <v>--</v>
      </c>
      <c r="T38" s="5">
        <f>IF(  T69&gt;$E$2, SUMIFS(IF($G$2="CPR",'Grid Data'!$AH$4:$AH$2342,'Grid Data'!$AI$4:$AI$2342),'Grid Data'!$Z$4:$Z$2342,$D38,'Grid Data'!$AA$4:$AA$2342,T$4,'Grid Data'!$Y$4:$Y$2342,$D$2)*100-T6, "--")</f>
        <v>-4.7415000000000003</v>
      </c>
      <c r="U38" s="5">
        <f>IF(  U69&gt;$E$2, SUMIFS(IF($G$2="CPR",'Grid Data'!$AH$4:$AH$2342,'Grid Data'!$AI$4:$AI$2342),'Grid Data'!$Z$4:$Z$2342,$D38,'Grid Data'!$AA$4:$AA$2342,U$4,'Grid Data'!$Y$4:$Y$2342,$D$2)*100-U6, "--")</f>
        <v>-5.5813000000000006</v>
      </c>
      <c r="V38" s="5">
        <f>IF(  V69&gt;$E$2, SUMIFS(IF($G$2="CPR",'Grid Data'!$AH$4:$AH$2342,'Grid Data'!$AI$4:$AI$2342),'Grid Data'!$Z$4:$Z$2342,$D38,'Grid Data'!$AA$4:$AA$2342,V$4,'Grid Data'!$Y$4:$Y$2342,$D$2)*100-V6, "--")</f>
        <v>-5.7176999999999998</v>
      </c>
      <c r="W38" s="5">
        <f>IF(  W69&gt;$E$2, SUMIFS(IF($G$2="CPR",'Grid Data'!$AH$4:$AH$2342,'Grid Data'!$AI$4:$AI$2342),'Grid Data'!$Z$4:$Z$2342,$D38,'Grid Data'!$AA$4:$AA$2342,W$4,'Grid Data'!$Y$4:$Y$2342,$D$2)*100-W6, "--")</f>
        <v>-5.6425000000000001</v>
      </c>
      <c r="X38" s="5" t="str">
        <f>IF(  X69&gt;$E$2, SUMIFS(IF($G$2="CPR",'Grid Data'!$AH$4:$AH$2342,'Grid Data'!$AI$4:$AI$2342),'Grid Data'!$Z$4:$Z$2342,$D38,'Grid Data'!$AA$4:$AA$2342,X$4,'Grid Data'!$Y$4:$Y$2342,$D$2)*100-X6, "--")</f>
        <v>--</v>
      </c>
      <c r="Y38" s="5" t="str">
        <f>IF(  Y69&gt;$E$2, SUMIFS(IF($G$2="CPR",'Grid Data'!$AH$4:$AH$2342,'Grid Data'!$AI$4:$AI$2342),'Grid Data'!$Z$4:$Z$2342,$D38,'Grid Data'!$AA$4:$AA$2342,Y$4,'Grid Data'!$Y$4:$Y$2342,$D$2)*100-Y6, "--")</f>
        <v>--</v>
      </c>
      <c r="Z38" s="5" t="str">
        <f>IF(  Z69&gt;$E$2, SUMIFS(IF($G$2="CPR",'Grid Data'!$AH$4:$AH$2342,'Grid Data'!$AI$4:$AI$2342),'Grid Data'!$Z$4:$Z$2342,$D38,'Grid Data'!$AA$4:$AA$2342,Z$4,'Grid Data'!$Y$4:$Y$2342,$D$2)*100-Z6, "--")</f>
        <v>--</v>
      </c>
      <c r="AA38" s="5" t="str">
        <f>IF(  AA69&gt;$E$2, SUMIFS(IF($G$2="CPR",'Grid Data'!$AH$4:$AH$2342,'Grid Data'!$AI$4:$AI$2342),'Grid Data'!$Z$4:$Z$2342,$D38,'Grid Data'!$AA$4:$AA$2342,AA$4,'Grid Data'!$Y$4:$Y$2342,$D$2)*100-AA6, "--")</f>
        <v>--</v>
      </c>
      <c r="AB38" s="5" t="str">
        <f>IF(  AB69&gt;$E$2, SUMIFS(IF($G$2="CPR",'Grid Data'!$AH$4:$AH$2342,'Grid Data'!$AI$4:$AI$2342),'Grid Data'!$Z$4:$Z$2342,$D38,'Grid Data'!$AA$4:$AA$2342,AB$4,'Grid Data'!$Y$4:$Y$2342,$D$2)*100-AB6, "--")</f>
        <v>--</v>
      </c>
      <c r="AC38" s="5" t="str">
        <f>IF(  AC69&gt;$E$2, SUMIFS(IF($G$2="CPR",'Grid Data'!$AH$4:$AH$2342,'Grid Data'!$AI$4:$AI$2342),'Grid Data'!$Z$4:$Z$2342,$D38,'Grid Data'!$AA$4:$AA$2342,AC$4,'Grid Data'!$Y$4:$Y$2342,$D$2)*100-AC6, "--")</f>
        <v>--</v>
      </c>
      <c r="AD38" s="5" t="str">
        <f>IF(  AD69&gt;$E$2, SUMIFS(IF($G$2="CPR",'Grid Data'!$AH$4:$AH$2342,'Grid Data'!$AI$4:$AI$2342),'Grid Data'!$Z$4:$Z$2342,$D38,'Grid Data'!$AA$4:$AA$2342,AD$4,'Grid Data'!$Y$4:$Y$2342,$D$2)*100-AD6, "--")</f>
        <v>--</v>
      </c>
      <c r="AE38" s="5" t="str">
        <f>IF(  AE69&gt;$E$2, SUMIFS(IF($G$2="CPR",'Grid Data'!$AH$4:$AH$2342,'Grid Data'!$AI$4:$AI$2342),'Grid Data'!$Z$4:$Z$2342,$D38,'Grid Data'!$AA$4:$AA$2342,AE$4,'Grid Data'!$Y$4:$Y$2342,$D$2)*100-AE6, "--")</f>
        <v>--</v>
      </c>
      <c r="AF38" s="5" t="str">
        <f>IF(  AF69&gt;$E$2, SUMIFS(IF($G$2="CPR",'Grid Data'!$AH$4:$AH$2342,'Grid Data'!$AI$4:$AI$2342),'Grid Data'!$Z$4:$Z$2342,$D38,'Grid Data'!$AA$4:$AA$2342,AF$4,'Grid Data'!$Y$4:$Y$2342,$D$2)*100-AF6, "--")</f>
        <v>--</v>
      </c>
      <c r="AG38" s="5" t="str">
        <f>IF(  AG69&gt;$E$2, SUMIFS(IF($G$2="CPR",'Grid Data'!$AH$4:$AH$2342,'Grid Data'!$AI$4:$AI$2342),'Grid Data'!$Z$4:$Z$2342,$D38,'Grid Data'!$AA$4:$AA$2342,AG$4,'Grid Data'!$Y$4:$Y$2342,$D$2)*100-AG6, "--")</f>
        <v>--</v>
      </c>
      <c r="AH38" s="5" t="str">
        <f>IF(  AH69&gt;$E$2, SUMIFS(IF($G$2="CPR",'Grid Data'!$AH$4:$AH$2342,'Grid Data'!$AI$4:$AI$2342),'Grid Data'!$Z$4:$Z$2342,$D38,'Grid Data'!$AA$4:$AA$2342,AH$4,'Grid Data'!$Y$4:$Y$2342,$D$2)*100-AH6, "--")</f>
        <v>--</v>
      </c>
    </row>
    <row r="39" spans="1:34" x14ac:dyDescent="0.35">
      <c r="D39">
        <v>2500</v>
      </c>
      <c r="E39" s="5" t="str">
        <f>IF(  E70&gt;$E$2, SUMIFS(IF($G$2="CPR",'Grid Data'!$AH$4:$AH$2342,'Grid Data'!$AI$4:$AI$2342),'Grid Data'!$Z$4:$Z$2342,$D39,'Grid Data'!$AA$4:$AA$2342,E$4,'Grid Data'!$Y$4:$Y$2342,$D$2)*100-E7, "--")</f>
        <v>--</v>
      </c>
      <c r="F39" s="5" t="str">
        <f>IF(  F70&gt;$E$2, SUMIFS(IF($G$2="CPR",'Grid Data'!$AH$4:$AH$2342,'Grid Data'!$AI$4:$AI$2342),'Grid Data'!$Z$4:$Z$2342,$D39,'Grid Data'!$AA$4:$AA$2342,F$4,'Grid Data'!$Y$4:$Y$2342,$D$2)*100-F7, "--")</f>
        <v>--</v>
      </c>
      <c r="G39" s="5" t="str">
        <f>IF(  G70&gt;$E$2, SUMIFS(IF($G$2="CPR",'Grid Data'!$AH$4:$AH$2342,'Grid Data'!$AI$4:$AI$2342),'Grid Data'!$Z$4:$Z$2342,$D39,'Grid Data'!$AA$4:$AA$2342,G$4,'Grid Data'!$Y$4:$Y$2342,$D$2)*100-G7, "--")</f>
        <v>--</v>
      </c>
      <c r="H39" s="5" t="str">
        <f>IF(  H70&gt;$E$2, SUMIFS(IF($G$2="CPR",'Grid Data'!$AH$4:$AH$2342,'Grid Data'!$AI$4:$AI$2342),'Grid Data'!$Z$4:$Z$2342,$D39,'Grid Data'!$AA$4:$AA$2342,H$4,'Grid Data'!$Y$4:$Y$2342,$D$2)*100-H7, "--")</f>
        <v>--</v>
      </c>
      <c r="I39" s="5" t="str">
        <f>IF(  I70&gt;$E$2, SUMIFS(IF($G$2="CPR",'Grid Data'!$AH$4:$AH$2342,'Grid Data'!$AI$4:$AI$2342),'Grid Data'!$Z$4:$Z$2342,$D39,'Grid Data'!$AA$4:$AA$2342,I$4,'Grid Data'!$Y$4:$Y$2342,$D$2)*100-I7, "--")</f>
        <v>--</v>
      </c>
      <c r="J39" s="5" t="str">
        <f>IF(  J70&gt;$E$2, SUMIFS(IF($G$2="CPR",'Grid Data'!$AH$4:$AH$2342,'Grid Data'!$AI$4:$AI$2342),'Grid Data'!$Z$4:$Z$2342,$D39,'Grid Data'!$AA$4:$AA$2342,J$4,'Grid Data'!$Y$4:$Y$2342,$D$2)*100-J7, "--")</f>
        <v>--</v>
      </c>
      <c r="K39" s="5" t="str">
        <f>IF(  K70&gt;$E$2, SUMIFS(IF($G$2="CPR",'Grid Data'!$AH$4:$AH$2342,'Grid Data'!$AI$4:$AI$2342),'Grid Data'!$Z$4:$Z$2342,$D39,'Grid Data'!$AA$4:$AA$2342,K$4,'Grid Data'!$Y$4:$Y$2342,$D$2)*100-K7, "--")</f>
        <v>--</v>
      </c>
      <c r="L39" s="5" t="str">
        <f>IF(  L70&gt;$E$2, SUMIFS(IF($G$2="CPR",'Grid Data'!$AH$4:$AH$2342,'Grid Data'!$AI$4:$AI$2342),'Grid Data'!$Z$4:$Z$2342,$D39,'Grid Data'!$AA$4:$AA$2342,L$4,'Grid Data'!$Y$4:$Y$2342,$D$2)*100-L7, "--")</f>
        <v>--</v>
      </c>
      <c r="M39" s="5" t="str">
        <f>IF(  M70&gt;$E$2, SUMIFS(IF($G$2="CPR",'Grid Data'!$AH$4:$AH$2342,'Grid Data'!$AI$4:$AI$2342),'Grid Data'!$Z$4:$Z$2342,$D39,'Grid Data'!$AA$4:$AA$2342,M$4,'Grid Data'!$Y$4:$Y$2342,$D$2)*100-M7, "--")</f>
        <v>--</v>
      </c>
      <c r="N39" s="5" t="str">
        <f>IF(  N70&gt;$E$2, SUMIFS(IF($G$2="CPR",'Grid Data'!$AH$4:$AH$2342,'Grid Data'!$AI$4:$AI$2342),'Grid Data'!$Z$4:$Z$2342,$D39,'Grid Data'!$AA$4:$AA$2342,N$4,'Grid Data'!$Y$4:$Y$2342,$D$2)*100-N7, "--")</f>
        <v>--</v>
      </c>
      <c r="O39" s="5" t="str">
        <f>IF(  O70&gt;$E$2, SUMIFS(IF($G$2="CPR",'Grid Data'!$AH$4:$AH$2342,'Grid Data'!$AI$4:$AI$2342),'Grid Data'!$Z$4:$Z$2342,$D39,'Grid Data'!$AA$4:$AA$2342,O$4,'Grid Data'!$Y$4:$Y$2342,$D$2)*100-O7, "--")</f>
        <v>--</v>
      </c>
      <c r="P39" s="5" t="str">
        <f>IF(  P70&gt;$E$2, SUMIFS(IF($G$2="CPR",'Grid Data'!$AH$4:$AH$2342,'Grid Data'!$AI$4:$AI$2342),'Grid Data'!$Z$4:$Z$2342,$D39,'Grid Data'!$AA$4:$AA$2342,P$4,'Grid Data'!$Y$4:$Y$2342,$D$2)*100-P7, "--")</f>
        <v>--</v>
      </c>
      <c r="Q39" s="5" t="str">
        <f>IF(  Q70&gt;$E$2, SUMIFS(IF($G$2="CPR",'Grid Data'!$AH$4:$AH$2342,'Grid Data'!$AI$4:$AI$2342),'Grid Data'!$Z$4:$Z$2342,$D39,'Grid Data'!$AA$4:$AA$2342,Q$4,'Grid Data'!$Y$4:$Y$2342,$D$2)*100-Q7, "--")</f>
        <v>--</v>
      </c>
      <c r="R39" s="5" t="str">
        <f>IF(  R70&gt;$E$2, SUMIFS(IF($G$2="CPR",'Grid Data'!$AH$4:$AH$2342,'Grid Data'!$AI$4:$AI$2342),'Grid Data'!$Z$4:$Z$2342,$D39,'Grid Data'!$AA$4:$AA$2342,R$4,'Grid Data'!$Y$4:$Y$2342,$D$2)*100-R7, "--")</f>
        <v>--</v>
      </c>
      <c r="S39" s="5" t="str">
        <f>IF(  S70&gt;$E$2, SUMIFS(IF($G$2="CPR",'Grid Data'!$AH$4:$AH$2342,'Grid Data'!$AI$4:$AI$2342),'Grid Data'!$Z$4:$Z$2342,$D39,'Grid Data'!$AA$4:$AA$2342,S$4,'Grid Data'!$Y$4:$Y$2342,$D$2)*100-S7, "--")</f>
        <v>--</v>
      </c>
      <c r="T39" s="5">
        <f>IF(  T70&gt;$E$2, SUMIFS(IF($G$2="CPR",'Grid Data'!$AH$4:$AH$2342,'Grid Data'!$AI$4:$AI$2342),'Grid Data'!$Z$4:$Z$2342,$D39,'Grid Data'!$AA$4:$AA$2342,T$4,'Grid Data'!$Y$4:$Y$2342,$D$2)*100-T7, "--")</f>
        <v>-2.9041999999999999</v>
      </c>
      <c r="U39" s="5">
        <f>IF(  U70&gt;$E$2, SUMIFS(IF($G$2="CPR",'Grid Data'!$AH$4:$AH$2342,'Grid Data'!$AI$4:$AI$2342),'Grid Data'!$Z$4:$Z$2342,$D39,'Grid Data'!$AA$4:$AA$2342,U$4,'Grid Data'!$Y$4:$Y$2342,$D$2)*100-U7, "--")</f>
        <v>-7.3075999999999999</v>
      </c>
      <c r="V39" s="5">
        <f>IF(  V70&gt;$E$2, SUMIFS(IF($G$2="CPR",'Grid Data'!$AH$4:$AH$2342,'Grid Data'!$AI$4:$AI$2342),'Grid Data'!$Z$4:$Z$2342,$D39,'Grid Data'!$AA$4:$AA$2342,V$4,'Grid Data'!$Y$4:$Y$2342,$D$2)*100-V7, "--")</f>
        <v>-6.5058000000000007</v>
      </c>
      <c r="W39" s="5">
        <f>IF(  W70&gt;$E$2, SUMIFS(IF($G$2="CPR",'Grid Data'!$AH$4:$AH$2342,'Grid Data'!$AI$4:$AI$2342),'Grid Data'!$Z$4:$Z$2342,$D39,'Grid Data'!$AA$4:$AA$2342,W$4,'Grid Data'!$Y$4:$Y$2342,$D$2)*100-W7, "--")</f>
        <v>-6.0709</v>
      </c>
      <c r="X39" s="5" t="str">
        <f>IF(  X70&gt;$E$2, SUMIFS(IF($G$2="CPR",'Grid Data'!$AH$4:$AH$2342,'Grid Data'!$AI$4:$AI$2342),'Grid Data'!$Z$4:$Z$2342,$D39,'Grid Data'!$AA$4:$AA$2342,X$4,'Grid Data'!$Y$4:$Y$2342,$D$2)*100-X7, "--")</f>
        <v>--</v>
      </c>
      <c r="Y39" s="5" t="str">
        <f>IF(  Y70&gt;$E$2, SUMIFS(IF($G$2="CPR",'Grid Data'!$AH$4:$AH$2342,'Grid Data'!$AI$4:$AI$2342),'Grid Data'!$Z$4:$Z$2342,$D39,'Grid Data'!$AA$4:$AA$2342,Y$4,'Grid Data'!$Y$4:$Y$2342,$D$2)*100-Y7, "--")</f>
        <v>--</v>
      </c>
      <c r="Z39" s="5" t="str">
        <f>IF(  Z70&gt;$E$2, SUMIFS(IF($G$2="CPR",'Grid Data'!$AH$4:$AH$2342,'Grid Data'!$AI$4:$AI$2342),'Grid Data'!$Z$4:$Z$2342,$D39,'Grid Data'!$AA$4:$AA$2342,Z$4,'Grid Data'!$Y$4:$Y$2342,$D$2)*100-Z7, "--")</f>
        <v>--</v>
      </c>
      <c r="AA39" s="5" t="str">
        <f>IF(  AA70&gt;$E$2, SUMIFS(IF($G$2="CPR",'Grid Data'!$AH$4:$AH$2342,'Grid Data'!$AI$4:$AI$2342),'Grid Data'!$Z$4:$Z$2342,$D39,'Grid Data'!$AA$4:$AA$2342,AA$4,'Grid Data'!$Y$4:$Y$2342,$D$2)*100-AA7, "--")</f>
        <v>--</v>
      </c>
      <c r="AB39" s="5" t="str">
        <f>IF(  AB70&gt;$E$2, SUMIFS(IF($G$2="CPR",'Grid Data'!$AH$4:$AH$2342,'Grid Data'!$AI$4:$AI$2342),'Grid Data'!$Z$4:$Z$2342,$D39,'Grid Data'!$AA$4:$AA$2342,AB$4,'Grid Data'!$Y$4:$Y$2342,$D$2)*100-AB7, "--")</f>
        <v>--</v>
      </c>
      <c r="AC39" s="5" t="str">
        <f>IF(  AC70&gt;$E$2, SUMIFS(IF($G$2="CPR",'Grid Data'!$AH$4:$AH$2342,'Grid Data'!$AI$4:$AI$2342),'Grid Data'!$Z$4:$Z$2342,$D39,'Grid Data'!$AA$4:$AA$2342,AC$4,'Grid Data'!$Y$4:$Y$2342,$D$2)*100-AC7, "--")</f>
        <v>--</v>
      </c>
      <c r="AD39" s="5" t="str">
        <f>IF(  AD70&gt;$E$2, SUMIFS(IF($G$2="CPR",'Grid Data'!$AH$4:$AH$2342,'Grid Data'!$AI$4:$AI$2342),'Grid Data'!$Z$4:$Z$2342,$D39,'Grid Data'!$AA$4:$AA$2342,AD$4,'Grid Data'!$Y$4:$Y$2342,$D$2)*100-AD7, "--")</f>
        <v>--</v>
      </c>
      <c r="AE39" s="5" t="str">
        <f>IF(  AE70&gt;$E$2, SUMIFS(IF($G$2="CPR",'Grid Data'!$AH$4:$AH$2342,'Grid Data'!$AI$4:$AI$2342),'Grid Data'!$Z$4:$Z$2342,$D39,'Grid Data'!$AA$4:$AA$2342,AE$4,'Grid Data'!$Y$4:$Y$2342,$D$2)*100-AE7, "--")</f>
        <v>--</v>
      </c>
      <c r="AF39" s="5" t="str">
        <f>IF(  AF70&gt;$E$2, SUMIFS(IF($G$2="CPR",'Grid Data'!$AH$4:$AH$2342,'Grid Data'!$AI$4:$AI$2342),'Grid Data'!$Z$4:$Z$2342,$D39,'Grid Data'!$AA$4:$AA$2342,AF$4,'Grid Data'!$Y$4:$Y$2342,$D$2)*100-AF7, "--")</f>
        <v>--</v>
      </c>
      <c r="AG39" s="5" t="str">
        <f>IF(  AG70&gt;$E$2, SUMIFS(IF($G$2="CPR",'Grid Data'!$AH$4:$AH$2342,'Grid Data'!$AI$4:$AI$2342),'Grid Data'!$Z$4:$Z$2342,$D39,'Grid Data'!$AA$4:$AA$2342,AG$4,'Grid Data'!$Y$4:$Y$2342,$D$2)*100-AG7, "--")</f>
        <v>--</v>
      </c>
      <c r="AH39" s="5" t="str">
        <f>IF(  AH70&gt;$E$2, SUMIFS(IF($G$2="CPR",'Grid Data'!$AH$4:$AH$2342,'Grid Data'!$AI$4:$AI$2342),'Grid Data'!$Z$4:$Z$2342,$D39,'Grid Data'!$AA$4:$AA$2342,AH$4,'Grid Data'!$Y$4:$Y$2342,$D$2)*100-AH7, "--")</f>
        <v>--</v>
      </c>
    </row>
    <row r="40" spans="1:34" x14ac:dyDescent="0.35">
      <c r="D40">
        <v>2750</v>
      </c>
      <c r="E40" s="5" t="str">
        <f>IF(  E71&gt;$E$2, SUMIFS(IF($G$2="CPR",'Grid Data'!$AH$4:$AH$2342,'Grid Data'!$AI$4:$AI$2342),'Grid Data'!$Z$4:$Z$2342,$D40,'Grid Data'!$AA$4:$AA$2342,E$4,'Grid Data'!$Y$4:$Y$2342,$D$2)*100-E8, "--")</f>
        <v>--</v>
      </c>
      <c r="F40" s="5" t="str">
        <f>IF(  F71&gt;$E$2, SUMIFS(IF($G$2="CPR",'Grid Data'!$AH$4:$AH$2342,'Grid Data'!$AI$4:$AI$2342),'Grid Data'!$Z$4:$Z$2342,$D40,'Grid Data'!$AA$4:$AA$2342,F$4,'Grid Data'!$Y$4:$Y$2342,$D$2)*100-F8, "--")</f>
        <v>--</v>
      </c>
      <c r="G40" s="5" t="str">
        <f>IF(  G71&gt;$E$2, SUMIFS(IF($G$2="CPR",'Grid Data'!$AH$4:$AH$2342,'Grid Data'!$AI$4:$AI$2342),'Grid Data'!$Z$4:$Z$2342,$D40,'Grid Data'!$AA$4:$AA$2342,G$4,'Grid Data'!$Y$4:$Y$2342,$D$2)*100-G8, "--")</f>
        <v>--</v>
      </c>
      <c r="H40" s="5" t="str">
        <f>IF(  H71&gt;$E$2, SUMIFS(IF($G$2="CPR",'Grid Data'!$AH$4:$AH$2342,'Grid Data'!$AI$4:$AI$2342),'Grid Data'!$Z$4:$Z$2342,$D40,'Grid Data'!$AA$4:$AA$2342,H$4,'Grid Data'!$Y$4:$Y$2342,$D$2)*100-H8, "--")</f>
        <v>--</v>
      </c>
      <c r="I40" s="5" t="str">
        <f>IF(  I71&gt;$E$2, SUMIFS(IF($G$2="CPR",'Grid Data'!$AH$4:$AH$2342,'Grid Data'!$AI$4:$AI$2342),'Grid Data'!$Z$4:$Z$2342,$D40,'Grid Data'!$AA$4:$AA$2342,I$4,'Grid Data'!$Y$4:$Y$2342,$D$2)*100-I8, "--")</f>
        <v>--</v>
      </c>
      <c r="J40" s="5" t="str">
        <f>IF(  J71&gt;$E$2, SUMIFS(IF($G$2="CPR",'Grid Data'!$AH$4:$AH$2342,'Grid Data'!$AI$4:$AI$2342),'Grid Data'!$Z$4:$Z$2342,$D40,'Grid Data'!$AA$4:$AA$2342,J$4,'Grid Data'!$Y$4:$Y$2342,$D$2)*100-J8, "--")</f>
        <v>--</v>
      </c>
      <c r="K40" s="5" t="str">
        <f>IF(  K71&gt;$E$2, SUMIFS(IF($G$2="CPR",'Grid Data'!$AH$4:$AH$2342,'Grid Data'!$AI$4:$AI$2342),'Grid Data'!$Z$4:$Z$2342,$D40,'Grid Data'!$AA$4:$AA$2342,K$4,'Grid Data'!$Y$4:$Y$2342,$D$2)*100-K8, "--")</f>
        <v>--</v>
      </c>
      <c r="L40" s="5" t="str">
        <f>IF(  L71&gt;$E$2, SUMIFS(IF($G$2="CPR",'Grid Data'!$AH$4:$AH$2342,'Grid Data'!$AI$4:$AI$2342),'Grid Data'!$Z$4:$Z$2342,$D40,'Grid Data'!$AA$4:$AA$2342,L$4,'Grid Data'!$Y$4:$Y$2342,$D$2)*100-L8, "--")</f>
        <v>--</v>
      </c>
      <c r="M40" s="5" t="str">
        <f>IF(  M71&gt;$E$2, SUMIFS(IF($G$2="CPR",'Grid Data'!$AH$4:$AH$2342,'Grid Data'!$AI$4:$AI$2342),'Grid Data'!$Z$4:$Z$2342,$D40,'Grid Data'!$AA$4:$AA$2342,M$4,'Grid Data'!$Y$4:$Y$2342,$D$2)*100-M8, "--")</f>
        <v>--</v>
      </c>
      <c r="N40" s="5" t="str">
        <f>IF(  N71&gt;$E$2, SUMIFS(IF($G$2="CPR",'Grid Data'!$AH$4:$AH$2342,'Grid Data'!$AI$4:$AI$2342),'Grid Data'!$Z$4:$Z$2342,$D40,'Grid Data'!$AA$4:$AA$2342,N$4,'Grid Data'!$Y$4:$Y$2342,$D$2)*100-N8, "--")</f>
        <v>--</v>
      </c>
      <c r="O40" s="5" t="str">
        <f>IF(  O71&gt;$E$2, SUMIFS(IF($G$2="CPR",'Grid Data'!$AH$4:$AH$2342,'Grid Data'!$AI$4:$AI$2342),'Grid Data'!$Z$4:$Z$2342,$D40,'Grid Data'!$AA$4:$AA$2342,O$4,'Grid Data'!$Y$4:$Y$2342,$D$2)*100-O8, "--")</f>
        <v>--</v>
      </c>
      <c r="P40" s="5" t="str">
        <f>IF(  P71&gt;$E$2, SUMIFS(IF($G$2="CPR",'Grid Data'!$AH$4:$AH$2342,'Grid Data'!$AI$4:$AI$2342),'Grid Data'!$Z$4:$Z$2342,$D40,'Grid Data'!$AA$4:$AA$2342,P$4,'Grid Data'!$Y$4:$Y$2342,$D$2)*100-P8, "--")</f>
        <v>--</v>
      </c>
      <c r="Q40" s="5" t="str">
        <f>IF(  Q71&gt;$E$2, SUMIFS(IF($G$2="CPR",'Grid Data'!$AH$4:$AH$2342,'Grid Data'!$AI$4:$AI$2342),'Grid Data'!$Z$4:$Z$2342,$D40,'Grid Data'!$AA$4:$AA$2342,Q$4,'Grid Data'!$Y$4:$Y$2342,$D$2)*100-Q8, "--")</f>
        <v>--</v>
      </c>
      <c r="R40" s="5" t="str">
        <f>IF(  R71&gt;$E$2, SUMIFS(IF($G$2="CPR",'Grid Data'!$AH$4:$AH$2342,'Grid Data'!$AI$4:$AI$2342),'Grid Data'!$Z$4:$Z$2342,$D40,'Grid Data'!$AA$4:$AA$2342,R$4,'Grid Data'!$Y$4:$Y$2342,$D$2)*100-R8, "--")</f>
        <v>--</v>
      </c>
      <c r="S40" s="5">
        <f>IF(  S71&gt;$E$2, SUMIFS(IF($G$2="CPR",'Grid Data'!$AH$4:$AH$2342,'Grid Data'!$AI$4:$AI$2342),'Grid Data'!$Z$4:$Z$2342,$D40,'Grid Data'!$AA$4:$AA$2342,S$4,'Grid Data'!$Y$4:$Y$2342,$D$2)*100-S8, "--")</f>
        <v>-4.4552000000000005</v>
      </c>
      <c r="T40" s="5">
        <f>IF(  T71&gt;$E$2, SUMIFS(IF($G$2="CPR",'Grid Data'!$AH$4:$AH$2342,'Grid Data'!$AI$4:$AI$2342),'Grid Data'!$Z$4:$Z$2342,$D40,'Grid Data'!$AA$4:$AA$2342,T$4,'Grid Data'!$Y$4:$Y$2342,$D$2)*100-T8, "--")</f>
        <v>-7.6656000000000004</v>
      </c>
      <c r="U40" s="5">
        <f>IF(  U71&gt;$E$2, SUMIFS(IF($G$2="CPR",'Grid Data'!$AH$4:$AH$2342,'Grid Data'!$AI$4:$AI$2342),'Grid Data'!$Z$4:$Z$2342,$D40,'Grid Data'!$AA$4:$AA$2342,U$4,'Grid Data'!$Y$4:$Y$2342,$D$2)*100-U8, "--")</f>
        <v>-7.8758999999999997</v>
      </c>
      <c r="V40" s="5">
        <f>IF(  V71&gt;$E$2, SUMIFS(IF($G$2="CPR",'Grid Data'!$AH$4:$AH$2342,'Grid Data'!$AI$4:$AI$2342),'Grid Data'!$Z$4:$Z$2342,$D40,'Grid Data'!$AA$4:$AA$2342,V$4,'Grid Data'!$Y$4:$Y$2342,$D$2)*100-V8, "--")</f>
        <v>-7.3419999999999996</v>
      </c>
      <c r="W40" s="5">
        <f>IF(  W71&gt;$E$2, SUMIFS(IF($G$2="CPR",'Grid Data'!$AH$4:$AH$2342,'Grid Data'!$AI$4:$AI$2342),'Grid Data'!$Z$4:$Z$2342,$D40,'Grid Data'!$AA$4:$AA$2342,W$4,'Grid Data'!$Y$4:$Y$2342,$D$2)*100-W8, "--")</f>
        <v>-6.4921999999999995</v>
      </c>
      <c r="X40" s="5">
        <f>IF(  X71&gt;$E$2, SUMIFS(IF($G$2="CPR",'Grid Data'!$AH$4:$AH$2342,'Grid Data'!$AI$4:$AI$2342),'Grid Data'!$Z$4:$Z$2342,$D40,'Grid Data'!$AA$4:$AA$2342,X$4,'Grid Data'!$Y$4:$Y$2342,$D$2)*100-X8, "--")</f>
        <v>-4.7526000000000002</v>
      </c>
      <c r="Y40" s="5" t="str">
        <f>IF(  Y71&gt;$E$2, SUMIFS(IF($G$2="CPR",'Grid Data'!$AH$4:$AH$2342,'Grid Data'!$AI$4:$AI$2342),'Grid Data'!$Z$4:$Z$2342,$D40,'Grid Data'!$AA$4:$AA$2342,Y$4,'Grid Data'!$Y$4:$Y$2342,$D$2)*100-Y8, "--")</f>
        <v>--</v>
      </c>
      <c r="Z40" s="5" t="str">
        <f>IF(  Z71&gt;$E$2, SUMIFS(IF($G$2="CPR",'Grid Data'!$AH$4:$AH$2342,'Grid Data'!$AI$4:$AI$2342),'Grid Data'!$Z$4:$Z$2342,$D40,'Grid Data'!$AA$4:$AA$2342,Z$4,'Grid Data'!$Y$4:$Y$2342,$D$2)*100-Z8, "--")</f>
        <v>--</v>
      </c>
      <c r="AA40" s="5">
        <f>IF(  AA71&gt;$E$2, SUMIFS(IF($G$2="CPR",'Grid Data'!$AH$4:$AH$2342,'Grid Data'!$AI$4:$AI$2342),'Grid Data'!$Z$4:$Z$2342,$D40,'Grid Data'!$AA$4:$AA$2342,AA$4,'Grid Data'!$Y$4:$Y$2342,$D$2)*100-AA8, "--")</f>
        <v>-5.6604000000000001</v>
      </c>
      <c r="AB40" s="5">
        <f>IF(  AB71&gt;$E$2, SUMIFS(IF($G$2="CPR",'Grid Data'!$AH$4:$AH$2342,'Grid Data'!$AI$4:$AI$2342),'Grid Data'!$Z$4:$Z$2342,$D40,'Grid Data'!$AA$4:$AA$2342,AB$4,'Grid Data'!$Y$4:$Y$2342,$D$2)*100-AB8, "--")</f>
        <v>-11.842600000000001</v>
      </c>
      <c r="AC40" s="5">
        <f>IF(  AC71&gt;$E$2, SUMIFS(IF($G$2="CPR",'Grid Data'!$AH$4:$AH$2342,'Grid Data'!$AI$4:$AI$2342),'Grid Data'!$Z$4:$Z$2342,$D40,'Grid Data'!$AA$4:$AA$2342,AC$4,'Grid Data'!$Y$4:$Y$2342,$D$2)*100-AC8, "--")</f>
        <v>-9.8862000000000005</v>
      </c>
      <c r="AD40" s="5" t="str">
        <f>IF(  AD71&gt;$E$2, SUMIFS(IF($G$2="CPR",'Grid Data'!$AH$4:$AH$2342,'Grid Data'!$AI$4:$AI$2342),'Grid Data'!$Z$4:$Z$2342,$D40,'Grid Data'!$AA$4:$AA$2342,AD$4,'Grid Data'!$Y$4:$Y$2342,$D$2)*100-AD8, "--")</f>
        <v>--</v>
      </c>
      <c r="AE40" s="5" t="str">
        <f>IF(  AE71&gt;$E$2, SUMIFS(IF($G$2="CPR",'Grid Data'!$AH$4:$AH$2342,'Grid Data'!$AI$4:$AI$2342),'Grid Data'!$Z$4:$Z$2342,$D40,'Grid Data'!$AA$4:$AA$2342,AE$4,'Grid Data'!$Y$4:$Y$2342,$D$2)*100-AE8, "--")</f>
        <v>--</v>
      </c>
      <c r="AF40" s="5" t="str">
        <f>IF(  AF71&gt;$E$2, SUMIFS(IF($G$2="CPR",'Grid Data'!$AH$4:$AH$2342,'Grid Data'!$AI$4:$AI$2342),'Grid Data'!$Z$4:$Z$2342,$D40,'Grid Data'!$AA$4:$AA$2342,AF$4,'Grid Data'!$Y$4:$Y$2342,$D$2)*100-AF8, "--")</f>
        <v>--</v>
      </c>
      <c r="AG40" s="5" t="str">
        <f>IF(  AG71&gt;$E$2, SUMIFS(IF($G$2="CPR",'Grid Data'!$AH$4:$AH$2342,'Grid Data'!$AI$4:$AI$2342),'Grid Data'!$Z$4:$Z$2342,$D40,'Grid Data'!$AA$4:$AA$2342,AG$4,'Grid Data'!$Y$4:$Y$2342,$D$2)*100-AG8, "--")</f>
        <v>--</v>
      </c>
      <c r="AH40" s="5" t="str">
        <f>IF(  AH71&gt;$E$2, SUMIFS(IF($G$2="CPR",'Grid Data'!$AH$4:$AH$2342,'Grid Data'!$AI$4:$AI$2342),'Grid Data'!$Z$4:$Z$2342,$D40,'Grid Data'!$AA$4:$AA$2342,AH$4,'Grid Data'!$Y$4:$Y$2342,$D$2)*100-AH8, "--")</f>
        <v>--</v>
      </c>
    </row>
    <row r="41" spans="1:34" x14ac:dyDescent="0.35">
      <c r="D41">
        <v>3000</v>
      </c>
      <c r="E41" s="5" t="str">
        <f>IF(  E72&gt;$E$2, SUMIFS(IF($G$2="CPR",'Grid Data'!$AH$4:$AH$2342,'Grid Data'!$AI$4:$AI$2342),'Grid Data'!$Z$4:$Z$2342,$D41,'Grid Data'!$AA$4:$AA$2342,E$4,'Grid Data'!$Y$4:$Y$2342,$D$2)*100-E9, "--")</f>
        <v>--</v>
      </c>
      <c r="F41" s="5" t="str">
        <f>IF(  F72&gt;$E$2, SUMIFS(IF($G$2="CPR",'Grid Data'!$AH$4:$AH$2342,'Grid Data'!$AI$4:$AI$2342),'Grid Data'!$Z$4:$Z$2342,$D41,'Grid Data'!$AA$4:$AA$2342,F$4,'Grid Data'!$Y$4:$Y$2342,$D$2)*100-F9, "--")</f>
        <v>--</v>
      </c>
      <c r="G41" s="5" t="str">
        <f>IF(  G72&gt;$E$2, SUMIFS(IF($G$2="CPR",'Grid Data'!$AH$4:$AH$2342,'Grid Data'!$AI$4:$AI$2342),'Grid Data'!$Z$4:$Z$2342,$D41,'Grid Data'!$AA$4:$AA$2342,G$4,'Grid Data'!$Y$4:$Y$2342,$D$2)*100-G9, "--")</f>
        <v>--</v>
      </c>
      <c r="H41" s="5" t="str">
        <f>IF(  H72&gt;$E$2, SUMIFS(IF($G$2="CPR",'Grid Data'!$AH$4:$AH$2342,'Grid Data'!$AI$4:$AI$2342),'Grid Data'!$Z$4:$Z$2342,$D41,'Grid Data'!$AA$4:$AA$2342,H$4,'Grid Data'!$Y$4:$Y$2342,$D$2)*100-H9, "--")</f>
        <v>--</v>
      </c>
      <c r="I41" s="5" t="str">
        <f>IF(  I72&gt;$E$2, SUMIFS(IF($G$2="CPR",'Grid Data'!$AH$4:$AH$2342,'Grid Data'!$AI$4:$AI$2342),'Grid Data'!$Z$4:$Z$2342,$D41,'Grid Data'!$AA$4:$AA$2342,I$4,'Grid Data'!$Y$4:$Y$2342,$D$2)*100-I9, "--")</f>
        <v>--</v>
      </c>
      <c r="J41" s="5" t="str">
        <f>IF(  J72&gt;$E$2, SUMIFS(IF($G$2="CPR",'Grid Data'!$AH$4:$AH$2342,'Grid Data'!$AI$4:$AI$2342),'Grid Data'!$Z$4:$Z$2342,$D41,'Grid Data'!$AA$4:$AA$2342,J$4,'Grid Data'!$Y$4:$Y$2342,$D$2)*100-J9, "--")</f>
        <v>--</v>
      </c>
      <c r="K41" s="5" t="str">
        <f>IF(  K72&gt;$E$2, SUMIFS(IF($G$2="CPR",'Grid Data'!$AH$4:$AH$2342,'Grid Data'!$AI$4:$AI$2342),'Grid Data'!$Z$4:$Z$2342,$D41,'Grid Data'!$AA$4:$AA$2342,K$4,'Grid Data'!$Y$4:$Y$2342,$D$2)*100-K9, "--")</f>
        <v>--</v>
      </c>
      <c r="L41" s="5" t="str">
        <f>IF(  L72&gt;$E$2, SUMIFS(IF($G$2="CPR",'Grid Data'!$AH$4:$AH$2342,'Grid Data'!$AI$4:$AI$2342),'Grid Data'!$Z$4:$Z$2342,$D41,'Grid Data'!$AA$4:$AA$2342,L$4,'Grid Data'!$Y$4:$Y$2342,$D$2)*100-L9, "--")</f>
        <v>--</v>
      </c>
      <c r="M41" s="5" t="str">
        <f>IF(  M72&gt;$E$2, SUMIFS(IF($G$2="CPR",'Grid Data'!$AH$4:$AH$2342,'Grid Data'!$AI$4:$AI$2342),'Grid Data'!$Z$4:$Z$2342,$D41,'Grid Data'!$AA$4:$AA$2342,M$4,'Grid Data'!$Y$4:$Y$2342,$D$2)*100-M9, "--")</f>
        <v>--</v>
      </c>
      <c r="N41" s="5" t="str">
        <f>IF(  N72&gt;$E$2, SUMIFS(IF($G$2="CPR",'Grid Data'!$AH$4:$AH$2342,'Grid Data'!$AI$4:$AI$2342),'Grid Data'!$Z$4:$Z$2342,$D41,'Grid Data'!$AA$4:$AA$2342,N$4,'Grid Data'!$Y$4:$Y$2342,$D$2)*100-N9, "--")</f>
        <v>--</v>
      </c>
      <c r="O41" s="5" t="str">
        <f>IF(  O72&gt;$E$2, SUMIFS(IF($G$2="CPR",'Grid Data'!$AH$4:$AH$2342,'Grid Data'!$AI$4:$AI$2342),'Grid Data'!$Z$4:$Z$2342,$D41,'Grid Data'!$AA$4:$AA$2342,O$4,'Grid Data'!$Y$4:$Y$2342,$D$2)*100-O9, "--")</f>
        <v>--</v>
      </c>
      <c r="P41" s="5" t="str">
        <f>IF(  P72&gt;$E$2, SUMIFS(IF($G$2="CPR",'Grid Data'!$AH$4:$AH$2342,'Grid Data'!$AI$4:$AI$2342),'Grid Data'!$Z$4:$Z$2342,$D41,'Grid Data'!$AA$4:$AA$2342,P$4,'Grid Data'!$Y$4:$Y$2342,$D$2)*100-P9, "--")</f>
        <v>--</v>
      </c>
      <c r="Q41" s="5" t="str">
        <f>IF(  Q72&gt;$E$2, SUMIFS(IF($G$2="CPR",'Grid Data'!$AH$4:$AH$2342,'Grid Data'!$AI$4:$AI$2342),'Grid Data'!$Z$4:$Z$2342,$D41,'Grid Data'!$AA$4:$AA$2342,Q$4,'Grid Data'!$Y$4:$Y$2342,$D$2)*100-Q9, "--")</f>
        <v>--</v>
      </c>
      <c r="R41" s="5" t="str">
        <f>IF(  R72&gt;$E$2, SUMIFS(IF($G$2="CPR",'Grid Data'!$AH$4:$AH$2342,'Grid Data'!$AI$4:$AI$2342),'Grid Data'!$Z$4:$Z$2342,$D41,'Grid Data'!$AA$4:$AA$2342,R$4,'Grid Data'!$Y$4:$Y$2342,$D$2)*100-R9, "--")</f>
        <v>--</v>
      </c>
      <c r="S41" s="5">
        <f>IF(  S72&gt;$E$2, SUMIFS(IF($G$2="CPR",'Grid Data'!$AH$4:$AH$2342,'Grid Data'!$AI$4:$AI$2342),'Grid Data'!$Z$4:$Z$2342,$D41,'Grid Data'!$AA$4:$AA$2342,S$4,'Grid Data'!$Y$4:$Y$2342,$D$2)*100-S9, "--")</f>
        <v>0</v>
      </c>
      <c r="T41" s="5">
        <f>IF(  T72&gt;$E$2, SUMIFS(IF($G$2="CPR",'Grid Data'!$AH$4:$AH$2342,'Grid Data'!$AI$4:$AI$2342),'Grid Data'!$Z$4:$Z$2342,$D41,'Grid Data'!$AA$4:$AA$2342,T$4,'Grid Data'!$Y$4:$Y$2342,$D$2)*100-T9, "--")</f>
        <v>-9.4547000000000008</v>
      </c>
      <c r="U41" s="5">
        <f>IF(  U72&gt;$E$2, SUMIFS(IF($G$2="CPR",'Grid Data'!$AH$4:$AH$2342,'Grid Data'!$AI$4:$AI$2342),'Grid Data'!$Z$4:$Z$2342,$D41,'Grid Data'!$AA$4:$AA$2342,U$4,'Grid Data'!$Y$4:$Y$2342,$D$2)*100-U9, "--")</f>
        <v>-7.9447000000000001</v>
      </c>
      <c r="V41" s="5">
        <f>IF(  V72&gt;$E$2, SUMIFS(IF($G$2="CPR",'Grid Data'!$AH$4:$AH$2342,'Grid Data'!$AI$4:$AI$2342),'Grid Data'!$Z$4:$Z$2342,$D41,'Grid Data'!$AA$4:$AA$2342,V$4,'Grid Data'!$Y$4:$Y$2342,$D$2)*100-V9, "--")</f>
        <v>-8.4733000000000001</v>
      </c>
      <c r="W41" s="5">
        <f>IF(  W72&gt;$E$2, SUMIFS(IF($G$2="CPR",'Grid Data'!$AH$4:$AH$2342,'Grid Data'!$AI$4:$AI$2342),'Grid Data'!$Z$4:$Z$2342,$D41,'Grid Data'!$AA$4:$AA$2342,W$4,'Grid Data'!$Y$4:$Y$2342,$D$2)*100-W9, "--")</f>
        <v>-7.7123999999999997</v>
      </c>
      <c r="X41" s="5">
        <f>IF(  X72&gt;$E$2, SUMIFS(IF($G$2="CPR",'Grid Data'!$AH$4:$AH$2342,'Grid Data'!$AI$4:$AI$2342),'Grid Data'!$Z$4:$Z$2342,$D41,'Grid Data'!$AA$4:$AA$2342,X$4,'Grid Data'!$Y$4:$Y$2342,$D$2)*100-X9, "--")</f>
        <v>-6.9628999999999994</v>
      </c>
      <c r="Y41" s="5" t="str">
        <f>IF(  Y72&gt;$E$2, SUMIFS(IF($G$2="CPR",'Grid Data'!$AH$4:$AH$2342,'Grid Data'!$AI$4:$AI$2342),'Grid Data'!$Z$4:$Z$2342,$D41,'Grid Data'!$AA$4:$AA$2342,Y$4,'Grid Data'!$Y$4:$Y$2342,$D$2)*100-Y9, "--")</f>
        <v>--</v>
      </c>
      <c r="Z41" s="5">
        <f>IF(  Z72&gt;$E$2, SUMIFS(IF($G$2="CPR",'Grid Data'!$AH$4:$AH$2342,'Grid Data'!$AI$4:$AI$2342),'Grid Data'!$Z$4:$Z$2342,$D41,'Grid Data'!$AA$4:$AA$2342,Z$4,'Grid Data'!$Y$4:$Y$2342,$D$2)*100-Z9, "--")</f>
        <v>-13.876199999999999</v>
      </c>
      <c r="AA41" s="5">
        <f>IF(  AA72&gt;$E$2, SUMIFS(IF($G$2="CPR",'Grid Data'!$AH$4:$AH$2342,'Grid Data'!$AI$4:$AI$2342),'Grid Data'!$Z$4:$Z$2342,$D41,'Grid Data'!$AA$4:$AA$2342,AA$4,'Grid Data'!$Y$4:$Y$2342,$D$2)*100-AA9, "--")</f>
        <v>-6.9141999999999992</v>
      </c>
      <c r="AB41" s="5">
        <f>IF(  AB72&gt;$E$2, SUMIFS(IF($G$2="CPR",'Grid Data'!$AH$4:$AH$2342,'Grid Data'!$AI$4:$AI$2342),'Grid Data'!$Z$4:$Z$2342,$D41,'Grid Data'!$AA$4:$AA$2342,AB$4,'Grid Data'!$Y$4:$Y$2342,$D$2)*100-AB9, "--")</f>
        <v>0</v>
      </c>
      <c r="AC41" s="5">
        <f>IF(  AC72&gt;$E$2, SUMIFS(IF($G$2="CPR",'Grid Data'!$AH$4:$AH$2342,'Grid Data'!$AI$4:$AI$2342),'Grid Data'!$Z$4:$Z$2342,$D41,'Grid Data'!$AA$4:$AA$2342,AC$4,'Grid Data'!$Y$4:$Y$2342,$D$2)*100-AC9, "--")</f>
        <v>-5.5247999999999999</v>
      </c>
      <c r="AD41" s="5" t="str">
        <f>IF(  AD72&gt;$E$2, SUMIFS(IF($G$2="CPR",'Grid Data'!$AH$4:$AH$2342,'Grid Data'!$AI$4:$AI$2342),'Grid Data'!$Z$4:$Z$2342,$D41,'Grid Data'!$AA$4:$AA$2342,AD$4,'Grid Data'!$Y$4:$Y$2342,$D$2)*100-AD9, "--")</f>
        <v>--</v>
      </c>
      <c r="AE41" s="5" t="str">
        <f>IF(  AE72&gt;$E$2, SUMIFS(IF($G$2="CPR",'Grid Data'!$AH$4:$AH$2342,'Grid Data'!$AI$4:$AI$2342),'Grid Data'!$Z$4:$Z$2342,$D41,'Grid Data'!$AA$4:$AA$2342,AE$4,'Grid Data'!$Y$4:$Y$2342,$D$2)*100-AE9, "--")</f>
        <v>--</v>
      </c>
      <c r="AF41" s="5" t="str">
        <f>IF(  AF72&gt;$E$2, SUMIFS(IF($G$2="CPR",'Grid Data'!$AH$4:$AH$2342,'Grid Data'!$AI$4:$AI$2342),'Grid Data'!$Z$4:$Z$2342,$D41,'Grid Data'!$AA$4:$AA$2342,AF$4,'Grid Data'!$Y$4:$Y$2342,$D$2)*100-AF9, "--")</f>
        <v>--</v>
      </c>
      <c r="AG41" s="5" t="str">
        <f>IF(  AG72&gt;$E$2, SUMIFS(IF($G$2="CPR",'Grid Data'!$AH$4:$AH$2342,'Grid Data'!$AI$4:$AI$2342),'Grid Data'!$Z$4:$Z$2342,$D41,'Grid Data'!$AA$4:$AA$2342,AG$4,'Grid Data'!$Y$4:$Y$2342,$D$2)*100-AG9, "--")</f>
        <v>--</v>
      </c>
      <c r="AH41" s="5" t="str">
        <f>IF(  AH72&gt;$E$2, SUMIFS(IF($G$2="CPR",'Grid Data'!$AH$4:$AH$2342,'Grid Data'!$AI$4:$AI$2342),'Grid Data'!$Z$4:$Z$2342,$D41,'Grid Data'!$AA$4:$AA$2342,AH$4,'Grid Data'!$Y$4:$Y$2342,$D$2)*100-AH9, "--")</f>
        <v>--</v>
      </c>
    </row>
    <row r="42" spans="1:34" x14ac:dyDescent="0.35">
      <c r="D42">
        <v>3250</v>
      </c>
      <c r="E42" s="5" t="str">
        <f>IF(  E73&gt;$E$2, SUMIFS(IF($G$2="CPR",'Grid Data'!$AH$4:$AH$2342,'Grid Data'!$AI$4:$AI$2342),'Grid Data'!$Z$4:$Z$2342,$D42,'Grid Data'!$AA$4:$AA$2342,E$4,'Grid Data'!$Y$4:$Y$2342,$D$2)*100-E10, "--")</f>
        <v>--</v>
      </c>
      <c r="F42" s="5" t="str">
        <f>IF(  F73&gt;$E$2, SUMIFS(IF($G$2="CPR",'Grid Data'!$AH$4:$AH$2342,'Grid Data'!$AI$4:$AI$2342),'Grid Data'!$Z$4:$Z$2342,$D42,'Grid Data'!$AA$4:$AA$2342,F$4,'Grid Data'!$Y$4:$Y$2342,$D$2)*100-F10, "--")</f>
        <v>--</v>
      </c>
      <c r="G42" s="5" t="str">
        <f>IF(  G73&gt;$E$2, SUMIFS(IF($G$2="CPR",'Grid Data'!$AH$4:$AH$2342,'Grid Data'!$AI$4:$AI$2342),'Grid Data'!$Z$4:$Z$2342,$D42,'Grid Data'!$AA$4:$AA$2342,G$4,'Grid Data'!$Y$4:$Y$2342,$D$2)*100-G10, "--")</f>
        <v>--</v>
      </c>
      <c r="H42" s="5" t="str">
        <f>IF(  H73&gt;$E$2, SUMIFS(IF($G$2="CPR",'Grid Data'!$AH$4:$AH$2342,'Grid Data'!$AI$4:$AI$2342),'Grid Data'!$Z$4:$Z$2342,$D42,'Grid Data'!$AA$4:$AA$2342,H$4,'Grid Data'!$Y$4:$Y$2342,$D$2)*100-H10, "--")</f>
        <v>--</v>
      </c>
      <c r="I42" s="5" t="str">
        <f>IF(  I73&gt;$E$2, SUMIFS(IF($G$2="CPR",'Grid Data'!$AH$4:$AH$2342,'Grid Data'!$AI$4:$AI$2342),'Grid Data'!$Z$4:$Z$2342,$D42,'Grid Data'!$AA$4:$AA$2342,I$4,'Grid Data'!$Y$4:$Y$2342,$D$2)*100-I10, "--")</f>
        <v>--</v>
      </c>
      <c r="J42" s="5" t="str">
        <f>IF(  J73&gt;$E$2, SUMIFS(IF($G$2="CPR",'Grid Data'!$AH$4:$AH$2342,'Grid Data'!$AI$4:$AI$2342),'Grid Data'!$Z$4:$Z$2342,$D42,'Grid Data'!$AA$4:$AA$2342,J$4,'Grid Data'!$Y$4:$Y$2342,$D$2)*100-J10, "--")</f>
        <v>--</v>
      </c>
      <c r="K42" s="5" t="str">
        <f>IF(  K73&gt;$E$2, SUMIFS(IF($G$2="CPR",'Grid Data'!$AH$4:$AH$2342,'Grid Data'!$AI$4:$AI$2342),'Grid Data'!$Z$4:$Z$2342,$D42,'Grid Data'!$AA$4:$AA$2342,K$4,'Grid Data'!$Y$4:$Y$2342,$D$2)*100-K10, "--")</f>
        <v>--</v>
      </c>
      <c r="L42" s="5" t="str">
        <f>IF(  L73&gt;$E$2, SUMIFS(IF($G$2="CPR",'Grid Data'!$AH$4:$AH$2342,'Grid Data'!$AI$4:$AI$2342),'Grid Data'!$Z$4:$Z$2342,$D42,'Grid Data'!$AA$4:$AA$2342,L$4,'Grid Data'!$Y$4:$Y$2342,$D$2)*100-L10, "--")</f>
        <v>--</v>
      </c>
      <c r="M42" s="5" t="str">
        <f>IF(  M73&gt;$E$2, SUMIFS(IF($G$2="CPR",'Grid Data'!$AH$4:$AH$2342,'Grid Data'!$AI$4:$AI$2342),'Grid Data'!$Z$4:$Z$2342,$D42,'Grid Data'!$AA$4:$AA$2342,M$4,'Grid Data'!$Y$4:$Y$2342,$D$2)*100-M10, "--")</f>
        <v>--</v>
      </c>
      <c r="N42" s="5" t="str">
        <f>IF(  N73&gt;$E$2, SUMIFS(IF($G$2="CPR",'Grid Data'!$AH$4:$AH$2342,'Grid Data'!$AI$4:$AI$2342),'Grid Data'!$Z$4:$Z$2342,$D42,'Grid Data'!$AA$4:$AA$2342,N$4,'Grid Data'!$Y$4:$Y$2342,$D$2)*100-N10, "--")</f>
        <v>--</v>
      </c>
      <c r="O42" s="5" t="str">
        <f>IF(  O73&gt;$E$2, SUMIFS(IF($G$2="CPR",'Grid Data'!$AH$4:$AH$2342,'Grid Data'!$AI$4:$AI$2342),'Grid Data'!$Z$4:$Z$2342,$D42,'Grid Data'!$AA$4:$AA$2342,O$4,'Grid Data'!$Y$4:$Y$2342,$D$2)*100-O10, "--")</f>
        <v>--</v>
      </c>
      <c r="P42" s="5" t="str">
        <f>IF(  P73&gt;$E$2, SUMIFS(IF($G$2="CPR",'Grid Data'!$AH$4:$AH$2342,'Grid Data'!$AI$4:$AI$2342),'Grid Data'!$Z$4:$Z$2342,$D42,'Grid Data'!$AA$4:$AA$2342,P$4,'Grid Data'!$Y$4:$Y$2342,$D$2)*100-P10, "--")</f>
        <v>--</v>
      </c>
      <c r="Q42" s="5" t="str">
        <f>IF(  Q73&gt;$E$2, SUMIFS(IF($G$2="CPR",'Grid Data'!$AH$4:$AH$2342,'Grid Data'!$AI$4:$AI$2342),'Grid Data'!$Z$4:$Z$2342,$D42,'Grid Data'!$AA$4:$AA$2342,Q$4,'Grid Data'!$Y$4:$Y$2342,$D$2)*100-Q10, "--")</f>
        <v>--</v>
      </c>
      <c r="R42" s="5" t="str">
        <f>IF(  R73&gt;$E$2, SUMIFS(IF($G$2="CPR",'Grid Data'!$AH$4:$AH$2342,'Grid Data'!$AI$4:$AI$2342),'Grid Data'!$Z$4:$Z$2342,$D42,'Grid Data'!$AA$4:$AA$2342,R$4,'Grid Data'!$Y$4:$Y$2342,$D$2)*100-R10, "--")</f>
        <v>--</v>
      </c>
      <c r="S42" s="5">
        <f>IF(  S73&gt;$E$2, SUMIFS(IF($G$2="CPR",'Grid Data'!$AH$4:$AH$2342,'Grid Data'!$AI$4:$AI$2342),'Grid Data'!$Z$4:$Z$2342,$D42,'Grid Data'!$AA$4:$AA$2342,S$4,'Grid Data'!$Y$4:$Y$2342,$D$2)*100-S10, "--")</f>
        <v>-10.806000000000001</v>
      </c>
      <c r="T42" s="5">
        <f>IF(  T73&gt;$E$2, SUMIFS(IF($G$2="CPR",'Grid Data'!$AH$4:$AH$2342,'Grid Data'!$AI$4:$AI$2342),'Grid Data'!$Z$4:$Z$2342,$D42,'Grid Data'!$AA$4:$AA$2342,T$4,'Grid Data'!$Y$4:$Y$2342,$D$2)*100-T10, "--")</f>
        <v>-8.9236000000000004</v>
      </c>
      <c r="U42" s="5">
        <f>IF(  U73&gt;$E$2, SUMIFS(IF($G$2="CPR",'Grid Data'!$AH$4:$AH$2342,'Grid Data'!$AI$4:$AI$2342),'Grid Data'!$Z$4:$Z$2342,$D42,'Grid Data'!$AA$4:$AA$2342,U$4,'Grid Data'!$Y$4:$Y$2342,$D$2)*100-U10, "--")</f>
        <v>-10.813000000000001</v>
      </c>
      <c r="V42" s="5">
        <f>IF(  V73&gt;$E$2, SUMIFS(IF($G$2="CPR",'Grid Data'!$AH$4:$AH$2342,'Grid Data'!$AI$4:$AI$2342),'Grid Data'!$Z$4:$Z$2342,$D42,'Grid Data'!$AA$4:$AA$2342,V$4,'Grid Data'!$Y$4:$Y$2342,$D$2)*100-V10, "--")</f>
        <v>-8.7860999999999994</v>
      </c>
      <c r="W42" s="5">
        <f>IF(  W73&gt;$E$2, SUMIFS(IF($G$2="CPR",'Grid Data'!$AH$4:$AH$2342,'Grid Data'!$AI$4:$AI$2342),'Grid Data'!$Z$4:$Z$2342,$D42,'Grid Data'!$AA$4:$AA$2342,W$4,'Grid Data'!$Y$4:$Y$2342,$D$2)*100-W10, "--")</f>
        <v>-8.7293000000000003</v>
      </c>
      <c r="X42" s="5">
        <f>IF(  X73&gt;$E$2, SUMIFS(IF($G$2="CPR",'Grid Data'!$AH$4:$AH$2342,'Grid Data'!$AI$4:$AI$2342),'Grid Data'!$Z$4:$Z$2342,$D42,'Grid Data'!$AA$4:$AA$2342,X$4,'Grid Data'!$Y$4:$Y$2342,$D$2)*100-X10, "--")</f>
        <v>-7.4558999999999997</v>
      </c>
      <c r="Y42" s="5">
        <f>IF(  Y73&gt;$E$2, SUMIFS(IF($G$2="CPR",'Grid Data'!$AH$4:$AH$2342,'Grid Data'!$AI$4:$AI$2342),'Grid Data'!$Z$4:$Z$2342,$D42,'Grid Data'!$AA$4:$AA$2342,Y$4,'Grid Data'!$Y$4:$Y$2342,$D$2)*100-Y10, "--")</f>
        <v>-7.6935000000000002</v>
      </c>
      <c r="Z42" s="5">
        <f>IF(  Z73&gt;$E$2, SUMIFS(IF($G$2="CPR",'Grid Data'!$AH$4:$AH$2342,'Grid Data'!$AI$4:$AI$2342),'Grid Data'!$Z$4:$Z$2342,$D42,'Grid Data'!$AA$4:$AA$2342,Z$4,'Grid Data'!$Y$4:$Y$2342,$D$2)*100-Z10, "--")</f>
        <v>-6.5018999999999991</v>
      </c>
      <c r="AA42" s="5">
        <f>IF(  AA73&gt;$E$2, SUMIFS(IF($G$2="CPR",'Grid Data'!$AH$4:$AH$2342,'Grid Data'!$AI$4:$AI$2342),'Grid Data'!$Z$4:$Z$2342,$D42,'Grid Data'!$AA$4:$AA$2342,AA$4,'Grid Data'!$Y$4:$Y$2342,$D$2)*100-AA10, "--")</f>
        <v>-7.3523000000000005</v>
      </c>
      <c r="AB42" s="5">
        <f>IF(  AB73&gt;$E$2, SUMIFS(IF($G$2="CPR",'Grid Data'!$AH$4:$AH$2342,'Grid Data'!$AI$4:$AI$2342),'Grid Data'!$Z$4:$Z$2342,$D42,'Grid Data'!$AA$4:$AA$2342,AB$4,'Grid Data'!$Y$4:$Y$2342,$D$2)*100-AB10, "--")</f>
        <v>-7.6223000000000001</v>
      </c>
      <c r="AC42" s="5">
        <f>IF(  AC73&gt;$E$2, SUMIFS(IF($G$2="CPR",'Grid Data'!$AH$4:$AH$2342,'Grid Data'!$AI$4:$AI$2342),'Grid Data'!$Z$4:$Z$2342,$D42,'Grid Data'!$AA$4:$AA$2342,AC$4,'Grid Data'!$Y$4:$Y$2342,$D$2)*100-AC10, "--")</f>
        <v>-5.3956999999999997</v>
      </c>
      <c r="AD42" s="5" t="str">
        <f>IF(  AD73&gt;$E$2, SUMIFS(IF($G$2="CPR",'Grid Data'!$AH$4:$AH$2342,'Grid Data'!$AI$4:$AI$2342),'Grid Data'!$Z$4:$Z$2342,$D42,'Grid Data'!$AA$4:$AA$2342,AD$4,'Grid Data'!$Y$4:$Y$2342,$D$2)*100-AD10, "--")</f>
        <v>--</v>
      </c>
      <c r="AE42" s="5" t="str">
        <f>IF(  AE73&gt;$E$2, SUMIFS(IF($G$2="CPR",'Grid Data'!$AH$4:$AH$2342,'Grid Data'!$AI$4:$AI$2342),'Grid Data'!$Z$4:$Z$2342,$D42,'Grid Data'!$AA$4:$AA$2342,AE$4,'Grid Data'!$Y$4:$Y$2342,$D$2)*100-AE10, "--")</f>
        <v>--</v>
      </c>
      <c r="AF42" s="5" t="str">
        <f>IF(  AF73&gt;$E$2, SUMIFS(IF($G$2="CPR",'Grid Data'!$AH$4:$AH$2342,'Grid Data'!$AI$4:$AI$2342),'Grid Data'!$Z$4:$Z$2342,$D42,'Grid Data'!$AA$4:$AA$2342,AF$4,'Grid Data'!$Y$4:$Y$2342,$D$2)*100-AF10, "--")</f>
        <v>--</v>
      </c>
      <c r="AG42" s="5" t="str">
        <f>IF(  AG73&gt;$E$2, SUMIFS(IF($G$2="CPR",'Grid Data'!$AH$4:$AH$2342,'Grid Data'!$AI$4:$AI$2342),'Grid Data'!$Z$4:$Z$2342,$D42,'Grid Data'!$AA$4:$AA$2342,AG$4,'Grid Data'!$Y$4:$Y$2342,$D$2)*100-AG10, "--")</f>
        <v>--</v>
      </c>
      <c r="AH42" s="5" t="str">
        <f>IF(  AH73&gt;$E$2, SUMIFS(IF($G$2="CPR",'Grid Data'!$AH$4:$AH$2342,'Grid Data'!$AI$4:$AI$2342),'Grid Data'!$Z$4:$Z$2342,$D42,'Grid Data'!$AA$4:$AA$2342,AH$4,'Grid Data'!$Y$4:$Y$2342,$D$2)*100-AH10, "--")</f>
        <v>--</v>
      </c>
    </row>
    <row r="43" spans="1:34" x14ac:dyDescent="0.35">
      <c r="D43">
        <v>3500</v>
      </c>
      <c r="E43" s="5">
        <f>IF(  E74&gt;$E$2, SUMIFS(IF($G$2="CPR",'Grid Data'!$AH$4:$AH$2342,'Grid Data'!$AI$4:$AI$2342),'Grid Data'!$Z$4:$Z$2342,$D43,'Grid Data'!$AA$4:$AA$2342,E$4,'Grid Data'!$Y$4:$Y$2342,$D$2)*100-E11, "--")</f>
        <v>0</v>
      </c>
      <c r="F43" s="5" t="str">
        <f>IF(  F74&gt;$E$2, SUMIFS(IF($G$2="CPR",'Grid Data'!$AH$4:$AH$2342,'Grid Data'!$AI$4:$AI$2342),'Grid Data'!$Z$4:$Z$2342,$D43,'Grid Data'!$AA$4:$AA$2342,F$4,'Grid Data'!$Y$4:$Y$2342,$D$2)*100-F11, "--")</f>
        <v>--</v>
      </c>
      <c r="G43" s="5" t="str">
        <f>IF(  G74&gt;$E$2, SUMIFS(IF($G$2="CPR",'Grid Data'!$AH$4:$AH$2342,'Grid Data'!$AI$4:$AI$2342),'Grid Data'!$Z$4:$Z$2342,$D43,'Grid Data'!$AA$4:$AA$2342,G$4,'Grid Data'!$Y$4:$Y$2342,$D$2)*100-G11, "--")</f>
        <v>--</v>
      </c>
      <c r="H43" s="5" t="str">
        <f>IF(  H74&gt;$E$2, SUMIFS(IF($G$2="CPR",'Grid Data'!$AH$4:$AH$2342,'Grid Data'!$AI$4:$AI$2342),'Grid Data'!$Z$4:$Z$2342,$D43,'Grid Data'!$AA$4:$AA$2342,H$4,'Grid Data'!$Y$4:$Y$2342,$D$2)*100-H11, "--")</f>
        <v>--</v>
      </c>
      <c r="I43" s="5" t="str">
        <f>IF(  I74&gt;$E$2, SUMIFS(IF($G$2="CPR",'Grid Data'!$AH$4:$AH$2342,'Grid Data'!$AI$4:$AI$2342),'Grid Data'!$Z$4:$Z$2342,$D43,'Grid Data'!$AA$4:$AA$2342,I$4,'Grid Data'!$Y$4:$Y$2342,$D$2)*100-I11, "--")</f>
        <v>--</v>
      </c>
      <c r="J43" s="5" t="str">
        <f>IF(  J74&gt;$E$2, SUMIFS(IF($G$2="CPR",'Grid Data'!$AH$4:$AH$2342,'Grid Data'!$AI$4:$AI$2342),'Grid Data'!$Z$4:$Z$2342,$D43,'Grid Data'!$AA$4:$AA$2342,J$4,'Grid Data'!$Y$4:$Y$2342,$D$2)*100-J11, "--")</f>
        <v>--</v>
      </c>
      <c r="K43" s="5" t="str">
        <f>IF(  K74&gt;$E$2, SUMIFS(IF($G$2="CPR",'Grid Data'!$AH$4:$AH$2342,'Grid Data'!$AI$4:$AI$2342),'Grid Data'!$Z$4:$Z$2342,$D43,'Grid Data'!$AA$4:$AA$2342,K$4,'Grid Data'!$Y$4:$Y$2342,$D$2)*100-K11, "--")</f>
        <v>--</v>
      </c>
      <c r="L43" s="5" t="str">
        <f>IF(  L74&gt;$E$2, SUMIFS(IF($G$2="CPR",'Grid Data'!$AH$4:$AH$2342,'Grid Data'!$AI$4:$AI$2342),'Grid Data'!$Z$4:$Z$2342,$D43,'Grid Data'!$AA$4:$AA$2342,L$4,'Grid Data'!$Y$4:$Y$2342,$D$2)*100-L11, "--")</f>
        <v>--</v>
      </c>
      <c r="M43" s="5" t="str">
        <f>IF(  M74&gt;$E$2, SUMIFS(IF($G$2="CPR",'Grid Data'!$AH$4:$AH$2342,'Grid Data'!$AI$4:$AI$2342),'Grid Data'!$Z$4:$Z$2342,$D43,'Grid Data'!$AA$4:$AA$2342,M$4,'Grid Data'!$Y$4:$Y$2342,$D$2)*100-M11, "--")</f>
        <v>--</v>
      </c>
      <c r="N43" s="5" t="str">
        <f>IF(  N74&gt;$E$2, SUMIFS(IF($G$2="CPR",'Grid Data'!$AH$4:$AH$2342,'Grid Data'!$AI$4:$AI$2342),'Grid Data'!$Z$4:$Z$2342,$D43,'Grid Data'!$AA$4:$AA$2342,N$4,'Grid Data'!$Y$4:$Y$2342,$D$2)*100-N11, "--")</f>
        <v>--</v>
      </c>
      <c r="O43" s="5" t="str">
        <f>IF(  O74&gt;$E$2, SUMIFS(IF($G$2="CPR",'Grid Data'!$AH$4:$AH$2342,'Grid Data'!$AI$4:$AI$2342),'Grid Data'!$Z$4:$Z$2342,$D43,'Grid Data'!$AA$4:$AA$2342,O$4,'Grid Data'!$Y$4:$Y$2342,$D$2)*100-O11, "--")</f>
        <v>--</v>
      </c>
      <c r="P43" s="5" t="str">
        <f>IF(  P74&gt;$E$2, SUMIFS(IF($G$2="CPR",'Grid Data'!$AH$4:$AH$2342,'Grid Data'!$AI$4:$AI$2342),'Grid Data'!$Z$4:$Z$2342,$D43,'Grid Data'!$AA$4:$AA$2342,P$4,'Grid Data'!$Y$4:$Y$2342,$D$2)*100-P11, "--")</f>
        <v>--</v>
      </c>
      <c r="Q43" s="5" t="str">
        <f>IF(  Q74&gt;$E$2, SUMIFS(IF($G$2="CPR",'Grid Data'!$AH$4:$AH$2342,'Grid Data'!$AI$4:$AI$2342),'Grid Data'!$Z$4:$Z$2342,$D43,'Grid Data'!$AA$4:$AA$2342,Q$4,'Grid Data'!$Y$4:$Y$2342,$D$2)*100-Q11, "--")</f>
        <v>--</v>
      </c>
      <c r="R43" s="5" t="str">
        <f>IF(  R74&gt;$E$2, SUMIFS(IF($G$2="CPR",'Grid Data'!$AH$4:$AH$2342,'Grid Data'!$AI$4:$AI$2342),'Grid Data'!$Z$4:$Z$2342,$D43,'Grid Data'!$AA$4:$AA$2342,R$4,'Grid Data'!$Y$4:$Y$2342,$D$2)*100-R11, "--")</f>
        <v>--</v>
      </c>
      <c r="S43" s="5">
        <f>IF(  S74&gt;$E$2, SUMIFS(IF($G$2="CPR",'Grid Data'!$AH$4:$AH$2342,'Grid Data'!$AI$4:$AI$2342),'Grid Data'!$Z$4:$Z$2342,$D43,'Grid Data'!$AA$4:$AA$2342,S$4,'Grid Data'!$Y$4:$Y$2342,$D$2)*100-S11, "--")</f>
        <v>-10.069599999999999</v>
      </c>
      <c r="T43" s="5">
        <f>IF(  T74&gt;$E$2, SUMIFS(IF($G$2="CPR",'Grid Data'!$AH$4:$AH$2342,'Grid Data'!$AI$4:$AI$2342),'Grid Data'!$Z$4:$Z$2342,$D43,'Grid Data'!$AA$4:$AA$2342,T$4,'Grid Data'!$Y$4:$Y$2342,$D$2)*100-T11, "--")</f>
        <v>-10.7765</v>
      </c>
      <c r="U43" s="5">
        <f>IF(  U74&gt;$E$2, SUMIFS(IF($G$2="CPR",'Grid Data'!$AH$4:$AH$2342,'Grid Data'!$AI$4:$AI$2342),'Grid Data'!$Z$4:$Z$2342,$D43,'Grid Data'!$AA$4:$AA$2342,U$4,'Grid Data'!$Y$4:$Y$2342,$D$2)*100-U11, "--")</f>
        <v>-10.206099999999999</v>
      </c>
      <c r="V43" s="5">
        <f>IF(  V74&gt;$E$2, SUMIFS(IF($G$2="CPR",'Grid Data'!$AH$4:$AH$2342,'Grid Data'!$AI$4:$AI$2342),'Grid Data'!$Z$4:$Z$2342,$D43,'Grid Data'!$AA$4:$AA$2342,V$4,'Grid Data'!$Y$4:$Y$2342,$D$2)*100-V11, "--")</f>
        <v>-9.3673999999999999</v>
      </c>
      <c r="W43" s="5">
        <f>IF(  W74&gt;$E$2, SUMIFS(IF($G$2="CPR",'Grid Data'!$AH$4:$AH$2342,'Grid Data'!$AI$4:$AI$2342),'Grid Data'!$Z$4:$Z$2342,$D43,'Grid Data'!$AA$4:$AA$2342,W$4,'Grid Data'!$Y$4:$Y$2342,$D$2)*100-W11, "--")</f>
        <v>-8.1596000000000011</v>
      </c>
      <c r="X43" s="5">
        <f>IF(  X74&gt;$E$2, SUMIFS(IF($G$2="CPR",'Grid Data'!$AH$4:$AH$2342,'Grid Data'!$AI$4:$AI$2342),'Grid Data'!$Z$4:$Z$2342,$D43,'Grid Data'!$AA$4:$AA$2342,X$4,'Grid Data'!$Y$4:$Y$2342,$D$2)*100-X11, "--")</f>
        <v>-8.6704000000000008</v>
      </c>
      <c r="Y43" s="5">
        <f>IF(  Y74&gt;$E$2, SUMIFS(IF($G$2="CPR",'Grid Data'!$AH$4:$AH$2342,'Grid Data'!$AI$4:$AI$2342),'Grid Data'!$Z$4:$Z$2342,$D43,'Grid Data'!$AA$4:$AA$2342,Y$4,'Grid Data'!$Y$4:$Y$2342,$D$2)*100-Y11, "--")</f>
        <v>-10.372399999999999</v>
      </c>
      <c r="Z43" s="5">
        <f>IF(  Z74&gt;$E$2, SUMIFS(IF($G$2="CPR",'Grid Data'!$AH$4:$AH$2342,'Grid Data'!$AI$4:$AI$2342),'Grid Data'!$Z$4:$Z$2342,$D43,'Grid Data'!$AA$4:$AA$2342,Z$4,'Grid Data'!$Y$4:$Y$2342,$D$2)*100-Z11, "--")</f>
        <v>-5.6032999999999999</v>
      </c>
      <c r="AA43" s="5">
        <f>IF(  AA74&gt;$E$2, SUMIFS(IF($G$2="CPR",'Grid Data'!$AH$4:$AH$2342,'Grid Data'!$AI$4:$AI$2342),'Grid Data'!$Z$4:$Z$2342,$D43,'Grid Data'!$AA$4:$AA$2342,AA$4,'Grid Data'!$Y$4:$Y$2342,$D$2)*100-AA11, "--")</f>
        <v>-6.5767000000000007</v>
      </c>
      <c r="AB43" s="5">
        <f>IF(  AB74&gt;$E$2, SUMIFS(IF($G$2="CPR",'Grid Data'!$AH$4:$AH$2342,'Grid Data'!$AI$4:$AI$2342),'Grid Data'!$Z$4:$Z$2342,$D43,'Grid Data'!$AA$4:$AA$2342,AB$4,'Grid Data'!$Y$4:$Y$2342,$D$2)*100-AB11, "--")</f>
        <v>-6.2715999999999994</v>
      </c>
      <c r="AC43" s="5">
        <f>IF(  AC74&gt;$E$2, SUMIFS(IF($G$2="CPR",'Grid Data'!$AH$4:$AH$2342,'Grid Data'!$AI$4:$AI$2342),'Grid Data'!$Z$4:$Z$2342,$D43,'Grid Data'!$AA$4:$AA$2342,AC$4,'Grid Data'!$Y$4:$Y$2342,$D$2)*100-AC11, "--")</f>
        <v>-5.2309000000000001</v>
      </c>
      <c r="AD43" s="5">
        <f>IF(  AD74&gt;$E$2, SUMIFS(IF($G$2="CPR",'Grid Data'!$AH$4:$AH$2342,'Grid Data'!$AI$4:$AI$2342),'Grid Data'!$Z$4:$Z$2342,$D43,'Grid Data'!$AA$4:$AA$2342,AD$4,'Grid Data'!$Y$4:$Y$2342,$D$2)*100-AD11, "--")</f>
        <v>-9.2918000000000003</v>
      </c>
      <c r="AE43" s="5" t="str">
        <f>IF(  AE74&gt;$E$2, SUMIFS(IF($G$2="CPR",'Grid Data'!$AH$4:$AH$2342,'Grid Data'!$AI$4:$AI$2342),'Grid Data'!$Z$4:$Z$2342,$D43,'Grid Data'!$AA$4:$AA$2342,AE$4,'Grid Data'!$Y$4:$Y$2342,$D$2)*100-AE11, "--")</f>
        <v>--</v>
      </c>
      <c r="AF43" s="5" t="str">
        <f>IF(  AF74&gt;$E$2, SUMIFS(IF($G$2="CPR",'Grid Data'!$AH$4:$AH$2342,'Grid Data'!$AI$4:$AI$2342),'Grid Data'!$Z$4:$Z$2342,$D43,'Grid Data'!$AA$4:$AA$2342,AF$4,'Grid Data'!$Y$4:$Y$2342,$D$2)*100-AF11, "--")</f>
        <v>--</v>
      </c>
      <c r="AG43" s="5" t="str">
        <f>IF(  AG74&gt;$E$2, SUMIFS(IF($G$2="CPR",'Grid Data'!$AH$4:$AH$2342,'Grid Data'!$AI$4:$AI$2342),'Grid Data'!$Z$4:$Z$2342,$D43,'Grid Data'!$AA$4:$AA$2342,AG$4,'Grid Data'!$Y$4:$Y$2342,$D$2)*100-AG11, "--")</f>
        <v>--</v>
      </c>
      <c r="AH43" s="5" t="str">
        <f>IF(  AH74&gt;$E$2, SUMIFS(IF($G$2="CPR",'Grid Data'!$AH$4:$AH$2342,'Grid Data'!$AI$4:$AI$2342),'Grid Data'!$Z$4:$Z$2342,$D43,'Grid Data'!$AA$4:$AA$2342,AH$4,'Grid Data'!$Y$4:$Y$2342,$D$2)*100-AH11, "--")</f>
        <v>--</v>
      </c>
    </row>
    <row r="44" spans="1:34" x14ac:dyDescent="0.35">
      <c r="D44">
        <v>3750</v>
      </c>
      <c r="E44" s="5">
        <f>IF(  E75&gt;$E$2, SUMIFS(IF($G$2="CPR",'Grid Data'!$AH$4:$AH$2342,'Grid Data'!$AI$4:$AI$2342),'Grid Data'!$Z$4:$Z$2342,$D44,'Grid Data'!$AA$4:$AA$2342,E$4,'Grid Data'!$Y$4:$Y$2342,$D$2)*100-E12, "--")</f>
        <v>0</v>
      </c>
      <c r="F44" s="5" t="str">
        <f>IF(  F75&gt;$E$2, SUMIFS(IF($G$2="CPR",'Grid Data'!$AH$4:$AH$2342,'Grid Data'!$AI$4:$AI$2342),'Grid Data'!$Z$4:$Z$2342,$D44,'Grid Data'!$AA$4:$AA$2342,F$4,'Grid Data'!$Y$4:$Y$2342,$D$2)*100-F12, "--")</f>
        <v>--</v>
      </c>
      <c r="G44" s="5" t="str">
        <f>IF(  G75&gt;$E$2, SUMIFS(IF($G$2="CPR",'Grid Data'!$AH$4:$AH$2342,'Grid Data'!$AI$4:$AI$2342),'Grid Data'!$Z$4:$Z$2342,$D44,'Grid Data'!$AA$4:$AA$2342,G$4,'Grid Data'!$Y$4:$Y$2342,$D$2)*100-G12, "--")</f>
        <v>--</v>
      </c>
      <c r="H44" s="5" t="str">
        <f>IF(  H75&gt;$E$2, SUMIFS(IF($G$2="CPR",'Grid Data'!$AH$4:$AH$2342,'Grid Data'!$AI$4:$AI$2342),'Grid Data'!$Z$4:$Z$2342,$D44,'Grid Data'!$AA$4:$AA$2342,H$4,'Grid Data'!$Y$4:$Y$2342,$D$2)*100-H12, "--")</f>
        <v>--</v>
      </c>
      <c r="I44" s="5" t="str">
        <f>IF(  I75&gt;$E$2, SUMIFS(IF($G$2="CPR",'Grid Data'!$AH$4:$AH$2342,'Grid Data'!$AI$4:$AI$2342),'Grid Data'!$Z$4:$Z$2342,$D44,'Grid Data'!$AA$4:$AA$2342,I$4,'Grid Data'!$Y$4:$Y$2342,$D$2)*100-I12, "--")</f>
        <v>--</v>
      </c>
      <c r="J44" s="5" t="str">
        <f>IF(  J75&gt;$E$2, SUMIFS(IF($G$2="CPR",'Grid Data'!$AH$4:$AH$2342,'Grid Data'!$AI$4:$AI$2342),'Grid Data'!$Z$4:$Z$2342,$D44,'Grid Data'!$AA$4:$AA$2342,J$4,'Grid Data'!$Y$4:$Y$2342,$D$2)*100-J12, "--")</f>
        <v>--</v>
      </c>
      <c r="K44" s="5" t="str">
        <f>IF(  K75&gt;$E$2, SUMIFS(IF($G$2="CPR",'Grid Data'!$AH$4:$AH$2342,'Grid Data'!$AI$4:$AI$2342),'Grid Data'!$Z$4:$Z$2342,$D44,'Grid Data'!$AA$4:$AA$2342,K$4,'Grid Data'!$Y$4:$Y$2342,$D$2)*100-K12, "--")</f>
        <v>--</v>
      </c>
      <c r="L44" s="5" t="str">
        <f>IF(  L75&gt;$E$2, SUMIFS(IF($G$2="CPR",'Grid Data'!$AH$4:$AH$2342,'Grid Data'!$AI$4:$AI$2342),'Grid Data'!$Z$4:$Z$2342,$D44,'Grid Data'!$AA$4:$AA$2342,L$4,'Grid Data'!$Y$4:$Y$2342,$D$2)*100-L12, "--")</f>
        <v>--</v>
      </c>
      <c r="M44" s="5">
        <f>IF(  M75&gt;$E$2, SUMIFS(IF($G$2="CPR",'Grid Data'!$AH$4:$AH$2342,'Grid Data'!$AI$4:$AI$2342),'Grid Data'!$Z$4:$Z$2342,$D44,'Grid Data'!$AA$4:$AA$2342,M$4,'Grid Data'!$Y$4:$Y$2342,$D$2)*100-M12, "--")</f>
        <v>0</v>
      </c>
      <c r="N44" s="5">
        <f>IF(  N75&gt;$E$2, SUMIFS(IF($G$2="CPR",'Grid Data'!$AH$4:$AH$2342,'Grid Data'!$AI$4:$AI$2342),'Grid Data'!$Z$4:$Z$2342,$D44,'Grid Data'!$AA$4:$AA$2342,N$4,'Grid Data'!$Y$4:$Y$2342,$D$2)*100-N12, "--")</f>
        <v>-16.363600000000002</v>
      </c>
      <c r="O44" s="5" t="str">
        <f>IF(  O75&gt;$E$2, SUMIFS(IF($G$2="CPR",'Grid Data'!$AH$4:$AH$2342,'Grid Data'!$AI$4:$AI$2342),'Grid Data'!$Z$4:$Z$2342,$D44,'Grid Data'!$AA$4:$AA$2342,O$4,'Grid Data'!$Y$4:$Y$2342,$D$2)*100-O12, "--")</f>
        <v>--</v>
      </c>
      <c r="P44" s="5" t="str">
        <f>IF(  P75&gt;$E$2, SUMIFS(IF($G$2="CPR",'Grid Data'!$AH$4:$AH$2342,'Grid Data'!$AI$4:$AI$2342),'Grid Data'!$Z$4:$Z$2342,$D44,'Grid Data'!$AA$4:$AA$2342,P$4,'Grid Data'!$Y$4:$Y$2342,$D$2)*100-P12, "--")</f>
        <v>--</v>
      </c>
      <c r="Q44" s="5" t="str">
        <f>IF(  Q75&gt;$E$2, SUMIFS(IF($G$2="CPR",'Grid Data'!$AH$4:$AH$2342,'Grid Data'!$AI$4:$AI$2342),'Grid Data'!$Z$4:$Z$2342,$D44,'Grid Data'!$AA$4:$AA$2342,Q$4,'Grid Data'!$Y$4:$Y$2342,$D$2)*100-Q12, "--")</f>
        <v>--</v>
      </c>
      <c r="R44" s="5" t="str">
        <f>IF(  R75&gt;$E$2, SUMIFS(IF($G$2="CPR",'Grid Data'!$AH$4:$AH$2342,'Grid Data'!$AI$4:$AI$2342),'Grid Data'!$Z$4:$Z$2342,$D44,'Grid Data'!$AA$4:$AA$2342,R$4,'Grid Data'!$Y$4:$Y$2342,$D$2)*100-R12, "--")</f>
        <v>--</v>
      </c>
      <c r="S44" s="5">
        <f>IF(  S75&gt;$E$2, SUMIFS(IF($G$2="CPR",'Grid Data'!$AH$4:$AH$2342,'Grid Data'!$AI$4:$AI$2342),'Grid Data'!$Z$4:$Z$2342,$D44,'Grid Data'!$AA$4:$AA$2342,S$4,'Grid Data'!$Y$4:$Y$2342,$D$2)*100-S12, "--")</f>
        <v>-2.9437000000000002</v>
      </c>
      <c r="T44" s="5">
        <f>IF(  T75&gt;$E$2, SUMIFS(IF($G$2="CPR",'Grid Data'!$AH$4:$AH$2342,'Grid Data'!$AI$4:$AI$2342),'Grid Data'!$Z$4:$Z$2342,$D44,'Grid Data'!$AA$4:$AA$2342,T$4,'Grid Data'!$Y$4:$Y$2342,$D$2)*100-T12, "--")</f>
        <v>-9.8077000000000005</v>
      </c>
      <c r="U44" s="5">
        <f>IF(  U75&gt;$E$2, SUMIFS(IF($G$2="CPR",'Grid Data'!$AH$4:$AH$2342,'Grid Data'!$AI$4:$AI$2342),'Grid Data'!$Z$4:$Z$2342,$D44,'Grid Data'!$AA$4:$AA$2342,U$4,'Grid Data'!$Y$4:$Y$2342,$D$2)*100-U12, "--")</f>
        <v>-10.649000000000001</v>
      </c>
      <c r="V44" s="5">
        <f>IF(  V75&gt;$E$2, SUMIFS(IF($G$2="CPR",'Grid Data'!$AH$4:$AH$2342,'Grid Data'!$AI$4:$AI$2342),'Grid Data'!$Z$4:$Z$2342,$D44,'Grid Data'!$AA$4:$AA$2342,V$4,'Grid Data'!$Y$4:$Y$2342,$D$2)*100-V12, "--")</f>
        <v>-11.015700000000001</v>
      </c>
      <c r="W44" s="5">
        <f>IF(  W75&gt;$E$2, SUMIFS(IF($G$2="CPR",'Grid Data'!$AH$4:$AH$2342,'Grid Data'!$AI$4:$AI$2342),'Grid Data'!$Z$4:$Z$2342,$D44,'Grid Data'!$AA$4:$AA$2342,W$4,'Grid Data'!$Y$4:$Y$2342,$D$2)*100-W12, "--")</f>
        <v>-10.2058</v>
      </c>
      <c r="X44" s="5">
        <f>IF(  X75&gt;$E$2, SUMIFS(IF($G$2="CPR",'Grid Data'!$AH$4:$AH$2342,'Grid Data'!$AI$4:$AI$2342),'Grid Data'!$Z$4:$Z$2342,$D44,'Grid Data'!$AA$4:$AA$2342,X$4,'Grid Data'!$Y$4:$Y$2342,$D$2)*100-X12, "--")</f>
        <v>-7.9985999999999997</v>
      </c>
      <c r="Y44" s="5">
        <f>IF(  Y75&gt;$E$2, SUMIFS(IF($G$2="CPR",'Grid Data'!$AH$4:$AH$2342,'Grid Data'!$AI$4:$AI$2342),'Grid Data'!$Z$4:$Z$2342,$D44,'Grid Data'!$AA$4:$AA$2342,Y$4,'Grid Data'!$Y$4:$Y$2342,$D$2)*100-Y12, "--")</f>
        <v>-10.482200000000001</v>
      </c>
      <c r="Z44" s="5">
        <f>IF(  Z75&gt;$E$2, SUMIFS(IF($G$2="CPR",'Grid Data'!$AH$4:$AH$2342,'Grid Data'!$AI$4:$AI$2342),'Grid Data'!$Z$4:$Z$2342,$D44,'Grid Data'!$AA$4:$AA$2342,Z$4,'Grid Data'!$Y$4:$Y$2342,$D$2)*100-Z12, "--")</f>
        <v>-7.4405999999999999</v>
      </c>
      <c r="AA44" s="5">
        <f>IF(  AA75&gt;$E$2, SUMIFS(IF($G$2="CPR",'Grid Data'!$AH$4:$AH$2342,'Grid Data'!$AI$4:$AI$2342),'Grid Data'!$Z$4:$Z$2342,$D44,'Grid Data'!$AA$4:$AA$2342,AA$4,'Grid Data'!$Y$4:$Y$2342,$D$2)*100-AA12, "--")</f>
        <v>-7.2314000000000007</v>
      </c>
      <c r="AB44" s="5">
        <f>IF(  AB75&gt;$E$2, SUMIFS(IF($G$2="CPR",'Grid Data'!$AH$4:$AH$2342,'Grid Data'!$AI$4:$AI$2342),'Grid Data'!$Z$4:$Z$2342,$D44,'Grid Data'!$AA$4:$AA$2342,AB$4,'Grid Data'!$Y$4:$Y$2342,$D$2)*100-AB12, "--")</f>
        <v>-6.7873000000000001</v>
      </c>
      <c r="AC44" s="5">
        <f>IF(  AC75&gt;$E$2, SUMIFS(IF($G$2="CPR",'Grid Data'!$AH$4:$AH$2342,'Grid Data'!$AI$4:$AI$2342),'Grid Data'!$Z$4:$Z$2342,$D44,'Grid Data'!$AA$4:$AA$2342,AC$4,'Grid Data'!$Y$4:$Y$2342,$D$2)*100-AC12, "--")</f>
        <v>-5.9492000000000003</v>
      </c>
      <c r="AD44" s="5">
        <f>IF(  AD75&gt;$E$2, SUMIFS(IF($G$2="CPR",'Grid Data'!$AH$4:$AH$2342,'Grid Data'!$AI$4:$AI$2342),'Grid Data'!$Z$4:$Z$2342,$D44,'Grid Data'!$AA$4:$AA$2342,AD$4,'Grid Data'!$Y$4:$Y$2342,$D$2)*100-AD12, "--")</f>
        <v>-6.3052999999999999</v>
      </c>
      <c r="AE44" s="5" t="str">
        <f>IF(  AE75&gt;$E$2, SUMIFS(IF($G$2="CPR",'Grid Data'!$AH$4:$AH$2342,'Grid Data'!$AI$4:$AI$2342),'Grid Data'!$Z$4:$Z$2342,$D44,'Grid Data'!$AA$4:$AA$2342,AE$4,'Grid Data'!$Y$4:$Y$2342,$D$2)*100-AE12, "--")</f>
        <v>--</v>
      </c>
      <c r="AF44" s="5" t="str">
        <f>IF(  AF75&gt;$E$2, SUMIFS(IF($G$2="CPR",'Grid Data'!$AH$4:$AH$2342,'Grid Data'!$AI$4:$AI$2342),'Grid Data'!$Z$4:$Z$2342,$D44,'Grid Data'!$AA$4:$AA$2342,AF$4,'Grid Data'!$Y$4:$Y$2342,$D$2)*100-AF12, "--")</f>
        <v>--</v>
      </c>
      <c r="AG44" s="5" t="str">
        <f>IF(  AG75&gt;$E$2, SUMIFS(IF($G$2="CPR",'Grid Data'!$AH$4:$AH$2342,'Grid Data'!$AI$4:$AI$2342),'Grid Data'!$Z$4:$Z$2342,$D44,'Grid Data'!$AA$4:$AA$2342,AG$4,'Grid Data'!$Y$4:$Y$2342,$D$2)*100-AG12, "--")</f>
        <v>--</v>
      </c>
      <c r="AH44" s="5" t="str">
        <f>IF(  AH75&gt;$E$2, SUMIFS(IF($G$2="CPR",'Grid Data'!$AH$4:$AH$2342,'Grid Data'!$AI$4:$AI$2342),'Grid Data'!$Z$4:$Z$2342,$D44,'Grid Data'!$AA$4:$AA$2342,AH$4,'Grid Data'!$Y$4:$Y$2342,$D$2)*100-AH12, "--")</f>
        <v>--</v>
      </c>
    </row>
    <row r="45" spans="1:34" x14ac:dyDescent="0.35">
      <c r="D45">
        <v>4000</v>
      </c>
      <c r="E45" s="5">
        <f>IF(  E76&gt;$E$2, SUMIFS(IF($G$2="CPR",'Grid Data'!$AH$4:$AH$2342,'Grid Data'!$AI$4:$AI$2342),'Grid Data'!$Z$4:$Z$2342,$D45,'Grid Data'!$AA$4:$AA$2342,E$4,'Grid Data'!$Y$4:$Y$2342,$D$2)*100-E13, "--")</f>
        <v>-6.5200000000000008E-2</v>
      </c>
      <c r="F45" s="5">
        <f>IF(  F76&gt;$E$2, SUMIFS(IF($G$2="CPR",'Grid Data'!$AH$4:$AH$2342,'Grid Data'!$AI$4:$AI$2342),'Grid Data'!$Z$4:$Z$2342,$D45,'Grid Data'!$AA$4:$AA$2342,F$4,'Grid Data'!$Y$4:$Y$2342,$D$2)*100-F13, "--")</f>
        <v>-1.1716</v>
      </c>
      <c r="G45" s="5">
        <f>IF(  G76&gt;$E$2, SUMIFS(IF($G$2="CPR",'Grid Data'!$AH$4:$AH$2342,'Grid Data'!$AI$4:$AI$2342),'Grid Data'!$Z$4:$Z$2342,$D45,'Grid Data'!$AA$4:$AA$2342,G$4,'Grid Data'!$Y$4:$Y$2342,$D$2)*100-G13, "--")</f>
        <v>-1.7257000000000002</v>
      </c>
      <c r="H45" s="5">
        <f>IF(  H76&gt;$E$2, SUMIFS(IF($G$2="CPR",'Grid Data'!$AH$4:$AH$2342,'Grid Data'!$AI$4:$AI$2342),'Grid Data'!$Z$4:$Z$2342,$D45,'Grid Data'!$AA$4:$AA$2342,H$4,'Grid Data'!$Y$4:$Y$2342,$D$2)*100-H13, "--")</f>
        <v>0</v>
      </c>
      <c r="I45" s="5">
        <f>IF(  I76&gt;$E$2, SUMIFS(IF($G$2="CPR",'Grid Data'!$AH$4:$AH$2342,'Grid Data'!$AI$4:$AI$2342),'Grid Data'!$Z$4:$Z$2342,$D45,'Grid Data'!$AA$4:$AA$2342,I$4,'Grid Data'!$Y$4:$Y$2342,$D$2)*100-I13, "--")</f>
        <v>-3.0664000000000002</v>
      </c>
      <c r="J45" s="5">
        <f>IF(  J76&gt;$E$2, SUMIFS(IF($G$2="CPR",'Grid Data'!$AH$4:$AH$2342,'Grid Data'!$AI$4:$AI$2342),'Grid Data'!$Z$4:$Z$2342,$D45,'Grid Data'!$AA$4:$AA$2342,J$4,'Grid Data'!$Y$4:$Y$2342,$D$2)*100-J13, "--")</f>
        <v>0</v>
      </c>
      <c r="K45" s="5">
        <f>IF(  K76&gt;$E$2, SUMIFS(IF($G$2="CPR",'Grid Data'!$AH$4:$AH$2342,'Grid Data'!$AI$4:$AI$2342),'Grid Data'!$Z$4:$Z$2342,$D45,'Grid Data'!$AA$4:$AA$2342,K$4,'Grid Data'!$Y$4:$Y$2342,$D$2)*100-K13, "--")</f>
        <v>-1.7652000000000001</v>
      </c>
      <c r="L45" s="5">
        <f>IF(  L76&gt;$E$2, SUMIFS(IF($G$2="CPR",'Grid Data'!$AH$4:$AH$2342,'Grid Data'!$AI$4:$AI$2342),'Grid Data'!$Z$4:$Z$2342,$D45,'Grid Data'!$AA$4:$AA$2342,L$4,'Grid Data'!$Y$4:$Y$2342,$D$2)*100-L13, "--")</f>
        <v>0</v>
      </c>
      <c r="M45" s="5">
        <f>IF(  M76&gt;$E$2, SUMIFS(IF($G$2="CPR",'Grid Data'!$AH$4:$AH$2342,'Grid Data'!$AI$4:$AI$2342),'Grid Data'!$Z$4:$Z$2342,$D45,'Grid Data'!$AA$4:$AA$2342,M$4,'Grid Data'!$Y$4:$Y$2342,$D$2)*100-M13, "--")</f>
        <v>-1.1573</v>
      </c>
      <c r="N45" s="5">
        <f>IF(  N76&gt;$E$2, SUMIFS(IF($G$2="CPR",'Grid Data'!$AH$4:$AH$2342,'Grid Data'!$AI$4:$AI$2342),'Grid Data'!$Z$4:$Z$2342,$D45,'Grid Data'!$AA$4:$AA$2342,N$4,'Grid Data'!$Y$4:$Y$2342,$D$2)*100-N13, "--")</f>
        <v>-5.468</v>
      </c>
      <c r="O45" s="5" t="str">
        <f>IF(  O76&gt;$E$2, SUMIFS(IF($G$2="CPR",'Grid Data'!$AH$4:$AH$2342,'Grid Data'!$AI$4:$AI$2342),'Grid Data'!$Z$4:$Z$2342,$D45,'Grid Data'!$AA$4:$AA$2342,O$4,'Grid Data'!$Y$4:$Y$2342,$D$2)*100-O13, "--")</f>
        <v>--</v>
      </c>
      <c r="P45" s="5" t="str">
        <f>IF(  P76&gt;$E$2, SUMIFS(IF($G$2="CPR",'Grid Data'!$AH$4:$AH$2342,'Grid Data'!$AI$4:$AI$2342),'Grid Data'!$Z$4:$Z$2342,$D45,'Grid Data'!$AA$4:$AA$2342,P$4,'Grid Data'!$Y$4:$Y$2342,$D$2)*100-P13, "--")</f>
        <v>--</v>
      </c>
      <c r="Q45" s="5" t="str">
        <f>IF(  Q76&gt;$E$2, SUMIFS(IF($G$2="CPR",'Grid Data'!$AH$4:$AH$2342,'Grid Data'!$AI$4:$AI$2342),'Grid Data'!$Z$4:$Z$2342,$D45,'Grid Data'!$AA$4:$AA$2342,Q$4,'Grid Data'!$Y$4:$Y$2342,$D$2)*100-Q13, "--")</f>
        <v>--</v>
      </c>
      <c r="R45" s="5" t="str">
        <f>IF(  R76&gt;$E$2, SUMIFS(IF($G$2="CPR",'Grid Data'!$AH$4:$AH$2342,'Grid Data'!$AI$4:$AI$2342),'Grid Data'!$Z$4:$Z$2342,$D45,'Grid Data'!$AA$4:$AA$2342,R$4,'Grid Data'!$Y$4:$Y$2342,$D$2)*100-R13, "--")</f>
        <v>--</v>
      </c>
      <c r="S45" s="5">
        <f>IF(  S76&gt;$E$2, SUMIFS(IF($G$2="CPR",'Grid Data'!$AH$4:$AH$2342,'Grid Data'!$AI$4:$AI$2342),'Grid Data'!$Z$4:$Z$2342,$D45,'Grid Data'!$AA$4:$AA$2342,S$4,'Grid Data'!$Y$4:$Y$2342,$D$2)*100-S13, "--")</f>
        <v>-8.6234000000000002</v>
      </c>
      <c r="T45" s="5">
        <f>IF(  T76&gt;$E$2, SUMIFS(IF($G$2="CPR",'Grid Data'!$AH$4:$AH$2342,'Grid Data'!$AI$4:$AI$2342),'Grid Data'!$Z$4:$Z$2342,$D45,'Grid Data'!$AA$4:$AA$2342,T$4,'Grid Data'!$Y$4:$Y$2342,$D$2)*100-T13, "--")</f>
        <v>-11.103999999999999</v>
      </c>
      <c r="U45" s="5">
        <f>IF(  U76&gt;$E$2, SUMIFS(IF($G$2="CPR",'Grid Data'!$AH$4:$AH$2342,'Grid Data'!$AI$4:$AI$2342),'Grid Data'!$Z$4:$Z$2342,$D45,'Grid Data'!$AA$4:$AA$2342,U$4,'Grid Data'!$Y$4:$Y$2342,$D$2)*100-U13, "--")</f>
        <v>-11.597100000000001</v>
      </c>
      <c r="V45" s="5">
        <f>IF(  V76&gt;$E$2, SUMIFS(IF($G$2="CPR",'Grid Data'!$AH$4:$AH$2342,'Grid Data'!$AI$4:$AI$2342),'Grid Data'!$Z$4:$Z$2342,$D45,'Grid Data'!$AA$4:$AA$2342,V$4,'Grid Data'!$Y$4:$Y$2342,$D$2)*100-V13, "--")</f>
        <v>-10.3057</v>
      </c>
      <c r="W45" s="5">
        <f>IF(  W76&gt;$E$2, SUMIFS(IF($G$2="CPR",'Grid Data'!$AH$4:$AH$2342,'Grid Data'!$AI$4:$AI$2342),'Grid Data'!$Z$4:$Z$2342,$D45,'Grid Data'!$AA$4:$AA$2342,W$4,'Grid Data'!$Y$4:$Y$2342,$D$2)*100-W13, "--")</f>
        <v>-6.8890999999999991</v>
      </c>
      <c r="X45" s="5">
        <f>IF(  X76&gt;$E$2, SUMIFS(IF($G$2="CPR",'Grid Data'!$AH$4:$AH$2342,'Grid Data'!$AI$4:$AI$2342),'Grid Data'!$Z$4:$Z$2342,$D45,'Grid Data'!$AA$4:$AA$2342,X$4,'Grid Data'!$Y$4:$Y$2342,$D$2)*100-X13, "--")</f>
        <v>-7.5535000000000005</v>
      </c>
      <c r="Y45" s="5">
        <f>IF(  Y76&gt;$E$2, SUMIFS(IF($G$2="CPR",'Grid Data'!$AH$4:$AH$2342,'Grid Data'!$AI$4:$AI$2342),'Grid Data'!$Z$4:$Z$2342,$D45,'Grid Data'!$AA$4:$AA$2342,Y$4,'Grid Data'!$Y$4:$Y$2342,$D$2)*100-Y13, "--")</f>
        <v>-10.050800000000001</v>
      </c>
      <c r="Z45" s="5">
        <f>IF(  Z76&gt;$E$2, SUMIFS(IF($G$2="CPR",'Grid Data'!$AH$4:$AH$2342,'Grid Data'!$AI$4:$AI$2342),'Grid Data'!$Z$4:$Z$2342,$D45,'Grid Data'!$AA$4:$AA$2342,Z$4,'Grid Data'!$Y$4:$Y$2342,$D$2)*100-Z13, "--")</f>
        <v>-6.3784999999999998</v>
      </c>
      <c r="AA45" s="5">
        <f>IF(  AA76&gt;$E$2, SUMIFS(IF($G$2="CPR",'Grid Data'!$AH$4:$AH$2342,'Grid Data'!$AI$4:$AI$2342),'Grid Data'!$Z$4:$Z$2342,$D45,'Grid Data'!$AA$4:$AA$2342,AA$4,'Grid Data'!$Y$4:$Y$2342,$D$2)*100-AA13, "--")</f>
        <v>-7.1110000000000007</v>
      </c>
      <c r="AB45" s="5">
        <f>IF(  AB76&gt;$E$2, SUMIFS(IF($G$2="CPR",'Grid Data'!$AH$4:$AH$2342,'Grid Data'!$AI$4:$AI$2342),'Grid Data'!$Z$4:$Z$2342,$D45,'Grid Data'!$AA$4:$AA$2342,AB$4,'Grid Data'!$Y$4:$Y$2342,$D$2)*100-AB13, "--")</f>
        <v>-7.9727000000000006</v>
      </c>
      <c r="AC45" s="5">
        <f>IF(  AC76&gt;$E$2, SUMIFS(IF($G$2="CPR",'Grid Data'!$AH$4:$AH$2342,'Grid Data'!$AI$4:$AI$2342),'Grid Data'!$Z$4:$Z$2342,$D45,'Grid Data'!$AA$4:$AA$2342,AC$4,'Grid Data'!$Y$4:$Y$2342,$D$2)*100-AC13, "--")</f>
        <v>-6.2210999999999999</v>
      </c>
      <c r="AD45" s="5">
        <f>IF(  AD76&gt;$E$2, SUMIFS(IF($G$2="CPR",'Grid Data'!$AH$4:$AH$2342,'Grid Data'!$AI$4:$AI$2342),'Grid Data'!$Z$4:$Z$2342,$D45,'Grid Data'!$AA$4:$AA$2342,AD$4,'Grid Data'!$Y$4:$Y$2342,$D$2)*100-AD13, "--")</f>
        <v>-7.0320999999999998</v>
      </c>
      <c r="AE45" s="5" t="str">
        <f>IF(  AE76&gt;$E$2, SUMIFS(IF($G$2="CPR",'Grid Data'!$AH$4:$AH$2342,'Grid Data'!$AI$4:$AI$2342),'Grid Data'!$Z$4:$Z$2342,$D45,'Grid Data'!$AA$4:$AA$2342,AE$4,'Grid Data'!$Y$4:$Y$2342,$D$2)*100-AE13, "--")</f>
        <v>--</v>
      </c>
      <c r="AF45" s="5" t="str">
        <f>IF(  AF76&gt;$E$2, SUMIFS(IF($G$2="CPR",'Grid Data'!$AH$4:$AH$2342,'Grid Data'!$AI$4:$AI$2342),'Grid Data'!$Z$4:$Z$2342,$D45,'Grid Data'!$AA$4:$AA$2342,AF$4,'Grid Data'!$Y$4:$Y$2342,$D$2)*100-AF13, "--")</f>
        <v>--</v>
      </c>
      <c r="AG45" s="5" t="str">
        <f>IF(  AG76&gt;$E$2, SUMIFS(IF($G$2="CPR",'Grid Data'!$AH$4:$AH$2342,'Grid Data'!$AI$4:$AI$2342),'Grid Data'!$Z$4:$Z$2342,$D45,'Grid Data'!$AA$4:$AA$2342,AG$4,'Grid Data'!$Y$4:$Y$2342,$D$2)*100-AG13, "--")</f>
        <v>--</v>
      </c>
      <c r="AH45" s="5" t="str">
        <f>IF(  AH76&gt;$E$2, SUMIFS(IF($G$2="CPR",'Grid Data'!$AH$4:$AH$2342,'Grid Data'!$AI$4:$AI$2342),'Grid Data'!$Z$4:$Z$2342,$D45,'Grid Data'!$AA$4:$AA$2342,AH$4,'Grid Data'!$Y$4:$Y$2342,$D$2)*100-AH13, "--")</f>
        <v>--</v>
      </c>
    </row>
    <row r="46" spans="1:34" x14ac:dyDescent="0.35">
      <c r="D46">
        <v>4250</v>
      </c>
      <c r="E46" s="5">
        <f>IF(  E77&gt;$E$2, SUMIFS(IF($G$2="CPR",'Grid Data'!$AH$4:$AH$2342,'Grid Data'!$AI$4:$AI$2342),'Grid Data'!$Z$4:$Z$2342,$D46,'Grid Data'!$AA$4:$AA$2342,E$4,'Grid Data'!$Y$4:$Y$2342,$D$2)*100-E14, "--")</f>
        <v>0</v>
      </c>
      <c r="F46" s="5">
        <f>IF(  F77&gt;$E$2, SUMIFS(IF($G$2="CPR",'Grid Data'!$AH$4:$AH$2342,'Grid Data'!$AI$4:$AI$2342),'Grid Data'!$Z$4:$Z$2342,$D46,'Grid Data'!$AA$4:$AA$2342,F$4,'Grid Data'!$Y$4:$Y$2342,$D$2)*100-F14, "--")</f>
        <v>0</v>
      </c>
      <c r="G46" s="5">
        <f>IF(  G77&gt;$E$2, SUMIFS(IF($G$2="CPR",'Grid Data'!$AH$4:$AH$2342,'Grid Data'!$AI$4:$AI$2342),'Grid Data'!$Z$4:$Z$2342,$D46,'Grid Data'!$AA$4:$AA$2342,G$4,'Grid Data'!$Y$4:$Y$2342,$D$2)*100-G14, "--")</f>
        <v>-12.2431</v>
      </c>
      <c r="H46" s="5">
        <f>IF(  H77&gt;$E$2, SUMIFS(IF($G$2="CPR",'Grid Data'!$AH$4:$AH$2342,'Grid Data'!$AI$4:$AI$2342),'Grid Data'!$Z$4:$Z$2342,$D46,'Grid Data'!$AA$4:$AA$2342,H$4,'Grid Data'!$Y$4:$Y$2342,$D$2)*100-H14, "--")</f>
        <v>-8.1968999999999994</v>
      </c>
      <c r="I46" s="5">
        <f>IF(  I77&gt;$E$2, SUMIFS(IF($G$2="CPR",'Grid Data'!$AH$4:$AH$2342,'Grid Data'!$AI$4:$AI$2342),'Grid Data'!$Z$4:$Z$2342,$D46,'Grid Data'!$AA$4:$AA$2342,I$4,'Grid Data'!$Y$4:$Y$2342,$D$2)*100-I14, "--")</f>
        <v>0</v>
      </c>
      <c r="J46" s="5">
        <f>IF(  J77&gt;$E$2, SUMIFS(IF($G$2="CPR",'Grid Data'!$AH$4:$AH$2342,'Grid Data'!$AI$4:$AI$2342),'Grid Data'!$Z$4:$Z$2342,$D46,'Grid Data'!$AA$4:$AA$2342,J$4,'Grid Data'!$Y$4:$Y$2342,$D$2)*100-J14, "--")</f>
        <v>-2.3256999999999999</v>
      </c>
      <c r="K46" s="5">
        <f>IF(  K77&gt;$E$2, SUMIFS(IF($G$2="CPR",'Grid Data'!$AH$4:$AH$2342,'Grid Data'!$AI$4:$AI$2342),'Grid Data'!$Z$4:$Z$2342,$D46,'Grid Data'!$AA$4:$AA$2342,K$4,'Grid Data'!$Y$4:$Y$2342,$D$2)*100-K14, "--")</f>
        <v>0</v>
      </c>
      <c r="L46" s="5">
        <f>IF(  L77&gt;$E$2, SUMIFS(IF($G$2="CPR",'Grid Data'!$AH$4:$AH$2342,'Grid Data'!$AI$4:$AI$2342),'Grid Data'!$Z$4:$Z$2342,$D46,'Grid Data'!$AA$4:$AA$2342,L$4,'Grid Data'!$Y$4:$Y$2342,$D$2)*100-L14, "--")</f>
        <v>-7.7934000000000001</v>
      </c>
      <c r="M46" s="5">
        <f>IF(  M77&gt;$E$2, SUMIFS(IF($G$2="CPR",'Grid Data'!$AH$4:$AH$2342,'Grid Data'!$AI$4:$AI$2342),'Grid Data'!$Z$4:$Z$2342,$D46,'Grid Data'!$AA$4:$AA$2342,M$4,'Grid Data'!$Y$4:$Y$2342,$D$2)*100-M14, "--")</f>
        <v>-0.878</v>
      </c>
      <c r="N46" s="5">
        <f>IF(  N77&gt;$E$2, SUMIFS(IF($G$2="CPR",'Grid Data'!$AH$4:$AH$2342,'Grid Data'!$AI$4:$AI$2342),'Grid Data'!$Z$4:$Z$2342,$D46,'Grid Data'!$AA$4:$AA$2342,N$4,'Grid Data'!$Y$4:$Y$2342,$D$2)*100-N14, "--")</f>
        <v>0</v>
      </c>
      <c r="O46" s="5">
        <f>IF(  O77&gt;$E$2, SUMIFS(IF($G$2="CPR",'Grid Data'!$AH$4:$AH$2342,'Grid Data'!$AI$4:$AI$2342),'Grid Data'!$Z$4:$Z$2342,$D46,'Grid Data'!$AA$4:$AA$2342,O$4,'Grid Data'!$Y$4:$Y$2342,$D$2)*100-O14, "--")</f>
        <v>0</v>
      </c>
      <c r="P46" s="5">
        <f>IF(  P77&gt;$E$2, SUMIFS(IF($G$2="CPR",'Grid Data'!$AH$4:$AH$2342,'Grid Data'!$AI$4:$AI$2342),'Grid Data'!$Z$4:$Z$2342,$D46,'Grid Data'!$AA$4:$AA$2342,P$4,'Grid Data'!$Y$4:$Y$2342,$D$2)*100-P14, "--")</f>
        <v>0</v>
      </c>
      <c r="Q46" s="5">
        <f>IF(  Q77&gt;$E$2, SUMIFS(IF($G$2="CPR",'Grid Data'!$AH$4:$AH$2342,'Grid Data'!$AI$4:$AI$2342),'Grid Data'!$Z$4:$Z$2342,$D46,'Grid Data'!$AA$4:$AA$2342,Q$4,'Grid Data'!$Y$4:$Y$2342,$D$2)*100-Q14, "--")</f>
        <v>-9.1524999999999999</v>
      </c>
      <c r="R46" s="5">
        <f>IF(  R77&gt;$E$2, SUMIFS(IF($G$2="CPR",'Grid Data'!$AH$4:$AH$2342,'Grid Data'!$AI$4:$AI$2342),'Grid Data'!$Z$4:$Z$2342,$D46,'Grid Data'!$AA$4:$AA$2342,R$4,'Grid Data'!$Y$4:$Y$2342,$D$2)*100-R14, "--")</f>
        <v>-19.434100000000001</v>
      </c>
      <c r="S46" s="5">
        <f>IF(  S77&gt;$E$2, SUMIFS(IF($G$2="CPR",'Grid Data'!$AH$4:$AH$2342,'Grid Data'!$AI$4:$AI$2342),'Grid Data'!$Z$4:$Z$2342,$D46,'Grid Data'!$AA$4:$AA$2342,S$4,'Grid Data'!$Y$4:$Y$2342,$D$2)*100-S14, "--")</f>
        <v>-7.1651999999999996</v>
      </c>
      <c r="T46" s="5">
        <f>IF(  T77&gt;$E$2, SUMIFS(IF($G$2="CPR",'Grid Data'!$AH$4:$AH$2342,'Grid Data'!$AI$4:$AI$2342),'Grid Data'!$Z$4:$Z$2342,$D46,'Grid Data'!$AA$4:$AA$2342,T$4,'Grid Data'!$Y$4:$Y$2342,$D$2)*100-T14, "--")</f>
        <v>-9.7769999999999992</v>
      </c>
      <c r="U46" s="5">
        <f>IF(  U77&gt;$E$2, SUMIFS(IF($G$2="CPR",'Grid Data'!$AH$4:$AH$2342,'Grid Data'!$AI$4:$AI$2342),'Grid Data'!$Z$4:$Z$2342,$D46,'Grid Data'!$AA$4:$AA$2342,U$4,'Grid Data'!$Y$4:$Y$2342,$D$2)*100-U14, "--")</f>
        <v>-9.8123000000000005</v>
      </c>
      <c r="V46" s="5">
        <f>IF(  V77&gt;$E$2, SUMIFS(IF($G$2="CPR",'Grid Data'!$AH$4:$AH$2342,'Grid Data'!$AI$4:$AI$2342),'Grid Data'!$Z$4:$Z$2342,$D46,'Grid Data'!$AA$4:$AA$2342,V$4,'Grid Data'!$Y$4:$Y$2342,$D$2)*100-V14, "--")</f>
        <v>-9.7812999999999999</v>
      </c>
      <c r="W46" s="5">
        <f>IF(  W77&gt;$E$2, SUMIFS(IF($G$2="CPR",'Grid Data'!$AH$4:$AH$2342,'Grid Data'!$AI$4:$AI$2342),'Grid Data'!$Z$4:$Z$2342,$D46,'Grid Data'!$AA$4:$AA$2342,W$4,'Grid Data'!$Y$4:$Y$2342,$D$2)*100-W14, "--")</f>
        <v>-12.9824</v>
      </c>
      <c r="X46" s="5">
        <f>IF(  X77&gt;$E$2, SUMIFS(IF($G$2="CPR",'Grid Data'!$AH$4:$AH$2342,'Grid Data'!$AI$4:$AI$2342),'Grid Data'!$Z$4:$Z$2342,$D46,'Grid Data'!$AA$4:$AA$2342,X$4,'Grid Data'!$Y$4:$Y$2342,$D$2)*100-X14, "--")</f>
        <v>-9.2591000000000001</v>
      </c>
      <c r="Y46" s="5">
        <f>IF(  Y77&gt;$E$2, SUMIFS(IF($G$2="CPR",'Grid Data'!$AH$4:$AH$2342,'Grid Data'!$AI$4:$AI$2342),'Grid Data'!$Z$4:$Z$2342,$D46,'Grid Data'!$AA$4:$AA$2342,Y$4,'Grid Data'!$Y$4:$Y$2342,$D$2)*100-Y14, "--")</f>
        <v>-7.4348999999999998</v>
      </c>
      <c r="Z46" s="5">
        <f>IF(  Z77&gt;$E$2, SUMIFS(IF($G$2="CPR",'Grid Data'!$AH$4:$AH$2342,'Grid Data'!$AI$4:$AI$2342),'Grid Data'!$Z$4:$Z$2342,$D46,'Grid Data'!$AA$4:$AA$2342,Z$4,'Grid Data'!$Y$4:$Y$2342,$D$2)*100-Z14, "--")</f>
        <v>-7.2066000000000008</v>
      </c>
      <c r="AA46" s="5">
        <f>IF(  AA77&gt;$E$2, SUMIFS(IF($G$2="CPR",'Grid Data'!$AH$4:$AH$2342,'Grid Data'!$AI$4:$AI$2342),'Grid Data'!$Z$4:$Z$2342,$D46,'Grid Data'!$AA$4:$AA$2342,AA$4,'Grid Data'!$Y$4:$Y$2342,$D$2)*100-AA14, "--")</f>
        <v>-8.0970999999999993</v>
      </c>
      <c r="AB46" s="5">
        <f>IF(  AB77&gt;$E$2, SUMIFS(IF($G$2="CPR",'Grid Data'!$AH$4:$AH$2342,'Grid Data'!$AI$4:$AI$2342),'Grid Data'!$Z$4:$Z$2342,$D46,'Grid Data'!$AA$4:$AA$2342,AB$4,'Grid Data'!$Y$4:$Y$2342,$D$2)*100-AB14, "--")</f>
        <v>-7.3965000000000005</v>
      </c>
      <c r="AC46" s="5">
        <f>IF(  AC77&gt;$E$2, SUMIFS(IF($G$2="CPR",'Grid Data'!$AH$4:$AH$2342,'Grid Data'!$AI$4:$AI$2342),'Grid Data'!$Z$4:$Z$2342,$D46,'Grid Data'!$AA$4:$AA$2342,AC$4,'Grid Data'!$Y$4:$Y$2342,$D$2)*100-AC14, "--")</f>
        <v>-8.3890000000000011</v>
      </c>
      <c r="AD46" s="5">
        <f>IF(  AD77&gt;$E$2, SUMIFS(IF($G$2="CPR",'Grid Data'!$AH$4:$AH$2342,'Grid Data'!$AI$4:$AI$2342),'Grid Data'!$Z$4:$Z$2342,$D46,'Grid Data'!$AA$4:$AA$2342,AD$4,'Grid Data'!$Y$4:$Y$2342,$D$2)*100-AD14, "--")</f>
        <v>-7.0166999999999993</v>
      </c>
      <c r="AE46" s="5" t="str">
        <f>IF(  AE77&gt;$E$2, SUMIFS(IF($G$2="CPR",'Grid Data'!$AH$4:$AH$2342,'Grid Data'!$AI$4:$AI$2342),'Grid Data'!$Z$4:$Z$2342,$D46,'Grid Data'!$AA$4:$AA$2342,AE$4,'Grid Data'!$Y$4:$Y$2342,$D$2)*100-AE14, "--")</f>
        <v>--</v>
      </c>
      <c r="AF46" s="5" t="str">
        <f>IF(  AF77&gt;$E$2, SUMIFS(IF($G$2="CPR",'Grid Data'!$AH$4:$AH$2342,'Grid Data'!$AI$4:$AI$2342),'Grid Data'!$Z$4:$Z$2342,$D46,'Grid Data'!$AA$4:$AA$2342,AF$4,'Grid Data'!$Y$4:$Y$2342,$D$2)*100-AF14, "--")</f>
        <v>--</v>
      </c>
      <c r="AG46" s="5" t="str">
        <f>IF(  AG77&gt;$E$2, SUMIFS(IF($G$2="CPR",'Grid Data'!$AH$4:$AH$2342,'Grid Data'!$AI$4:$AI$2342),'Grid Data'!$Z$4:$Z$2342,$D46,'Grid Data'!$AA$4:$AA$2342,AG$4,'Grid Data'!$Y$4:$Y$2342,$D$2)*100-AG14, "--")</f>
        <v>--</v>
      </c>
      <c r="AH46" s="5" t="str">
        <f>IF(  AH77&gt;$E$2, SUMIFS(IF($G$2="CPR",'Grid Data'!$AH$4:$AH$2342,'Grid Data'!$AI$4:$AI$2342),'Grid Data'!$Z$4:$Z$2342,$D46,'Grid Data'!$AA$4:$AA$2342,AH$4,'Grid Data'!$Y$4:$Y$2342,$D$2)*100-AH14, "--")</f>
        <v>--</v>
      </c>
    </row>
    <row r="47" spans="1:34" x14ac:dyDescent="0.35">
      <c r="D47">
        <v>4500</v>
      </c>
      <c r="E47" s="5">
        <f>IF(  E78&gt;$E$2, SUMIFS(IF($G$2="CPR",'Grid Data'!$AH$4:$AH$2342,'Grid Data'!$AI$4:$AI$2342),'Grid Data'!$Z$4:$Z$2342,$D47,'Grid Data'!$AA$4:$AA$2342,E$4,'Grid Data'!$Y$4:$Y$2342,$D$2)*100-E15, "--")</f>
        <v>-2.5112999999999999</v>
      </c>
      <c r="F47" s="5">
        <f>IF(  F78&gt;$E$2, SUMIFS(IF($G$2="CPR",'Grid Data'!$AH$4:$AH$2342,'Grid Data'!$AI$4:$AI$2342),'Grid Data'!$Z$4:$Z$2342,$D47,'Grid Data'!$AA$4:$AA$2342,F$4,'Grid Data'!$Y$4:$Y$2342,$D$2)*100-F15, "--")</f>
        <v>-3.4895</v>
      </c>
      <c r="G47" s="5">
        <f>IF(  G78&gt;$E$2, SUMIFS(IF($G$2="CPR",'Grid Data'!$AH$4:$AH$2342,'Grid Data'!$AI$4:$AI$2342),'Grid Data'!$Z$4:$Z$2342,$D47,'Grid Data'!$AA$4:$AA$2342,G$4,'Grid Data'!$Y$4:$Y$2342,$D$2)*100-G15, "--")</f>
        <v>0</v>
      </c>
      <c r="H47" s="5">
        <f>IF(  H78&gt;$E$2, SUMIFS(IF($G$2="CPR",'Grid Data'!$AH$4:$AH$2342,'Grid Data'!$AI$4:$AI$2342),'Grid Data'!$Z$4:$Z$2342,$D47,'Grid Data'!$AA$4:$AA$2342,H$4,'Grid Data'!$Y$4:$Y$2342,$D$2)*100-H15, "--")</f>
        <v>0</v>
      </c>
      <c r="I47" s="5">
        <f>IF(  I78&gt;$E$2, SUMIFS(IF($G$2="CPR",'Grid Data'!$AH$4:$AH$2342,'Grid Data'!$AI$4:$AI$2342),'Grid Data'!$Z$4:$Z$2342,$D47,'Grid Data'!$AA$4:$AA$2342,I$4,'Grid Data'!$Y$4:$Y$2342,$D$2)*100-I15, "--")</f>
        <v>0</v>
      </c>
      <c r="J47" s="5">
        <f>IF(  J78&gt;$E$2, SUMIFS(IF($G$2="CPR",'Grid Data'!$AH$4:$AH$2342,'Grid Data'!$AI$4:$AI$2342),'Grid Data'!$Z$4:$Z$2342,$D47,'Grid Data'!$AA$4:$AA$2342,J$4,'Grid Data'!$Y$4:$Y$2342,$D$2)*100-J15, "--")</f>
        <v>-3.2836999999999996</v>
      </c>
      <c r="K47" s="5">
        <f>IF(  K78&gt;$E$2, SUMIFS(IF($G$2="CPR",'Grid Data'!$AH$4:$AH$2342,'Grid Data'!$AI$4:$AI$2342),'Grid Data'!$Z$4:$Z$2342,$D47,'Grid Data'!$AA$4:$AA$2342,K$4,'Grid Data'!$Y$4:$Y$2342,$D$2)*100-K15, "--")</f>
        <v>-2.5754000000000001</v>
      </c>
      <c r="L47" s="5">
        <f>IF(  L78&gt;$E$2, SUMIFS(IF($G$2="CPR",'Grid Data'!$AH$4:$AH$2342,'Grid Data'!$AI$4:$AI$2342),'Grid Data'!$Z$4:$Z$2342,$D47,'Grid Data'!$AA$4:$AA$2342,L$4,'Grid Data'!$Y$4:$Y$2342,$D$2)*100-L15, "--")</f>
        <v>-3.2502999999999997</v>
      </c>
      <c r="M47" s="5">
        <f>IF(  M78&gt;$E$2, SUMIFS(IF($G$2="CPR",'Grid Data'!$AH$4:$AH$2342,'Grid Data'!$AI$4:$AI$2342),'Grid Data'!$Z$4:$Z$2342,$D47,'Grid Data'!$AA$4:$AA$2342,M$4,'Grid Data'!$Y$4:$Y$2342,$D$2)*100-M15, "--")</f>
        <v>-4.5996000000000006</v>
      </c>
      <c r="N47" s="5">
        <f>IF(  N78&gt;$E$2, SUMIFS(IF($G$2="CPR",'Grid Data'!$AH$4:$AH$2342,'Grid Data'!$AI$4:$AI$2342),'Grid Data'!$Z$4:$Z$2342,$D47,'Grid Data'!$AA$4:$AA$2342,N$4,'Grid Data'!$Y$4:$Y$2342,$D$2)*100-N15, "--")</f>
        <v>-1.5935999999999999</v>
      </c>
      <c r="O47" s="5">
        <f>IF(  O78&gt;$E$2, SUMIFS(IF($G$2="CPR",'Grid Data'!$AH$4:$AH$2342,'Grid Data'!$AI$4:$AI$2342),'Grid Data'!$Z$4:$Z$2342,$D47,'Grid Data'!$AA$4:$AA$2342,O$4,'Grid Data'!$Y$4:$Y$2342,$D$2)*100-O15, "--")</f>
        <v>-1.9952000000000001</v>
      </c>
      <c r="P47" s="5">
        <f>IF(  P78&gt;$E$2, SUMIFS(IF($G$2="CPR",'Grid Data'!$AH$4:$AH$2342,'Grid Data'!$AI$4:$AI$2342),'Grid Data'!$Z$4:$Z$2342,$D47,'Grid Data'!$AA$4:$AA$2342,P$4,'Grid Data'!$Y$4:$Y$2342,$D$2)*100-P15, "--")</f>
        <v>-8.879900000000001</v>
      </c>
      <c r="Q47" s="5">
        <f>IF(  Q78&gt;$E$2, SUMIFS(IF($G$2="CPR",'Grid Data'!$AH$4:$AH$2342,'Grid Data'!$AI$4:$AI$2342),'Grid Data'!$Z$4:$Z$2342,$D47,'Grid Data'!$AA$4:$AA$2342,Q$4,'Grid Data'!$Y$4:$Y$2342,$D$2)*100-Q15, "--")</f>
        <v>-4.2680000000000007</v>
      </c>
      <c r="R47" s="5">
        <f>IF(  R78&gt;$E$2, SUMIFS(IF($G$2="CPR",'Grid Data'!$AH$4:$AH$2342,'Grid Data'!$AI$4:$AI$2342),'Grid Data'!$Z$4:$Z$2342,$D47,'Grid Data'!$AA$4:$AA$2342,R$4,'Grid Data'!$Y$4:$Y$2342,$D$2)*100-R15, "--")</f>
        <v>-3.0274999999999999</v>
      </c>
      <c r="S47" s="5">
        <f>IF(  S78&gt;$E$2, SUMIFS(IF($G$2="CPR",'Grid Data'!$AH$4:$AH$2342,'Grid Data'!$AI$4:$AI$2342),'Grid Data'!$Z$4:$Z$2342,$D47,'Grid Data'!$AA$4:$AA$2342,S$4,'Grid Data'!$Y$4:$Y$2342,$D$2)*100-S15, "--")</f>
        <v>-12.575600000000001</v>
      </c>
      <c r="T47" s="5">
        <f>IF(  T78&gt;$E$2, SUMIFS(IF($G$2="CPR",'Grid Data'!$AH$4:$AH$2342,'Grid Data'!$AI$4:$AI$2342),'Grid Data'!$Z$4:$Z$2342,$D47,'Grid Data'!$AA$4:$AA$2342,T$4,'Grid Data'!$Y$4:$Y$2342,$D$2)*100-T15, "--")</f>
        <v>-12.625300000000001</v>
      </c>
      <c r="U47" s="5">
        <f>IF(  U78&gt;$E$2, SUMIFS(IF($G$2="CPR",'Grid Data'!$AH$4:$AH$2342,'Grid Data'!$AI$4:$AI$2342),'Grid Data'!$Z$4:$Z$2342,$D47,'Grid Data'!$AA$4:$AA$2342,U$4,'Grid Data'!$Y$4:$Y$2342,$D$2)*100-U15, "--")</f>
        <v>-10.4328</v>
      </c>
      <c r="V47" s="5">
        <f>IF(  V78&gt;$E$2, SUMIFS(IF($G$2="CPR",'Grid Data'!$AH$4:$AH$2342,'Grid Data'!$AI$4:$AI$2342),'Grid Data'!$Z$4:$Z$2342,$D47,'Grid Data'!$AA$4:$AA$2342,V$4,'Grid Data'!$Y$4:$Y$2342,$D$2)*100-V15, "--")</f>
        <v>-4.2988</v>
      </c>
      <c r="W47" s="5">
        <f>IF(  W78&gt;$E$2, SUMIFS(IF($G$2="CPR",'Grid Data'!$AH$4:$AH$2342,'Grid Data'!$AI$4:$AI$2342),'Grid Data'!$Z$4:$Z$2342,$D47,'Grid Data'!$AA$4:$AA$2342,W$4,'Grid Data'!$Y$4:$Y$2342,$D$2)*100-W15, "--")</f>
        <v>-2.6970000000000001</v>
      </c>
      <c r="X47" s="5">
        <f>IF(  X78&gt;$E$2, SUMIFS(IF($G$2="CPR",'Grid Data'!$AH$4:$AH$2342,'Grid Data'!$AI$4:$AI$2342),'Grid Data'!$Z$4:$Z$2342,$D47,'Grid Data'!$AA$4:$AA$2342,X$4,'Grid Data'!$Y$4:$Y$2342,$D$2)*100-X15, "--")</f>
        <v>-11.4971</v>
      </c>
      <c r="Y47" s="5">
        <f>IF(  Y78&gt;$E$2, SUMIFS(IF($G$2="CPR",'Grid Data'!$AH$4:$AH$2342,'Grid Data'!$AI$4:$AI$2342),'Grid Data'!$Z$4:$Z$2342,$D47,'Grid Data'!$AA$4:$AA$2342,Y$4,'Grid Data'!$Y$4:$Y$2342,$D$2)*100-Y15, "--")</f>
        <v>-7.4140999999999995</v>
      </c>
      <c r="Z47" s="5">
        <f>IF(  Z78&gt;$E$2, SUMIFS(IF($G$2="CPR",'Grid Data'!$AH$4:$AH$2342,'Grid Data'!$AI$4:$AI$2342),'Grid Data'!$Z$4:$Z$2342,$D47,'Grid Data'!$AA$4:$AA$2342,Z$4,'Grid Data'!$Y$4:$Y$2342,$D$2)*100-Z15, "--")</f>
        <v>-10.064500000000001</v>
      </c>
      <c r="AA47" s="5">
        <f>IF(  AA78&gt;$E$2, SUMIFS(IF($G$2="CPR",'Grid Data'!$AH$4:$AH$2342,'Grid Data'!$AI$4:$AI$2342),'Grid Data'!$Z$4:$Z$2342,$D47,'Grid Data'!$AA$4:$AA$2342,AA$4,'Grid Data'!$Y$4:$Y$2342,$D$2)*100-AA15, "--")</f>
        <v>-10.7059</v>
      </c>
      <c r="AB47" s="5">
        <f>IF(  AB78&gt;$E$2, SUMIFS(IF($G$2="CPR",'Grid Data'!$AH$4:$AH$2342,'Grid Data'!$AI$4:$AI$2342),'Grid Data'!$Z$4:$Z$2342,$D47,'Grid Data'!$AA$4:$AA$2342,AB$4,'Grid Data'!$Y$4:$Y$2342,$D$2)*100-AB15, "--")</f>
        <v>-10.158300000000001</v>
      </c>
      <c r="AC47" s="5">
        <f>IF(  AC78&gt;$E$2, SUMIFS(IF($G$2="CPR",'Grid Data'!$AH$4:$AH$2342,'Grid Data'!$AI$4:$AI$2342),'Grid Data'!$Z$4:$Z$2342,$D47,'Grid Data'!$AA$4:$AA$2342,AC$4,'Grid Data'!$Y$4:$Y$2342,$D$2)*100-AC15, "--")</f>
        <v>-7.0747</v>
      </c>
      <c r="AD47" s="5">
        <f>IF(  AD78&gt;$E$2, SUMIFS(IF($G$2="CPR",'Grid Data'!$AH$4:$AH$2342,'Grid Data'!$AI$4:$AI$2342),'Grid Data'!$Z$4:$Z$2342,$D47,'Grid Data'!$AA$4:$AA$2342,AD$4,'Grid Data'!$Y$4:$Y$2342,$D$2)*100-AD15, "--")</f>
        <v>-7.9604999999999997</v>
      </c>
      <c r="AE47" s="5">
        <f>IF(  AE78&gt;$E$2, SUMIFS(IF($G$2="CPR",'Grid Data'!$AH$4:$AH$2342,'Grid Data'!$AI$4:$AI$2342),'Grid Data'!$Z$4:$Z$2342,$D47,'Grid Data'!$AA$4:$AA$2342,AE$4,'Grid Data'!$Y$4:$Y$2342,$D$2)*100-AE15, "--")</f>
        <v>-2.4758</v>
      </c>
      <c r="AF47" s="5" t="str">
        <f>IF(  AF78&gt;$E$2, SUMIFS(IF($G$2="CPR",'Grid Data'!$AH$4:$AH$2342,'Grid Data'!$AI$4:$AI$2342),'Grid Data'!$Z$4:$Z$2342,$D47,'Grid Data'!$AA$4:$AA$2342,AF$4,'Grid Data'!$Y$4:$Y$2342,$D$2)*100-AF15, "--")</f>
        <v>--</v>
      </c>
      <c r="AG47" s="5" t="str">
        <f>IF(  AG78&gt;$E$2, SUMIFS(IF($G$2="CPR",'Grid Data'!$AH$4:$AH$2342,'Grid Data'!$AI$4:$AI$2342),'Grid Data'!$Z$4:$Z$2342,$D47,'Grid Data'!$AA$4:$AA$2342,AG$4,'Grid Data'!$Y$4:$Y$2342,$D$2)*100-AG15, "--")</f>
        <v>--</v>
      </c>
      <c r="AH47" s="5" t="str">
        <f>IF(  AH78&gt;$E$2, SUMIFS(IF($G$2="CPR",'Grid Data'!$AH$4:$AH$2342,'Grid Data'!$AI$4:$AI$2342),'Grid Data'!$Z$4:$Z$2342,$D47,'Grid Data'!$AA$4:$AA$2342,AH$4,'Grid Data'!$Y$4:$Y$2342,$D$2)*100-AH15, "--")</f>
        <v>--</v>
      </c>
    </row>
    <row r="48" spans="1:34" x14ac:dyDescent="0.35">
      <c r="D48">
        <v>4750</v>
      </c>
      <c r="E48" s="5">
        <f>IF(  E79&gt;$E$2, SUMIFS(IF($G$2="CPR",'Grid Data'!$AH$4:$AH$2342,'Grid Data'!$AI$4:$AI$2342),'Grid Data'!$Z$4:$Z$2342,$D48,'Grid Data'!$AA$4:$AA$2342,E$4,'Grid Data'!$Y$4:$Y$2342,$D$2)*100-E16, "--")</f>
        <v>-1.0224</v>
      </c>
      <c r="F48" s="5">
        <f>IF(  F79&gt;$E$2, SUMIFS(IF($G$2="CPR",'Grid Data'!$AH$4:$AH$2342,'Grid Data'!$AI$4:$AI$2342),'Grid Data'!$Z$4:$Z$2342,$D48,'Grid Data'!$AA$4:$AA$2342,F$4,'Grid Data'!$Y$4:$Y$2342,$D$2)*100-F16, "--")</f>
        <v>0</v>
      </c>
      <c r="G48" s="5">
        <f>IF(  G79&gt;$E$2, SUMIFS(IF($G$2="CPR",'Grid Data'!$AH$4:$AH$2342,'Grid Data'!$AI$4:$AI$2342),'Grid Data'!$Z$4:$Z$2342,$D48,'Grid Data'!$AA$4:$AA$2342,G$4,'Grid Data'!$Y$4:$Y$2342,$D$2)*100-G16, "--")</f>
        <v>-3.1959</v>
      </c>
      <c r="H48" s="5">
        <f>IF(  H79&gt;$E$2, SUMIFS(IF($G$2="CPR",'Grid Data'!$AH$4:$AH$2342,'Grid Data'!$AI$4:$AI$2342),'Grid Data'!$Z$4:$Z$2342,$D48,'Grid Data'!$AA$4:$AA$2342,H$4,'Grid Data'!$Y$4:$Y$2342,$D$2)*100-H16, "--")</f>
        <v>0</v>
      </c>
      <c r="I48" s="5">
        <f>IF(  I79&gt;$E$2, SUMIFS(IF($G$2="CPR",'Grid Data'!$AH$4:$AH$2342,'Grid Data'!$AI$4:$AI$2342),'Grid Data'!$Z$4:$Z$2342,$D48,'Grid Data'!$AA$4:$AA$2342,I$4,'Grid Data'!$Y$4:$Y$2342,$D$2)*100-I16, "--")</f>
        <v>-3.7618999999999998</v>
      </c>
      <c r="J48" s="5">
        <f>IF(  J79&gt;$E$2, SUMIFS(IF($G$2="CPR",'Grid Data'!$AH$4:$AH$2342,'Grid Data'!$AI$4:$AI$2342),'Grid Data'!$Z$4:$Z$2342,$D48,'Grid Data'!$AA$4:$AA$2342,J$4,'Grid Data'!$Y$4:$Y$2342,$D$2)*100-J16, "--")</f>
        <v>-1.5999999999999999E-3</v>
      </c>
      <c r="K48" s="5">
        <f>IF(  K79&gt;$E$2, SUMIFS(IF($G$2="CPR",'Grid Data'!$AH$4:$AH$2342,'Grid Data'!$AI$4:$AI$2342),'Grid Data'!$Z$4:$Z$2342,$D48,'Grid Data'!$AA$4:$AA$2342,K$4,'Grid Data'!$Y$4:$Y$2342,$D$2)*100-K16, "--")</f>
        <v>0</v>
      </c>
      <c r="L48" s="5">
        <f>IF(  L79&gt;$E$2, SUMIFS(IF($G$2="CPR",'Grid Data'!$AH$4:$AH$2342,'Grid Data'!$AI$4:$AI$2342),'Grid Data'!$Z$4:$Z$2342,$D48,'Grid Data'!$AA$4:$AA$2342,L$4,'Grid Data'!$Y$4:$Y$2342,$D$2)*100-L16, "--")</f>
        <v>-10.206200000000001</v>
      </c>
      <c r="M48" s="5">
        <f>IF(  M79&gt;$E$2, SUMIFS(IF($G$2="CPR",'Grid Data'!$AH$4:$AH$2342,'Grid Data'!$AI$4:$AI$2342),'Grid Data'!$Z$4:$Z$2342,$D48,'Grid Data'!$AA$4:$AA$2342,M$4,'Grid Data'!$Y$4:$Y$2342,$D$2)*100-M16, "--")</f>
        <v>-7.7679</v>
      </c>
      <c r="N48" s="5">
        <f>IF(  N79&gt;$E$2, SUMIFS(IF($G$2="CPR",'Grid Data'!$AH$4:$AH$2342,'Grid Data'!$AI$4:$AI$2342),'Grid Data'!$Z$4:$Z$2342,$D48,'Grid Data'!$AA$4:$AA$2342,N$4,'Grid Data'!$Y$4:$Y$2342,$D$2)*100-N16, "--")</f>
        <v>-9.9124999999999996</v>
      </c>
      <c r="O48" s="5">
        <f>IF(  O79&gt;$E$2, SUMIFS(IF($G$2="CPR",'Grid Data'!$AH$4:$AH$2342,'Grid Data'!$AI$4:$AI$2342),'Grid Data'!$Z$4:$Z$2342,$D48,'Grid Data'!$AA$4:$AA$2342,O$4,'Grid Data'!$Y$4:$Y$2342,$D$2)*100-O16, "--")</f>
        <v>-1.6613</v>
      </c>
      <c r="P48" s="5">
        <f>IF(  P79&gt;$E$2, SUMIFS(IF($G$2="CPR",'Grid Data'!$AH$4:$AH$2342,'Grid Data'!$AI$4:$AI$2342),'Grid Data'!$Z$4:$Z$2342,$D48,'Grid Data'!$AA$4:$AA$2342,P$4,'Grid Data'!$Y$4:$Y$2342,$D$2)*100-P16, "--")</f>
        <v>-9.5910999999999991</v>
      </c>
      <c r="Q48" s="5">
        <f>IF(  Q79&gt;$E$2, SUMIFS(IF($G$2="CPR",'Grid Data'!$AH$4:$AH$2342,'Grid Data'!$AI$4:$AI$2342),'Grid Data'!$Z$4:$Z$2342,$D48,'Grid Data'!$AA$4:$AA$2342,Q$4,'Grid Data'!$Y$4:$Y$2342,$D$2)*100-Q16, "--")</f>
        <v>-9.0472999999999999</v>
      </c>
      <c r="R48" s="5">
        <f>IF(  R79&gt;$E$2, SUMIFS(IF($G$2="CPR",'Grid Data'!$AH$4:$AH$2342,'Grid Data'!$AI$4:$AI$2342),'Grid Data'!$Z$4:$Z$2342,$D48,'Grid Data'!$AA$4:$AA$2342,R$4,'Grid Data'!$Y$4:$Y$2342,$D$2)*100-R16, "--")</f>
        <v>-9.3864000000000001</v>
      </c>
      <c r="S48" s="5">
        <f>IF(  S79&gt;$E$2, SUMIFS(IF($G$2="CPR",'Grid Data'!$AH$4:$AH$2342,'Grid Data'!$AI$4:$AI$2342),'Grid Data'!$Z$4:$Z$2342,$D48,'Grid Data'!$AA$4:$AA$2342,S$4,'Grid Data'!$Y$4:$Y$2342,$D$2)*100-S16, "--")</f>
        <v>-10.489700000000001</v>
      </c>
      <c r="T48" s="5">
        <f>IF(  T79&gt;$E$2, SUMIFS(IF($G$2="CPR",'Grid Data'!$AH$4:$AH$2342,'Grid Data'!$AI$4:$AI$2342),'Grid Data'!$Z$4:$Z$2342,$D48,'Grid Data'!$AA$4:$AA$2342,T$4,'Grid Data'!$Y$4:$Y$2342,$D$2)*100-T16, "--")</f>
        <v>-12.133900000000001</v>
      </c>
      <c r="U48" s="5">
        <f>IF(  U79&gt;$E$2, SUMIFS(IF($G$2="CPR",'Grid Data'!$AH$4:$AH$2342,'Grid Data'!$AI$4:$AI$2342),'Grid Data'!$Z$4:$Z$2342,$D48,'Grid Data'!$AA$4:$AA$2342,U$4,'Grid Data'!$Y$4:$Y$2342,$D$2)*100-U16, "--")</f>
        <v>-11.980599999999999</v>
      </c>
      <c r="V48" s="5">
        <f>IF(  V79&gt;$E$2, SUMIFS(IF($G$2="CPR",'Grid Data'!$AH$4:$AH$2342,'Grid Data'!$AI$4:$AI$2342),'Grid Data'!$Z$4:$Z$2342,$D48,'Grid Data'!$AA$4:$AA$2342,V$4,'Grid Data'!$Y$4:$Y$2342,$D$2)*100-V16, "--")</f>
        <v>-11.446099999999999</v>
      </c>
      <c r="W48" s="5">
        <f>IF(  W79&gt;$E$2, SUMIFS(IF($G$2="CPR",'Grid Data'!$AH$4:$AH$2342,'Grid Data'!$AI$4:$AI$2342),'Grid Data'!$Z$4:$Z$2342,$D48,'Grid Data'!$AA$4:$AA$2342,W$4,'Grid Data'!$Y$4:$Y$2342,$D$2)*100-W16, "--")</f>
        <v>-10.024700000000001</v>
      </c>
      <c r="X48" s="5">
        <f>IF(  X79&gt;$E$2, SUMIFS(IF($G$2="CPR",'Grid Data'!$AH$4:$AH$2342,'Grid Data'!$AI$4:$AI$2342),'Grid Data'!$Z$4:$Z$2342,$D48,'Grid Data'!$AA$4:$AA$2342,X$4,'Grid Data'!$Y$4:$Y$2342,$D$2)*100-X16, "--")</f>
        <v>-9.0647000000000002</v>
      </c>
      <c r="Y48" s="5">
        <f>IF(  Y79&gt;$E$2, SUMIFS(IF($G$2="CPR",'Grid Data'!$AH$4:$AH$2342,'Grid Data'!$AI$4:$AI$2342),'Grid Data'!$Z$4:$Z$2342,$D48,'Grid Data'!$AA$4:$AA$2342,Y$4,'Grid Data'!$Y$4:$Y$2342,$D$2)*100-Y16, "--")</f>
        <v>-8.0986000000000011</v>
      </c>
      <c r="Z48" s="5">
        <f>IF(  Z79&gt;$E$2, SUMIFS(IF($G$2="CPR",'Grid Data'!$AH$4:$AH$2342,'Grid Data'!$AI$4:$AI$2342),'Grid Data'!$Z$4:$Z$2342,$D48,'Grid Data'!$AA$4:$AA$2342,Z$4,'Grid Data'!$Y$4:$Y$2342,$D$2)*100-Z16, "--")</f>
        <v>-10.0664</v>
      </c>
      <c r="AA48" s="5">
        <f>IF(  AA79&gt;$E$2, SUMIFS(IF($G$2="CPR",'Grid Data'!$AH$4:$AH$2342,'Grid Data'!$AI$4:$AI$2342),'Grid Data'!$Z$4:$Z$2342,$D48,'Grid Data'!$AA$4:$AA$2342,AA$4,'Grid Data'!$Y$4:$Y$2342,$D$2)*100-AA16, "--")</f>
        <v>-9.4510000000000005</v>
      </c>
      <c r="AB48" s="5">
        <f>IF(  AB79&gt;$E$2, SUMIFS(IF($G$2="CPR",'Grid Data'!$AH$4:$AH$2342,'Grid Data'!$AI$4:$AI$2342),'Grid Data'!$Z$4:$Z$2342,$D48,'Grid Data'!$AA$4:$AA$2342,AB$4,'Grid Data'!$Y$4:$Y$2342,$D$2)*100-AB16, "--")</f>
        <v>-6.7111000000000001</v>
      </c>
      <c r="AC48" s="5">
        <f>IF(  AC79&gt;$E$2, SUMIFS(IF($G$2="CPR",'Grid Data'!$AH$4:$AH$2342,'Grid Data'!$AI$4:$AI$2342),'Grid Data'!$Z$4:$Z$2342,$D48,'Grid Data'!$AA$4:$AA$2342,AC$4,'Grid Data'!$Y$4:$Y$2342,$D$2)*100-AC16, "--")</f>
        <v>-5.0727000000000002</v>
      </c>
      <c r="AD48" s="5">
        <f>IF(  AD79&gt;$E$2, SUMIFS(IF($G$2="CPR",'Grid Data'!$AH$4:$AH$2342,'Grid Data'!$AI$4:$AI$2342),'Grid Data'!$Z$4:$Z$2342,$D48,'Grid Data'!$AA$4:$AA$2342,AD$4,'Grid Data'!$Y$4:$Y$2342,$D$2)*100-AD16, "--")</f>
        <v>-5.5503</v>
      </c>
      <c r="AE48" s="5">
        <f>IF(  AE79&gt;$E$2, SUMIFS(IF($G$2="CPR",'Grid Data'!$AH$4:$AH$2342,'Grid Data'!$AI$4:$AI$2342),'Grid Data'!$Z$4:$Z$2342,$D48,'Grid Data'!$AA$4:$AA$2342,AE$4,'Grid Data'!$Y$4:$Y$2342,$D$2)*100-AE16, "--")</f>
        <v>-4.4275000000000002</v>
      </c>
      <c r="AF48" s="5" t="str">
        <f>IF(  AF79&gt;$E$2, SUMIFS(IF($G$2="CPR",'Grid Data'!$AH$4:$AH$2342,'Grid Data'!$AI$4:$AI$2342),'Grid Data'!$Z$4:$Z$2342,$D48,'Grid Data'!$AA$4:$AA$2342,AF$4,'Grid Data'!$Y$4:$Y$2342,$D$2)*100-AF16, "--")</f>
        <v>--</v>
      </c>
      <c r="AG48" s="5" t="str">
        <f>IF(  AG79&gt;$E$2, SUMIFS(IF($G$2="CPR",'Grid Data'!$AH$4:$AH$2342,'Grid Data'!$AI$4:$AI$2342),'Grid Data'!$Z$4:$Z$2342,$D48,'Grid Data'!$AA$4:$AA$2342,AG$4,'Grid Data'!$Y$4:$Y$2342,$D$2)*100-AG16, "--")</f>
        <v>--</v>
      </c>
      <c r="AH48" s="5" t="str">
        <f>IF(  AH79&gt;$E$2, SUMIFS(IF($G$2="CPR",'Grid Data'!$AH$4:$AH$2342,'Grid Data'!$AI$4:$AI$2342),'Grid Data'!$Z$4:$Z$2342,$D48,'Grid Data'!$AA$4:$AA$2342,AH$4,'Grid Data'!$Y$4:$Y$2342,$D$2)*100-AH16, "--")</f>
        <v>--</v>
      </c>
    </row>
    <row r="49" spans="4:34" x14ac:dyDescent="0.35">
      <c r="D49">
        <v>5000</v>
      </c>
      <c r="E49" s="5">
        <f>IF(  E80&gt;$E$2, SUMIFS(IF($G$2="CPR",'Grid Data'!$AH$4:$AH$2342,'Grid Data'!$AI$4:$AI$2342),'Grid Data'!$Z$4:$Z$2342,$D49,'Grid Data'!$AA$4:$AA$2342,E$4,'Grid Data'!$Y$4:$Y$2342,$D$2)*100-E17, "--")</f>
        <v>-1.004</v>
      </c>
      <c r="F49" s="5">
        <f>IF(  F80&gt;$E$2, SUMIFS(IF($G$2="CPR",'Grid Data'!$AH$4:$AH$2342,'Grid Data'!$AI$4:$AI$2342),'Grid Data'!$Z$4:$Z$2342,$D49,'Grid Data'!$AA$4:$AA$2342,F$4,'Grid Data'!$Y$4:$Y$2342,$D$2)*100-F17, "--")</f>
        <v>-1.2548999999999999</v>
      </c>
      <c r="G49" s="5">
        <f>IF(  G80&gt;$E$2, SUMIFS(IF($G$2="CPR",'Grid Data'!$AH$4:$AH$2342,'Grid Data'!$AI$4:$AI$2342),'Grid Data'!$Z$4:$Z$2342,$D49,'Grid Data'!$AA$4:$AA$2342,G$4,'Grid Data'!$Y$4:$Y$2342,$D$2)*100-G17, "--")</f>
        <v>-2.9678</v>
      </c>
      <c r="H49" s="5">
        <f>IF(  H80&gt;$E$2, SUMIFS(IF($G$2="CPR",'Grid Data'!$AH$4:$AH$2342,'Grid Data'!$AI$4:$AI$2342),'Grid Data'!$Z$4:$Z$2342,$D49,'Grid Data'!$AA$4:$AA$2342,H$4,'Grid Data'!$Y$4:$Y$2342,$D$2)*100-H17, "--")</f>
        <v>-1.7193000000000001</v>
      </c>
      <c r="I49" s="5">
        <f>IF(  I80&gt;$E$2, SUMIFS(IF($G$2="CPR",'Grid Data'!$AH$4:$AH$2342,'Grid Data'!$AI$4:$AI$2342),'Grid Data'!$Z$4:$Z$2342,$D49,'Grid Data'!$AA$4:$AA$2342,I$4,'Grid Data'!$Y$4:$Y$2342,$D$2)*100-I17, "--")</f>
        <v>-2.6797</v>
      </c>
      <c r="J49" s="5">
        <f>IF(  J80&gt;$E$2, SUMIFS(IF($G$2="CPR",'Grid Data'!$AH$4:$AH$2342,'Grid Data'!$AI$4:$AI$2342),'Grid Data'!$Z$4:$Z$2342,$D49,'Grid Data'!$AA$4:$AA$2342,J$4,'Grid Data'!$Y$4:$Y$2342,$D$2)*100-J17, "--")</f>
        <v>0</v>
      </c>
      <c r="K49" s="5">
        <f>IF(  K80&gt;$E$2, SUMIFS(IF($G$2="CPR",'Grid Data'!$AH$4:$AH$2342,'Grid Data'!$AI$4:$AI$2342),'Grid Data'!$Z$4:$Z$2342,$D49,'Grid Data'!$AA$4:$AA$2342,K$4,'Grid Data'!$Y$4:$Y$2342,$D$2)*100-K17, "--")</f>
        <v>-0.59570000000000001</v>
      </c>
      <c r="L49" s="5">
        <f>IF(  L80&gt;$E$2, SUMIFS(IF($G$2="CPR",'Grid Data'!$AH$4:$AH$2342,'Grid Data'!$AI$4:$AI$2342),'Grid Data'!$Z$4:$Z$2342,$D49,'Grid Data'!$AA$4:$AA$2342,L$4,'Grid Data'!$Y$4:$Y$2342,$D$2)*100-L17, "--")</f>
        <v>-2.2689999999999997</v>
      </c>
      <c r="M49" s="5">
        <f>IF(  M80&gt;$E$2, SUMIFS(IF($G$2="CPR",'Grid Data'!$AH$4:$AH$2342,'Grid Data'!$AI$4:$AI$2342),'Grid Data'!$Z$4:$Z$2342,$D49,'Grid Data'!$AA$4:$AA$2342,M$4,'Grid Data'!$Y$4:$Y$2342,$D$2)*100-M17, "--")</f>
        <v>-9.1349999999999998</v>
      </c>
      <c r="N49" s="5">
        <f>IF(  N80&gt;$E$2, SUMIFS(IF($G$2="CPR",'Grid Data'!$AH$4:$AH$2342,'Grid Data'!$AI$4:$AI$2342),'Grid Data'!$Z$4:$Z$2342,$D49,'Grid Data'!$AA$4:$AA$2342,N$4,'Grid Data'!$Y$4:$Y$2342,$D$2)*100-N17, "--")</f>
        <v>-7.7511999999999999</v>
      </c>
      <c r="O49" s="5">
        <f>IF(  O80&gt;$E$2, SUMIFS(IF($G$2="CPR",'Grid Data'!$AH$4:$AH$2342,'Grid Data'!$AI$4:$AI$2342),'Grid Data'!$Z$4:$Z$2342,$D49,'Grid Data'!$AA$4:$AA$2342,O$4,'Grid Data'!$Y$4:$Y$2342,$D$2)*100-O17, "--")</f>
        <v>-5.9104000000000001</v>
      </c>
      <c r="P49" s="5">
        <f>IF(  P80&gt;$E$2, SUMIFS(IF($G$2="CPR",'Grid Data'!$AH$4:$AH$2342,'Grid Data'!$AI$4:$AI$2342),'Grid Data'!$Z$4:$Z$2342,$D49,'Grid Data'!$AA$4:$AA$2342,P$4,'Grid Data'!$Y$4:$Y$2342,$D$2)*100-P17, "--")</f>
        <v>-5.6933999999999996</v>
      </c>
      <c r="Q49" s="5">
        <f>IF(  Q80&gt;$E$2, SUMIFS(IF($G$2="CPR",'Grid Data'!$AH$4:$AH$2342,'Grid Data'!$AI$4:$AI$2342),'Grid Data'!$Z$4:$Z$2342,$D49,'Grid Data'!$AA$4:$AA$2342,Q$4,'Grid Data'!$Y$4:$Y$2342,$D$2)*100-Q17, "--")</f>
        <v>-7.282</v>
      </c>
      <c r="R49" s="5">
        <f>IF(  R80&gt;$E$2, SUMIFS(IF($G$2="CPR",'Grid Data'!$AH$4:$AH$2342,'Grid Data'!$AI$4:$AI$2342),'Grid Data'!$Z$4:$Z$2342,$D49,'Grid Data'!$AA$4:$AA$2342,R$4,'Grid Data'!$Y$4:$Y$2342,$D$2)*100-R17, "--")</f>
        <v>-10.650600000000001</v>
      </c>
      <c r="S49" s="5">
        <f>IF(  S80&gt;$E$2, SUMIFS(IF($G$2="CPR",'Grid Data'!$AH$4:$AH$2342,'Grid Data'!$AI$4:$AI$2342),'Grid Data'!$Z$4:$Z$2342,$D49,'Grid Data'!$AA$4:$AA$2342,S$4,'Grid Data'!$Y$4:$Y$2342,$D$2)*100-S17, "--")</f>
        <v>-13.4856</v>
      </c>
      <c r="T49" s="5">
        <f>IF(  T80&gt;$E$2, SUMIFS(IF($G$2="CPR",'Grid Data'!$AH$4:$AH$2342,'Grid Data'!$AI$4:$AI$2342),'Grid Data'!$Z$4:$Z$2342,$D49,'Grid Data'!$AA$4:$AA$2342,T$4,'Grid Data'!$Y$4:$Y$2342,$D$2)*100-T17, "--")</f>
        <v>-14.262499999999999</v>
      </c>
      <c r="U49" s="5" t="str">
        <f>IF(  U80&gt;$E$2, SUMIFS(IF($G$2="CPR",'Grid Data'!$AH$4:$AH$2342,'Grid Data'!$AI$4:$AI$2342),'Grid Data'!$Z$4:$Z$2342,$D49,'Grid Data'!$AA$4:$AA$2342,U$4,'Grid Data'!$Y$4:$Y$2342,$D$2)*100-U17, "--")</f>
        <v>--</v>
      </c>
      <c r="V49" s="5" t="str">
        <f>IF(  V80&gt;$E$2, SUMIFS(IF($G$2="CPR",'Grid Data'!$AH$4:$AH$2342,'Grid Data'!$AI$4:$AI$2342),'Grid Data'!$Z$4:$Z$2342,$D49,'Grid Data'!$AA$4:$AA$2342,V$4,'Grid Data'!$Y$4:$Y$2342,$D$2)*100-V17, "--")</f>
        <v>--</v>
      </c>
      <c r="W49" s="5">
        <f>IF(  W80&gt;$E$2, SUMIFS(IF($G$2="CPR",'Grid Data'!$AH$4:$AH$2342,'Grid Data'!$AI$4:$AI$2342),'Grid Data'!$Z$4:$Z$2342,$D49,'Grid Data'!$AA$4:$AA$2342,W$4,'Grid Data'!$Y$4:$Y$2342,$D$2)*100-W17, "--")</f>
        <v>-38.219200000000001</v>
      </c>
      <c r="X49" s="5">
        <f>IF(  X80&gt;$E$2, SUMIFS(IF($G$2="CPR",'Grid Data'!$AH$4:$AH$2342,'Grid Data'!$AI$4:$AI$2342),'Grid Data'!$Z$4:$Z$2342,$D49,'Grid Data'!$AA$4:$AA$2342,X$4,'Grid Data'!$Y$4:$Y$2342,$D$2)*100-X17, "--")</f>
        <v>-13.034299999999998</v>
      </c>
      <c r="Y49" s="5">
        <f>IF(  Y80&gt;$E$2, SUMIFS(IF($G$2="CPR",'Grid Data'!$AH$4:$AH$2342,'Grid Data'!$AI$4:$AI$2342),'Grid Data'!$Z$4:$Z$2342,$D49,'Grid Data'!$AA$4:$AA$2342,Y$4,'Grid Data'!$Y$4:$Y$2342,$D$2)*100-Y17, "--")</f>
        <v>-10.0602</v>
      </c>
      <c r="Z49" s="5">
        <f>IF(  Z80&gt;$E$2, SUMIFS(IF($G$2="CPR",'Grid Data'!$AH$4:$AH$2342,'Grid Data'!$AI$4:$AI$2342),'Grid Data'!$Z$4:$Z$2342,$D49,'Grid Data'!$AA$4:$AA$2342,Z$4,'Grid Data'!$Y$4:$Y$2342,$D$2)*100-Z17, "--")</f>
        <v>-10.0337</v>
      </c>
      <c r="AA49" s="5">
        <f>IF(  AA80&gt;$E$2, SUMIFS(IF($G$2="CPR",'Grid Data'!$AH$4:$AH$2342,'Grid Data'!$AI$4:$AI$2342),'Grid Data'!$Z$4:$Z$2342,$D49,'Grid Data'!$AA$4:$AA$2342,AA$4,'Grid Data'!$Y$4:$Y$2342,$D$2)*100-AA17, "--")</f>
        <v>0</v>
      </c>
      <c r="AB49" s="5">
        <f>IF(  AB80&gt;$E$2, SUMIFS(IF($G$2="CPR",'Grid Data'!$AH$4:$AH$2342,'Grid Data'!$AI$4:$AI$2342),'Grid Data'!$Z$4:$Z$2342,$D49,'Grid Data'!$AA$4:$AA$2342,AB$4,'Grid Data'!$Y$4:$Y$2342,$D$2)*100-AB17, "--")</f>
        <v>-5.2061000000000002</v>
      </c>
      <c r="AC49" s="5">
        <f>IF(  AC80&gt;$E$2, SUMIFS(IF($G$2="CPR",'Grid Data'!$AH$4:$AH$2342,'Grid Data'!$AI$4:$AI$2342),'Grid Data'!$Z$4:$Z$2342,$D49,'Grid Data'!$AA$4:$AA$2342,AC$4,'Grid Data'!$Y$4:$Y$2342,$D$2)*100-AC17, "--")</f>
        <v>-9.0778999999999996</v>
      </c>
      <c r="AD49" s="5">
        <f>IF(  AD80&gt;$E$2, SUMIFS(IF($G$2="CPR",'Grid Data'!$AH$4:$AH$2342,'Grid Data'!$AI$4:$AI$2342),'Grid Data'!$Z$4:$Z$2342,$D49,'Grid Data'!$AA$4:$AA$2342,AD$4,'Grid Data'!$Y$4:$Y$2342,$D$2)*100-AD17, "--")</f>
        <v>-7.8134999999999994</v>
      </c>
      <c r="AE49" s="5">
        <f>IF(  AE80&gt;$E$2, SUMIFS(IF($G$2="CPR",'Grid Data'!$AH$4:$AH$2342,'Grid Data'!$AI$4:$AI$2342),'Grid Data'!$Z$4:$Z$2342,$D49,'Grid Data'!$AA$4:$AA$2342,AE$4,'Grid Data'!$Y$4:$Y$2342,$D$2)*100-AE17, "--")</f>
        <v>-4.2354000000000003</v>
      </c>
      <c r="AF49" s="5" t="str">
        <f>IF(  AF80&gt;$E$2, SUMIFS(IF($G$2="CPR",'Grid Data'!$AH$4:$AH$2342,'Grid Data'!$AI$4:$AI$2342),'Grid Data'!$Z$4:$Z$2342,$D49,'Grid Data'!$AA$4:$AA$2342,AF$4,'Grid Data'!$Y$4:$Y$2342,$D$2)*100-AF17, "--")</f>
        <v>--</v>
      </c>
      <c r="AG49" s="5">
        <f>IF(  AG80&gt;$E$2, SUMIFS(IF($G$2="CPR",'Grid Data'!$AH$4:$AH$2342,'Grid Data'!$AI$4:$AI$2342),'Grid Data'!$Z$4:$Z$2342,$D49,'Grid Data'!$AA$4:$AA$2342,AG$4,'Grid Data'!$Y$4:$Y$2342,$D$2)*100-AG17, "--")</f>
        <v>-7.3347999999999995</v>
      </c>
      <c r="AH49" s="5" t="str">
        <f>IF(  AH80&gt;$E$2, SUMIFS(IF($G$2="CPR",'Grid Data'!$AH$4:$AH$2342,'Grid Data'!$AI$4:$AI$2342),'Grid Data'!$Z$4:$Z$2342,$D49,'Grid Data'!$AA$4:$AA$2342,AH$4,'Grid Data'!$Y$4:$Y$2342,$D$2)*100-AH17, "--")</f>
        <v>--</v>
      </c>
    </row>
    <row r="50" spans="4:34" x14ac:dyDescent="0.35">
      <c r="D50">
        <v>5250</v>
      </c>
      <c r="E50" s="5">
        <f>IF(  E81&gt;$E$2, SUMIFS(IF($G$2="CPR",'Grid Data'!$AH$4:$AH$2342,'Grid Data'!$AI$4:$AI$2342),'Grid Data'!$Z$4:$Z$2342,$D50,'Grid Data'!$AA$4:$AA$2342,E$4,'Grid Data'!$Y$4:$Y$2342,$D$2)*100-E18, "--")</f>
        <v>-1.9349000000000001</v>
      </c>
      <c r="F50" s="5">
        <f>IF(  F81&gt;$E$2, SUMIFS(IF($G$2="CPR",'Grid Data'!$AH$4:$AH$2342,'Grid Data'!$AI$4:$AI$2342),'Grid Data'!$Z$4:$Z$2342,$D50,'Grid Data'!$AA$4:$AA$2342,F$4,'Grid Data'!$Y$4:$Y$2342,$D$2)*100-F18, "--")</f>
        <v>-4.6028000000000002</v>
      </c>
      <c r="G50" s="5">
        <f>IF(  G81&gt;$E$2, SUMIFS(IF($G$2="CPR",'Grid Data'!$AH$4:$AH$2342,'Grid Data'!$AI$4:$AI$2342),'Grid Data'!$Z$4:$Z$2342,$D50,'Grid Data'!$AA$4:$AA$2342,G$4,'Grid Data'!$Y$4:$Y$2342,$D$2)*100-G18, "--")</f>
        <v>-9.9216999999999995</v>
      </c>
      <c r="H50" s="5">
        <f>IF(  H81&gt;$E$2, SUMIFS(IF($G$2="CPR",'Grid Data'!$AH$4:$AH$2342,'Grid Data'!$AI$4:$AI$2342),'Grid Data'!$Z$4:$Z$2342,$D50,'Grid Data'!$AA$4:$AA$2342,H$4,'Grid Data'!$Y$4:$Y$2342,$D$2)*100-H18, "--")</f>
        <v>-1.9174</v>
      </c>
      <c r="I50" s="5">
        <f>IF(  I81&gt;$E$2, SUMIFS(IF($G$2="CPR",'Grid Data'!$AH$4:$AH$2342,'Grid Data'!$AI$4:$AI$2342),'Grid Data'!$Z$4:$Z$2342,$D50,'Grid Data'!$AA$4:$AA$2342,I$4,'Grid Data'!$Y$4:$Y$2342,$D$2)*100-I18, "--")</f>
        <v>-4.0282999999999998</v>
      </c>
      <c r="J50" s="5">
        <f>IF(  J81&gt;$E$2, SUMIFS(IF($G$2="CPR",'Grid Data'!$AH$4:$AH$2342,'Grid Data'!$AI$4:$AI$2342),'Grid Data'!$Z$4:$Z$2342,$D50,'Grid Data'!$AA$4:$AA$2342,J$4,'Grid Data'!$Y$4:$Y$2342,$D$2)*100-J18, "--")</f>
        <v>-2.0337999999999998</v>
      </c>
      <c r="K50" s="5">
        <f>IF(  K81&gt;$E$2, SUMIFS(IF($G$2="CPR",'Grid Data'!$AH$4:$AH$2342,'Grid Data'!$AI$4:$AI$2342),'Grid Data'!$Z$4:$Z$2342,$D50,'Grid Data'!$AA$4:$AA$2342,K$4,'Grid Data'!$Y$4:$Y$2342,$D$2)*100-K18, "--")</f>
        <v>-11.5862</v>
      </c>
      <c r="L50" s="5">
        <f>IF(  L81&gt;$E$2, SUMIFS(IF($G$2="CPR",'Grid Data'!$AH$4:$AH$2342,'Grid Data'!$AI$4:$AI$2342),'Grid Data'!$Z$4:$Z$2342,$D50,'Grid Data'!$AA$4:$AA$2342,L$4,'Grid Data'!$Y$4:$Y$2342,$D$2)*100-L18, "--")</f>
        <v>-5.9857000000000005</v>
      </c>
      <c r="M50" s="5">
        <f>IF(  M81&gt;$E$2, SUMIFS(IF($G$2="CPR",'Grid Data'!$AH$4:$AH$2342,'Grid Data'!$AI$4:$AI$2342),'Grid Data'!$Z$4:$Z$2342,$D50,'Grid Data'!$AA$4:$AA$2342,M$4,'Grid Data'!$Y$4:$Y$2342,$D$2)*100-M18, "--")</f>
        <v>-11.581300000000001</v>
      </c>
      <c r="N50" s="5">
        <f>IF(  N81&gt;$E$2, SUMIFS(IF($G$2="CPR",'Grid Data'!$AH$4:$AH$2342,'Grid Data'!$AI$4:$AI$2342),'Grid Data'!$Z$4:$Z$2342,$D50,'Grid Data'!$AA$4:$AA$2342,N$4,'Grid Data'!$Y$4:$Y$2342,$D$2)*100-N18, "--")</f>
        <v>-12.903999999999998</v>
      </c>
      <c r="O50" s="5">
        <f>IF(  O81&gt;$E$2, SUMIFS(IF($G$2="CPR",'Grid Data'!$AH$4:$AH$2342,'Grid Data'!$AI$4:$AI$2342),'Grid Data'!$Z$4:$Z$2342,$D50,'Grid Data'!$AA$4:$AA$2342,O$4,'Grid Data'!$Y$4:$Y$2342,$D$2)*100-O18, "--")</f>
        <v>-10.5709</v>
      </c>
      <c r="P50" s="5">
        <f>IF(  P81&gt;$E$2, SUMIFS(IF($G$2="CPR",'Grid Data'!$AH$4:$AH$2342,'Grid Data'!$AI$4:$AI$2342),'Grid Data'!$Z$4:$Z$2342,$D50,'Grid Data'!$AA$4:$AA$2342,P$4,'Grid Data'!$Y$4:$Y$2342,$D$2)*100-P18, "--")</f>
        <v>-10.959299999999999</v>
      </c>
      <c r="Q50" s="5">
        <f>IF(  Q81&gt;$E$2, SUMIFS(IF($G$2="CPR",'Grid Data'!$AH$4:$AH$2342,'Grid Data'!$AI$4:$AI$2342),'Grid Data'!$Z$4:$Z$2342,$D50,'Grid Data'!$AA$4:$AA$2342,Q$4,'Grid Data'!$Y$4:$Y$2342,$D$2)*100-Q18, "--")</f>
        <v>-8.7418999999999993</v>
      </c>
      <c r="R50" s="5">
        <f>IF(  R81&gt;$E$2, SUMIFS(IF($G$2="CPR",'Grid Data'!$AH$4:$AH$2342,'Grid Data'!$AI$4:$AI$2342),'Grid Data'!$Z$4:$Z$2342,$D50,'Grid Data'!$AA$4:$AA$2342,R$4,'Grid Data'!$Y$4:$Y$2342,$D$2)*100-R18, "--")</f>
        <v>-13.6145</v>
      </c>
      <c r="S50" s="5">
        <f>IF(  S81&gt;$E$2, SUMIFS(IF($G$2="CPR",'Grid Data'!$AH$4:$AH$2342,'Grid Data'!$AI$4:$AI$2342),'Grid Data'!$Z$4:$Z$2342,$D50,'Grid Data'!$AA$4:$AA$2342,S$4,'Grid Data'!$Y$4:$Y$2342,$D$2)*100-S18, "--")</f>
        <v>-12.5245</v>
      </c>
      <c r="T50" s="5">
        <f>IF(  T81&gt;$E$2, SUMIFS(IF($G$2="CPR",'Grid Data'!$AH$4:$AH$2342,'Grid Data'!$AI$4:$AI$2342),'Grid Data'!$Z$4:$Z$2342,$D50,'Grid Data'!$AA$4:$AA$2342,T$4,'Grid Data'!$Y$4:$Y$2342,$D$2)*100-T18, "--")</f>
        <v>-12.998899999999999</v>
      </c>
      <c r="U50" s="5">
        <f>IF(  U81&gt;$E$2, SUMIFS(IF($G$2="CPR",'Grid Data'!$AH$4:$AH$2342,'Grid Data'!$AI$4:$AI$2342),'Grid Data'!$Z$4:$Z$2342,$D50,'Grid Data'!$AA$4:$AA$2342,U$4,'Grid Data'!$Y$4:$Y$2342,$D$2)*100-U18, "--")</f>
        <v>-9.2018000000000004</v>
      </c>
      <c r="V50" s="5">
        <f>IF(  V81&gt;$E$2, SUMIFS(IF($G$2="CPR",'Grid Data'!$AH$4:$AH$2342,'Grid Data'!$AI$4:$AI$2342),'Grid Data'!$Z$4:$Z$2342,$D50,'Grid Data'!$AA$4:$AA$2342,V$4,'Grid Data'!$Y$4:$Y$2342,$D$2)*100-V18, "--")</f>
        <v>-6.2122999999999999</v>
      </c>
      <c r="W50" s="5">
        <f>IF(  W81&gt;$E$2, SUMIFS(IF($G$2="CPR",'Grid Data'!$AH$4:$AH$2342,'Grid Data'!$AI$4:$AI$2342),'Grid Data'!$Z$4:$Z$2342,$D50,'Grid Data'!$AA$4:$AA$2342,W$4,'Grid Data'!$Y$4:$Y$2342,$D$2)*100-W18, "--")</f>
        <v>-30.454900000000002</v>
      </c>
      <c r="X50" s="5">
        <f>IF(  X81&gt;$E$2, SUMIFS(IF($G$2="CPR",'Grid Data'!$AH$4:$AH$2342,'Grid Data'!$AI$4:$AI$2342),'Grid Data'!$Z$4:$Z$2342,$D50,'Grid Data'!$AA$4:$AA$2342,X$4,'Grid Data'!$Y$4:$Y$2342,$D$2)*100-X18, "--")</f>
        <v>-13.146099999999999</v>
      </c>
      <c r="Y50" s="5">
        <f>IF(  Y81&gt;$E$2, SUMIFS(IF($G$2="CPR",'Grid Data'!$AH$4:$AH$2342,'Grid Data'!$AI$4:$AI$2342),'Grid Data'!$Z$4:$Z$2342,$D50,'Grid Data'!$AA$4:$AA$2342,Y$4,'Grid Data'!$Y$4:$Y$2342,$D$2)*100-Y18, "--")</f>
        <v>-10.6214</v>
      </c>
      <c r="Z50" s="5">
        <f>IF(  Z81&gt;$E$2, SUMIFS(IF($G$2="CPR",'Grid Data'!$AH$4:$AH$2342,'Grid Data'!$AI$4:$AI$2342),'Grid Data'!$Z$4:$Z$2342,$D50,'Grid Data'!$AA$4:$AA$2342,Z$4,'Grid Data'!$Y$4:$Y$2342,$D$2)*100-Z18, "--")</f>
        <v>-22.854299999999999</v>
      </c>
      <c r="AA50" s="5" t="str">
        <f>IF(  AA81&gt;$E$2, SUMIFS(IF($G$2="CPR",'Grid Data'!$AH$4:$AH$2342,'Grid Data'!$AI$4:$AI$2342),'Grid Data'!$Z$4:$Z$2342,$D50,'Grid Data'!$AA$4:$AA$2342,AA$4,'Grid Data'!$Y$4:$Y$2342,$D$2)*100-AA18, "--")</f>
        <v>--</v>
      </c>
      <c r="AB50" s="5">
        <f>IF(  AB81&gt;$E$2, SUMIFS(IF($G$2="CPR",'Grid Data'!$AH$4:$AH$2342,'Grid Data'!$AI$4:$AI$2342),'Grid Data'!$Z$4:$Z$2342,$D50,'Grid Data'!$AA$4:$AA$2342,AB$4,'Grid Data'!$Y$4:$Y$2342,$D$2)*100-AB18, "--")</f>
        <v>-9.2958999999999996</v>
      </c>
      <c r="AC50" s="5">
        <f>IF(  AC81&gt;$E$2, SUMIFS(IF($G$2="CPR",'Grid Data'!$AH$4:$AH$2342,'Grid Data'!$AI$4:$AI$2342),'Grid Data'!$Z$4:$Z$2342,$D50,'Grid Data'!$AA$4:$AA$2342,AC$4,'Grid Data'!$Y$4:$Y$2342,$D$2)*100-AC18, "--")</f>
        <v>-19.7439</v>
      </c>
      <c r="AD50" s="5">
        <f>IF(  AD81&gt;$E$2, SUMIFS(IF($G$2="CPR",'Grid Data'!$AH$4:$AH$2342,'Grid Data'!$AI$4:$AI$2342),'Grid Data'!$Z$4:$Z$2342,$D50,'Grid Data'!$AA$4:$AA$2342,AD$4,'Grid Data'!$Y$4:$Y$2342,$D$2)*100-AD18, "--")</f>
        <v>-5.3590999999999998</v>
      </c>
      <c r="AE50" s="5">
        <f>IF(  AE81&gt;$E$2, SUMIFS(IF($G$2="CPR",'Grid Data'!$AH$4:$AH$2342,'Grid Data'!$AI$4:$AI$2342),'Grid Data'!$Z$4:$Z$2342,$D50,'Grid Data'!$AA$4:$AA$2342,AE$4,'Grid Data'!$Y$4:$Y$2342,$D$2)*100-AE18, "--")</f>
        <v>-4.7787999999999995</v>
      </c>
      <c r="AF50" s="5" t="str">
        <f>IF(  AF81&gt;$E$2, SUMIFS(IF($G$2="CPR",'Grid Data'!$AH$4:$AH$2342,'Grid Data'!$AI$4:$AI$2342),'Grid Data'!$Z$4:$Z$2342,$D50,'Grid Data'!$AA$4:$AA$2342,AF$4,'Grid Data'!$Y$4:$Y$2342,$D$2)*100-AF18, "--")</f>
        <v>--</v>
      </c>
      <c r="AG50" s="5">
        <f>IF(  AG81&gt;$E$2, SUMIFS(IF($G$2="CPR",'Grid Data'!$AH$4:$AH$2342,'Grid Data'!$AI$4:$AI$2342),'Grid Data'!$Z$4:$Z$2342,$D50,'Grid Data'!$AA$4:$AA$2342,AG$4,'Grid Data'!$Y$4:$Y$2342,$D$2)*100-AG18, "--")</f>
        <v>-6.9736000000000002</v>
      </c>
      <c r="AH50" s="5" t="str">
        <f>IF(  AH81&gt;$E$2, SUMIFS(IF($G$2="CPR",'Grid Data'!$AH$4:$AH$2342,'Grid Data'!$AI$4:$AI$2342),'Grid Data'!$Z$4:$Z$2342,$D50,'Grid Data'!$AA$4:$AA$2342,AH$4,'Grid Data'!$Y$4:$Y$2342,$D$2)*100-AH18, "--")</f>
        <v>--</v>
      </c>
    </row>
    <row r="51" spans="4:34" x14ac:dyDescent="0.35">
      <c r="D51">
        <v>5500</v>
      </c>
      <c r="E51" s="5">
        <f>IF(  E82&gt;$E$2, SUMIFS(IF($G$2="CPR",'Grid Data'!$AH$4:$AH$2342,'Grid Data'!$AI$4:$AI$2342),'Grid Data'!$Z$4:$Z$2342,$D51,'Grid Data'!$AA$4:$AA$2342,E$4,'Grid Data'!$Y$4:$Y$2342,$D$2)*100-E19, "--")</f>
        <v>-1.746</v>
      </c>
      <c r="F51" s="5">
        <f>IF(  F82&gt;$E$2, SUMIFS(IF($G$2="CPR",'Grid Data'!$AH$4:$AH$2342,'Grid Data'!$AI$4:$AI$2342),'Grid Data'!$Z$4:$Z$2342,$D51,'Grid Data'!$AA$4:$AA$2342,F$4,'Grid Data'!$Y$4:$Y$2342,$D$2)*100-F19, "--")</f>
        <v>-3.2422</v>
      </c>
      <c r="G51" s="5">
        <f>IF(  G82&gt;$E$2, SUMIFS(IF($G$2="CPR",'Grid Data'!$AH$4:$AH$2342,'Grid Data'!$AI$4:$AI$2342),'Grid Data'!$Z$4:$Z$2342,$D51,'Grid Data'!$AA$4:$AA$2342,G$4,'Grid Data'!$Y$4:$Y$2342,$D$2)*100-G19, "--")</f>
        <v>-8.341899999999999</v>
      </c>
      <c r="H51" s="5">
        <f>IF(  H82&gt;$E$2, SUMIFS(IF($G$2="CPR",'Grid Data'!$AH$4:$AH$2342,'Grid Data'!$AI$4:$AI$2342),'Grid Data'!$Z$4:$Z$2342,$D51,'Grid Data'!$AA$4:$AA$2342,H$4,'Grid Data'!$Y$4:$Y$2342,$D$2)*100-H19, "--")</f>
        <v>-5.3955000000000002</v>
      </c>
      <c r="I51" s="5">
        <f>IF(  I82&gt;$E$2, SUMIFS(IF($G$2="CPR",'Grid Data'!$AH$4:$AH$2342,'Grid Data'!$AI$4:$AI$2342),'Grid Data'!$Z$4:$Z$2342,$D51,'Grid Data'!$AA$4:$AA$2342,I$4,'Grid Data'!$Y$4:$Y$2342,$D$2)*100-I19, "--")</f>
        <v>-2.0581999999999998</v>
      </c>
      <c r="J51" s="5">
        <f>IF(  J82&gt;$E$2, SUMIFS(IF($G$2="CPR",'Grid Data'!$AH$4:$AH$2342,'Grid Data'!$AI$4:$AI$2342),'Grid Data'!$Z$4:$Z$2342,$D51,'Grid Data'!$AA$4:$AA$2342,J$4,'Grid Data'!$Y$4:$Y$2342,$D$2)*100-J19, "--")</f>
        <v>-6.7881999999999998</v>
      </c>
      <c r="K51" s="5">
        <f>IF(  K82&gt;$E$2, SUMIFS(IF($G$2="CPR",'Grid Data'!$AH$4:$AH$2342,'Grid Data'!$AI$4:$AI$2342),'Grid Data'!$Z$4:$Z$2342,$D51,'Grid Data'!$AA$4:$AA$2342,K$4,'Grid Data'!$Y$4:$Y$2342,$D$2)*100-K19, "--")</f>
        <v>-13.660400000000001</v>
      </c>
      <c r="L51" s="5">
        <f>IF(  L82&gt;$E$2, SUMIFS(IF($G$2="CPR",'Grid Data'!$AH$4:$AH$2342,'Grid Data'!$AI$4:$AI$2342),'Grid Data'!$Z$4:$Z$2342,$D51,'Grid Data'!$AA$4:$AA$2342,L$4,'Grid Data'!$Y$4:$Y$2342,$D$2)*100-L19, "--")</f>
        <v>-5.4219999999999997</v>
      </c>
      <c r="M51" s="5">
        <f>IF(  M82&gt;$E$2, SUMIFS(IF($G$2="CPR",'Grid Data'!$AH$4:$AH$2342,'Grid Data'!$AI$4:$AI$2342),'Grid Data'!$Z$4:$Z$2342,$D51,'Grid Data'!$AA$4:$AA$2342,M$4,'Grid Data'!$Y$4:$Y$2342,$D$2)*100-M19, "--")</f>
        <v>-8.8390000000000004</v>
      </c>
      <c r="N51" s="5">
        <f>IF(  N82&gt;$E$2, SUMIFS(IF($G$2="CPR",'Grid Data'!$AH$4:$AH$2342,'Grid Data'!$AI$4:$AI$2342),'Grid Data'!$Z$4:$Z$2342,$D51,'Grid Data'!$AA$4:$AA$2342,N$4,'Grid Data'!$Y$4:$Y$2342,$D$2)*100-N19, "--")</f>
        <v>-10.506500000000001</v>
      </c>
      <c r="O51" s="5">
        <f>IF(  O82&gt;$E$2, SUMIFS(IF($G$2="CPR",'Grid Data'!$AH$4:$AH$2342,'Grid Data'!$AI$4:$AI$2342),'Grid Data'!$Z$4:$Z$2342,$D51,'Grid Data'!$AA$4:$AA$2342,O$4,'Grid Data'!$Y$4:$Y$2342,$D$2)*100-O19, "--")</f>
        <v>-8.5687999999999995</v>
      </c>
      <c r="P51" s="5">
        <f>IF(  P82&gt;$E$2, SUMIFS(IF($G$2="CPR",'Grid Data'!$AH$4:$AH$2342,'Grid Data'!$AI$4:$AI$2342),'Grid Data'!$Z$4:$Z$2342,$D51,'Grid Data'!$AA$4:$AA$2342,P$4,'Grid Data'!$Y$4:$Y$2342,$D$2)*100-P19, "--")</f>
        <v>-14.682799999999999</v>
      </c>
      <c r="Q51" s="5">
        <f>IF(  Q82&gt;$E$2, SUMIFS(IF($G$2="CPR",'Grid Data'!$AH$4:$AH$2342,'Grid Data'!$AI$4:$AI$2342),'Grid Data'!$Z$4:$Z$2342,$D51,'Grid Data'!$AA$4:$AA$2342,Q$4,'Grid Data'!$Y$4:$Y$2342,$D$2)*100-Q19, "--")</f>
        <v>-12.4122</v>
      </c>
      <c r="R51" s="5">
        <f>IF(  R82&gt;$E$2, SUMIFS(IF($G$2="CPR",'Grid Data'!$AH$4:$AH$2342,'Grid Data'!$AI$4:$AI$2342),'Grid Data'!$Z$4:$Z$2342,$D51,'Grid Data'!$AA$4:$AA$2342,R$4,'Grid Data'!$Y$4:$Y$2342,$D$2)*100-R19, "--")</f>
        <v>-14.106299999999999</v>
      </c>
      <c r="S51" s="5">
        <f>IF(  S82&gt;$E$2, SUMIFS(IF($G$2="CPR",'Grid Data'!$AH$4:$AH$2342,'Grid Data'!$AI$4:$AI$2342),'Grid Data'!$Z$4:$Z$2342,$D51,'Grid Data'!$AA$4:$AA$2342,S$4,'Grid Data'!$Y$4:$Y$2342,$D$2)*100-S19, "--")</f>
        <v>-14.6983</v>
      </c>
      <c r="T51" s="5">
        <f>IF(  T82&gt;$E$2, SUMIFS(IF($G$2="CPR",'Grid Data'!$AH$4:$AH$2342,'Grid Data'!$AI$4:$AI$2342),'Grid Data'!$Z$4:$Z$2342,$D51,'Grid Data'!$AA$4:$AA$2342,T$4,'Grid Data'!$Y$4:$Y$2342,$D$2)*100-T19, "--")</f>
        <v>-13.491200000000001</v>
      </c>
      <c r="U51" s="5" t="str">
        <f>IF(  U82&gt;$E$2, SUMIFS(IF($G$2="CPR",'Grid Data'!$AH$4:$AH$2342,'Grid Data'!$AI$4:$AI$2342),'Grid Data'!$Z$4:$Z$2342,$D51,'Grid Data'!$AA$4:$AA$2342,U$4,'Grid Data'!$Y$4:$Y$2342,$D$2)*100-U19, "--")</f>
        <v>--</v>
      </c>
      <c r="V51" s="5" t="str">
        <f>IF(  V82&gt;$E$2, SUMIFS(IF($G$2="CPR",'Grid Data'!$AH$4:$AH$2342,'Grid Data'!$AI$4:$AI$2342),'Grid Data'!$Z$4:$Z$2342,$D51,'Grid Data'!$AA$4:$AA$2342,V$4,'Grid Data'!$Y$4:$Y$2342,$D$2)*100-V19, "--")</f>
        <v>--</v>
      </c>
      <c r="W51" s="5" t="str">
        <f>IF(  W82&gt;$E$2, SUMIFS(IF($G$2="CPR",'Grid Data'!$AH$4:$AH$2342,'Grid Data'!$AI$4:$AI$2342),'Grid Data'!$Z$4:$Z$2342,$D51,'Grid Data'!$AA$4:$AA$2342,W$4,'Grid Data'!$Y$4:$Y$2342,$D$2)*100-W19, "--")</f>
        <v>--</v>
      </c>
      <c r="X51" s="5">
        <f>IF(  X82&gt;$E$2, SUMIFS(IF($G$2="CPR",'Grid Data'!$AH$4:$AH$2342,'Grid Data'!$AI$4:$AI$2342),'Grid Data'!$Z$4:$Z$2342,$D51,'Grid Data'!$AA$4:$AA$2342,X$4,'Grid Data'!$Y$4:$Y$2342,$D$2)*100-X19, "--")</f>
        <v>-38.133699999999997</v>
      </c>
      <c r="Y51" s="5">
        <f>IF(  Y82&gt;$E$2, SUMIFS(IF($G$2="CPR",'Grid Data'!$AH$4:$AH$2342,'Grid Data'!$AI$4:$AI$2342),'Grid Data'!$Z$4:$Z$2342,$D51,'Grid Data'!$AA$4:$AA$2342,Y$4,'Grid Data'!$Y$4:$Y$2342,$D$2)*100-Y19, "--")</f>
        <v>-17.204800000000002</v>
      </c>
      <c r="Z51" s="5">
        <f>IF(  Z82&gt;$E$2, SUMIFS(IF($G$2="CPR",'Grid Data'!$AH$4:$AH$2342,'Grid Data'!$AI$4:$AI$2342),'Grid Data'!$Z$4:$Z$2342,$D51,'Grid Data'!$AA$4:$AA$2342,Z$4,'Grid Data'!$Y$4:$Y$2342,$D$2)*100-Z19, "--")</f>
        <v>-20.3536</v>
      </c>
      <c r="AA51" s="5" t="str">
        <f>IF(  AA82&gt;$E$2, SUMIFS(IF($G$2="CPR",'Grid Data'!$AH$4:$AH$2342,'Grid Data'!$AI$4:$AI$2342),'Grid Data'!$Z$4:$Z$2342,$D51,'Grid Data'!$AA$4:$AA$2342,AA$4,'Grid Data'!$Y$4:$Y$2342,$D$2)*100-AA19, "--")</f>
        <v>--</v>
      </c>
      <c r="AB51" s="5" t="str">
        <f>IF(  AB82&gt;$E$2, SUMIFS(IF($G$2="CPR",'Grid Data'!$AH$4:$AH$2342,'Grid Data'!$AI$4:$AI$2342),'Grid Data'!$Z$4:$Z$2342,$D51,'Grid Data'!$AA$4:$AA$2342,AB$4,'Grid Data'!$Y$4:$Y$2342,$D$2)*100-AB19, "--")</f>
        <v>--</v>
      </c>
      <c r="AC51" s="5" t="str">
        <f>IF(  AC82&gt;$E$2, SUMIFS(IF($G$2="CPR",'Grid Data'!$AH$4:$AH$2342,'Grid Data'!$AI$4:$AI$2342),'Grid Data'!$Z$4:$Z$2342,$D51,'Grid Data'!$AA$4:$AA$2342,AC$4,'Grid Data'!$Y$4:$Y$2342,$D$2)*100-AC19, "--")</f>
        <v>--</v>
      </c>
      <c r="AD51" s="5">
        <f>IF(  AD82&gt;$E$2, SUMIFS(IF($G$2="CPR",'Grid Data'!$AH$4:$AH$2342,'Grid Data'!$AI$4:$AI$2342),'Grid Data'!$Z$4:$Z$2342,$D51,'Grid Data'!$AA$4:$AA$2342,AD$4,'Grid Data'!$Y$4:$Y$2342,$D$2)*100-AD19, "--")</f>
        <v>-5.1506000000000007</v>
      </c>
      <c r="AE51" s="5">
        <f>IF(  AE82&gt;$E$2, SUMIFS(IF($G$2="CPR",'Grid Data'!$AH$4:$AH$2342,'Grid Data'!$AI$4:$AI$2342),'Grid Data'!$Z$4:$Z$2342,$D51,'Grid Data'!$AA$4:$AA$2342,AE$4,'Grid Data'!$Y$4:$Y$2342,$D$2)*100-AE19, "--")</f>
        <v>-8.6321999999999992</v>
      </c>
      <c r="AF51" s="5">
        <f>IF(  AF82&gt;$E$2, SUMIFS(IF($G$2="CPR",'Grid Data'!$AH$4:$AH$2342,'Grid Data'!$AI$4:$AI$2342),'Grid Data'!$Z$4:$Z$2342,$D51,'Grid Data'!$AA$4:$AA$2342,AF$4,'Grid Data'!$Y$4:$Y$2342,$D$2)*100-AF19, "--")</f>
        <v>0</v>
      </c>
      <c r="AG51" s="5">
        <f>IF(  AG82&gt;$E$2, SUMIFS(IF($G$2="CPR",'Grid Data'!$AH$4:$AH$2342,'Grid Data'!$AI$4:$AI$2342),'Grid Data'!$Z$4:$Z$2342,$D51,'Grid Data'!$AA$4:$AA$2342,AG$4,'Grid Data'!$Y$4:$Y$2342,$D$2)*100-AG19, "--")</f>
        <v>-8.4708000000000006</v>
      </c>
      <c r="AH51" s="5" t="str">
        <f>IF(  AH82&gt;$E$2, SUMIFS(IF($G$2="CPR",'Grid Data'!$AH$4:$AH$2342,'Grid Data'!$AI$4:$AI$2342),'Grid Data'!$Z$4:$Z$2342,$D51,'Grid Data'!$AA$4:$AA$2342,AH$4,'Grid Data'!$Y$4:$Y$2342,$D$2)*100-AH19, "--")</f>
        <v>--</v>
      </c>
    </row>
    <row r="52" spans="4:34" x14ac:dyDescent="0.35">
      <c r="D52">
        <v>5750</v>
      </c>
      <c r="E52" s="5">
        <f>IF(  E83&gt;$E$2, SUMIFS(IF($G$2="CPR",'Grid Data'!$AH$4:$AH$2342,'Grid Data'!$AI$4:$AI$2342),'Grid Data'!$Z$4:$Z$2342,$D52,'Grid Data'!$AA$4:$AA$2342,E$4,'Grid Data'!$Y$4:$Y$2342,$D$2)*100-E20, "--")</f>
        <v>-2.0990000000000002</v>
      </c>
      <c r="F52" s="5">
        <f>IF(  F83&gt;$E$2, SUMIFS(IF($G$2="CPR",'Grid Data'!$AH$4:$AH$2342,'Grid Data'!$AI$4:$AI$2342),'Grid Data'!$Z$4:$Z$2342,$D52,'Grid Data'!$AA$4:$AA$2342,F$4,'Grid Data'!$Y$4:$Y$2342,$D$2)*100-F20, "--")</f>
        <v>-3.0846</v>
      </c>
      <c r="G52" s="5">
        <f>IF(  G83&gt;$E$2, SUMIFS(IF($G$2="CPR",'Grid Data'!$AH$4:$AH$2342,'Grid Data'!$AI$4:$AI$2342),'Grid Data'!$Z$4:$Z$2342,$D52,'Grid Data'!$AA$4:$AA$2342,G$4,'Grid Data'!$Y$4:$Y$2342,$D$2)*100-G20, "--")</f>
        <v>-25.101099999999999</v>
      </c>
      <c r="H52" s="5">
        <f>IF(  H83&gt;$E$2, SUMIFS(IF($G$2="CPR",'Grid Data'!$AH$4:$AH$2342,'Grid Data'!$AI$4:$AI$2342),'Grid Data'!$Z$4:$Z$2342,$D52,'Grid Data'!$AA$4:$AA$2342,H$4,'Grid Data'!$Y$4:$Y$2342,$D$2)*100-H20, "--")</f>
        <v>-20.263200000000001</v>
      </c>
      <c r="I52" s="5">
        <f>IF(  I83&gt;$E$2, SUMIFS(IF($G$2="CPR",'Grid Data'!$AH$4:$AH$2342,'Grid Data'!$AI$4:$AI$2342),'Grid Data'!$Z$4:$Z$2342,$D52,'Grid Data'!$AA$4:$AA$2342,I$4,'Grid Data'!$Y$4:$Y$2342,$D$2)*100-I20, "--")</f>
        <v>-18.558800000000002</v>
      </c>
      <c r="J52" s="5">
        <f>IF(  J83&gt;$E$2, SUMIFS(IF($G$2="CPR",'Grid Data'!$AH$4:$AH$2342,'Grid Data'!$AI$4:$AI$2342),'Grid Data'!$Z$4:$Z$2342,$D52,'Grid Data'!$AA$4:$AA$2342,J$4,'Grid Data'!$Y$4:$Y$2342,$D$2)*100-J20, "--")</f>
        <v>-18.479799999999997</v>
      </c>
      <c r="K52" s="5">
        <f>IF(  K83&gt;$E$2, SUMIFS(IF($G$2="CPR",'Grid Data'!$AH$4:$AH$2342,'Grid Data'!$AI$4:$AI$2342),'Grid Data'!$Z$4:$Z$2342,$D52,'Grid Data'!$AA$4:$AA$2342,K$4,'Grid Data'!$Y$4:$Y$2342,$D$2)*100-K20, "--")</f>
        <v>-16.394200000000001</v>
      </c>
      <c r="L52" s="5">
        <f>IF(  L83&gt;$E$2, SUMIFS(IF($G$2="CPR",'Grid Data'!$AH$4:$AH$2342,'Grid Data'!$AI$4:$AI$2342),'Grid Data'!$Z$4:$Z$2342,$D52,'Grid Data'!$AA$4:$AA$2342,L$4,'Grid Data'!$Y$4:$Y$2342,$D$2)*100-L20, "--")</f>
        <v>-16.716699999999999</v>
      </c>
      <c r="M52" s="5">
        <f>IF(  M83&gt;$E$2, SUMIFS(IF($G$2="CPR",'Grid Data'!$AH$4:$AH$2342,'Grid Data'!$AI$4:$AI$2342),'Grid Data'!$Z$4:$Z$2342,$D52,'Grid Data'!$AA$4:$AA$2342,M$4,'Grid Data'!$Y$4:$Y$2342,$D$2)*100-M20, "--")</f>
        <v>-16.814999999999998</v>
      </c>
      <c r="N52" s="5">
        <f>IF(  N83&gt;$E$2, SUMIFS(IF($G$2="CPR",'Grid Data'!$AH$4:$AH$2342,'Grid Data'!$AI$4:$AI$2342),'Grid Data'!$Z$4:$Z$2342,$D52,'Grid Data'!$AA$4:$AA$2342,N$4,'Grid Data'!$Y$4:$Y$2342,$D$2)*100-N20, "--")</f>
        <v>-14.896799999999999</v>
      </c>
      <c r="O52" s="5">
        <f>IF(  O83&gt;$E$2, SUMIFS(IF($G$2="CPR",'Grid Data'!$AH$4:$AH$2342,'Grid Data'!$AI$4:$AI$2342),'Grid Data'!$Z$4:$Z$2342,$D52,'Grid Data'!$AA$4:$AA$2342,O$4,'Grid Data'!$Y$4:$Y$2342,$D$2)*100-O20, "--")</f>
        <v>-15.571299999999999</v>
      </c>
      <c r="P52" s="5">
        <f>IF(  P83&gt;$E$2, SUMIFS(IF($G$2="CPR",'Grid Data'!$AH$4:$AH$2342,'Grid Data'!$AI$4:$AI$2342),'Grid Data'!$Z$4:$Z$2342,$D52,'Grid Data'!$AA$4:$AA$2342,P$4,'Grid Data'!$Y$4:$Y$2342,$D$2)*100-P20, "--")</f>
        <v>-18.0473</v>
      </c>
      <c r="Q52" s="5">
        <f>IF(  Q83&gt;$E$2, SUMIFS(IF($G$2="CPR",'Grid Data'!$AH$4:$AH$2342,'Grid Data'!$AI$4:$AI$2342),'Grid Data'!$Z$4:$Z$2342,$D52,'Grid Data'!$AA$4:$AA$2342,Q$4,'Grid Data'!$Y$4:$Y$2342,$D$2)*100-Q20, "--")</f>
        <v>-17.752800000000001</v>
      </c>
      <c r="R52" s="5">
        <f>IF(  R83&gt;$E$2, SUMIFS(IF($G$2="CPR",'Grid Data'!$AH$4:$AH$2342,'Grid Data'!$AI$4:$AI$2342),'Grid Data'!$Z$4:$Z$2342,$D52,'Grid Data'!$AA$4:$AA$2342,R$4,'Grid Data'!$Y$4:$Y$2342,$D$2)*100-R20, "--")</f>
        <v>-17.913399999999999</v>
      </c>
      <c r="S52" s="5">
        <f>IF(  S83&gt;$E$2, SUMIFS(IF($G$2="CPR",'Grid Data'!$AH$4:$AH$2342,'Grid Data'!$AI$4:$AI$2342),'Grid Data'!$Z$4:$Z$2342,$D52,'Grid Data'!$AA$4:$AA$2342,S$4,'Grid Data'!$Y$4:$Y$2342,$D$2)*100-S20, "--")</f>
        <v>-19.145400000000002</v>
      </c>
      <c r="T52" s="5">
        <f>IF(  T83&gt;$E$2, SUMIFS(IF($G$2="CPR",'Grid Data'!$AH$4:$AH$2342,'Grid Data'!$AI$4:$AI$2342),'Grid Data'!$Z$4:$Z$2342,$D52,'Grid Data'!$AA$4:$AA$2342,T$4,'Grid Data'!$Y$4:$Y$2342,$D$2)*100-T20, "--")</f>
        <v>-15.169499999999999</v>
      </c>
      <c r="U52" s="5" t="str">
        <f>IF(  U83&gt;$E$2, SUMIFS(IF($G$2="CPR",'Grid Data'!$AH$4:$AH$2342,'Grid Data'!$AI$4:$AI$2342),'Grid Data'!$Z$4:$Z$2342,$D52,'Grid Data'!$AA$4:$AA$2342,U$4,'Grid Data'!$Y$4:$Y$2342,$D$2)*100-U20, "--")</f>
        <v>--</v>
      </c>
      <c r="V52" s="5" t="str">
        <f>IF(  V83&gt;$E$2, SUMIFS(IF($G$2="CPR",'Grid Data'!$AH$4:$AH$2342,'Grid Data'!$AI$4:$AI$2342),'Grid Data'!$Z$4:$Z$2342,$D52,'Grid Data'!$AA$4:$AA$2342,V$4,'Grid Data'!$Y$4:$Y$2342,$D$2)*100-V20, "--")</f>
        <v>--</v>
      </c>
      <c r="W52" s="5" t="str">
        <f>IF(  W83&gt;$E$2, SUMIFS(IF($G$2="CPR",'Grid Data'!$AH$4:$AH$2342,'Grid Data'!$AI$4:$AI$2342),'Grid Data'!$Z$4:$Z$2342,$D52,'Grid Data'!$AA$4:$AA$2342,W$4,'Grid Data'!$Y$4:$Y$2342,$D$2)*100-W20, "--")</f>
        <v>--</v>
      </c>
      <c r="X52" s="5">
        <f>IF(  X83&gt;$E$2, SUMIFS(IF($G$2="CPR",'Grid Data'!$AH$4:$AH$2342,'Grid Data'!$AI$4:$AI$2342),'Grid Data'!$Z$4:$Z$2342,$D52,'Grid Data'!$AA$4:$AA$2342,X$4,'Grid Data'!$Y$4:$Y$2342,$D$2)*100-X20, "--")</f>
        <v>-12.4842</v>
      </c>
      <c r="Y52" s="5">
        <f>IF(  Y83&gt;$E$2, SUMIFS(IF($G$2="CPR",'Grid Data'!$AH$4:$AH$2342,'Grid Data'!$AI$4:$AI$2342),'Grid Data'!$Z$4:$Z$2342,$D52,'Grid Data'!$AA$4:$AA$2342,Y$4,'Grid Data'!$Y$4:$Y$2342,$D$2)*100-Y20, "--")</f>
        <v>-12.2416</v>
      </c>
      <c r="Z52" s="5" t="str">
        <f>IF(  Z83&gt;$E$2, SUMIFS(IF($G$2="CPR",'Grid Data'!$AH$4:$AH$2342,'Grid Data'!$AI$4:$AI$2342),'Grid Data'!$Z$4:$Z$2342,$D52,'Grid Data'!$AA$4:$AA$2342,Z$4,'Grid Data'!$Y$4:$Y$2342,$D$2)*100-Z20, "--")</f>
        <v>--</v>
      </c>
      <c r="AA52" s="5" t="str">
        <f>IF(  AA83&gt;$E$2, SUMIFS(IF($G$2="CPR",'Grid Data'!$AH$4:$AH$2342,'Grid Data'!$AI$4:$AI$2342),'Grid Data'!$Z$4:$Z$2342,$D52,'Grid Data'!$AA$4:$AA$2342,AA$4,'Grid Data'!$Y$4:$Y$2342,$D$2)*100-AA20, "--")</f>
        <v>--</v>
      </c>
      <c r="AB52" s="5" t="str">
        <f>IF(  AB83&gt;$E$2, SUMIFS(IF($G$2="CPR",'Grid Data'!$AH$4:$AH$2342,'Grid Data'!$AI$4:$AI$2342),'Grid Data'!$Z$4:$Z$2342,$D52,'Grid Data'!$AA$4:$AA$2342,AB$4,'Grid Data'!$Y$4:$Y$2342,$D$2)*100-AB20, "--")</f>
        <v>--</v>
      </c>
      <c r="AC52" s="5" t="str">
        <f>IF(  AC83&gt;$E$2, SUMIFS(IF($G$2="CPR",'Grid Data'!$AH$4:$AH$2342,'Grid Data'!$AI$4:$AI$2342),'Grid Data'!$Z$4:$Z$2342,$D52,'Grid Data'!$AA$4:$AA$2342,AC$4,'Grid Data'!$Y$4:$Y$2342,$D$2)*100-AC20, "--")</f>
        <v>--</v>
      </c>
      <c r="AD52" s="5" t="str">
        <f>IF(  AD83&gt;$E$2, SUMIFS(IF($G$2="CPR",'Grid Data'!$AH$4:$AH$2342,'Grid Data'!$AI$4:$AI$2342),'Grid Data'!$Z$4:$Z$2342,$D52,'Grid Data'!$AA$4:$AA$2342,AD$4,'Grid Data'!$Y$4:$Y$2342,$D$2)*100-AD20, "--")</f>
        <v>--</v>
      </c>
      <c r="AE52" s="5">
        <f>IF(  AE83&gt;$E$2, SUMIFS(IF($G$2="CPR",'Grid Data'!$AH$4:$AH$2342,'Grid Data'!$AI$4:$AI$2342),'Grid Data'!$Z$4:$Z$2342,$D52,'Grid Data'!$AA$4:$AA$2342,AE$4,'Grid Data'!$Y$4:$Y$2342,$D$2)*100-AE20, "--")</f>
        <v>-11.4619</v>
      </c>
      <c r="AF52" s="5">
        <f>IF(  AF83&gt;$E$2, SUMIFS(IF($G$2="CPR",'Grid Data'!$AH$4:$AH$2342,'Grid Data'!$AI$4:$AI$2342),'Grid Data'!$Z$4:$Z$2342,$D52,'Grid Data'!$AA$4:$AA$2342,AF$4,'Grid Data'!$Y$4:$Y$2342,$D$2)*100-AF20, "--")</f>
        <v>0</v>
      </c>
      <c r="AG52" s="5">
        <f>IF(  AG83&gt;$E$2, SUMIFS(IF($G$2="CPR",'Grid Data'!$AH$4:$AH$2342,'Grid Data'!$AI$4:$AI$2342),'Grid Data'!$Z$4:$Z$2342,$D52,'Grid Data'!$AA$4:$AA$2342,AG$4,'Grid Data'!$Y$4:$Y$2342,$D$2)*100-AG20, "--")</f>
        <v>-5.9589999999999996</v>
      </c>
      <c r="AH52" s="5" t="str">
        <f>IF(  AH83&gt;$E$2, SUMIFS(IF($G$2="CPR",'Grid Data'!$AH$4:$AH$2342,'Grid Data'!$AI$4:$AI$2342),'Grid Data'!$Z$4:$Z$2342,$D52,'Grid Data'!$AA$4:$AA$2342,AH$4,'Grid Data'!$Y$4:$Y$2342,$D$2)*100-AH20, "--")</f>
        <v>--</v>
      </c>
    </row>
    <row r="53" spans="4:34" x14ac:dyDescent="0.35">
      <c r="D53">
        <v>6000</v>
      </c>
      <c r="E53" s="5">
        <f>IF(  E84&gt;$E$2, SUMIFS(IF($G$2="CPR",'Grid Data'!$AH$4:$AH$2342,'Grid Data'!$AI$4:$AI$2342),'Grid Data'!$Z$4:$Z$2342,$D53,'Grid Data'!$AA$4:$AA$2342,E$4,'Grid Data'!$Y$4:$Y$2342,$D$2)*100-E21, "--")</f>
        <v>-2.6270000000000002</v>
      </c>
      <c r="F53" s="5">
        <f>IF(  F84&gt;$E$2, SUMIFS(IF($G$2="CPR",'Grid Data'!$AH$4:$AH$2342,'Grid Data'!$AI$4:$AI$2342),'Grid Data'!$Z$4:$Z$2342,$D53,'Grid Data'!$AA$4:$AA$2342,F$4,'Grid Data'!$Y$4:$Y$2342,$D$2)*100-F21, "--")</f>
        <v>-4.7355999999999998</v>
      </c>
      <c r="G53" s="5">
        <f>IF(  G84&gt;$E$2, SUMIFS(IF($G$2="CPR",'Grid Data'!$AH$4:$AH$2342,'Grid Data'!$AI$4:$AI$2342),'Grid Data'!$Z$4:$Z$2342,$D53,'Grid Data'!$AA$4:$AA$2342,G$4,'Grid Data'!$Y$4:$Y$2342,$D$2)*100-G21, "--")</f>
        <v>-53.0533</v>
      </c>
      <c r="H53" s="5">
        <f>IF(  H84&gt;$E$2, SUMIFS(IF($G$2="CPR",'Grid Data'!$AH$4:$AH$2342,'Grid Data'!$AI$4:$AI$2342),'Grid Data'!$Z$4:$Z$2342,$D53,'Grid Data'!$AA$4:$AA$2342,H$4,'Grid Data'!$Y$4:$Y$2342,$D$2)*100-H21, "--")</f>
        <v>-26.453700000000001</v>
      </c>
      <c r="I53" s="5">
        <f>IF(  I84&gt;$E$2, SUMIFS(IF($G$2="CPR",'Grid Data'!$AH$4:$AH$2342,'Grid Data'!$AI$4:$AI$2342),'Grid Data'!$Z$4:$Z$2342,$D53,'Grid Data'!$AA$4:$AA$2342,I$4,'Grid Data'!$Y$4:$Y$2342,$D$2)*100-I21, "--")</f>
        <v>-21.414999999999999</v>
      </c>
      <c r="J53" s="5">
        <f>IF(  J84&gt;$E$2, SUMIFS(IF($G$2="CPR",'Grid Data'!$AH$4:$AH$2342,'Grid Data'!$AI$4:$AI$2342),'Grid Data'!$Z$4:$Z$2342,$D53,'Grid Data'!$AA$4:$AA$2342,J$4,'Grid Data'!$Y$4:$Y$2342,$D$2)*100-J21, "--")</f>
        <v>-22.694200000000002</v>
      </c>
      <c r="K53" s="5">
        <f>IF(  K84&gt;$E$2, SUMIFS(IF($G$2="CPR",'Grid Data'!$AH$4:$AH$2342,'Grid Data'!$AI$4:$AI$2342),'Grid Data'!$Z$4:$Z$2342,$D53,'Grid Data'!$AA$4:$AA$2342,K$4,'Grid Data'!$Y$4:$Y$2342,$D$2)*100-K21, "--")</f>
        <v>-20.482099999999999</v>
      </c>
      <c r="L53" s="5">
        <f>IF(  L84&gt;$E$2, SUMIFS(IF($G$2="CPR",'Grid Data'!$AH$4:$AH$2342,'Grid Data'!$AI$4:$AI$2342),'Grid Data'!$Z$4:$Z$2342,$D53,'Grid Data'!$AA$4:$AA$2342,L$4,'Grid Data'!$Y$4:$Y$2342,$D$2)*100-L21, "--")</f>
        <v>-22.152100000000001</v>
      </c>
      <c r="M53" s="5">
        <f>IF(  M84&gt;$E$2, SUMIFS(IF($G$2="CPR",'Grid Data'!$AH$4:$AH$2342,'Grid Data'!$AI$4:$AI$2342),'Grid Data'!$Z$4:$Z$2342,$D53,'Grid Data'!$AA$4:$AA$2342,M$4,'Grid Data'!$Y$4:$Y$2342,$D$2)*100-M21, "--")</f>
        <v>-16.9025</v>
      </c>
      <c r="N53" s="5">
        <f>IF(  N84&gt;$E$2, SUMIFS(IF($G$2="CPR",'Grid Data'!$AH$4:$AH$2342,'Grid Data'!$AI$4:$AI$2342),'Grid Data'!$Z$4:$Z$2342,$D53,'Grid Data'!$AA$4:$AA$2342,N$4,'Grid Data'!$Y$4:$Y$2342,$D$2)*100-N21, "--")</f>
        <v>-21.830400000000001</v>
      </c>
      <c r="O53" s="5">
        <f>IF(  O84&gt;$E$2, SUMIFS(IF($G$2="CPR",'Grid Data'!$AH$4:$AH$2342,'Grid Data'!$AI$4:$AI$2342),'Grid Data'!$Z$4:$Z$2342,$D53,'Grid Data'!$AA$4:$AA$2342,O$4,'Grid Data'!$Y$4:$Y$2342,$D$2)*100-O21, "--")</f>
        <v>-25.046000000000003</v>
      </c>
      <c r="P53" s="5">
        <f>IF(  P84&gt;$E$2, SUMIFS(IF($G$2="CPR",'Grid Data'!$AH$4:$AH$2342,'Grid Data'!$AI$4:$AI$2342),'Grid Data'!$Z$4:$Z$2342,$D53,'Grid Data'!$AA$4:$AA$2342,P$4,'Grid Data'!$Y$4:$Y$2342,$D$2)*100-P21, "--")</f>
        <v>-27.465</v>
      </c>
      <c r="Q53" s="5">
        <f>IF(  Q84&gt;$E$2, SUMIFS(IF($G$2="CPR",'Grid Data'!$AH$4:$AH$2342,'Grid Data'!$AI$4:$AI$2342),'Grid Data'!$Z$4:$Z$2342,$D53,'Grid Data'!$AA$4:$AA$2342,Q$4,'Grid Data'!$Y$4:$Y$2342,$D$2)*100-Q21, "--")</f>
        <v>-22.215699999999998</v>
      </c>
      <c r="R53" s="5">
        <f>IF(  R84&gt;$E$2, SUMIFS(IF($G$2="CPR",'Grid Data'!$AH$4:$AH$2342,'Grid Data'!$AI$4:$AI$2342),'Grid Data'!$Z$4:$Z$2342,$D53,'Grid Data'!$AA$4:$AA$2342,R$4,'Grid Data'!$Y$4:$Y$2342,$D$2)*100-R21, "--")</f>
        <v>-23.0456</v>
      </c>
      <c r="S53" s="5">
        <f>IF(  S84&gt;$E$2, SUMIFS(IF($G$2="CPR",'Grid Data'!$AH$4:$AH$2342,'Grid Data'!$AI$4:$AI$2342),'Grid Data'!$Z$4:$Z$2342,$D53,'Grid Data'!$AA$4:$AA$2342,S$4,'Grid Data'!$Y$4:$Y$2342,$D$2)*100-S21, "--")</f>
        <v>-22.582899999999999</v>
      </c>
      <c r="T53" s="5">
        <f>IF(  T84&gt;$E$2, SUMIFS(IF($G$2="CPR",'Grid Data'!$AH$4:$AH$2342,'Grid Data'!$AI$4:$AI$2342),'Grid Data'!$Z$4:$Z$2342,$D53,'Grid Data'!$AA$4:$AA$2342,T$4,'Grid Data'!$Y$4:$Y$2342,$D$2)*100-T21, "--")</f>
        <v>-24.416399999999999</v>
      </c>
      <c r="U53" s="5" t="str">
        <f>IF(  U84&gt;$E$2, SUMIFS(IF($G$2="CPR",'Grid Data'!$AH$4:$AH$2342,'Grid Data'!$AI$4:$AI$2342),'Grid Data'!$Z$4:$Z$2342,$D53,'Grid Data'!$AA$4:$AA$2342,U$4,'Grid Data'!$Y$4:$Y$2342,$D$2)*100-U21, "--")</f>
        <v>--</v>
      </c>
      <c r="V53" s="5" t="str">
        <f>IF(  V84&gt;$E$2, SUMIFS(IF($G$2="CPR",'Grid Data'!$AH$4:$AH$2342,'Grid Data'!$AI$4:$AI$2342),'Grid Data'!$Z$4:$Z$2342,$D53,'Grid Data'!$AA$4:$AA$2342,V$4,'Grid Data'!$Y$4:$Y$2342,$D$2)*100-V21, "--")</f>
        <v>--</v>
      </c>
      <c r="W53" s="5" t="str">
        <f>IF(  W84&gt;$E$2, SUMIFS(IF($G$2="CPR",'Grid Data'!$AH$4:$AH$2342,'Grid Data'!$AI$4:$AI$2342),'Grid Data'!$Z$4:$Z$2342,$D53,'Grid Data'!$AA$4:$AA$2342,W$4,'Grid Data'!$Y$4:$Y$2342,$D$2)*100-W21, "--")</f>
        <v>--</v>
      </c>
      <c r="X53" s="5" t="str">
        <f>IF(  X84&gt;$E$2, SUMIFS(IF($G$2="CPR",'Grid Data'!$AH$4:$AH$2342,'Grid Data'!$AI$4:$AI$2342),'Grid Data'!$Z$4:$Z$2342,$D53,'Grid Data'!$AA$4:$AA$2342,X$4,'Grid Data'!$Y$4:$Y$2342,$D$2)*100-X21, "--")</f>
        <v>--</v>
      </c>
      <c r="Y53" s="5" t="str">
        <f>IF(  Y84&gt;$E$2, SUMIFS(IF($G$2="CPR",'Grid Data'!$AH$4:$AH$2342,'Grid Data'!$AI$4:$AI$2342),'Grid Data'!$Z$4:$Z$2342,$D53,'Grid Data'!$AA$4:$AA$2342,Y$4,'Grid Data'!$Y$4:$Y$2342,$D$2)*100-Y21, "--")</f>
        <v>--</v>
      </c>
      <c r="Z53" s="5" t="str">
        <f>IF(  Z84&gt;$E$2, SUMIFS(IF($G$2="CPR",'Grid Data'!$AH$4:$AH$2342,'Grid Data'!$AI$4:$AI$2342),'Grid Data'!$Z$4:$Z$2342,$D53,'Grid Data'!$AA$4:$AA$2342,Z$4,'Grid Data'!$Y$4:$Y$2342,$D$2)*100-Z21, "--")</f>
        <v>--</v>
      </c>
      <c r="AA53" s="5" t="str">
        <f>IF(  AA84&gt;$E$2, SUMIFS(IF($G$2="CPR",'Grid Data'!$AH$4:$AH$2342,'Grid Data'!$AI$4:$AI$2342),'Grid Data'!$Z$4:$Z$2342,$D53,'Grid Data'!$AA$4:$AA$2342,AA$4,'Grid Data'!$Y$4:$Y$2342,$D$2)*100-AA21, "--")</f>
        <v>--</v>
      </c>
      <c r="AB53" s="5" t="str">
        <f>IF(  AB84&gt;$E$2, SUMIFS(IF($G$2="CPR",'Grid Data'!$AH$4:$AH$2342,'Grid Data'!$AI$4:$AI$2342),'Grid Data'!$Z$4:$Z$2342,$D53,'Grid Data'!$AA$4:$AA$2342,AB$4,'Grid Data'!$Y$4:$Y$2342,$D$2)*100-AB21, "--")</f>
        <v>--</v>
      </c>
      <c r="AC53" s="5" t="str">
        <f>IF(  AC84&gt;$E$2, SUMIFS(IF($G$2="CPR",'Grid Data'!$AH$4:$AH$2342,'Grid Data'!$AI$4:$AI$2342),'Grid Data'!$Z$4:$Z$2342,$D53,'Grid Data'!$AA$4:$AA$2342,AC$4,'Grid Data'!$Y$4:$Y$2342,$D$2)*100-AC21, "--")</f>
        <v>--</v>
      </c>
      <c r="AD53" s="5" t="str">
        <f>IF(  AD84&gt;$E$2, SUMIFS(IF($G$2="CPR",'Grid Data'!$AH$4:$AH$2342,'Grid Data'!$AI$4:$AI$2342),'Grid Data'!$Z$4:$Z$2342,$D53,'Grid Data'!$AA$4:$AA$2342,AD$4,'Grid Data'!$Y$4:$Y$2342,$D$2)*100-AD21, "--")</f>
        <v>--</v>
      </c>
      <c r="AE53" s="5">
        <f>IF(  AE84&gt;$E$2, SUMIFS(IF($G$2="CPR",'Grid Data'!$AH$4:$AH$2342,'Grid Data'!$AI$4:$AI$2342),'Grid Data'!$Z$4:$Z$2342,$D53,'Grid Data'!$AA$4:$AA$2342,AE$4,'Grid Data'!$Y$4:$Y$2342,$D$2)*100-AE21, "--")</f>
        <v>-10.0238</v>
      </c>
      <c r="AF53" s="5">
        <f>IF(  AF84&gt;$E$2, SUMIFS(IF($G$2="CPR",'Grid Data'!$AH$4:$AH$2342,'Grid Data'!$AI$4:$AI$2342),'Grid Data'!$Z$4:$Z$2342,$D53,'Grid Data'!$AA$4:$AA$2342,AF$4,'Grid Data'!$Y$4:$Y$2342,$D$2)*100-AF21, "--")</f>
        <v>-8.9784000000000006</v>
      </c>
      <c r="AG53" s="5">
        <f>IF(  AG84&gt;$E$2, SUMIFS(IF($G$2="CPR",'Grid Data'!$AH$4:$AH$2342,'Grid Data'!$AI$4:$AI$2342),'Grid Data'!$Z$4:$Z$2342,$D53,'Grid Data'!$AA$4:$AA$2342,AG$4,'Grid Data'!$Y$4:$Y$2342,$D$2)*100-AG21, "--")</f>
        <v>-6.7982000000000005</v>
      </c>
      <c r="AH53" s="5" t="str">
        <f>IF(  AH84&gt;$E$2, SUMIFS(IF($G$2="CPR",'Grid Data'!$AH$4:$AH$2342,'Grid Data'!$AI$4:$AI$2342),'Grid Data'!$Z$4:$Z$2342,$D53,'Grid Data'!$AA$4:$AA$2342,AH$4,'Grid Data'!$Y$4:$Y$2342,$D$2)*100-AH21, "--")</f>
        <v>--</v>
      </c>
    </row>
    <row r="54" spans="4:34" x14ac:dyDescent="0.35">
      <c r="D54">
        <v>6250</v>
      </c>
      <c r="E54" s="5">
        <f>IF(  E85&gt;$E$2, SUMIFS(IF($G$2="CPR",'Grid Data'!$AH$4:$AH$2342,'Grid Data'!$AI$4:$AI$2342),'Grid Data'!$Z$4:$Z$2342,$D54,'Grid Data'!$AA$4:$AA$2342,E$4,'Grid Data'!$Y$4:$Y$2342,$D$2)*100-E22, "--")</f>
        <v>-2.7195</v>
      </c>
      <c r="F54" s="5">
        <f>IF(  F85&gt;$E$2, SUMIFS(IF($G$2="CPR",'Grid Data'!$AH$4:$AH$2342,'Grid Data'!$AI$4:$AI$2342),'Grid Data'!$Z$4:$Z$2342,$D54,'Grid Data'!$AA$4:$AA$2342,F$4,'Grid Data'!$Y$4:$Y$2342,$D$2)*100-F22, "--")</f>
        <v>-4.0377999999999998</v>
      </c>
      <c r="G54" s="5">
        <f>IF(  G85&gt;$E$2, SUMIFS(IF($G$2="CPR",'Grid Data'!$AH$4:$AH$2342,'Grid Data'!$AI$4:$AI$2342),'Grid Data'!$Z$4:$Z$2342,$D54,'Grid Data'!$AA$4:$AA$2342,G$4,'Grid Data'!$Y$4:$Y$2342,$D$2)*100-G22, "--")</f>
        <v>-78.003599999999992</v>
      </c>
      <c r="H54" s="5">
        <f>IF(  H85&gt;$E$2, SUMIFS(IF($G$2="CPR",'Grid Data'!$AH$4:$AH$2342,'Grid Data'!$AI$4:$AI$2342),'Grid Data'!$Z$4:$Z$2342,$D54,'Grid Data'!$AA$4:$AA$2342,H$4,'Grid Data'!$Y$4:$Y$2342,$D$2)*100-H22, "--")</f>
        <v>-43.0505</v>
      </c>
      <c r="I54" s="5">
        <f>IF(  I85&gt;$E$2, SUMIFS(IF($G$2="CPR",'Grid Data'!$AH$4:$AH$2342,'Grid Data'!$AI$4:$AI$2342),'Grid Data'!$Z$4:$Z$2342,$D54,'Grid Data'!$AA$4:$AA$2342,I$4,'Grid Data'!$Y$4:$Y$2342,$D$2)*100-I22, "--")</f>
        <v>-31.770799999999998</v>
      </c>
      <c r="J54" s="5">
        <f>IF(  J85&gt;$E$2, SUMIFS(IF($G$2="CPR",'Grid Data'!$AH$4:$AH$2342,'Grid Data'!$AI$4:$AI$2342),'Grid Data'!$Z$4:$Z$2342,$D54,'Grid Data'!$AA$4:$AA$2342,J$4,'Grid Data'!$Y$4:$Y$2342,$D$2)*100-J22, "--")</f>
        <v>-31.509399999999999</v>
      </c>
      <c r="K54" s="5">
        <f>IF(  K85&gt;$E$2, SUMIFS(IF($G$2="CPR",'Grid Data'!$AH$4:$AH$2342,'Grid Data'!$AI$4:$AI$2342),'Grid Data'!$Z$4:$Z$2342,$D54,'Grid Data'!$AA$4:$AA$2342,K$4,'Grid Data'!$Y$4:$Y$2342,$D$2)*100-K22, "--")</f>
        <v>-32.111699999999999</v>
      </c>
      <c r="L54" s="5">
        <f>IF(  L85&gt;$E$2, SUMIFS(IF($G$2="CPR",'Grid Data'!$AH$4:$AH$2342,'Grid Data'!$AI$4:$AI$2342),'Grid Data'!$Z$4:$Z$2342,$D54,'Grid Data'!$AA$4:$AA$2342,L$4,'Grid Data'!$Y$4:$Y$2342,$D$2)*100-L22, "--")</f>
        <v>-29.012900000000002</v>
      </c>
      <c r="M54" s="5">
        <f>IF(  M85&gt;$E$2, SUMIFS(IF($G$2="CPR",'Grid Data'!$AH$4:$AH$2342,'Grid Data'!$AI$4:$AI$2342),'Grid Data'!$Z$4:$Z$2342,$D54,'Grid Data'!$AA$4:$AA$2342,M$4,'Grid Data'!$Y$4:$Y$2342,$D$2)*100-M22, "--")</f>
        <v>-27.913</v>
      </c>
      <c r="N54" s="5">
        <f>IF(  N85&gt;$E$2, SUMIFS(IF($G$2="CPR",'Grid Data'!$AH$4:$AH$2342,'Grid Data'!$AI$4:$AI$2342),'Grid Data'!$Z$4:$Z$2342,$D54,'Grid Data'!$AA$4:$AA$2342,N$4,'Grid Data'!$Y$4:$Y$2342,$D$2)*100-N22, "--")</f>
        <v>-27.455000000000002</v>
      </c>
      <c r="O54" s="5">
        <f>IF(  O85&gt;$E$2, SUMIFS(IF($G$2="CPR",'Grid Data'!$AH$4:$AH$2342,'Grid Data'!$AI$4:$AI$2342),'Grid Data'!$Z$4:$Z$2342,$D54,'Grid Data'!$AA$4:$AA$2342,O$4,'Grid Data'!$Y$4:$Y$2342,$D$2)*100-O22, "--")</f>
        <v>-28.798400000000001</v>
      </c>
      <c r="P54" s="5">
        <f>IF(  P85&gt;$E$2, SUMIFS(IF($G$2="CPR",'Grid Data'!$AH$4:$AH$2342,'Grid Data'!$AI$4:$AI$2342),'Grid Data'!$Z$4:$Z$2342,$D54,'Grid Data'!$AA$4:$AA$2342,P$4,'Grid Data'!$Y$4:$Y$2342,$D$2)*100-P22, "--")</f>
        <v>-29.462500000000002</v>
      </c>
      <c r="Q54" s="5">
        <f>IF(  Q85&gt;$E$2, SUMIFS(IF($G$2="CPR",'Grid Data'!$AH$4:$AH$2342,'Grid Data'!$AI$4:$AI$2342),'Grid Data'!$Z$4:$Z$2342,$D54,'Grid Data'!$AA$4:$AA$2342,Q$4,'Grid Data'!$Y$4:$Y$2342,$D$2)*100-Q22, "--")</f>
        <v>-27.3049</v>
      </c>
      <c r="R54" s="5">
        <f>IF(  R85&gt;$E$2, SUMIFS(IF($G$2="CPR",'Grid Data'!$AH$4:$AH$2342,'Grid Data'!$AI$4:$AI$2342),'Grid Data'!$Z$4:$Z$2342,$D54,'Grid Data'!$AA$4:$AA$2342,R$4,'Grid Data'!$Y$4:$Y$2342,$D$2)*100-R22, "--")</f>
        <v>-27.686899999999998</v>
      </c>
      <c r="S54" s="5">
        <f>IF(  S85&gt;$E$2, SUMIFS(IF($G$2="CPR",'Grid Data'!$AH$4:$AH$2342,'Grid Data'!$AI$4:$AI$2342),'Grid Data'!$Z$4:$Z$2342,$D54,'Grid Data'!$AA$4:$AA$2342,S$4,'Grid Data'!$Y$4:$Y$2342,$D$2)*100-S22, "--")</f>
        <v>-26.807399999999998</v>
      </c>
      <c r="T54" s="5">
        <f>IF(  T85&gt;$E$2, SUMIFS(IF($G$2="CPR",'Grid Data'!$AH$4:$AH$2342,'Grid Data'!$AI$4:$AI$2342),'Grid Data'!$Z$4:$Z$2342,$D54,'Grid Data'!$AA$4:$AA$2342,T$4,'Grid Data'!$Y$4:$Y$2342,$D$2)*100-T22, "--")</f>
        <v>-26.352599999999999</v>
      </c>
      <c r="U54" s="5" t="str">
        <f>IF(  U85&gt;$E$2, SUMIFS(IF($G$2="CPR",'Grid Data'!$AH$4:$AH$2342,'Grid Data'!$AI$4:$AI$2342),'Grid Data'!$Z$4:$Z$2342,$D54,'Grid Data'!$AA$4:$AA$2342,U$4,'Grid Data'!$Y$4:$Y$2342,$D$2)*100-U22, "--")</f>
        <v>--</v>
      </c>
      <c r="V54" s="5" t="str">
        <f>IF(  V85&gt;$E$2, SUMIFS(IF($G$2="CPR",'Grid Data'!$AH$4:$AH$2342,'Grid Data'!$AI$4:$AI$2342),'Grid Data'!$Z$4:$Z$2342,$D54,'Grid Data'!$AA$4:$AA$2342,V$4,'Grid Data'!$Y$4:$Y$2342,$D$2)*100-V22, "--")</f>
        <v>--</v>
      </c>
      <c r="W54" s="5" t="str">
        <f>IF(  W85&gt;$E$2, SUMIFS(IF($G$2="CPR",'Grid Data'!$AH$4:$AH$2342,'Grid Data'!$AI$4:$AI$2342),'Grid Data'!$Z$4:$Z$2342,$D54,'Grid Data'!$AA$4:$AA$2342,W$4,'Grid Data'!$Y$4:$Y$2342,$D$2)*100-W22, "--")</f>
        <v>--</v>
      </c>
      <c r="X54" s="5" t="str">
        <f>IF(  X85&gt;$E$2, SUMIFS(IF($G$2="CPR",'Grid Data'!$AH$4:$AH$2342,'Grid Data'!$AI$4:$AI$2342),'Grid Data'!$Z$4:$Z$2342,$D54,'Grid Data'!$AA$4:$AA$2342,X$4,'Grid Data'!$Y$4:$Y$2342,$D$2)*100-X22, "--")</f>
        <v>--</v>
      </c>
      <c r="Y54" s="5" t="str">
        <f>IF(  Y85&gt;$E$2, SUMIFS(IF($G$2="CPR",'Grid Data'!$AH$4:$AH$2342,'Grid Data'!$AI$4:$AI$2342),'Grid Data'!$Z$4:$Z$2342,$D54,'Grid Data'!$AA$4:$AA$2342,Y$4,'Grid Data'!$Y$4:$Y$2342,$D$2)*100-Y22, "--")</f>
        <v>--</v>
      </c>
      <c r="Z54" s="5" t="str">
        <f>IF(  Z85&gt;$E$2, SUMIFS(IF($G$2="CPR",'Grid Data'!$AH$4:$AH$2342,'Grid Data'!$AI$4:$AI$2342),'Grid Data'!$Z$4:$Z$2342,$D54,'Grid Data'!$AA$4:$AA$2342,Z$4,'Grid Data'!$Y$4:$Y$2342,$D$2)*100-Z22, "--")</f>
        <v>--</v>
      </c>
      <c r="AA54" s="5" t="str">
        <f>IF(  AA85&gt;$E$2, SUMIFS(IF($G$2="CPR",'Grid Data'!$AH$4:$AH$2342,'Grid Data'!$AI$4:$AI$2342),'Grid Data'!$Z$4:$Z$2342,$D54,'Grid Data'!$AA$4:$AA$2342,AA$4,'Grid Data'!$Y$4:$Y$2342,$D$2)*100-AA22, "--")</f>
        <v>--</v>
      </c>
      <c r="AB54" s="5" t="str">
        <f>IF(  AB85&gt;$E$2, SUMIFS(IF($G$2="CPR",'Grid Data'!$AH$4:$AH$2342,'Grid Data'!$AI$4:$AI$2342),'Grid Data'!$Z$4:$Z$2342,$D54,'Grid Data'!$AA$4:$AA$2342,AB$4,'Grid Data'!$Y$4:$Y$2342,$D$2)*100-AB22, "--")</f>
        <v>--</v>
      </c>
      <c r="AC54" s="5" t="str">
        <f>IF(  AC85&gt;$E$2, SUMIFS(IF($G$2="CPR",'Grid Data'!$AH$4:$AH$2342,'Grid Data'!$AI$4:$AI$2342),'Grid Data'!$Z$4:$Z$2342,$D54,'Grid Data'!$AA$4:$AA$2342,AC$4,'Grid Data'!$Y$4:$Y$2342,$D$2)*100-AC22, "--")</f>
        <v>--</v>
      </c>
      <c r="AD54" s="5" t="str">
        <f>IF(  AD85&gt;$E$2, SUMIFS(IF($G$2="CPR",'Grid Data'!$AH$4:$AH$2342,'Grid Data'!$AI$4:$AI$2342),'Grid Data'!$Z$4:$Z$2342,$D54,'Grid Data'!$AA$4:$AA$2342,AD$4,'Grid Data'!$Y$4:$Y$2342,$D$2)*100-AD22, "--")</f>
        <v>--</v>
      </c>
      <c r="AE54" s="5">
        <f>IF(  AE85&gt;$E$2, SUMIFS(IF($G$2="CPR",'Grid Data'!$AH$4:$AH$2342,'Grid Data'!$AI$4:$AI$2342),'Grid Data'!$Z$4:$Z$2342,$D54,'Grid Data'!$AA$4:$AA$2342,AE$4,'Grid Data'!$Y$4:$Y$2342,$D$2)*100-AE22, "--")</f>
        <v>-20.819900000000001</v>
      </c>
      <c r="AF54" s="5">
        <f>IF(  AF85&gt;$E$2, SUMIFS(IF($G$2="CPR",'Grid Data'!$AH$4:$AH$2342,'Grid Data'!$AI$4:$AI$2342),'Grid Data'!$Z$4:$Z$2342,$D54,'Grid Data'!$AA$4:$AA$2342,AF$4,'Grid Data'!$Y$4:$Y$2342,$D$2)*100-AF22, "--")</f>
        <v>-2.8872</v>
      </c>
      <c r="AG54" s="5">
        <f>IF(  AG85&gt;$E$2, SUMIFS(IF($G$2="CPR",'Grid Data'!$AH$4:$AH$2342,'Grid Data'!$AI$4:$AI$2342),'Grid Data'!$Z$4:$Z$2342,$D54,'Grid Data'!$AA$4:$AA$2342,AG$4,'Grid Data'!$Y$4:$Y$2342,$D$2)*100-AG22, "--")</f>
        <v>-4.7098000000000004</v>
      </c>
      <c r="AH54" s="5" t="str">
        <f>IF(  AH85&gt;$E$2, SUMIFS(IF($G$2="CPR",'Grid Data'!$AH$4:$AH$2342,'Grid Data'!$AI$4:$AI$2342),'Grid Data'!$Z$4:$Z$2342,$D54,'Grid Data'!$AA$4:$AA$2342,AH$4,'Grid Data'!$Y$4:$Y$2342,$D$2)*100-AH22, "--")</f>
        <v>--</v>
      </c>
    </row>
    <row r="55" spans="4:34" x14ac:dyDescent="0.35">
      <c r="D55">
        <v>6500</v>
      </c>
      <c r="E55" s="5">
        <f>IF(  E86&gt;$E$2, SUMIFS(IF($G$2="CPR",'Grid Data'!$AH$4:$AH$2342,'Grid Data'!$AI$4:$AI$2342),'Grid Data'!$Z$4:$Z$2342,$D55,'Grid Data'!$AA$4:$AA$2342,E$4,'Grid Data'!$Y$4:$Y$2342,$D$2)*100-E23, "--")</f>
        <v>-2.6663999999999999</v>
      </c>
      <c r="F55" s="5">
        <f>IF(  F86&gt;$E$2, SUMIFS(IF($G$2="CPR",'Grid Data'!$AH$4:$AH$2342,'Grid Data'!$AI$4:$AI$2342),'Grid Data'!$Z$4:$Z$2342,$D55,'Grid Data'!$AA$4:$AA$2342,F$4,'Grid Data'!$Y$4:$Y$2342,$D$2)*100-F23, "--")</f>
        <v>-3.7815000000000003</v>
      </c>
      <c r="G55" s="5">
        <f>IF(  G86&gt;$E$2, SUMIFS(IF($G$2="CPR",'Grid Data'!$AH$4:$AH$2342,'Grid Data'!$AI$4:$AI$2342),'Grid Data'!$Z$4:$Z$2342,$D55,'Grid Data'!$AA$4:$AA$2342,G$4,'Grid Data'!$Y$4:$Y$2342,$D$2)*100-G23, "--")</f>
        <v>-91.552599999999998</v>
      </c>
      <c r="H55" s="5">
        <f>IF(  H86&gt;$E$2, SUMIFS(IF($G$2="CPR",'Grid Data'!$AH$4:$AH$2342,'Grid Data'!$AI$4:$AI$2342),'Grid Data'!$Z$4:$Z$2342,$D55,'Grid Data'!$AA$4:$AA$2342,H$4,'Grid Data'!$Y$4:$Y$2342,$D$2)*100-H23, "--")</f>
        <v>-52.545400000000001</v>
      </c>
      <c r="I55" s="5">
        <f>IF(  I86&gt;$E$2, SUMIFS(IF($G$2="CPR",'Grid Data'!$AH$4:$AH$2342,'Grid Data'!$AI$4:$AI$2342),'Grid Data'!$Z$4:$Z$2342,$D55,'Grid Data'!$AA$4:$AA$2342,I$4,'Grid Data'!$Y$4:$Y$2342,$D$2)*100-I23, "--")</f>
        <v>-41.238700000000001</v>
      </c>
      <c r="J55" s="5">
        <f>IF(  J86&gt;$E$2, SUMIFS(IF($G$2="CPR",'Grid Data'!$AH$4:$AH$2342,'Grid Data'!$AI$4:$AI$2342),'Grid Data'!$Z$4:$Z$2342,$D55,'Grid Data'!$AA$4:$AA$2342,J$4,'Grid Data'!$Y$4:$Y$2342,$D$2)*100-J23, "--")</f>
        <v>-43.668700000000001</v>
      </c>
      <c r="K55" s="5">
        <f>IF(  K86&gt;$E$2, SUMIFS(IF($G$2="CPR",'Grid Data'!$AH$4:$AH$2342,'Grid Data'!$AI$4:$AI$2342),'Grid Data'!$Z$4:$Z$2342,$D55,'Grid Data'!$AA$4:$AA$2342,K$4,'Grid Data'!$Y$4:$Y$2342,$D$2)*100-K23, "--")</f>
        <v>-43.339399999999998</v>
      </c>
      <c r="L55" s="5">
        <f>IF(  L86&gt;$E$2, SUMIFS(IF($G$2="CPR",'Grid Data'!$AH$4:$AH$2342,'Grid Data'!$AI$4:$AI$2342),'Grid Data'!$Z$4:$Z$2342,$D55,'Grid Data'!$AA$4:$AA$2342,L$4,'Grid Data'!$Y$4:$Y$2342,$D$2)*100-L23, "--")</f>
        <v>-28.404299999999999</v>
      </c>
      <c r="M55" s="5">
        <f>IF(  M86&gt;$E$2, SUMIFS(IF($G$2="CPR",'Grid Data'!$AH$4:$AH$2342,'Grid Data'!$AI$4:$AI$2342),'Grid Data'!$Z$4:$Z$2342,$D55,'Grid Data'!$AA$4:$AA$2342,M$4,'Grid Data'!$Y$4:$Y$2342,$D$2)*100-M23, "--")</f>
        <v>-35.278599999999997</v>
      </c>
      <c r="N55" s="5">
        <f>IF(  N86&gt;$E$2, SUMIFS(IF($G$2="CPR",'Grid Data'!$AH$4:$AH$2342,'Grid Data'!$AI$4:$AI$2342),'Grid Data'!$Z$4:$Z$2342,$D55,'Grid Data'!$AA$4:$AA$2342,N$4,'Grid Data'!$Y$4:$Y$2342,$D$2)*100-N23, "--")</f>
        <v>-22.163699999999999</v>
      </c>
      <c r="O55" s="5">
        <f>IF(  O86&gt;$E$2, SUMIFS(IF($G$2="CPR",'Grid Data'!$AH$4:$AH$2342,'Grid Data'!$AI$4:$AI$2342),'Grid Data'!$Z$4:$Z$2342,$D55,'Grid Data'!$AA$4:$AA$2342,O$4,'Grid Data'!$Y$4:$Y$2342,$D$2)*100-O23, "--")</f>
        <v>-30.947700000000001</v>
      </c>
      <c r="P55" s="5">
        <f>IF(  P86&gt;$E$2, SUMIFS(IF($G$2="CPR",'Grid Data'!$AH$4:$AH$2342,'Grid Data'!$AI$4:$AI$2342),'Grid Data'!$Z$4:$Z$2342,$D55,'Grid Data'!$AA$4:$AA$2342,P$4,'Grid Data'!$Y$4:$Y$2342,$D$2)*100-P23, "--")</f>
        <v>-35.891500000000001</v>
      </c>
      <c r="Q55" s="5">
        <f>IF(  Q86&gt;$E$2, SUMIFS(IF($G$2="CPR",'Grid Data'!$AH$4:$AH$2342,'Grid Data'!$AI$4:$AI$2342),'Grid Data'!$Z$4:$Z$2342,$D55,'Grid Data'!$AA$4:$AA$2342,Q$4,'Grid Data'!$Y$4:$Y$2342,$D$2)*100-Q23, "--")</f>
        <v>-32.0289</v>
      </c>
      <c r="R55" s="5">
        <f>IF(  R86&gt;$E$2, SUMIFS(IF($G$2="CPR",'Grid Data'!$AH$4:$AH$2342,'Grid Data'!$AI$4:$AI$2342),'Grid Data'!$Z$4:$Z$2342,$D55,'Grid Data'!$AA$4:$AA$2342,R$4,'Grid Data'!$Y$4:$Y$2342,$D$2)*100-R23, "--")</f>
        <v>-32.684999999999995</v>
      </c>
      <c r="S55" s="5">
        <f>IF(  S86&gt;$E$2, SUMIFS(IF($G$2="CPR",'Grid Data'!$AH$4:$AH$2342,'Grid Data'!$AI$4:$AI$2342),'Grid Data'!$Z$4:$Z$2342,$D55,'Grid Data'!$AA$4:$AA$2342,S$4,'Grid Data'!$Y$4:$Y$2342,$D$2)*100-S23, "--")</f>
        <v>-29.863600000000002</v>
      </c>
      <c r="T55" s="5">
        <f>IF(  T86&gt;$E$2, SUMIFS(IF($G$2="CPR",'Grid Data'!$AH$4:$AH$2342,'Grid Data'!$AI$4:$AI$2342),'Grid Data'!$Z$4:$Z$2342,$D55,'Grid Data'!$AA$4:$AA$2342,T$4,'Grid Data'!$Y$4:$Y$2342,$D$2)*100-T23, "--")</f>
        <v>-48.3093</v>
      </c>
      <c r="U55" s="5" t="str">
        <f>IF(  U86&gt;$E$2, SUMIFS(IF($G$2="CPR",'Grid Data'!$AH$4:$AH$2342,'Grid Data'!$AI$4:$AI$2342),'Grid Data'!$Z$4:$Z$2342,$D55,'Grid Data'!$AA$4:$AA$2342,U$4,'Grid Data'!$Y$4:$Y$2342,$D$2)*100-U23, "--")</f>
        <v>--</v>
      </c>
      <c r="V55" s="5" t="str">
        <f>IF(  V86&gt;$E$2, SUMIFS(IF($G$2="CPR",'Grid Data'!$AH$4:$AH$2342,'Grid Data'!$AI$4:$AI$2342),'Grid Data'!$Z$4:$Z$2342,$D55,'Grid Data'!$AA$4:$AA$2342,V$4,'Grid Data'!$Y$4:$Y$2342,$D$2)*100-V23, "--")</f>
        <v>--</v>
      </c>
      <c r="W55" s="5" t="str">
        <f>IF(  W86&gt;$E$2, SUMIFS(IF($G$2="CPR",'Grid Data'!$AH$4:$AH$2342,'Grid Data'!$AI$4:$AI$2342),'Grid Data'!$Z$4:$Z$2342,$D55,'Grid Data'!$AA$4:$AA$2342,W$4,'Grid Data'!$Y$4:$Y$2342,$D$2)*100-W23, "--")</f>
        <v>--</v>
      </c>
      <c r="X55" s="5" t="str">
        <f>IF(  X86&gt;$E$2, SUMIFS(IF($G$2="CPR",'Grid Data'!$AH$4:$AH$2342,'Grid Data'!$AI$4:$AI$2342),'Grid Data'!$Z$4:$Z$2342,$D55,'Grid Data'!$AA$4:$AA$2342,X$4,'Grid Data'!$Y$4:$Y$2342,$D$2)*100-X23, "--")</f>
        <v>--</v>
      </c>
      <c r="Y55" s="5" t="str">
        <f>IF(  Y86&gt;$E$2, SUMIFS(IF($G$2="CPR",'Grid Data'!$AH$4:$AH$2342,'Grid Data'!$AI$4:$AI$2342),'Grid Data'!$Z$4:$Z$2342,$D55,'Grid Data'!$AA$4:$AA$2342,Y$4,'Grid Data'!$Y$4:$Y$2342,$D$2)*100-Y23, "--")</f>
        <v>--</v>
      </c>
      <c r="Z55" s="5" t="str">
        <f>IF(  Z86&gt;$E$2, SUMIFS(IF($G$2="CPR",'Grid Data'!$AH$4:$AH$2342,'Grid Data'!$AI$4:$AI$2342),'Grid Data'!$Z$4:$Z$2342,$D55,'Grid Data'!$AA$4:$AA$2342,Z$4,'Grid Data'!$Y$4:$Y$2342,$D$2)*100-Z23, "--")</f>
        <v>--</v>
      </c>
      <c r="AA55" s="5" t="str">
        <f>IF(  AA86&gt;$E$2, SUMIFS(IF($G$2="CPR",'Grid Data'!$AH$4:$AH$2342,'Grid Data'!$AI$4:$AI$2342),'Grid Data'!$Z$4:$Z$2342,$D55,'Grid Data'!$AA$4:$AA$2342,AA$4,'Grid Data'!$Y$4:$Y$2342,$D$2)*100-AA23, "--")</f>
        <v>--</v>
      </c>
      <c r="AB55" s="5" t="str">
        <f>IF(  AB86&gt;$E$2, SUMIFS(IF($G$2="CPR",'Grid Data'!$AH$4:$AH$2342,'Grid Data'!$AI$4:$AI$2342),'Grid Data'!$Z$4:$Z$2342,$D55,'Grid Data'!$AA$4:$AA$2342,AB$4,'Grid Data'!$Y$4:$Y$2342,$D$2)*100-AB23, "--")</f>
        <v>--</v>
      </c>
      <c r="AC55" s="5" t="str">
        <f>IF(  AC86&gt;$E$2, SUMIFS(IF($G$2="CPR",'Grid Data'!$AH$4:$AH$2342,'Grid Data'!$AI$4:$AI$2342),'Grid Data'!$Z$4:$Z$2342,$D55,'Grid Data'!$AA$4:$AA$2342,AC$4,'Grid Data'!$Y$4:$Y$2342,$D$2)*100-AC23, "--")</f>
        <v>--</v>
      </c>
      <c r="AD55" s="5" t="str">
        <f>IF(  AD86&gt;$E$2, SUMIFS(IF($G$2="CPR",'Grid Data'!$AH$4:$AH$2342,'Grid Data'!$AI$4:$AI$2342),'Grid Data'!$Z$4:$Z$2342,$D55,'Grid Data'!$AA$4:$AA$2342,AD$4,'Grid Data'!$Y$4:$Y$2342,$D$2)*100-AD23, "--")</f>
        <v>--</v>
      </c>
      <c r="AE55" s="5">
        <f>IF(  AE86&gt;$E$2, SUMIFS(IF($G$2="CPR",'Grid Data'!$AH$4:$AH$2342,'Grid Data'!$AI$4:$AI$2342),'Grid Data'!$Z$4:$Z$2342,$D55,'Grid Data'!$AA$4:$AA$2342,AE$4,'Grid Data'!$Y$4:$Y$2342,$D$2)*100-AE23, "--")</f>
        <v>-5.3224999999999998</v>
      </c>
      <c r="AF55" s="5">
        <f>IF(  AF86&gt;$E$2, SUMIFS(IF($G$2="CPR",'Grid Data'!$AH$4:$AH$2342,'Grid Data'!$AI$4:$AI$2342),'Grid Data'!$Z$4:$Z$2342,$D55,'Grid Data'!$AA$4:$AA$2342,AF$4,'Grid Data'!$Y$4:$Y$2342,$D$2)*100-AF23, "--")</f>
        <v>-5.2728999999999999</v>
      </c>
      <c r="AG55" s="5">
        <f>IF(  AG86&gt;$E$2, SUMIFS(IF($G$2="CPR",'Grid Data'!$AH$4:$AH$2342,'Grid Data'!$AI$4:$AI$2342),'Grid Data'!$Z$4:$Z$2342,$D55,'Grid Data'!$AA$4:$AA$2342,AG$4,'Grid Data'!$Y$4:$Y$2342,$D$2)*100-AG23, "--")</f>
        <v>-7.1128</v>
      </c>
      <c r="AH55" s="5">
        <f>IF(  AH86&gt;$E$2, SUMIFS(IF($G$2="CPR",'Grid Data'!$AH$4:$AH$2342,'Grid Data'!$AI$4:$AI$2342),'Grid Data'!$Z$4:$Z$2342,$D55,'Grid Data'!$AA$4:$AA$2342,AH$4,'Grid Data'!$Y$4:$Y$2342,$D$2)*100-AH23, "--")</f>
        <v>-5.2496999999999998</v>
      </c>
    </row>
    <row r="56" spans="4:34" x14ac:dyDescent="0.35">
      <c r="D56">
        <v>6750</v>
      </c>
      <c r="E56" s="5">
        <f>IF(  E87&gt;$E$2, SUMIFS(IF($G$2="CPR",'Grid Data'!$AH$4:$AH$2342,'Grid Data'!$AI$4:$AI$2342),'Grid Data'!$Z$4:$Z$2342,$D56,'Grid Data'!$AA$4:$AA$2342,E$4,'Grid Data'!$Y$4:$Y$2342,$D$2)*100-E24, "--")</f>
        <v>-2.7553000000000001</v>
      </c>
      <c r="F56" s="5">
        <f>IF(  F87&gt;$E$2, SUMIFS(IF($G$2="CPR",'Grid Data'!$AH$4:$AH$2342,'Grid Data'!$AI$4:$AI$2342),'Grid Data'!$Z$4:$Z$2342,$D56,'Grid Data'!$AA$4:$AA$2342,F$4,'Grid Data'!$Y$4:$Y$2342,$D$2)*100-F24, "--")</f>
        <v>-5.9322999999999997</v>
      </c>
      <c r="G56" s="5">
        <f>IF(  G87&gt;$E$2, SUMIFS(IF($G$2="CPR",'Grid Data'!$AH$4:$AH$2342,'Grid Data'!$AI$4:$AI$2342),'Grid Data'!$Z$4:$Z$2342,$D56,'Grid Data'!$AA$4:$AA$2342,G$4,'Grid Data'!$Y$4:$Y$2342,$D$2)*100-G24, "--")</f>
        <v>-96.609300000000005</v>
      </c>
      <c r="H56" s="5">
        <f>IF(  H87&gt;$E$2, SUMIFS(IF($G$2="CPR",'Grid Data'!$AH$4:$AH$2342,'Grid Data'!$AI$4:$AI$2342),'Grid Data'!$Z$4:$Z$2342,$D56,'Grid Data'!$AA$4:$AA$2342,H$4,'Grid Data'!$Y$4:$Y$2342,$D$2)*100-H24, "--")</f>
        <v>-71.435900000000004</v>
      </c>
      <c r="I56" s="5">
        <f>IF(  I87&gt;$E$2, SUMIFS(IF($G$2="CPR",'Grid Data'!$AH$4:$AH$2342,'Grid Data'!$AI$4:$AI$2342),'Grid Data'!$Z$4:$Z$2342,$D56,'Grid Data'!$AA$4:$AA$2342,I$4,'Grid Data'!$Y$4:$Y$2342,$D$2)*100-I24, "--")</f>
        <v>-53.241799999999998</v>
      </c>
      <c r="J56" s="5">
        <f>IF(  J87&gt;$E$2, SUMIFS(IF($G$2="CPR",'Grid Data'!$AH$4:$AH$2342,'Grid Data'!$AI$4:$AI$2342),'Grid Data'!$Z$4:$Z$2342,$D56,'Grid Data'!$AA$4:$AA$2342,J$4,'Grid Data'!$Y$4:$Y$2342,$D$2)*100-J24, "--")</f>
        <v>-54.183400000000006</v>
      </c>
      <c r="K56" s="5">
        <f>IF(  K87&gt;$E$2, SUMIFS(IF($G$2="CPR",'Grid Data'!$AH$4:$AH$2342,'Grid Data'!$AI$4:$AI$2342),'Grid Data'!$Z$4:$Z$2342,$D56,'Grid Data'!$AA$4:$AA$2342,K$4,'Grid Data'!$Y$4:$Y$2342,$D$2)*100-K24, "--")</f>
        <v>-47.018700000000003</v>
      </c>
      <c r="L56" s="5">
        <f>IF(  L87&gt;$E$2, SUMIFS(IF($G$2="CPR",'Grid Data'!$AH$4:$AH$2342,'Grid Data'!$AI$4:$AI$2342),'Grid Data'!$Z$4:$Z$2342,$D56,'Grid Data'!$AA$4:$AA$2342,L$4,'Grid Data'!$Y$4:$Y$2342,$D$2)*100-L24, "--")</f>
        <v>-41.038899999999998</v>
      </c>
      <c r="M56" s="5">
        <f>IF(  M87&gt;$E$2, SUMIFS(IF($G$2="CPR",'Grid Data'!$AH$4:$AH$2342,'Grid Data'!$AI$4:$AI$2342),'Grid Data'!$Z$4:$Z$2342,$D56,'Grid Data'!$AA$4:$AA$2342,M$4,'Grid Data'!$Y$4:$Y$2342,$D$2)*100-M24, "--")</f>
        <v>-45.841000000000001</v>
      </c>
      <c r="N56" s="5">
        <f>IF(  N87&gt;$E$2, SUMIFS(IF($G$2="CPR",'Grid Data'!$AH$4:$AH$2342,'Grid Data'!$AI$4:$AI$2342),'Grid Data'!$Z$4:$Z$2342,$D56,'Grid Data'!$AA$4:$AA$2342,N$4,'Grid Data'!$Y$4:$Y$2342,$D$2)*100-N24, "--")</f>
        <v>-31.783099999999997</v>
      </c>
      <c r="O56" s="5">
        <f>IF(  O87&gt;$E$2, SUMIFS(IF($G$2="CPR",'Grid Data'!$AH$4:$AH$2342,'Grid Data'!$AI$4:$AI$2342),'Grid Data'!$Z$4:$Z$2342,$D56,'Grid Data'!$AA$4:$AA$2342,O$4,'Grid Data'!$Y$4:$Y$2342,$D$2)*100-O24, "--")</f>
        <v>-37.433699999999995</v>
      </c>
      <c r="P56" s="5">
        <f>IF(  P87&gt;$E$2, SUMIFS(IF($G$2="CPR",'Grid Data'!$AH$4:$AH$2342,'Grid Data'!$AI$4:$AI$2342),'Grid Data'!$Z$4:$Z$2342,$D56,'Grid Data'!$AA$4:$AA$2342,P$4,'Grid Data'!$Y$4:$Y$2342,$D$2)*100-P24, "--")</f>
        <v>-37.840000000000003</v>
      </c>
      <c r="Q56" s="5">
        <f>IF(  Q87&gt;$E$2, SUMIFS(IF($G$2="CPR",'Grid Data'!$AH$4:$AH$2342,'Grid Data'!$AI$4:$AI$2342),'Grid Data'!$Z$4:$Z$2342,$D56,'Grid Data'!$AA$4:$AA$2342,Q$4,'Grid Data'!$Y$4:$Y$2342,$D$2)*100-Q24, "--")</f>
        <v>-34.520899999999997</v>
      </c>
      <c r="R56" s="5">
        <f>IF(  R87&gt;$E$2, SUMIFS(IF($G$2="CPR",'Grid Data'!$AH$4:$AH$2342,'Grid Data'!$AI$4:$AI$2342),'Grid Data'!$Z$4:$Z$2342,$D56,'Grid Data'!$AA$4:$AA$2342,R$4,'Grid Data'!$Y$4:$Y$2342,$D$2)*100-R24, "--")</f>
        <v>-34.795099999999998</v>
      </c>
      <c r="S56" s="5">
        <f>IF(  S87&gt;$E$2, SUMIFS(IF($G$2="CPR",'Grid Data'!$AH$4:$AH$2342,'Grid Data'!$AI$4:$AI$2342),'Grid Data'!$Z$4:$Z$2342,$D56,'Grid Data'!$AA$4:$AA$2342,S$4,'Grid Data'!$Y$4:$Y$2342,$D$2)*100-S24, "--")</f>
        <v>-31.973700000000001</v>
      </c>
      <c r="T56" s="5">
        <f>IF(  T87&gt;$E$2, SUMIFS(IF($G$2="CPR",'Grid Data'!$AH$4:$AH$2342,'Grid Data'!$AI$4:$AI$2342),'Grid Data'!$Z$4:$Z$2342,$D56,'Grid Data'!$AA$4:$AA$2342,T$4,'Grid Data'!$Y$4:$Y$2342,$D$2)*100-T24, "--")</f>
        <v>-20.789200000000001</v>
      </c>
      <c r="U56" s="5" t="str">
        <f>IF(  U87&gt;$E$2, SUMIFS(IF($G$2="CPR",'Grid Data'!$AH$4:$AH$2342,'Grid Data'!$AI$4:$AI$2342),'Grid Data'!$Z$4:$Z$2342,$D56,'Grid Data'!$AA$4:$AA$2342,U$4,'Grid Data'!$Y$4:$Y$2342,$D$2)*100-U24, "--")</f>
        <v>--</v>
      </c>
      <c r="V56" s="5" t="str">
        <f>IF(  V87&gt;$E$2, SUMIFS(IF($G$2="CPR",'Grid Data'!$AH$4:$AH$2342,'Grid Data'!$AI$4:$AI$2342),'Grid Data'!$Z$4:$Z$2342,$D56,'Grid Data'!$AA$4:$AA$2342,V$4,'Grid Data'!$Y$4:$Y$2342,$D$2)*100-V24, "--")</f>
        <v>--</v>
      </c>
      <c r="W56" s="5" t="str">
        <f>IF(  W87&gt;$E$2, SUMIFS(IF($G$2="CPR",'Grid Data'!$AH$4:$AH$2342,'Grid Data'!$AI$4:$AI$2342),'Grid Data'!$Z$4:$Z$2342,$D56,'Grid Data'!$AA$4:$AA$2342,W$4,'Grid Data'!$Y$4:$Y$2342,$D$2)*100-W24, "--")</f>
        <v>--</v>
      </c>
      <c r="X56" s="5" t="str">
        <f>IF(  X87&gt;$E$2, SUMIFS(IF($G$2="CPR",'Grid Data'!$AH$4:$AH$2342,'Grid Data'!$AI$4:$AI$2342),'Grid Data'!$Z$4:$Z$2342,$D56,'Grid Data'!$AA$4:$AA$2342,X$4,'Grid Data'!$Y$4:$Y$2342,$D$2)*100-X24, "--")</f>
        <v>--</v>
      </c>
      <c r="Y56" s="5" t="str">
        <f>IF(  Y87&gt;$E$2, SUMIFS(IF($G$2="CPR",'Grid Data'!$AH$4:$AH$2342,'Grid Data'!$AI$4:$AI$2342),'Grid Data'!$Z$4:$Z$2342,$D56,'Grid Data'!$AA$4:$AA$2342,Y$4,'Grid Data'!$Y$4:$Y$2342,$D$2)*100-Y24, "--")</f>
        <v>--</v>
      </c>
      <c r="Z56" s="5" t="str">
        <f>IF(  Z87&gt;$E$2, SUMIFS(IF($G$2="CPR",'Grid Data'!$AH$4:$AH$2342,'Grid Data'!$AI$4:$AI$2342),'Grid Data'!$Z$4:$Z$2342,$D56,'Grid Data'!$AA$4:$AA$2342,Z$4,'Grid Data'!$Y$4:$Y$2342,$D$2)*100-Z24, "--")</f>
        <v>--</v>
      </c>
      <c r="AA56" s="5" t="str">
        <f>IF(  AA87&gt;$E$2, SUMIFS(IF($G$2="CPR",'Grid Data'!$AH$4:$AH$2342,'Grid Data'!$AI$4:$AI$2342),'Grid Data'!$Z$4:$Z$2342,$D56,'Grid Data'!$AA$4:$AA$2342,AA$4,'Grid Data'!$Y$4:$Y$2342,$D$2)*100-AA24, "--")</f>
        <v>--</v>
      </c>
      <c r="AB56" s="5" t="str">
        <f>IF(  AB87&gt;$E$2, SUMIFS(IF($G$2="CPR",'Grid Data'!$AH$4:$AH$2342,'Grid Data'!$AI$4:$AI$2342),'Grid Data'!$Z$4:$Z$2342,$D56,'Grid Data'!$AA$4:$AA$2342,AB$4,'Grid Data'!$Y$4:$Y$2342,$D$2)*100-AB24, "--")</f>
        <v>--</v>
      </c>
      <c r="AC56" s="5" t="str">
        <f>IF(  AC87&gt;$E$2, SUMIFS(IF($G$2="CPR",'Grid Data'!$AH$4:$AH$2342,'Grid Data'!$AI$4:$AI$2342),'Grid Data'!$Z$4:$Z$2342,$D56,'Grid Data'!$AA$4:$AA$2342,AC$4,'Grid Data'!$Y$4:$Y$2342,$D$2)*100-AC24, "--")</f>
        <v>--</v>
      </c>
      <c r="AD56" s="5" t="str">
        <f>IF(  AD87&gt;$E$2, SUMIFS(IF($G$2="CPR",'Grid Data'!$AH$4:$AH$2342,'Grid Data'!$AI$4:$AI$2342),'Grid Data'!$Z$4:$Z$2342,$D56,'Grid Data'!$AA$4:$AA$2342,AD$4,'Grid Data'!$Y$4:$Y$2342,$D$2)*100-AD24, "--")</f>
        <v>--</v>
      </c>
      <c r="AE56" s="5">
        <f>IF(  AE87&gt;$E$2, SUMIFS(IF($G$2="CPR",'Grid Data'!$AH$4:$AH$2342,'Grid Data'!$AI$4:$AI$2342),'Grid Data'!$Z$4:$Z$2342,$D56,'Grid Data'!$AA$4:$AA$2342,AE$4,'Grid Data'!$Y$4:$Y$2342,$D$2)*100-AE24, "--")</f>
        <v>0</v>
      </c>
      <c r="AF56" s="5">
        <f>IF(  AF87&gt;$E$2, SUMIFS(IF($G$2="CPR",'Grid Data'!$AH$4:$AH$2342,'Grid Data'!$AI$4:$AI$2342),'Grid Data'!$Z$4:$Z$2342,$D56,'Grid Data'!$AA$4:$AA$2342,AF$4,'Grid Data'!$Y$4:$Y$2342,$D$2)*100-AF24, "--")</f>
        <v>-2.4535999999999998</v>
      </c>
      <c r="AG56" s="5">
        <f>IF(  AG87&gt;$E$2, SUMIFS(IF($G$2="CPR",'Grid Data'!$AH$4:$AH$2342,'Grid Data'!$AI$4:$AI$2342),'Grid Data'!$Z$4:$Z$2342,$D56,'Grid Data'!$AA$4:$AA$2342,AG$4,'Grid Data'!$Y$4:$Y$2342,$D$2)*100-AG24, "--")</f>
        <v>-15.692999999999998</v>
      </c>
      <c r="AH56" s="5">
        <f>IF(  AH87&gt;$E$2, SUMIFS(IF($G$2="CPR",'Grid Data'!$AH$4:$AH$2342,'Grid Data'!$AI$4:$AI$2342),'Grid Data'!$Z$4:$Z$2342,$D56,'Grid Data'!$AA$4:$AA$2342,AH$4,'Grid Data'!$Y$4:$Y$2342,$D$2)*100-AH24, "--")</f>
        <v>-5.2336999999999998</v>
      </c>
    </row>
    <row r="57" spans="4:34" x14ac:dyDescent="0.35">
      <c r="D57">
        <v>7000</v>
      </c>
      <c r="E57" s="5">
        <f>IF(  E88&gt;$E$2, SUMIFS(IF($G$2="CPR",'Grid Data'!$AH$4:$AH$2342,'Grid Data'!$AI$4:$AI$2342),'Grid Data'!$Z$4:$Z$2342,$D57,'Grid Data'!$AA$4:$AA$2342,E$4,'Grid Data'!$Y$4:$Y$2342,$D$2)*100-E25, "--")</f>
        <v>-3.9432</v>
      </c>
      <c r="F57" s="5">
        <f>IF(  F88&gt;$E$2, SUMIFS(IF($G$2="CPR",'Grid Data'!$AH$4:$AH$2342,'Grid Data'!$AI$4:$AI$2342),'Grid Data'!$Z$4:$Z$2342,$D57,'Grid Data'!$AA$4:$AA$2342,F$4,'Grid Data'!$Y$4:$Y$2342,$D$2)*100-F25, "--")</f>
        <v>-3.903</v>
      </c>
      <c r="G57" s="5">
        <f>IF(  G88&gt;$E$2, SUMIFS(IF($G$2="CPR",'Grid Data'!$AH$4:$AH$2342,'Grid Data'!$AI$4:$AI$2342),'Grid Data'!$Z$4:$Z$2342,$D57,'Grid Data'!$AA$4:$AA$2342,G$4,'Grid Data'!$Y$4:$Y$2342,$D$2)*100-G25, "--")</f>
        <v>-99.458699999999993</v>
      </c>
      <c r="H57" s="5">
        <f>IF(  H88&gt;$E$2, SUMIFS(IF($G$2="CPR",'Grid Data'!$AH$4:$AH$2342,'Grid Data'!$AI$4:$AI$2342),'Grid Data'!$Z$4:$Z$2342,$D57,'Grid Data'!$AA$4:$AA$2342,H$4,'Grid Data'!$Y$4:$Y$2342,$D$2)*100-H25, "--")</f>
        <v>-78.2042</v>
      </c>
      <c r="I57" s="5">
        <f>IF(  I88&gt;$E$2, SUMIFS(IF($G$2="CPR",'Grid Data'!$AH$4:$AH$2342,'Grid Data'!$AI$4:$AI$2342),'Grid Data'!$Z$4:$Z$2342,$D57,'Grid Data'!$AA$4:$AA$2342,I$4,'Grid Data'!$Y$4:$Y$2342,$D$2)*100-I25, "--")</f>
        <v>-65.169799999999995</v>
      </c>
      <c r="J57" s="5">
        <f>IF(  J88&gt;$E$2, SUMIFS(IF($G$2="CPR",'Grid Data'!$AH$4:$AH$2342,'Grid Data'!$AI$4:$AI$2342),'Grid Data'!$Z$4:$Z$2342,$D57,'Grid Data'!$AA$4:$AA$2342,J$4,'Grid Data'!$Y$4:$Y$2342,$D$2)*100-J25, "--")</f>
        <v>-58.940899999999999</v>
      </c>
      <c r="K57" s="5">
        <f>IF(  K88&gt;$E$2, SUMIFS(IF($G$2="CPR",'Grid Data'!$AH$4:$AH$2342,'Grid Data'!$AI$4:$AI$2342),'Grid Data'!$Z$4:$Z$2342,$D57,'Grid Data'!$AA$4:$AA$2342,K$4,'Grid Data'!$Y$4:$Y$2342,$D$2)*100-K25, "--")</f>
        <v>-59.050699999999999</v>
      </c>
      <c r="L57" s="5">
        <f>IF(  L88&gt;$E$2, SUMIFS(IF($G$2="CPR",'Grid Data'!$AH$4:$AH$2342,'Grid Data'!$AI$4:$AI$2342),'Grid Data'!$Z$4:$Z$2342,$D57,'Grid Data'!$AA$4:$AA$2342,L$4,'Grid Data'!$Y$4:$Y$2342,$D$2)*100-L25, "--")</f>
        <v>-45.655900000000003</v>
      </c>
      <c r="M57" s="5">
        <f>IF(  M88&gt;$E$2, SUMIFS(IF($G$2="CPR",'Grid Data'!$AH$4:$AH$2342,'Grid Data'!$AI$4:$AI$2342),'Grid Data'!$Z$4:$Z$2342,$D57,'Grid Data'!$AA$4:$AA$2342,M$4,'Grid Data'!$Y$4:$Y$2342,$D$2)*100-M25, "--")</f>
        <v>-40.807300000000005</v>
      </c>
      <c r="N57" s="5">
        <f>IF(  N88&gt;$E$2, SUMIFS(IF($G$2="CPR",'Grid Data'!$AH$4:$AH$2342,'Grid Data'!$AI$4:$AI$2342),'Grid Data'!$Z$4:$Z$2342,$D57,'Grid Data'!$AA$4:$AA$2342,N$4,'Grid Data'!$Y$4:$Y$2342,$D$2)*100-N25, "--")</f>
        <v>-56.997399999999999</v>
      </c>
      <c r="O57" s="5">
        <f>IF(  O88&gt;$E$2, SUMIFS(IF($G$2="CPR",'Grid Data'!$AH$4:$AH$2342,'Grid Data'!$AI$4:$AI$2342),'Grid Data'!$Z$4:$Z$2342,$D57,'Grid Data'!$AA$4:$AA$2342,O$4,'Grid Data'!$Y$4:$Y$2342,$D$2)*100-O25, "--")</f>
        <v>-40.088900000000002</v>
      </c>
      <c r="P57" s="5">
        <f>IF(  P88&gt;$E$2, SUMIFS(IF($G$2="CPR",'Grid Data'!$AH$4:$AH$2342,'Grid Data'!$AI$4:$AI$2342),'Grid Data'!$Z$4:$Z$2342,$D57,'Grid Data'!$AA$4:$AA$2342,P$4,'Grid Data'!$Y$4:$Y$2342,$D$2)*100-P25, "--")</f>
        <v>-42.761400000000002</v>
      </c>
      <c r="Q57" s="5">
        <f>IF(  Q88&gt;$E$2, SUMIFS(IF($G$2="CPR",'Grid Data'!$AH$4:$AH$2342,'Grid Data'!$AI$4:$AI$2342),'Grid Data'!$Z$4:$Z$2342,$D57,'Grid Data'!$AA$4:$AA$2342,Q$4,'Grid Data'!$Y$4:$Y$2342,$D$2)*100-Q25, "--")</f>
        <v>-38.1721</v>
      </c>
      <c r="R57" s="5">
        <f>IF(  R88&gt;$E$2, SUMIFS(IF($G$2="CPR",'Grid Data'!$AH$4:$AH$2342,'Grid Data'!$AI$4:$AI$2342),'Grid Data'!$Z$4:$Z$2342,$D57,'Grid Data'!$AA$4:$AA$2342,R$4,'Grid Data'!$Y$4:$Y$2342,$D$2)*100-R25, "--")</f>
        <v>-29.819099999999999</v>
      </c>
      <c r="S57" s="5">
        <f>IF(  S88&gt;$E$2, SUMIFS(IF($G$2="CPR",'Grid Data'!$AH$4:$AH$2342,'Grid Data'!$AI$4:$AI$2342),'Grid Data'!$Z$4:$Z$2342,$D57,'Grid Data'!$AA$4:$AA$2342,S$4,'Grid Data'!$Y$4:$Y$2342,$D$2)*100-S25, "--")</f>
        <v>-36.406300000000002</v>
      </c>
      <c r="T57" s="5" t="str">
        <f>IF(  T88&gt;$E$2, SUMIFS(IF($G$2="CPR",'Grid Data'!$AH$4:$AH$2342,'Grid Data'!$AI$4:$AI$2342),'Grid Data'!$Z$4:$Z$2342,$D57,'Grid Data'!$AA$4:$AA$2342,T$4,'Grid Data'!$Y$4:$Y$2342,$D$2)*100-T25, "--")</f>
        <v>--</v>
      </c>
      <c r="U57" s="5" t="str">
        <f>IF(  U88&gt;$E$2, SUMIFS(IF($G$2="CPR",'Grid Data'!$AH$4:$AH$2342,'Grid Data'!$AI$4:$AI$2342),'Grid Data'!$Z$4:$Z$2342,$D57,'Grid Data'!$AA$4:$AA$2342,U$4,'Grid Data'!$Y$4:$Y$2342,$D$2)*100-U25, "--")</f>
        <v>--</v>
      </c>
      <c r="V57" s="5" t="str">
        <f>IF(  V88&gt;$E$2, SUMIFS(IF($G$2="CPR",'Grid Data'!$AH$4:$AH$2342,'Grid Data'!$AI$4:$AI$2342),'Grid Data'!$Z$4:$Z$2342,$D57,'Grid Data'!$AA$4:$AA$2342,V$4,'Grid Data'!$Y$4:$Y$2342,$D$2)*100-V25, "--")</f>
        <v>--</v>
      </c>
      <c r="W57" s="5" t="str">
        <f>IF(  W88&gt;$E$2, SUMIFS(IF($G$2="CPR",'Grid Data'!$AH$4:$AH$2342,'Grid Data'!$AI$4:$AI$2342),'Grid Data'!$Z$4:$Z$2342,$D57,'Grid Data'!$AA$4:$AA$2342,W$4,'Grid Data'!$Y$4:$Y$2342,$D$2)*100-W25, "--")</f>
        <v>--</v>
      </c>
      <c r="X57" s="5" t="str">
        <f>IF(  X88&gt;$E$2, SUMIFS(IF($G$2="CPR",'Grid Data'!$AH$4:$AH$2342,'Grid Data'!$AI$4:$AI$2342),'Grid Data'!$Z$4:$Z$2342,$D57,'Grid Data'!$AA$4:$AA$2342,X$4,'Grid Data'!$Y$4:$Y$2342,$D$2)*100-X25, "--")</f>
        <v>--</v>
      </c>
      <c r="Y57" s="5" t="str">
        <f>IF(  Y88&gt;$E$2, SUMIFS(IF($G$2="CPR",'Grid Data'!$AH$4:$AH$2342,'Grid Data'!$AI$4:$AI$2342),'Grid Data'!$Z$4:$Z$2342,$D57,'Grid Data'!$AA$4:$AA$2342,Y$4,'Grid Data'!$Y$4:$Y$2342,$D$2)*100-Y25, "--")</f>
        <v>--</v>
      </c>
      <c r="Z57" s="5" t="str">
        <f>IF(  Z88&gt;$E$2, SUMIFS(IF($G$2="CPR",'Grid Data'!$AH$4:$AH$2342,'Grid Data'!$AI$4:$AI$2342),'Grid Data'!$Z$4:$Z$2342,$D57,'Grid Data'!$AA$4:$AA$2342,Z$4,'Grid Data'!$Y$4:$Y$2342,$D$2)*100-Z25, "--")</f>
        <v>--</v>
      </c>
      <c r="AA57" s="5" t="str">
        <f>IF(  AA88&gt;$E$2, SUMIFS(IF($G$2="CPR",'Grid Data'!$AH$4:$AH$2342,'Grid Data'!$AI$4:$AI$2342),'Grid Data'!$Z$4:$Z$2342,$D57,'Grid Data'!$AA$4:$AA$2342,AA$4,'Grid Data'!$Y$4:$Y$2342,$D$2)*100-AA25, "--")</f>
        <v>--</v>
      </c>
      <c r="AB57" s="5" t="str">
        <f>IF(  AB88&gt;$E$2, SUMIFS(IF($G$2="CPR",'Grid Data'!$AH$4:$AH$2342,'Grid Data'!$AI$4:$AI$2342),'Grid Data'!$Z$4:$Z$2342,$D57,'Grid Data'!$AA$4:$AA$2342,AB$4,'Grid Data'!$Y$4:$Y$2342,$D$2)*100-AB25, "--")</f>
        <v>--</v>
      </c>
      <c r="AC57" s="5" t="str">
        <f>IF(  AC88&gt;$E$2, SUMIFS(IF($G$2="CPR",'Grid Data'!$AH$4:$AH$2342,'Grid Data'!$AI$4:$AI$2342),'Grid Data'!$Z$4:$Z$2342,$D57,'Grid Data'!$AA$4:$AA$2342,AC$4,'Grid Data'!$Y$4:$Y$2342,$D$2)*100-AC25, "--")</f>
        <v>--</v>
      </c>
      <c r="AD57" s="5" t="str">
        <f>IF(  AD88&gt;$E$2, SUMIFS(IF($G$2="CPR",'Grid Data'!$AH$4:$AH$2342,'Grid Data'!$AI$4:$AI$2342),'Grid Data'!$Z$4:$Z$2342,$D57,'Grid Data'!$AA$4:$AA$2342,AD$4,'Grid Data'!$Y$4:$Y$2342,$D$2)*100-AD25, "--")</f>
        <v>--</v>
      </c>
      <c r="AE57" s="5" t="str">
        <f>IF(  AE88&gt;$E$2, SUMIFS(IF($G$2="CPR",'Grid Data'!$AH$4:$AH$2342,'Grid Data'!$AI$4:$AI$2342),'Grid Data'!$Z$4:$Z$2342,$D57,'Grid Data'!$AA$4:$AA$2342,AE$4,'Grid Data'!$Y$4:$Y$2342,$D$2)*100-AE25, "--")</f>
        <v>--</v>
      </c>
      <c r="AF57" s="5">
        <f>IF(  AF88&gt;$E$2, SUMIFS(IF($G$2="CPR",'Grid Data'!$AH$4:$AH$2342,'Grid Data'!$AI$4:$AI$2342),'Grid Data'!$Z$4:$Z$2342,$D57,'Grid Data'!$AA$4:$AA$2342,AF$4,'Grid Data'!$Y$4:$Y$2342,$D$2)*100-AF25, "--")</f>
        <v>-17.301300000000001</v>
      </c>
      <c r="AG57" s="5">
        <f>IF(  AG88&gt;$E$2, SUMIFS(IF($G$2="CPR",'Grid Data'!$AH$4:$AH$2342,'Grid Data'!$AI$4:$AI$2342),'Grid Data'!$Z$4:$Z$2342,$D57,'Grid Data'!$AA$4:$AA$2342,AG$4,'Grid Data'!$Y$4:$Y$2342,$D$2)*100-AG25, "--")</f>
        <v>-4.5220000000000002</v>
      </c>
      <c r="AH57" s="5">
        <f>IF(  AH88&gt;$E$2, SUMIFS(IF($G$2="CPR",'Grid Data'!$AH$4:$AH$2342,'Grid Data'!$AI$4:$AI$2342),'Grid Data'!$Z$4:$Z$2342,$D57,'Grid Data'!$AA$4:$AA$2342,AH$4,'Grid Data'!$Y$4:$Y$2342,$D$2)*100-AH25, "--")</f>
        <v>-8.9726999999999997</v>
      </c>
    </row>
    <row r="58" spans="4:34" x14ac:dyDescent="0.35">
      <c r="D58">
        <v>7250</v>
      </c>
      <c r="E58" s="5">
        <f>IF(  E89&gt;$E$2, SUMIFS(IF($G$2="CPR",'Grid Data'!$AH$4:$AH$2342,'Grid Data'!$AI$4:$AI$2342),'Grid Data'!$Z$4:$Z$2342,$D58,'Grid Data'!$AA$4:$AA$2342,E$4,'Grid Data'!$Y$4:$Y$2342,$D$2)*100-E26, "--")</f>
        <v>-9.7080000000000002</v>
      </c>
      <c r="F58" s="5">
        <f>IF(  F89&gt;$E$2, SUMIFS(IF($G$2="CPR",'Grid Data'!$AH$4:$AH$2342,'Grid Data'!$AI$4:$AI$2342),'Grid Data'!$Z$4:$Z$2342,$D58,'Grid Data'!$AA$4:$AA$2342,F$4,'Grid Data'!$Y$4:$Y$2342,$D$2)*100-F26, "--")</f>
        <v>-8.2138000000000009</v>
      </c>
      <c r="G58" s="5">
        <f>IF(  G89&gt;$E$2, SUMIFS(IF($G$2="CPR",'Grid Data'!$AH$4:$AH$2342,'Grid Data'!$AI$4:$AI$2342),'Grid Data'!$Z$4:$Z$2342,$D58,'Grid Data'!$AA$4:$AA$2342,G$4,'Grid Data'!$Y$4:$Y$2342,$D$2)*100-G26, "--")</f>
        <v>-99.9255</v>
      </c>
      <c r="H58" s="5">
        <f>IF(  H89&gt;$E$2, SUMIFS(IF($G$2="CPR",'Grid Data'!$AH$4:$AH$2342,'Grid Data'!$AI$4:$AI$2342),'Grid Data'!$Z$4:$Z$2342,$D58,'Grid Data'!$AA$4:$AA$2342,H$4,'Grid Data'!$Y$4:$Y$2342,$D$2)*100-H26, "--")</f>
        <v>-87.467399999999998</v>
      </c>
      <c r="I58" s="5">
        <f>IF(  I89&gt;$E$2, SUMIFS(IF($G$2="CPR",'Grid Data'!$AH$4:$AH$2342,'Grid Data'!$AI$4:$AI$2342),'Grid Data'!$Z$4:$Z$2342,$D58,'Grid Data'!$AA$4:$AA$2342,I$4,'Grid Data'!$Y$4:$Y$2342,$D$2)*100-I26, "--")</f>
        <v>-69.291600000000003</v>
      </c>
      <c r="J58" s="5">
        <f>IF(  J89&gt;$E$2, SUMIFS(IF($G$2="CPR",'Grid Data'!$AH$4:$AH$2342,'Grid Data'!$AI$4:$AI$2342),'Grid Data'!$Z$4:$Z$2342,$D58,'Grid Data'!$AA$4:$AA$2342,J$4,'Grid Data'!$Y$4:$Y$2342,$D$2)*100-J26, "--")</f>
        <v>-66.015900000000002</v>
      </c>
      <c r="K58" s="5">
        <f>IF(  K89&gt;$E$2, SUMIFS(IF($G$2="CPR",'Grid Data'!$AH$4:$AH$2342,'Grid Data'!$AI$4:$AI$2342),'Grid Data'!$Z$4:$Z$2342,$D58,'Grid Data'!$AA$4:$AA$2342,K$4,'Grid Data'!$Y$4:$Y$2342,$D$2)*100-K26, "--")</f>
        <v>-54.382399999999997</v>
      </c>
      <c r="L58" s="5">
        <f>IF(  L89&gt;$E$2, SUMIFS(IF($G$2="CPR",'Grid Data'!$AH$4:$AH$2342,'Grid Data'!$AI$4:$AI$2342),'Grid Data'!$Z$4:$Z$2342,$D58,'Grid Data'!$AA$4:$AA$2342,L$4,'Grid Data'!$Y$4:$Y$2342,$D$2)*100-L26, "--")</f>
        <v>-59.472899999999996</v>
      </c>
      <c r="M58" s="5">
        <f>IF(  M89&gt;$E$2, SUMIFS(IF($G$2="CPR",'Grid Data'!$AH$4:$AH$2342,'Grid Data'!$AI$4:$AI$2342),'Grid Data'!$Z$4:$Z$2342,$D58,'Grid Data'!$AA$4:$AA$2342,M$4,'Grid Data'!$Y$4:$Y$2342,$D$2)*100-M26, "--")</f>
        <v>-44.036500000000004</v>
      </c>
      <c r="N58" s="5">
        <f>IF(  N89&gt;$E$2, SUMIFS(IF($G$2="CPR",'Grid Data'!$AH$4:$AH$2342,'Grid Data'!$AI$4:$AI$2342),'Grid Data'!$Z$4:$Z$2342,$D58,'Grid Data'!$AA$4:$AA$2342,N$4,'Grid Data'!$Y$4:$Y$2342,$D$2)*100-N26, "--")</f>
        <v>-67.118399999999994</v>
      </c>
      <c r="O58" s="5">
        <f>IF(  O89&gt;$E$2, SUMIFS(IF($G$2="CPR",'Grid Data'!$AH$4:$AH$2342,'Grid Data'!$AI$4:$AI$2342),'Grid Data'!$Z$4:$Z$2342,$D58,'Grid Data'!$AA$4:$AA$2342,O$4,'Grid Data'!$Y$4:$Y$2342,$D$2)*100-O26, "--")</f>
        <v>-35.262500000000003</v>
      </c>
      <c r="P58" s="5">
        <f>IF(  P89&gt;$E$2, SUMIFS(IF($G$2="CPR",'Grid Data'!$AH$4:$AH$2342,'Grid Data'!$AI$4:$AI$2342),'Grid Data'!$Z$4:$Z$2342,$D58,'Grid Data'!$AA$4:$AA$2342,P$4,'Grid Data'!$Y$4:$Y$2342,$D$2)*100-P26, "--")</f>
        <v>-45.716200000000001</v>
      </c>
      <c r="Q58" s="5">
        <f>IF(  Q89&gt;$E$2, SUMIFS(IF($G$2="CPR",'Grid Data'!$AH$4:$AH$2342,'Grid Data'!$AI$4:$AI$2342),'Grid Data'!$Z$4:$Z$2342,$D58,'Grid Data'!$AA$4:$AA$2342,Q$4,'Grid Data'!$Y$4:$Y$2342,$D$2)*100-Q26, "--")</f>
        <v>-41.497799999999998</v>
      </c>
      <c r="R58" s="5">
        <f>IF(  R89&gt;$E$2, SUMIFS(IF($G$2="CPR",'Grid Data'!$AH$4:$AH$2342,'Grid Data'!$AI$4:$AI$2342),'Grid Data'!$Z$4:$Z$2342,$D58,'Grid Data'!$AA$4:$AA$2342,R$4,'Grid Data'!$Y$4:$Y$2342,$D$2)*100-R26, "--")</f>
        <v>-38.107400000000005</v>
      </c>
      <c r="S58" s="5">
        <f>IF(  S89&gt;$E$2, SUMIFS(IF($G$2="CPR",'Grid Data'!$AH$4:$AH$2342,'Grid Data'!$AI$4:$AI$2342),'Grid Data'!$Z$4:$Z$2342,$D58,'Grid Data'!$AA$4:$AA$2342,S$4,'Grid Data'!$Y$4:$Y$2342,$D$2)*100-S26, "--")</f>
        <v>-38.99</v>
      </c>
      <c r="T58" s="5" t="str">
        <f>IF(  T89&gt;$E$2, SUMIFS(IF($G$2="CPR",'Grid Data'!$AH$4:$AH$2342,'Grid Data'!$AI$4:$AI$2342),'Grid Data'!$Z$4:$Z$2342,$D58,'Grid Data'!$AA$4:$AA$2342,T$4,'Grid Data'!$Y$4:$Y$2342,$D$2)*100-T26, "--")</f>
        <v>--</v>
      </c>
      <c r="U58" s="5" t="str">
        <f>IF(  U89&gt;$E$2, SUMIFS(IF($G$2="CPR",'Grid Data'!$AH$4:$AH$2342,'Grid Data'!$AI$4:$AI$2342),'Grid Data'!$Z$4:$Z$2342,$D58,'Grid Data'!$AA$4:$AA$2342,U$4,'Grid Data'!$Y$4:$Y$2342,$D$2)*100-U26, "--")</f>
        <v>--</v>
      </c>
      <c r="V58" s="5" t="str">
        <f>IF(  V89&gt;$E$2, SUMIFS(IF($G$2="CPR",'Grid Data'!$AH$4:$AH$2342,'Grid Data'!$AI$4:$AI$2342),'Grid Data'!$Z$4:$Z$2342,$D58,'Grid Data'!$AA$4:$AA$2342,V$4,'Grid Data'!$Y$4:$Y$2342,$D$2)*100-V26, "--")</f>
        <v>--</v>
      </c>
      <c r="W58" s="5" t="str">
        <f>IF(  W89&gt;$E$2, SUMIFS(IF($G$2="CPR",'Grid Data'!$AH$4:$AH$2342,'Grid Data'!$AI$4:$AI$2342),'Grid Data'!$Z$4:$Z$2342,$D58,'Grid Data'!$AA$4:$AA$2342,W$4,'Grid Data'!$Y$4:$Y$2342,$D$2)*100-W26, "--")</f>
        <v>--</v>
      </c>
      <c r="X58" s="5" t="str">
        <f>IF(  X89&gt;$E$2, SUMIFS(IF($G$2="CPR",'Grid Data'!$AH$4:$AH$2342,'Grid Data'!$AI$4:$AI$2342),'Grid Data'!$Z$4:$Z$2342,$D58,'Grid Data'!$AA$4:$AA$2342,X$4,'Grid Data'!$Y$4:$Y$2342,$D$2)*100-X26, "--")</f>
        <v>--</v>
      </c>
      <c r="Y58" s="5" t="str">
        <f>IF(  Y89&gt;$E$2, SUMIFS(IF($G$2="CPR",'Grid Data'!$AH$4:$AH$2342,'Grid Data'!$AI$4:$AI$2342),'Grid Data'!$Z$4:$Z$2342,$D58,'Grid Data'!$AA$4:$AA$2342,Y$4,'Grid Data'!$Y$4:$Y$2342,$D$2)*100-Y26, "--")</f>
        <v>--</v>
      </c>
      <c r="Z58" s="5" t="str">
        <f>IF(  Z89&gt;$E$2, SUMIFS(IF($G$2="CPR",'Grid Data'!$AH$4:$AH$2342,'Grid Data'!$AI$4:$AI$2342),'Grid Data'!$Z$4:$Z$2342,$D58,'Grid Data'!$AA$4:$AA$2342,Z$4,'Grid Data'!$Y$4:$Y$2342,$D$2)*100-Z26, "--")</f>
        <v>--</v>
      </c>
      <c r="AA58" s="5" t="str">
        <f>IF(  AA89&gt;$E$2, SUMIFS(IF($G$2="CPR",'Grid Data'!$AH$4:$AH$2342,'Grid Data'!$AI$4:$AI$2342),'Grid Data'!$Z$4:$Z$2342,$D58,'Grid Data'!$AA$4:$AA$2342,AA$4,'Grid Data'!$Y$4:$Y$2342,$D$2)*100-AA26, "--")</f>
        <v>--</v>
      </c>
      <c r="AB58" s="5" t="str">
        <f>IF(  AB89&gt;$E$2, SUMIFS(IF($G$2="CPR",'Grid Data'!$AH$4:$AH$2342,'Grid Data'!$AI$4:$AI$2342),'Grid Data'!$Z$4:$Z$2342,$D58,'Grid Data'!$AA$4:$AA$2342,AB$4,'Grid Data'!$Y$4:$Y$2342,$D$2)*100-AB26, "--")</f>
        <v>--</v>
      </c>
      <c r="AC58" s="5" t="str">
        <f>IF(  AC89&gt;$E$2, SUMIFS(IF($G$2="CPR",'Grid Data'!$AH$4:$AH$2342,'Grid Data'!$AI$4:$AI$2342),'Grid Data'!$Z$4:$Z$2342,$D58,'Grid Data'!$AA$4:$AA$2342,AC$4,'Grid Data'!$Y$4:$Y$2342,$D$2)*100-AC26, "--")</f>
        <v>--</v>
      </c>
      <c r="AD58" s="5" t="str">
        <f>IF(  AD89&gt;$E$2, SUMIFS(IF($G$2="CPR",'Grid Data'!$AH$4:$AH$2342,'Grid Data'!$AI$4:$AI$2342),'Grid Data'!$Z$4:$Z$2342,$D58,'Grid Data'!$AA$4:$AA$2342,AD$4,'Grid Data'!$Y$4:$Y$2342,$D$2)*100-AD26, "--")</f>
        <v>--</v>
      </c>
      <c r="AE58" s="5" t="str">
        <f>IF(  AE89&gt;$E$2, SUMIFS(IF($G$2="CPR",'Grid Data'!$AH$4:$AH$2342,'Grid Data'!$AI$4:$AI$2342),'Grid Data'!$Z$4:$Z$2342,$D58,'Grid Data'!$AA$4:$AA$2342,AE$4,'Grid Data'!$Y$4:$Y$2342,$D$2)*100-AE26, "--")</f>
        <v>--</v>
      </c>
      <c r="AF58" s="5" t="str">
        <f>IF(  AF89&gt;$E$2, SUMIFS(IF($G$2="CPR",'Grid Data'!$AH$4:$AH$2342,'Grid Data'!$AI$4:$AI$2342),'Grid Data'!$Z$4:$Z$2342,$D58,'Grid Data'!$AA$4:$AA$2342,AF$4,'Grid Data'!$Y$4:$Y$2342,$D$2)*100-AF26, "--")</f>
        <v>--</v>
      </c>
      <c r="AG58" s="5">
        <f>IF(  AG89&gt;$E$2, SUMIFS(IF($G$2="CPR",'Grid Data'!$AH$4:$AH$2342,'Grid Data'!$AI$4:$AI$2342),'Grid Data'!$Z$4:$Z$2342,$D58,'Grid Data'!$AA$4:$AA$2342,AG$4,'Grid Data'!$Y$4:$Y$2342,$D$2)*100-AG26, "--")</f>
        <v>-1.8905000000000001</v>
      </c>
      <c r="AH58" s="5">
        <f>IF(  AH89&gt;$E$2, SUMIFS(IF($G$2="CPR",'Grid Data'!$AH$4:$AH$2342,'Grid Data'!$AI$4:$AI$2342),'Grid Data'!$Z$4:$Z$2342,$D58,'Grid Data'!$AA$4:$AA$2342,AH$4,'Grid Data'!$Y$4:$Y$2342,$D$2)*100-AH26, "--")</f>
        <v>-13.559899999999999</v>
      </c>
    </row>
    <row r="59" spans="4:34" x14ac:dyDescent="0.35">
      <c r="D59">
        <v>7500</v>
      </c>
      <c r="E59" s="5">
        <f>IF(  E90&gt;$E$2, SUMIFS(IF($G$2="CPR",'Grid Data'!$AH$4:$AH$2342,'Grid Data'!$AI$4:$AI$2342),'Grid Data'!$Z$4:$Z$2342,$D59,'Grid Data'!$AA$4:$AA$2342,E$4,'Grid Data'!$Y$4:$Y$2342,$D$2)*100-E27, "--")</f>
        <v>-26.027000000000001</v>
      </c>
      <c r="F59" s="5">
        <f>IF(  F90&gt;$E$2, SUMIFS(IF($G$2="CPR",'Grid Data'!$AH$4:$AH$2342,'Grid Data'!$AI$4:$AI$2342),'Grid Data'!$Z$4:$Z$2342,$D59,'Grid Data'!$AA$4:$AA$2342,F$4,'Grid Data'!$Y$4:$Y$2342,$D$2)*100-F27, "--")</f>
        <v>-23.197000000000003</v>
      </c>
      <c r="G59" s="5">
        <f>IF(  G90&gt;$E$2, SUMIFS(IF($G$2="CPR",'Grid Data'!$AH$4:$AH$2342,'Grid Data'!$AI$4:$AI$2342),'Grid Data'!$Z$4:$Z$2342,$D59,'Grid Data'!$AA$4:$AA$2342,G$4,'Grid Data'!$Y$4:$Y$2342,$D$2)*100-G27, "--")</f>
        <v>-99.99860000000001</v>
      </c>
      <c r="H59" s="5">
        <f>IF(  H90&gt;$E$2, SUMIFS(IF($G$2="CPR",'Grid Data'!$AH$4:$AH$2342,'Grid Data'!$AI$4:$AI$2342),'Grid Data'!$Z$4:$Z$2342,$D59,'Grid Data'!$AA$4:$AA$2342,H$4,'Grid Data'!$Y$4:$Y$2342,$D$2)*100-H27, "--")</f>
        <v>-93.484999999999999</v>
      </c>
      <c r="I59" s="5">
        <f>IF(  I90&gt;$E$2, SUMIFS(IF($G$2="CPR",'Grid Data'!$AH$4:$AH$2342,'Grid Data'!$AI$4:$AI$2342),'Grid Data'!$Z$4:$Z$2342,$D59,'Grid Data'!$AA$4:$AA$2342,I$4,'Grid Data'!$Y$4:$Y$2342,$D$2)*100-I27, "--")</f>
        <v>-56.844999999999999</v>
      </c>
      <c r="J59" s="5" t="str">
        <f>IF(  J90&gt;$E$2, SUMIFS(IF($G$2="CPR",'Grid Data'!$AH$4:$AH$2342,'Grid Data'!$AI$4:$AI$2342),'Grid Data'!$Z$4:$Z$2342,$D59,'Grid Data'!$AA$4:$AA$2342,J$4,'Grid Data'!$Y$4:$Y$2342,$D$2)*100-J27, "--")</f>
        <v>--</v>
      </c>
      <c r="K59" s="5">
        <f>IF(  K90&gt;$E$2, SUMIFS(IF($G$2="CPR",'Grid Data'!$AH$4:$AH$2342,'Grid Data'!$AI$4:$AI$2342),'Grid Data'!$Z$4:$Z$2342,$D59,'Grid Data'!$AA$4:$AA$2342,K$4,'Grid Data'!$Y$4:$Y$2342,$D$2)*100-K27, "--")</f>
        <v>-46.9465</v>
      </c>
      <c r="L59" s="5">
        <f>IF(  L90&gt;$E$2, SUMIFS(IF($G$2="CPR",'Grid Data'!$AH$4:$AH$2342,'Grid Data'!$AI$4:$AI$2342),'Grid Data'!$Z$4:$Z$2342,$D59,'Grid Data'!$AA$4:$AA$2342,L$4,'Grid Data'!$Y$4:$Y$2342,$D$2)*100-L27, "--")</f>
        <v>-63.494900000000001</v>
      </c>
      <c r="M59" s="5">
        <f>IF(  M90&gt;$E$2, SUMIFS(IF($G$2="CPR",'Grid Data'!$AH$4:$AH$2342,'Grid Data'!$AI$4:$AI$2342),'Grid Data'!$Z$4:$Z$2342,$D59,'Grid Data'!$AA$4:$AA$2342,M$4,'Grid Data'!$Y$4:$Y$2342,$D$2)*100-M27, "--")</f>
        <v>-36.365600000000001</v>
      </c>
      <c r="N59" s="5">
        <f>IF(  N90&gt;$E$2, SUMIFS(IF($G$2="CPR",'Grid Data'!$AH$4:$AH$2342,'Grid Data'!$AI$4:$AI$2342),'Grid Data'!$Z$4:$Z$2342,$D59,'Grid Data'!$AA$4:$AA$2342,N$4,'Grid Data'!$Y$4:$Y$2342,$D$2)*100-N27, "--")</f>
        <v>-38.573900000000002</v>
      </c>
      <c r="O59" s="5">
        <f>IF(  O90&gt;$E$2, SUMIFS(IF($G$2="CPR",'Grid Data'!$AH$4:$AH$2342,'Grid Data'!$AI$4:$AI$2342),'Grid Data'!$Z$4:$Z$2342,$D59,'Grid Data'!$AA$4:$AA$2342,O$4,'Grid Data'!$Y$4:$Y$2342,$D$2)*100-O27, "--")</f>
        <v>-74.60090000000001</v>
      </c>
      <c r="P59" s="5">
        <f>IF(  P90&gt;$E$2, SUMIFS(IF($G$2="CPR",'Grid Data'!$AH$4:$AH$2342,'Grid Data'!$AI$4:$AI$2342),'Grid Data'!$Z$4:$Z$2342,$D59,'Grid Data'!$AA$4:$AA$2342,P$4,'Grid Data'!$Y$4:$Y$2342,$D$2)*100-P27, "--")</f>
        <v>-49.845600000000005</v>
      </c>
      <c r="Q59" s="5">
        <f>IF(  Q90&gt;$E$2, SUMIFS(IF($G$2="CPR",'Grid Data'!$AH$4:$AH$2342,'Grid Data'!$AI$4:$AI$2342),'Grid Data'!$Z$4:$Z$2342,$D59,'Grid Data'!$AA$4:$AA$2342,Q$4,'Grid Data'!$Y$4:$Y$2342,$D$2)*100-Q27, "--")</f>
        <v>-35.512</v>
      </c>
      <c r="R59" s="5">
        <f>IF(  R90&gt;$E$2, SUMIFS(IF($G$2="CPR",'Grid Data'!$AH$4:$AH$2342,'Grid Data'!$AI$4:$AI$2342),'Grid Data'!$Z$4:$Z$2342,$D59,'Grid Data'!$AA$4:$AA$2342,R$4,'Grid Data'!$Y$4:$Y$2342,$D$2)*100-R27, "--")</f>
        <v>-47.938699999999997</v>
      </c>
      <c r="S59" s="5">
        <f>IF(  S90&gt;$E$2, SUMIFS(IF($G$2="CPR",'Grid Data'!$AH$4:$AH$2342,'Grid Data'!$AI$4:$AI$2342),'Grid Data'!$Z$4:$Z$2342,$D59,'Grid Data'!$AA$4:$AA$2342,S$4,'Grid Data'!$Y$4:$Y$2342,$D$2)*100-S27, "--")</f>
        <v>-29.5198</v>
      </c>
      <c r="T59" s="5" t="str">
        <f>IF(  T90&gt;$E$2, SUMIFS(IF($G$2="CPR",'Grid Data'!$AH$4:$AH$2342,'Grid Data'!$AI$4:$AI$2342),'Grid Data'!$Z$4:$Z$2342,$D59,'Grid Data'!$AA$4:$AA$2342,T$4,'Grid Data'!$Y$4:$Y$2342,$D$2)*100-T27, "--")</f>
        <v>--</v>
      </c>
      <c r="U59" s="5" t="str">
        <f>IF(  U90&gt;$E$2, SUMIFS(IF($G$2="CPR",'Grid Data'!$AH$4:$AH$2342,'Grid Data'!$AI$4:$AI$2342),'Grid Data'!$Z$4:$Z$2342,$D59,'Grid Data'!$AA$4:$AA$2342,U$4,'Grid Data'!$Y$4:$Y$2342,$D$2)*100-U27, "--")</f>
        <v>--</v>
      </c>
      <c r="V59" s="5" t="str">
        <f>IF(  V90&gt;$E$2, SUMIFS(IF($G$2="CPR",'Grid Data'!$AH$4:$AH$2342,'Grid Data'!$AI$4:$AI$2342),'Grid Data'!$Z$4:$Z$2342,$D59,'Grid Data'!$AA$4:$AA$2342,V$4,'Grid Data'!$Y$4:$Y$2342,$D$2)*100-V27, "--")</f>
        <v>--</v>
      </c>
      <c r="W59" s="5" t="str">
        <f>IF(  W90&gt;$E$2, SUMIFS(IF($G$2="CPR",'Grid Data'!$AH$4:$AH$2342,'Grid Data'!$AI$4:$AI$2342),'Grid Data'!$Z$4:$Z$2342,$D59,'Grid Data'!$AA$4:$AA$2342,W$4,'Grid Data'!$Y$4:$Y$2342,$D$2)*100-W27, "--")</f>
        <v>--</v>
      </c>
      <c r="X59" s="5" t="str">
        <f>IF(  X90&gt;$E$2, SUMIFS(IF($G$2="CPR",'Grid Data'!$AH$4:$AH$2342,'Grid Data'!$AI$4:$AI$2342),'Grid Data'!$Z$4:$Z$2342,$D59,'Grid Data'!$AA$4:$AA$2342,X$4,'Grid Data'!$Y$4:$Y$2342,$D$2)*100-X27, "--")</f>
        <v>--</v>
      </c>
      <c r="Y59" s="5" t="str">
        <f>IF(  Y90&gt;$E$2, SUMIFS(IF($G$2="CPR",'Grid Data'!$AH$4:$AH$2342,'Grid Data'!$AI$4:$AI$2342),'Grid Data'!$Z$4:$Z$2342,$D59,'Grid Data'!$AA$4:$AA$2342,Y$4,'Grid Data'!$Y$4:$Y$2342,$D$2)*100-Y27, "--")</f>
        <v>--</v>
      </c>
      <c r="Z59" s="5" t="str">
        <f>IF(  Z90&gt;$E$2, SUMIFS(IF($G$2="CPR",'Grid Data'!$AH$4:$AH$2342,'Grid Data'!$AI$4:$AI$2342),'Grid Data'!$Z$4:$Z$2342,$D59,'Grid Data'!$AA$4:$AA$2342,Z$4,'Grid Data'!$Y$4:$Y$2342,$D$2)*100-Z27, "--")</f>
        <v>--</v>
      </c>
      <c r="AA59" s="5" t="str">
        <f>IF(  AA90&gt;$E$2, SUMIFS(IF($G$2="CPR",'Grid Data'!$AH$4:$AH$2342,'Grid Data'!$AI$4:$AI$2342),'Grid Data'!$Z$4:$Z$2342,$D59,'Grid Data'!$AA$4:$AA$2342,AA$4,'Grid Data'!$Y$4:$Y$2342,$D$2)*100-AA27, "--")</f>
        <v>--</v>
      </c>
      <c r="AB59" s="5" t="str">
        <f>IF(  AB90&gt;$E$2, SUMIFS(IF($G$2="CPR",'Grid Data'!$AH$4:$AH$2342,'Grid Data'!$AI$4:$AI$2342),'Grid Data'!$Z$4:$Z$2342,$D59,'Grid Data'!$AA$4:$AA$2342,AB$4,'Grid Data'!$Y$4:$Y$2342,$D$2)*100-AB27, "--")</f>
        <v>--</v>
      </c>
      <c r="AC59" s="5" t="str">
        <f>IF(  AC90&gt;$E$2, SUMIFS(IF($G$2="CPR",'Grid Data'!$AH$4:$AH$2342,'Grid Data'!$AI$4:$AI$2342),'Grid Data'!$Z$4:$Z$2342,$D59,'Grid Data'!$AA$4:$AA$2342,AC$4,'Grid Data'!$Y$4:$Y$2342,$D$2)*100-AC27, "--")</f>
        <v>--</v>
      </c>
      <c r="AD59" s="5" t="str">
        <f>IF(  AD90&gt;$E$2, SUMIFS(IF($G$2="CPR",'Grid Data'!$AH$4:$AH$2342,'Grid Data'!$AI$4:$AI$2342),'Grid Data'!$Z$4:$Z$2342,$D59,'Grid Data'!$AA$4:$AA$2342,AD$4,'Grid Data'!$Y$4:$Y$2342,$D$2)*100-AD27, "--")</f>
        <v>--</v>
      </c>
      <c r="AE59" s="5" t="str">
        <f>IF(  AE90&gt;$E$2, SUMIFS(IF($G$2="CPR",'Grid Data'!$AH$4:$AH$2342,'Grid Data'!$AI$4:$AI$2342),'Grid Data'!$Z$4:$Z$2342,$D59,'Grid Data'!$AA$4:$AA$2342,AE$4,'Grid Data'!$Y$4:$Y$2342,$D$2)*100-AE27, "--")</f>
        <v>--</v>
      </c>
      <c r="AF59" s="5" t="str">
        <f>IF(  AF90&gt;$E$2, SUMIFS(IF($G$2="CPR",'Grid Data'!$AH$4:$AH$2342,'Grid Data'!$AI$4:$AI$2342),'Grid Data'!$Z$4:$Z$2342,$D59,'Grid Data'!$AA$4:$AA$2342,AF$4,'Grid Data'!$Y$4:$Y$2342,$D$2)*100-AF27, "--")</f>
        <v>--</v>
      </c>
      <c r="AG59" s="5">
        <f>IF(  AG90&gt;$E$2, SUMIFS(IF($G$2="CPR",'Grid Data'!$AH$4:$AH$2342,'Grid Data'!$AI$4:$AI$2342),'Grid Data'!$Z$4:$Z$2342,$D59,'Grid Data'!$AA$4:$AA$2342,AG$4,'Grid Data'!$Y$4:$Y$2342,$D$2)*100-AG27, "--")</f>
        <v>-7.7538</v>
      </c>
      <c r="AH59" s="5">
        <f>IF(  AH90&gt;$E$2, SUMIFS(IF($G$2="CPR",'Grid Data'!$AH$4:$AH$2342,'Grid Data'!$AI$4:$AI$2342),'Grid Data'!$Z$4:$Z$2342,$D59,'Grid Data'!$AA$4:$AA$2342,AH$4,'Grid Data'!$Y$4:$Y$2342,$D$2)*100-AH27, "--")</f>
        <v>-16.014900000000001</v>
      </c>
    </row>
    <row r="60" spans="4:34" x14ac:dyDescent="0.35">
      <c r="D60">
        <v>7750</v>
      </c>
      <c r="E60" s="5">
        <f>IF(  E91&gt;$E$2, SUMIFS(IF($G$2="CPR",'Grid Data'!$AH$4:$AH$2342,'Grid Data'!$AI$4:$AI$2342),'Grid Data'!$Z$4:$Z$2342,$D60,'Grid Data'!$AA$4:$AA$2342,E$4,'Grid Data'!$Y$4:$Y$2342,$D$2)*100-E28, "--")</f>
        <v>-34.3123</v>
      </c>
      <c r="F60" s="5">
        <f>IF(  F91&gt;$E$2, SUMIFS(IF($G$2="CPR",'Grid Data'!$AH$4:$AH$2342,'Grid Data'!$AI$4:$AI$2342),'Grid Data'!$Z$4:$Z$2342,$D60,'Grid Data'!$AA$4:$AA$2342,F$4,'Grid Data'!$Y$4:$Y$2342,$D$2)*100-F28, "--")</f>
        <v>-44.163999999999994</v>
      </c>
      <c r="G60" s="5">
        <f>IF(  G91&gt;$E$2, SUMIFS(IF($G$2="CPR",'Grid Data'!$AH$4:$AH$2342,'Grid Data'!$AI$4:$AI$2342),'Grid Data'!$Z$4:$Z$2342,$D60,'Grid Data'!$AA$4:$AA$2342,G$4,'Grid Data'!$Y$4:$Y$2342,$D$2)*100-G28, "--")</f>
        <v>-99.980400000000003</v>
      </c>
      <c r="H60" s="5">
        <f>IF(  H91&gt;$E$2, SUMIFS(IF($G$2="CPR",'Grid Data'!$AH$4:$AH$2342,'Grid Data'!$AI$4:$AI$2342),'Grid Data'!$Z$4:$Z$2342,$D60,'Grid Data'!$AA$4:$AA$2342,H$4,'Grid Data'!$Y$4:$Y$2342,$D$2)*100-H28, "--")</f>
        <v>-96.00800000000001</v>
      </c>
      <c r="I60" s="5">
        <f>IF(  I91&gt;$E$2, SUMIFS(IF($G$2="CPR",'Grid Data'!$AH$4:$AH$2342,'Grid Data'!$AI$4:$AI$2342),'Grid Data'!$Z$4:$Z$2342,$D60,'Grid Data'!$AA$4:$AA$2342,I$4,'Grid Data'!$Y$4:$Y$2342,$D$2)*100-I28, "--")</f>
        <v>-91.084800000000001</v>
      </c>
      <c r="J60" s="5">
        <f>IF(  J91&gt;$E$2, SUMIFS(IF($G$2="CPR",'Grid Data'!$AH$4:$AH$2342,'Grid Data'!$AI$4:$AI$2342),'Grid Data'!$Z$4:$Z$2342,$D60,'Grid Data'!$AA$4:$AA$2342,J$4,'Grid Data'!$Y$4:$Y$2342,$D$2)*100-J28, "--")</f>
        <v>-57.185900000000004</v>
      </c>
      <c r="K60" s="5">
        <f>IF(  K91&gt;$E$2, SUMIFS(IF($G$2="CPR",'Grid Data'!$AH$4:$AH$2342,'Grid Data'!$AI$4:$AI$2342),'Grid Data'!$Z$4:$Z$2342,$D60,'Grid Data'!$AA$4:$AA$2342,K$4,'Grid Data'!$Y$4:$Y$2342,$D$2)*100-K28, "--")</f>
        <v>-66.397999999999996</v>
      </c>
      <c r="L60" s="5">
        <f>IF(  L91&gt;$E$2, SUMIFS(IF($G$2="CPR",'Grid Data'!$AH$4:$AH$2342,'Grid Data'!$AI$4:$AI$2342),'Grid Data'!$Z$4:$Z$2342,$D60,'Grid Data'!$AA$4:$AA$2342,L$4,'Grid Data'!$Y$4:$Y$2342,$D$2)*100-L28, "--")</f>
        <v>-41.031199999999998</v>
      </c>
      <c r="M60" s="5">
        <f>IF(  M91&gt;$E$2, SUMIFS(IF($G$2="CPR",'Grid Data'!$AH$4:$AH$2342,'Grid Data'!$AI$4:$AI$2342),'Grid Data'!$Z$4:$Z$2342,$D60,'Grid Data'!$AA$4:$AA$2342,M$4,'Grid Data'!$Y$4:$Y$2342,$D$2)*100-M28, "--")</f>
        <v>-41.712500000000006</v>
      </c>
      <c r="N60" s="5">
        <f>IF(  N91&gt;$E$2, SUMIFS(IF($G$2="CPR",'Grid Data'!$AH$4:$AH$2342,'Grid Data'!$AI$4:$AI$2342),'Grid Data'!$Z$4:$Z$2342,$D60,'Grid Data'!$AA$4:$AA$2342,N$4,'Grid Data'!$Y$4:$Y$2342,$D$2)*100-N28, "--")</f>
        <v>-49.853999999999999</v>
      </c>
      <c r="O60" s="5">
        <f>IF(  O91&gt;$E$2, SUMIFS(IF($G$2="CPR",'Grid Data'!$AH$4:$AH$2342,'Grid Data'!$AI$4:$AI$2342),'Grid Data'!$Z$4:$Z$2342,$D60,'Grid Data'!$AA$4:$AA$2342,O$4,'Grid Data'!$Y$4:$Y$2342,$D$2)*100-O28, "--")</f>
        <v>-60.858900000000006</v>
      </c>
      <c r="P60" s="5">
        <f>IF(  P91&gt;$E$2, SUMIFS(IF($G$2="CPR",'Grid Data'!$AH$4:$AH$2342,'Grid Data'!$AI$4:$AI$2342),'Grid Data'!$Z$4:$Z$2342,$D60,'Grid Data'!$AA$4:$AA$2342,P$4,'Grid Data'!$Y$4:$Y$2342,$D$2)*100-P28, "--")</f>
        <v>-44.377000000000002</v>
      </c>
      <c r="Q60" s="5">
        <f>IF(  Q91&gt;$E$2, SUMIFS(IF($G$2="CPR",'Grid Data'!$AH$4:$AH$2342,'Grid Data'!$AI$4:$AI$2342),'Grid Data'!$Z$4:$Z$2342,$D60,'Grid Data'!$AA$4:$AA$2342,Q$4,'Grid Data'!$Y$4:$Y$2342,$D$2)*100-Q28, "--")</f>
        <v>-51.384099999999997</v>
      </c>
      <c r="R60" s="5">
        <f>IF(  R91&gt;$E$2, SUMIFS(IF($G$2="CPR",'Grid Data'!$AH$4:$AH$2342,'Grid Data'!$AI$4:$AI$2342),'Grid Data'!$Z$4:$Z$2342,$D60,'Grid Data'!$AA$4:$AA$2342,R$4,'Grid Data'!$Y$4:$Y$2342,$D$2)*100-R28, "--")</f>
        <v>-51.143000000000008</v>
      </c>
      <c r="S60" s="5">
        <f>IF(  S91&gt;$E$2, SUMIFS(IF($G$2="CPR",'Grid Data'!$AH$4:$AH$2342,'Grid Data'!$AI$4:$AI$2342),'Grid Data'!$Z$4:$Z$2342,$D60,'Grid Data'!$AA$4:$AA$2342,S$4,'Grid Data'!$Y$4:$Y$2342,$D$2)*100-S28, "--")</f>
        <v>-36.153200000000005</v>
      </c>
      <c r="T60" s="5" t="str">
        <f>IF(  T91&gt;$E$2, SUMIFS(IF($G$2="CPR",'Grid Data'!$AH$4:$AH$2342,'Grid Data'!$AI$4:$AI$2342),'Grid Data'!$Z$4:$Z$2342,$D60,'Grid Data'!$AA$4:$AA$2342,T$4,'Grid Data'!$Y$4:$Y$2342,$D$2)*100-T28, "--")</f>
        <v>--</v>
      </c>
      <c r="U60" s="5" t="str">
        <f>IF(  U91&gt;$E$2, SUMIFS(IF($G$2="CPR",'Grid Data'!$AH$4:$AH$2342,'Grid Data'!$AI$4:$AI$2342),'Grid Data'!$Z$4:$Z$2342,$D60,'Grid Data'!$AA$4:$AA$2342,U$4,'Grid Data'!$Y$4:$Y$2342,$D$2)*100-U28, "--")</f>
        <v>--</v>
      </c>
      <c r="V60" s="5" t="str">
        <f>IF(  V91&gt;$E$2, SUMIFS(IF($G$2="CPR",'Grid Data'!$AH$4:$AH$2342,'Grid Data'!$AI$4:$AI$2342),'Grid Data'!$Z$4:$Z$2342,$D60,'Grid Data'!$AA$4:$AA$2342,V$4,'Grid Data'!$Y$4:$Y$2342,$D$2)*100-V28, "--")</f>
        <v>--</v>
      </c>
      <c r="W60" s="5" t="str">
        <f>IF(  W91&gt;$E$2, SUMIFS(IF($G$2="CPR",'Grid Data'!$AH$4:$AH$2342,'Grid Data'!$AI$4:$AI$2342),'Grid Data'!$Z$4:$Z$2342,$D60,'Grid Data'!$AA$4:$AA$2342,W$4,'Grid Data'!$Y$4:$Y$2342,$D$2)*100-W28, "--")</f>
        <v>--</v>
      </c>
      <c r="X60" s="5" t="str">
        <f>IF(  X91&gt;$E$2, SUMIFS(IF($G$2="CPR",'Grid Data'!$AH$4:$AH$2342,'Grid Data'!$AI$4:$AI$2342),'Grid Data'!$Z$4:$Z$2342,$D60,'Grid Data'!$AA$4:$AA$2342,X$4,'Grid Data'!$Y$4:$Y$2342,$D$2)*100-X28, "--")</f>
        <v>--</v>
      </c>
      <c r="Y60" s="5" t="str">
        <f>IF(  Y91&gt;$E$2, SUMIFS(IF($G$2="CPR",'Grid Data'!$AH$4:$AH$2342,'Grid Data'!$AI$4:$AI$2342),'Grid Data'!$Z$4:$Z$2342,$D60,'Grid Data'!$AA$4:$AA$2342,Y$4,'Grid Data'!$Y$4:$Y$2342,$D$2)*100-Y28, "--")</f>
        <v>--</v>
      </c>
      <c r="Z60" s="5" t="str">
        <f>IF(  Z91&gt;$E$2, SUMIFS(IF($G$2="CPR",'Grid Data'!$AH$4:$AH$2342,'Grid Data'!$AI$4:$AI$2342),'Grid Data'!$Z$4:$Z$2342,$D60,'Grid Data'!$AA$4:$AA$2342,Z$4,'Grid Data'!$Y$4:$Y$2342,$D$2)*100-Z28, "--")</f>
        <v>--</v>
      </c>
      <c r="AA60" s="5" t="str">
        <f>IF(  AA91&gt;$E$2, SUMIFS(IF($G$2="CPR",'Grid Data'!$AH$4:$AH$2342,'Grid Data'!$AI$4:$AI$2342),'Grid Data'!$Z$4:$Z$2342,$D60,'Grid Data'!$AA$4:$AA$2342,AA$4,'Grid Data'!$Y$4:$Y$2342,$D$2)*100-AA28, "--")</f>
        <v>--</v>
      </c>
      <c r="AB60" s="5" t="str">
        <f>IF(  AB91&gt;$E$2, SUMIFS(IF($G$2="CPR",'Grid Data'!$AH$4:$AH$2342,'Grid Data'!$AI$4:$AI$2342),'Grid Data'!$Z$4:$Z$2342,$D60,'Grid Data'!$AA$4:$AA$2342,AB$4,'Grid Data'!$Y$4:$Y$2342,$D$2)*100-AB28, "--")</f>
        <v>--</v>
      </c>
      <c r="AC60" s="5" t="str">
        <f>IF(  AC91&gt;$E$2, SUMIFS(IF($G$2="CPR",'Grid Data'!$AH$4:$AH$2342,'Grid Data'!$AI$4:$AI$2342),'Grid Data'!$Z$4:$Z$2342,$D60,'Grid Data'!$AA$4:$AA$2342,AC$4,'Grid Data'!$Y$4:$Y$2342,$D$2)*100-AC28, "--")</f>
        <v>--</v>
      </c>
      <c r="AD60" s="5" t="str">
        <f>IF(  AD91&gt;$E$2, SUMIFS(IF($G$2="CPR",'Grid Data'!$AH$4:$AH$2342,'Grid Data'!$AI$4:$AI$2342),'Grid Data'!$Z$4:$Z$2342,$D60,'Grid Data'!$AA$4:$AA$2342,AD$4,'Grid Data'!$Y$4:$Y$2342,$D$2)*100-AD28, "--")</f>
        <v>--</v>
      </c>
      <c r="AE60" s="5" t="str">
        <f>IF(  AE91&gt;$E$2, SUMIFS(IF($G$2="CPR",'Grid Data'!$AH$4:$AH$2342,'Grid Data'!$AI$4:$AI$2342),'Grid Data'!$Z$4:$Z$2342,$D60,'Grid Data'!$AA$4:$AA$2342,AE$4,'Grid Data'!$Y$4:$Y$2342,$D$2)*100-AE28, "--")</f>
        <v>--</v>
      </c>
      <c r="AF60" s="5" t="str">
        <f>IF(  AF91&gt;$E$2, SUMIFS(IF($G$2="CPR",'Grid Data'!$AH$4:$AH$2342,'Grid Data'!$AI$4:$AI$2342),'Grid Data'!$Z$4:$Z$2342,$D60,'Grid Data'!$AA$4:$AA$2342,AF$4,'Grid Data'!$Y$4:$Y$2342,$D$2)*100-AF28, "--")</f>
        <v>--</v>
      </c>
      <c r="AG60" s="5" t="str">
        <f>IF(  AG91&gt;$E$2, SUMIFS(IF($G$2="CPR",'Grid Data'!$AH$4:$AH$2342,'Grid Data'!$AI$4:$AI$2342),'Grid Data'!$Z$4:$Z$2342,$D60,'Grid Data'!$AA$4:$AA$2342,AG$4,'Grid Data'!$Y$4:$Y$2342,$D$2)*100-AG28, "--")</f>
        <v>--</v>
      </c>
      <c r="AH60" s="5" t="str">
        <f>IF(  AH91&gt;$E$2, SUMIFS(IF($G$2="CPR",'Grid Data'!$AH$4:$AH$2342,'Grid Data'!$AI$4:$AI$2342),'Grid Data'!$Z$4:$Z$2342,$D60,'Grid Data'!$AA$4:$AA$2342,AH$4,'Grid Data'!$Y$4:$Y$2342,$D$2)*100-AH28, "--")</f>
        <v>--</v>
      </c>
    </row>
    <row r="61" spans="4:34" x14ac:dyDescent="0.35">
      <c r="D61">
        <v>8000</v>
      </c>
      <c r="E61" s="5" t="str">
        <f>IF(  E92&gt;$E$2, SUMIFS(IF($G$2="CPR",'Grid Data'!$AH$4:$AH$2342,'Grid Data'!$AI$4:$AI$2342),'Grid Data'!$Z$4:$Z$2342,$D61,'Grid Data'!$AA$4:$AA$2342,E$4,'Grid Data'!$Y$4:$Y$2342,$D$2)*100-E29, "--")</f>
        <v>--</v>
      </c>
      <c r="F61" s="5" t="str">
        <f>IF(  F92&gt;$E$2, SUMIFS(IF($G$2="CPR",'Grid Data'!$AH$4:$AH$2342,'Grid Data'!$AI$4:$AI$2342),'Grid Data'!$Z$4:$Z$2342,$D61,'Grid Data'!$AA$4:$AA$2342,F$4,'Grid Data'!$Y$4:$Y$2342,$D$2)*100-F29, "--")</f>
        <v>--</v>
      </c>
      <c r="G61" s="5" t="str">
        <f>IF(  G92&gt;$E$2, SUMIFS(IF($G$2="CPR",'Grid Data'!$AH$4:$AH$2342,'Grid Data'!$AI$4:$AI$2342),'Grid Data'!$Z$4:$Z$2342,$D61,'Grid Data'!$AA$4:$AA$2342,G$4,'Grid Data'!$Y$4:$Y$2342,$D$2)*100-G29, "--")</f>
        <v>--</v>
      </c>
      <c r="H61" s="5" t="str">
        <f>IF(  H92&gt;$E$2, SUMIFS(IF($G$2="CPR",'Grid Data'!$AH$4:$AH$2342,'Grid Data'!$AI$4:$AI$2342),'Grid Data'!$Z$4:$Z$2342,$D61,'Grid Data'!$AA$4:$AA$2342,H$4,'Grid Data'!$Y$4:$Y$2342,$D$2)*100-H29, "--")</f>
        <v>--</v>
      </c>
      <c r="I61" s="5" t="str">
        <f>IF(  I92&gt;$E$2, SUMIFS(IF($G$2="CPR",'Grid Data'!$AH$4:$AH$2342,'Grid Data'!$AI$4:$AI$2342),'Grid Data'!$Z$4:$Z$2342,$D61,'Grid Data'!$AA$4:$AA$2342,I$4,'Grid Data'!$Y$4:$Y$2342,$D$2)*100-I29, "--")</f>
        <v>--</v>
      </c>
      <c r="J61" s="5" t="str">
        <f>IF(  J92&gt;$E$2, SUMIFS(IF($G$2="CPR",'Grid Data'!$AH$4:$AH$2342,'Grid Data'!$AI$4:$AI$2342),'Grid Data'!$Z$4:$Z$2342,$D61,'Grid Data'!$AA$4:$AA$2342,J$4,'Grid Data'!$Y$4:$Y$2342,$D$2)*100-J29, "--")</f>
        <v>--</v>
      </c>
      <c r="K61" s="5" t="str">
        <f>IF(  K92&gt;$E$2, SUMIFS(IF($G$2="CPR",'Grid Data'!$AH$4:$AH$2342,'Grid Data'!$AI$4:$AI$2342),'Grid Data'!$Z$4:$Z$2342,$D61,'Grid Data'!$AA$4:$AA$2342,K$4,'Grid Data'!$Y$4:$Y$2342,$D$2)*100-K29, "--")</f>
        <v>--</v>
      </c>
      <c r="L61" s="5" t="str">
        <f>IF(  L92&gt;$E$2, SUMIFS(IF($G$2="CPR",'Grid Data'!$AH$4:$AH$2342,'Grid Data'!$AI$4:$AI$2342),'Grid Data'!$Z$4:$Z$2342,$D61,'Grid Data'!$AA$4:$AA$2342,L$4,'Grid Data'!$Y$4:$Y$2342,$D$2)*100-L29, "--")</f>
        <v>--</v>
      </c>
      <c r="M61" s="5" t="str">
        <f>IF(  M92&gt;$E$2, SUMIFS(IF($G$2="CPR",'Grid Data'!$AH$4:$AH$2342,'Grid Data'!$AI$4:$AI$2342),'Grid Data'!$Z$4:$Z$2342,$D61,'Grid Data'!$AA$4:$AA$2342,M$4,'Grid Data'!$Y$4:$Y$2342,$D$2)*100-M29, "--")</f>
        <v>--</v>
      </c>
      <c r="N61" s="5" t="str">
        <f>IF(  N92&gt;$E$2, SUMIFS(IF($G$2="CPR",'Grid Data'!$AH$4:$AH$2342,'Grid Data'!$AI$4:$AI$2342),'Grid Data'!$Z$4:$Z$2342,$D61,'Grid Data'!$AA$4:$AA$2342,N$4,'Grid Data'!$Y$4:$Y$2342,$D$2)*100-N29, "--")</f>
        <v>--</v>
      </c>
      <c r="O61" s="5">
        <f>IF(  O92&gt;$E$2, SUMIFS(IF($G$2="CPR",'Grid Data'!$AH$4:$AH$2342,'Grid Data'!$AI$4:$AI$2342),'Grid Data'!$Z$4:$Z$2342,$D61,'Grid Data'!$AA$4:$AA$2342,O$4,'Grid Data'!$Y$4:$Y$2342,$D$2)*100-O29, "--")</f>
        <v>-62.920600000000007</v>
      </c>
      <c r="P61" s="5">
        <f>IF(  P92&gt;$E$2, SUMIFS(IF($G$2="CPR",'Grid Data'!$AH$4:$AH$2342,'Grid Data'!$AI$4:$AI$2342),'Grid Data'!$Z$4:$Z$2342,$D61,'Grid Data'!$AA$4:$AA$2342,P$4,'Grid Data'!$Y$4:$Y$2342,$D$2)*100-P29, "--")</f>
        <v>-52.7971</v>
      </c>
      <c r="Q61" s="5">
        <f>IF(  Q92&gt;$E$2, SUMIFS(IF($G$2="CPR",'Grid Data'!$AH$4:$AH$2342,'Grid Data'!$AI$4:$AI$2342),'Grid Data'!$Z$4:$Z$2342,$D61,'Grid Data'!$AA$4:$AA$2342,Q$4,'Grid Data'!$Y$4:$Y$2342,$D$2)*100-Q29, "--")</f>
        <v>-50.336899999999993</v>
      </c>
      <c r="R61" s="5" t="str">
        <f>IF(  R92&gt;$E$2, SUMIFS(IF($G$2="CPR",'Grid Data'!$AH$4:$AH$2342,'Grid Data'!$AI$4:$AI$2342),'Grid Data'!$Z$4:$Z$2342,$D61,'Grid Data'!$AA$4:$AA$2342,R$4,'Grid Data'!$Y$4:$Y$2342,$D$2)*100-R29, "--")</f>
        <v>--</v>
      </c>
      <c r="S61" s="5" t="str">
        <f>IF(  S92&gt;$E$2, SUMIFS(IF($G$2="CPR",'Grid Data'!$AH$4:$AH$2342,'Grid Data'!$AI$4:$AI$2342),'Grid Data'!$Z$4:$Z$2342,$D61,'Grid Data'!$AA$4:$AA$2342,S$4,'Grid Data'!$Y$4:$Y$2342,$D$2)*100-S29, "--")</f>
        <v>--</v>
      </c>
      <c r="T61" s="5" t="str">
        <f>IF(  T92&gt;$E$2, SUMIFS(IF($G$2="CPR",'Grid Data'!$AH$4:$AH$2342,'Grid Data'!$AI$4:$AI$2342),'Grid Data'!$Z$4:$Z$2342,$D61,'Grid Data'!$AA$4:$AA$2342,T$4,'Grid Data'!$Y$4:$Y$2342,$D$2)*100-T29, "--")</f>
        <v>--</v>
      </c>
      <c r="U61" s="5" t="str">
        <f>IF(  U92&gt;$E$2, SUMIFS(IF($G$2="CPR",'Grid Data'!$AH$4:$AH$2342,'Grid Data'!$AI$4:$AI$2342),'Grid Data'!$Z$4:$Z$2342,$D61,'Grid Data'!$AA$4:$AA$2342,U$4,'Grid Data'!$Y$4:$Y$2342,$D$2)*100-U29, "--")</f>
        <v>--</v>
      </c>
      <c r="V61" s="5" t="str">
        <f>IF(  V92&gt;$E$2, SUMIFS(IF($G$2="CPR",'Grid Data'!$AH$4:$AH$2342,'Grid Data'!$AI$4:$AI$2342),'Grid Data'!$Z$4:$Z$2342,$D61,'Grid Data'!$AA$4:$AA$2342,V$4,'Grid Data'!$Y$4:$Y$2342,$D$2)*100-V29, "--")</f>
        <v>--</v>
      </c>
      <c r="W61" s="5" t="str">
        <f>IF(  W92&gt;$E$2, SUMIFS(IF($G$2="CPR",'Grid Data'!$AH$4:$AH$2342,'Grid Data'!$AI$4:$AI$2342),'Grid Data'!$Z$4:$Z$2342,$D61,'Grid Data'!$AA$4:$AA$2342,W$4,'Grid Data'!$Y$4:$Y$2342,$D$2)*100-W29, "--")</f>
        <v>--</v>
      </c>
      <c r="X61" s="5" t="str">
        <f>IF(  X92&gt;$E$2, SUMIFS(IF($G$2="CPR",'Grid Data'!$AH$4:$AH$2342,'Grid Data'!$AI$4:$AI$2342),'Grid Data'!$Z$4:$Z$2342,$D61,'Grid Data'!$AA$4:$AA$2342,X$4,'Grid Data'!$Y$4:$Y$2342,$D$2)*100-X29, "--")</f>
        <v>--</v>
      </c>
      <c r="Y61" s="5" t="str">
        <f>IF(  Y92&gt;$E$2, SUMIFS(IF($G$2="CPR",'Grid Data'!$AH$4:$AH$2342,'Grid Data'!$AI$4:$AI$2342),'Grid Data'!$Z$4:$Z$2342,$D61,'Grid Data'!$AA$4:$AA$2342,Y$4,'Grid Data'!$Y$4:$Y$2342,$D$2)*100-Y29, "--")</f>
        <v>--</v>
      </c>
      <c r="Z61" s="5" t="str">
        <f>IF(  Z92&gt;$E$2, SUMIFS(IF($G$2="CPR",'Grid Data'!$AH$4:$AH$2342,'Grid Data'!$AI$4:$AI$2342),'Grid Data'!$Z$4:$Z$2342,$D61,'Grid Data'!$AA$4:$AA$2342,Z$4,'Grid Data'!$Y$4:$Y$2342,$D$2)*100-Z29, "--")</f>
        <v>--</v>
      </c>
      <c r="AA61" s="5" t="str">
        <f>IF(  AA92&gt;$E$2, SUMIFS(IF($G$2="CPR",'Grid Data'!$AH$4:$AH$2342,'Grid Data'!$AI$4:$AI$2342),'Grid Data'!$Z$4:$Z$2342,$D61,'Grid Data'!$AA$4:$AA$2342,AA$4,'Grid Data'!$Y$4:$Y$2342,$D$2)*100-AA29, "--")</f>
        <v>--</v>
      </c>
      <c r="AB61" s="5" t="str">
        <f>IF(  AB92&gt;$E$2, SUMIFS(IF($G$2="CPR",'Grid Data'!$AH$4:$AH$2342,'Grid Data'!$AI$4:$AI$2342),'Grid Data'!$Z$4:$Z$2342,$D61,'Grid Data'!$AA$4:$AA$2342,AB$4,'Grid Data'!$Y$4:$Y$2342,$D$2)*100-AB29, "--")</f>
        <v>--</v>
      </c>
      <c r="AC61" s="5" t="str">
        <f>IF(  AC92&gt;$E$2, SUMIFS(IF($G$2="CPR",'Grid Data'!$AH$4:$AH$2342,'Grid Data'!$AI$4:$AI$2342),'Grid Data'!$Z$4:$Z$2342,$D61,'Grid Data'!$AA$4:$AA$2342,AC$4,'Grid Data'!$Y$4:$Y$2342,$D$2)*100-AC29, "--")</f>
        <v>--</v>
      </c>
      <c r="AD61" s="5" t="str">
        <f>IF(  AD92&gt;$E$2, SUMIFS(IF($G$2="CPR",'Grid Data'!$AH$4:$AH$2342,'Grid Data'!$AI$4:$AI$2342),'Grid Data'!$Z$4:$Z$2342,$D61,'Grid Data'!$AA$4:$AA$2342,AD$4,'Grid Data'!$Y$4:$Y$2342,$D$2)*100-AD29, "--")</f>
        <v>--</v>
      </c>
      <c r="AE61" s="5" t="str">
        <f>IF(  AE92&gt;$E$2, SUMIFS(IF($G$2="CPR",'Grid Data'!$AH$4:$AH$2342,'Grid Data'!$AI$4:$AI$2342),'Grid Data'!$Z$4:$Z$2342,$D61,'Grid Data'!$AA$4:$AA$2342,AE$4,'Grid Data'!$Y$4:$Y$2342,$D$2)*100-AE29, "--")</f>
        <v>--</v>
      </c>
      <c r="AF61" s="5" t="str">
        <f>IF(  AF92&gt;$E$2, SUMIFS(IF($G$2="CPR",'Grid Data'!$AH$4:$AH$2342,'Grid Data'!$AI$4:$AI$2342),'Grid Data'!$Z$4:$Z$2342,$D61,'Grid Data'!$AA$4:$AA$2342,AF$4,'Grid Data'!$Y$4:$Y$2342,$D$2)*100-AF29, "--")</f>
        <v>--</v>
      </c>
      <c r="AG61" s="5">
        <f>IF(  AG92&gt;$E$2, SUMIFS(IF($G$2="CPR",'Grid Data'!$AH$4:$AH$2342,'Grid Data'!$AI$4:$AI$2342),'Grid Data'!$Z$4:$Z$2342,$D61,'Grid Data'!$AA$4:$AA$2342,AG$4,'Grid Data'!$Y$4:$Y$2342,$D$2)*100-AG29, "--")</f>
        <v>-13.386799999999999</v>
      </c>
      <c r="AH61" s="5">
        <f>IF(  AH92&gt;$E$2, SUMIFS(IF($G$2="CPR",'Grid Data'!$AH$4:$AH$2342,'Grid Data'!$AI$4:$AI$2342),'Grid Data'!$Z$4:$Z$2342,$D61,'Grid Data'!$AA$4:$AA$2342,AH$4,'Grid Data'!$Y$4:$Y$2342,$D$2)*100-AH29, "--")</f>
        <v>-3.4965999999999999</v>
      </c>
    </row>
    <row r="62" spans="4:34" x14ac:dyDescent="0.35">
      <c r="D62">
        <v>8250</v>
      </c>
      <c r="E62" s="5" t="str">
        <f>IF(  E93&gt;$E$2, SUMIFS(IF($G$2="CPR",'Grid Data'!$AH$4:$AH$2342,'Grid Data'!$AI$4:$AI$2342),'Grid Data'!$Z$4:$Z$2342,$D62,'Grid Data'!$AA$4:$AA$2342,E$4,'Grid Data'!$Y$4:$Y$2342,$D$2)*100-E30, "--")</f>
        <v>--</v>
      </c>
      <c r="F62" s="5" t="str">
        <f>IF(  F93&gt;$E$2, SUMIFS(IF($G$2="CPR",'Grid Data'!$AH$4:$AH$2342,'Grid Data'!$AI$4:$AI$2342),'Grid Data'!$Z$4:$Z$2342,$D62,'Grid Data'!$AA$4:$AA$2342,F$4,'Grid Data'!$Y$4:$Y$2342,$D$2)*100-F30, "--")</f>
        <v>--</v>
      </c>
      <c r="G62" s="5" t="str">
        <f>IF(  G93&gt;$E$2, SUMIFS(IF($G$2="CPR",'Grid Data'!$AH$4:$AH$2342,'Grid Data'!$AI$4:$AI$2342),'Grid Data'!$Z$4:$Z$2342,$D62,'Grid Data'!$AA$4:$AA$2342,G$4,'Grid Data'!$Y$4:$Y$2342,$D$2)*100-G30, "--")</f>
        <v>--</v>
      </c>
      <c r="H62" s="5" t="str">
        <f>IF(  H93&gt;$E$2, SUMIFS(IF($G$2="CPR",'Grid Data'!$AH$4:$AH$2342,'Grid Data'!$AI$4:$AI$2342),'Grid Data'!$Z$4:$Z$2342,$D62,'Grid Data'!$AA$4:$AA$2342,H$4,'Grid Data'!$Y$4:$Y$2342,$D$2)*100-H30, "--")</f>
        <v>--</v>
      </c>
      <c r="I62" s="5" t="str">
        <f>IF(  I93&gt;$E$2, SUMIFS(IF($G$2="CPR",'Grid Data'!$AH$4:$AH$2342,'Grid Data'!$AI$4:$AI$2342),'Grid Data'!$Z$4:$Z$2342,$D62,'Grid Data'!$AA$4:$AA$2342,I$4,'Grid Data'!$Y$4:$Y$2342,$D$2)*100-I30, "--")</f>
        <v>--</v>
      </c>
      <c r="J62" s="5" t="str">
        <f>IF(  J93&gt;$E$2, SUMIFS(IF($G$2="CPR",'Grid Data'!$AH$4:$AH$2342,'Grid Data'!$AI$4:$AI$2342),'Grid Data'!$Z$4:$Z$2342,$D62,'Grid Data'!$AA$4:$AA$2342,J$4,'Grid Data'!$Y$4:$Y$2342,$D$2)*100-J30, "--")</f>
        <v>--</v>
      </c>
      <c r="K62" s="5" t="str">
        <f>IF(  K93&gt;$E$2, SUMIFS(IF($G$2="CPR",'Grid Data'!$AH$4:$AH$2342,'Grid Data'!$AI$4:$AI$2342),'Grid Data'!$Z$4:$Z$2342,$D62,'Grid Data'!$AA$4:$AA$2342,K$4,'Grid Data'!$Y$4:$Y$2342,$D$2)*100-K30, "--")</f>
        <v>--</v>
      </c>
      <c r="L62" s="5" t="str">
        <f>IF(  L93&gt;$E$2, SUMIFS(IF($G$2="CPR",'Grid Data'!$AH$4:$AH$2342,'Grid Data'!$AI$4:$AI$2342),'Grid Data'!$Z$4:$Z$2342,$D62,'Grid Data'!$AA$4:$AA$2342,L$4,'Grid Data'!$Y$4:$Y$2342,$D$2)*100-L30, "--")</f>
        <v>--</v>
      </c>
      <c r="M62" s="5" t="str">
        <f>IF(  M93&gt;$E$2, SUMIFS(IF($G$2="CPR",'Grid Data'!$AH$4:$AH$2342,'Grid Data'!$AI$4:$AI$2342),'Grid Data'!$Z$4:$Z$2342,$D62,'Grid Data'!$AA$4:$AA$2342,M$4,'Grid Data'!$Y$4:$Y$2342,$D$2)*100-M30, "--")</f>
        <v>--</v>
      </c>
      <c r="N62" s="5" t="str">
        <f>IF(  N93&gt;$E$2, SUMIFS(IF($G$2="CPR",'Grid Data'!$AH$4:$AH$2342,'Grid Data'!$AI$4:$AI$2342),'Grid Data'!$Z$4:$Z$2342,$D62,'Grid Data'!$AA$4:$AA$2342,N$4,'Grid Data'!$Y$4:$Y$2342,$D$2)*100-N30, "--")</f>
        <v>--</v>
      </c>
      <c r="O62" s="5" t="str">
        <f>IF(  O93&gt;$E$2, SUMIFS(IF($G$2="CPR",'Grid Data'!$AH$4:$AH$2342,'Grid Data'!$AI$4:$AI$2342),'Grid Data'!$Z$4:$Z$2342,$D62,'Grid Data'!$AA$4:$AA$2342,O$4,'Grid Data'!$Y$4:$Y$2342,$D$2)*100-O30, "--")</f>
        <v>--</v>
      </c>
      <c r="P62" s="5" t="str">
        <f>IF(  P93&gt;$E$2, SUMIFS(IF($G$2="CPR",'Grid Data'!$AH$4:$AH$2342,'Grid Data'!$AI$4:$AI$2342),'Grid Data'!$Z$4:$Z$2342,$D62,'Grid Data'!$AA$4:$AA$2342,P$4,'Grid Data'!$Y$4:$Y$2342,$D$2)*100-P30, "--")</f>
        <v>--</v>
      </c>
      <c r="Q62" s="5">
        <f>IF(  Q93&gt;$E$2, SUMIFS(IF($G$2="CPR",'Grid Data'!$AH$4:$AH$2342,'Grid Data'!$AI$4:$AI$2342),'Grid Data'!$Z$4:$Z$2342,$D62,'Grid Data'!$AA$4:$AA$2342,Q$4,'Grid Data'!$Y$4:$Y$2342,$D$2)*100-Q30, "--")</f>
        <v>-56.754300000000001</v>
      </c>
      <c r="R62" s="5" t="str">
        <f>IF(  R93&gt;$E$2, SUMIFS(IF($G$2="CPR",'Grid Data'!$AH$4:$AH$2342,'Grid Data'!$AI$4:$AI$2342),'Grid Data'!$Z$4:$Z$2342,$D62,'Grid Data'!$AA$4:$AA$2342,R$4,'Grid Data'!$Y$4:$Y$2342,$D$2)*100-R30, "--")</f>
        <v>--</v>
      </c>
      <c r="S62" s="5" t="str">
        <f>IF(  S93&gt;$E$2, SUMIFS(IF($G$2="CPR",'Grid Data'!$AH$4:$AH$2342,'Grid Data'!$AI$4:$AI$2342),'Grid Data'!$Z$4:$Z$2342,$D62,'Grid Data'!$AA$4:$AA$2342,S$4,'Grid Data'!$Y$4:$Y$2342,$D$2)*100-S30, "--")</f>
        <v>--</v>
      </c>
      <c r="T62" s="5" t="str">
        <f>IF(  T93&gt;$E$2, SUMIFS(IF($G$2="CPR",'Grid Data'!$AH$4:$AH$2342,'Grid Data'!$AI$4:$AI$2342),'Grid Data'!$Z$4:$Z$2342,$D62,'Grid Data'!$AA$4:$AA$2342,T$4,'Grid Data'!$Y$4:$Y$2342,$D$2)*100-T30, "--")</f>
        <v>--</v>
      </c>
      <c r="U62" s="5" t="str">
        <f>IF(  U93&gt;$E$2, SUMIFS(IF($G$2="CPR",'Grid Data'!$AH$4:$AH$2342,'Grid Data'!$AI$4:$AI$2342),'Grid Data'!$Z$4:$Z$2342,$D62,'Grid Data'!$AA$4:$AA$2342,U$4,'Grid Data'!$Y$4:$Y$2342,$D$2)*100-U30, "--")</f>
        <v>--</v>
      </c>
      <c r="V62" s="5" t="str">
        <f>IF(  V93&gt;$E$2, SUMIFS(IF($G$2="CPR",'Grid Data'!$AH$4:$AH$2342,'Grid Data'!$AI$4:$AI$2342),'Grid Data'!$Z$4:$Z$2342,$D62,'Grid Data'!$AA$4:$AA$2342,V$4,'Grid Data'!$Y$4:$Y$2342,$D$2)*100-V30, "--")</f>
        <v>--</v>
      </c>
      <c r="W62" s="5" t="str">
        <f>IF(  W93&gt;$E$2, SUMIFS(IF($G$2="CPR",'Grid Data'!$AH$4:$AH$2342,'Grid Data'!$AI$4:$AI$2342),'Grid Data'!$Z$4:$Z$2342,$D62,'Grid Data'!$AA$4:$AA$2342,W$4,'Grid Data'!$Y$4:$Y$2342,$D$2)*100-W30, "--")</f>
        <v>--</v>
      </c>
      <c r="X62" s="5" t="str">
        <f>IF(  X93&gt;$E$2, SUMIFS(IF($G$2="CPR",'Grid Data'!$AH$4:$AH$2342,'Grid Data'!$AI$4:$AI$2342),'Grid Data'!$Z$4:$Z$2342,$D62,'Grid Data'!$AA$4:$AA$2342,X$4,'Grid Data'!$Y$4:$Y$2342,$D$2)*100-X30, "--")</f>
        <v>--</v>
      </c>
      <c r="Y62" s="5" t="str">
        <f>IF(  Y93&gt;$E$2, SUMIFS(IF($G$2="CPR",'Grid Data'!$AH$4:$AH$2342,'Grid Data'!$AI$4:$AI$2342),'Grid Data'!$Z$4:$Z$2342,$D62,'Grid Data'!$AA$4:$AA$2342,Y$4,'Grid Data'!$Y$4:$Y$2342,$D$2)*100-Y30, "--")</f>
        <v>--</v>
      </c>
      <c r="Z62" s="5" t="str">
        <f>IF(  Z93&gt;$E$2, SUMIFS(IF($G$2="CPR",'Grid Data'!$AH$4:$AH$2342,'Grid Data'!$AI$4:$AI$2342),'Grid Data'!$Z$4:$Z$2342,$D62,'Grid Data'!$AA$4:$AA$2342,Z$4,'Grid Data'!$Y$4:$Y$2342,$D$2)*100-Z30, "--")</f>
        <v>--</v>
      </c>
      <c r="AA62" s="5" t="str">
        <f>IF(  AA93&gt;$E$2, SUMIFS(IF($G$2="CPR",'Grid Data'!$AH$4:$AH$2342,'Grid Data'!$AI$4:$AI$2342),'Grid Data'!$Z$4:$Z$2342,$D62,'Grid Data'!$AA$4:$AA$2342,AA$4,'Grid Data'!$Y$4:$Y$2342,$D$2)*100-AA30, "--")</f>
        <v>--</v>
      </c>
      <c r="AB62" s="5" t="str">
        <f>IF(  AB93&gt;$E$2, SUMIFS(IF($G$2="CPR",'Grid Data'!$AH$4:$AH$2342,'Grid Data'!$AI$4:$AI$2342),'Grid Data'!$Z$4:$Z$2342,$D62,'Grid Data'!$AA$4:$AA$2342,AB$4,'Grid Data'!$Y$4:$Y$2342,$D$2)*100-AB30, "--")</f>
        <v>--</v>
      </c>
      <c r="AC62" s="5" t="str">
        <f>IF(  AC93&gt;$E$2, SUMIFS(IF($G$2="CPR",'Grid Data'!$AH$4:$AH$2342,'Grid Data'!$AI$4:$AI$2342),'Grid Data'!$Z$4:$Z$2342,$D62,'Grid Data'!$AA$4:$AA$2342,AC$4,'Grid Data'!$Y$4:$Y$2342,$D$2)*100-AC30, "--")</f>
        <v>--</v>
      </c>
      <c r="AD62" s="5" t="str">
        <f>IF(  AD93&gt;$E$2, SUMIFS(IF($G$2="CPR",'Grid Data'!$AH$4:$AH$2342,'Grid Data'!$AI$4:$AI$2342),'Grid Data'!$Z$4:$Z$2342,$D62,'Grid Data'!$AA$4:$AA$2342,AD$4,'Grid Data'!$Y$4:$Y$2342,$D$2)*100-AD30, "--")</f>
        <v>--</v>
      </c>
      <c r="AE62" s="5" t="str">
        <f>IF(  AE93&gt;$E$2, SUMIFS(IF($G$2="CPR",'Grid Data'!$AH$4:$AH$2342,'Grid Data'!$AI$4:$AI$2342),'Grid Data'!$Z$4:$Z$2342,$D62,'Grid Data'!$AA$4:$AA$2342,AE$4,'Grid Data'!$Y$4:$Y$2342,$D$2)*100-AE30, "--")</f>
        <v>--</v>
      </c>
      <c r="AF62" s="5" t="str">
        <f>IF(  AF93&gt;$E$2, SUMIFS(IF($G$2="CPR",'Grid Data'!$AH$4:$AH$2342,'Grid Data'!$AI$4:$AI$2342),'Grid Data'!$Z$4:$Z$2342,$D62,'Grid Data'!$AA$4:$AA$2342,AF$4,'Grid Data'!$Y$4:$Y$2342,$D$2)*100-AF30, "--")</f>
        <v>--</v>
      </c>
      <c r="AG62" s="5" t="str">
        <f>IF(  AG93&gt;$E$2, SUMIFS(IF($G$2="CPR",'Grid Data'!$AH$4:$AH$2342,'Grid Data'!$AI$4:$AI$2342),'Grid Data'!$Z$4:$Z$2342,$D62,'Grid Data'!$AA$4:$AA$2342,AG$4,'Grid Data'!$Y$4:$Y$2342,$D$2)*100-AG30, "--")</f>
        <v>--</v>
      </c>
      <c r="AH62" s="5" t="str">
        <f>IF(  AH93&gt;$E$2, SUMIFS(IF($G$2="CPR",'Grid Data'!$AH$4:$AH$2342,'Grid Data'!$AI$4:$AI$2342),'Grid Data'!$Z$4:$Z$2342,$D62,'Grid Data'!$AA$4:$AA$2342,AH$4,'Grid Data'!$Y$4:$Y$2342,$D$2)*100-AH30, "--")</f>
        <v>--</v>
      </c>
    </row>
    <row r="63" spans="4:34" x14ac:dyDescent="0.35">
      <c r="D63">
        <v>8500</v>
      </c>
      <c r="E63" s="5" t="str">
        <f>IF(  E94&gt;$E$2, SUMIFS(IF($G$2="CPR",'Grid Data'!$AH$4:$AH$2342,'Grid Data'!$AI$4:$AI$2342),'Grid Data'!$Z$4:$Z$2342,$D63,'Grid Data'!$AA$4:$AA$2342,E$4,'Grid Data'!$Y$4:$Y$2342,$D$2)*100-E31, "--")</f>
        <v>--</v>
      </c>
      <c r="F63" s="5" t="str">
        <f>IF(  F94&gt;$E$2, SUMIFS(IF($G$2="CPR",'Grid Data'!$AH$4:$AH$2342,'Grid Data'!$AI$4:$AI$2342),'Grid Data'!$Z$4:$Z$2342,$D63,'Grid Data'!$AA$4:$AA$2342,F$4,'Grid Data'!$Y$4:$Y$2342,$D$2)*100-F31, "--")</f>
        <v>--</v>
      </c>
      <c r="G63" s="5" t="str">
        <f>IF(  G94&gt;$E$2, SUMIFS(IF($G$2="CPR",'Grid Data'!$AH$4:$AH$2342,'Grid Data'!$AI$4:$AI$2342),'Grid Data'!$Z$4:$Z$2342,$D63,'Grid Data'!$AA$4:$AA$2342,G$4,'Grid Data'!$Y$4:$Y$2342,$D$2)*100-G31, "--")</f>
        <v>--</v>
      </c>
      <c r="H63" s="5" t="str">
        <f>IF(  H94&gt;$E$2, SUMIFS(IF($G$2="CPR",'Grid Data'!$AH$4:$AH$2342,'Grid Data'!$AI$4:$AI$2342),'Grid Data'!$Z$4:$Z$2342,$D63,'Grid Data'!$AA$4:$AA$2342,H$4,'Grid Data'!$Y$4:$Y$2342,$D$2)*100-H31, "--")</f>
        <v>--</v>
      </c>
      <c r="I63" s="5" t="str">
        <f>IF(  I94&gt;$E$2, SUMIFS(IF($G$2="CPR",'Grid Data'!$AH$4:$AH$2342,'Grid Data'!$AI$4:$AI$2342),'Grid Data'!$Z$4:$Z$2342,$D63,'Grid Data'!$AA$4:$AA$2342,I$4,'Grid Data'!$Y$4:$Y$2342,$D$2)*100-I31, "--")</f>
        <v>--</v>
      </c>
      <c r="J63" s="5" t="str">
        <f>IF(  J94&gt;$E$2, SUMIFS(IF($G$2="CPR",'Grid Data'!$AH$4:$AH$2342,'Grid Data'!$AI$4:$AI$2342),'Grid Data'!$Z$4:$Z$2342,$D63,'Grid Data'!$AA$4:$AA$2342,J$4,'Grid Data'!$Y$4:$Y$2342,$D$2)*100-J31, "--")</f>
        <v>--</v>
      </c>
      <c r="K63" s="5" t="str">
        <f>IF(  K94&gt;$E$2, SUMIFS(IF($G$2="CPR",'Grid Data'!$AH$4:$AH$2342,'Grid Data'!$AI$4:$AI$2342),'Grid Data'!$Z$4:$Z$2342,$D63,'Grid Data'!$AA$4:$AA$2342,K$4,'Grid Data'!$Y$4:$Y$2342,$D$2)*100-K31, "--")</f>
        <v>--</v>
      </c>
      <c r="L63" s="5" t="str">
        <f>IF(  L94&gt;$E$2, SUMIFS(IF($G$2="CPR",'Grid Data'!$AH$4:$AH$2342,'Grid Data'!$AI$4:$AI$2342),'Grid Data'!$Z$4:$Z$2342,$D63,'Grid Data'!$AA$4:$AA$2342,L$4,'Grid Data'!$Y$4:$Y$2342,$D$2)*100-L31, "--")</f>
        <v>--</v>
      </c>
      <c r="M63" s="5" t="str">
        <f>IF(  M94&gt;$E$2, SUMIFS(IF($G$2="CPR",'Grid Data'!$AH$4:$AH$2342,'Grid Data'!$AI$4:$AI$2342),'Grid Data'!$Z$4:$Z$2342,$D63,'Grid Data'!$AA$4:$AA$2342,M$4,'Grid Data'!$Y$4:$Y$2342,$D$2)*100-M31, "--")</f>
        <v>--</v>
      </c>
      <c r="N63" s="5" t="str">
        <f>IF(  N94&gt;$E$2, SUMIFS(IF($G$2="CPR",'Grid Data'!$AH$4:$AH$2342,'Grid Data'!$AI$4:$AI$2342),'Grid Data'!$Z$4:$Z$2342,$D63,'Grid Data'!$AA$4:$AA$2342,N$4,'Grid Data'!$Y$4:$Y$2342,$D$2)*100-N31, "--")</f>
        <v>--</v>
      </c>
      <c r="O63" s="5" t="str">
        <f>IF(  O94&gt;$E$2, SUMIFS(IF($G$2="CPR",'Grid Data'!$AH$4:$AH$2342,'Grid Data'!$AI$4:$AI$2342),'Grid Data'!$Z$4:$Z$2342,$D63,'Grid Data'!$AA$4:$AA$2342,O$4,'Grid Data'!$Y$4:$Y$2342,$D$2)*100-O31, "--")</f>
        <v>--</v>
      </c>
      <c r="P63" s="5" t="str">
        <f>IF(  P94&gt;$E$2, SUMIFS(IF($G$2="CPR",'Grid Data'!$AH$4:$AH$2342,'Grid Data'!$AI$4:$AI$2342),'Grid Data'!$Z$4:$Z$2342,$D63,'Grid Data'!$AA$4:$AA$2342,P$4,'Grid Data'!$Y$4:$Y$2342,$D$2)*100-P31, "--")</f>
        <v>--</v>
      </c>
      <c r="Q63" s="5" t="str">
        <f>IF(  Q94&gt;$E$2, SUMIFS(IF($G$2="CPR",'Grid Data'!$AH$4:$AH$2342,'Grid Data'!$AI$4:$AI$2342),'Grid Data'!$Z$4:$Z$2342,$D63,'Grid Data'!$AA$4:$AA$2342,Q$4,'Grid Data'!$Y$4:$Y$2342,$D$2)*100-Q31, "--")</f>
        <v>--</v>
      </c>
      <c r="R63" s="5" t="str">
        <f>IF(  R94&gt;$E$2, SUMIFS(IF($G$2="CPR",'Grid Data'!$AH$4:$AH$2342,'Grid Data'!$AI$4:$AI$2342),'Grid Data'!$Z$4:$Z$2342,$D63,'Grid Data'!$AA$4:$AA$2342,R$4,'Grid Data'!$Y$4:$Y$2342,$D$2)*100-R31, "--")</f>
        <v>--</v>
      </c>
      <c r="S63" s="5" t="str">
        <f>IF(  S94&gt;$E$2, SUMIFS(IF($G$2="CPR",'Grid Data'!$AH$4:$AH$2342,'Grid Data'!$AI$4:$AI$2342),'Grid Data'!$Z$4:$Z$2342,$D63,'Grid Data'!$AA$4:$AA$2342,S$4,'Grid Data'!$Y$4:$Y$2342,$D$2)*100-S31, "--")</f>
        <v>--</v>
      </c>
      <c r="T63" s="5" t="str">
        <f>IF(  T94&gt;$E$2, SUMIFS(IF($G$2="CPR",'Grid Data'!$AH$4:$AH$2342,'Grid Data'!$AI$4:$AI$2342),'Grid Data'!$Z$4:$Z$2342,$D63,'Grid Data'!$AA$4:$AA$2342,T$4,'Grid Data'!$Y$4:$Y$2342,$D$2)*100-T31, "--")</f>
        <v>--</v>
      </c>
      <c r="U63" s="5" t="str">
        <f>IF(  U94&gt;$E$2, SUMIFS(IF($G$2="CPR",'Grid Data'!$AH$4:$AH$2342,'Grid Data'!$AI$4:$AI$2342),'Grid Data'!$Z$4:$Z$2342,$D63,'Grid Data'!$AA$4:$AA$2342,U$4,'Grid Data'!$Y$4:$Y$2342,$D$2)*100-U31, "--")</f>
        <v>--</v>
      </c>
      <c r="V63" s="5" t="str">
        <f>IF(  V94&gt;$E$2, SUMIFS(IF($G$2="CPR",'Grid Data'!$AH$4:$AH$2342,'Grid Data'!$AI$4:$AI$2342),'Grid Data'!$Z$4:$Z$2342,$D63,'Grid Data'!$AA$4:$AA$2342,V$4,'Grid Data'!$Y$4:$Y$2342,$D$2)*100-V31, "--")</f>
        <v>--</v>
      </c>
      <c r="W63" s="5" t="str">
        <f>IF(  W94&gt;$E$2, SUMIFS(IF($G$2="CPR",'Grid Data'!$AH$4:$AH$2342,'Grid Data'!$AI$4:$AI$2342),'Grid Data'!$Z$4:$Z$2342,$D63,'Grid Data'!$AA$4:$AA$2342,W$4,'Grid Data'!$Y$4:$Y$2342,$D$2)*100-W31, "--")</f>
        <v>--</v>
      </c>
      <c r="X63" s="5" t="str">
        <f>IF(  X94&gt;$E$2, SUMIFS(IF($G$2="CPR",'Grid Data'!$AH$4:$AH$2342,'Grid Data'!$AI$4:$AI$2342),'Grid Data'!$Z$4:$Z$2342,$D63,'Grid Data'!$AA$4:$AA$2342,X$4,'Grid Data'!$Y$4:$Y$2342,$D$2)*100-X31, "--")</f>
        <v>--</v>
      </c>
      <c r="Y63" s="5" t="str">
        <f>IF(  Y94&gt;$E$2, SUMIFS(IF($G$2="CPR",'Grid Data'!$AH$4:$AH$2342,'Grid Data'!$AI$4:$AI$2342),'Grid Data'!$Z$4:$Z$2342,$D63,'Grid Data'!$AA$4:$AA$2342,Y$4,'Grid Data'!$Y$4:$Y$2342,$D$2)*100-Y31, "--")</f>
        <v>--</v>
      </c>
      <c r="Z63" s="5" t="str">
        <f>IF(  Z94&gt;$E$2, SUMIFS(IF($G$2="CPR",'Grid Data'!$AH$4:$AH$2342,'Grid Data'!$AI$4:$AI$2342),'Grid Data'!$Z$4:$Z$2342,$D63,'Grid Data'!$AA$4:$AA$2342,Z$4,'Grid Data'!$Y$4:$Y$2342,$D$2)*100-Z31, "--")</f>
        <v>--</v>
      </c>
      <c r="AA63" s="5" t="str">
        <f>IF(  AA94&gt;$E$2, SUMIFS(IF($G$2="CPR",'Grid Data'!$AH$4:$AH$2342,'Grid Data'!$AI$4:$AI$2342),'Grid Data'!$Z$4:$Z$2342,$D63,'Grid Data'!$AA$4:$AA$2342,AA$4,'Grid Data'!$Y$4:$Y$2342,$D$2)*100-AA31, "--")</f>
        <v>--</v>
      </c>
      <c r="AB63" s="5" t="str">
        <f>IF(  AB94&gt;$E$2, SUMIFS(IF($G$2="CPR",'Grid Data'!$AH$4:$AH$2342,'Grid Data'!$AI$4:$AI$2342),'Grid Data'!$Z$4:$Z$2342,$D63,'Grid Data'!$AA$4:$AA$2342,AB$4,'Grid Data'!$Y$4:$Y$2342,$D$2)*100-AB31, "--")</f>
        <v>--</v>
      </c>
      <c r="AC63" s="5" t="str">
        <f>IF(  AC94&gt;$E$2, SUMIFS(IF($G$2="CPR",'Grid Data'!$AH$4:$AH$2342,'Grid Data'!$AI$4:$AI$2342),'Grid Data'!$Z$4:$Z$2342,$D63,'Grid Data'!$AA$4:$AA$2342,AC$4,'Grid Data'!$Y$4:$Y$2342,$D$2)*100-AC31, "--")</f>
        <v>--</v>
      </c>
      <c r="AD63" s="5" t="str">
        <f>IF(  AD94&gt;$E$2, SUMIFS(IF($G$2="CPR",'Grid Data'!$AH$4:$AH$2342,'Grid Data'!$AI$4:$AI$2342),'Grid Data'!$Z$4:$Z$2342,$D63,'Grid Data'!$AA$4:$AA$2342,AD$4,'Grid Data'!$Y$4:$Y$2342,$D$2)*100-AD31, "--")</f>
        <v>--</v>
      </c>
      <c r="AE63" s="5" t="str">
        <f>IF(  AE94&gt;$E$2, SUMIFS(IF($G$2="CPR",'Grid Data'!$AH$4:$AH$2342,'Grid Data'!$AI$4:$AI$2342),'Grid Data'!$Z$4:$Z$2342,$D63,'Grid Data'!$AA$4:$AA$2342,AE$4,'Grid Data'!$Y$4:$Y$2342,$D$2)*100-AE31, "--")</f>
        <v>--</v>
      </c>
      <c r="AF63" s="5" t="str">
        <f>IF(  AF94&gt;$E$2, SUMIFS(IF($G$2="CPR",'Grid Data'!$AH$4:$AH$2342,'Grid Data'!$AI$4:$AI$2342),'Grid Data'!$Z$4:$Z$2342,$D63,'Grid Data'!$AA$4:$AA$2342,AF$4,'Grid Data'!$Y$4:$Y$2342,$D$2)*100-AF31, "--")</f>
        <v>--</v>
      </c>
      <c r="AG63" s="5">
        <f>IF(  AG94&gt;$E$2, SUMIFS(IF($G$2="CPR",'Grid Data'!$AH$4:$AH$2342,'Grid Data'!$AI$4:$AI$2342),'Grid Data'!$Z$4:$Z$2342,$D63,'Grid Data'!$AA$4:$AA$2342,AG$4,'Grid Data'!$Y$4:$Y$2342,$D$2)*100-AG31, "--")</f>
        <v>-0.6996</v>
      </c>
      <c r="AH63" s="5">
        <f>IF(  AH94&gt;$E$2, SUMIFS(IF($G$2="CPR",'Grid Data'!$AH$4:$AH$2342,'Grid Data'!$AI$4:$AI$2342),'Grid Data'!$Z$4:$Z$2342,$D63,'Grid Data'!$AA$4:$AA$2342,AH$4,'Grid Data'!$Y$4:$Y$2342,$D$2)*100-AH31, "--")</f>
        <v>-8.6282999999999994</v>
      </c>
    </row>
    <row r="64" spans="4:34" x14ac:dyDescent="0.35">
      <c r="D64">
        <v>9000</v>
      </c>
      <c r="E64" s="5" t="str">
        <f>IF(  E95&gt;$E$2, SUMIFS(IF($G$2="CPR",'Grid Data'!$AH$4:$AH$2342,'Grid Data'!$AI$4:$AI$2342),'Grid Data'!$Z$4:$Z$2342,$D64,'Grid Data'!$AA$4:$AA$2342,E$4,'Grid Data'!$Y$4:$Y$2342,$D$2)*100-E32, "--")</f>
        <v>--</v>
      </c>
      <c r="F64" s="5" t="str">
        <f>IF(  F95&gt;$E$2, SUMIFS(IF($G$2="CPR",'Grid Data'!$AH$4:$AH$2342,'Grid Data'!$AI$4:$AI$2342),'Grid Data'!$Z$4:$Z$2342,$D64,'Grid Data'!$AA$4:$AA$2342,F$4,'Grid Data'!$Y$4:$Y$2342,$D$2)*100-F32, "--")</f>
        <v>--</v>
      </c>
      <c r="G64" s="5" t="str">
        <f>IF(  G95&gt;$E$2, SUMIFS(IF($G$2="CPR",'Grid Data'!$AH$4:$AH$2342,'Grid Data'!$AI$4:$AI$2342),'Grid Data'!$Z$4:$Z$2342,$D64,'Grid Data'!$AA$4:$AA$2342,G$4,'Grid Data'!$Y$4:$Y$2342,$D$2)*100-G32, "--")</f>
        <v>--</v>
      </c>
      <c r="H64" s="5" t="str">
        <f>IF(  H95&gt;$E$2, SUMIFS(IF($G$2="CPR",'Grid Data'!$AH$4:$AH$2342,'Grid Data'!$AI$4:$AI$2342),'Grid Data'!$Z$4:$Z$2342,$D64,'Grid Data'!$AA$4:$AA$2342,H$4,'Grid Data'!$Y$4:$Y$2342,$D$2)*100-H32, "--")</f>
        <v>--</v>
      </c>
      <c r="I64" s="5" t="str">
        <f>IF(  I95&gt;$E$2, SUMIFS(IF($G$2="CPR",'Grid Data'!$AH$4:$AH$2342,'Grid Data'!$AI$4:$AI$2342),'Grid Data'!$Z$4:$Z$2342,$D64,'Grid Data'!$AA$4:$AA$2342,I$4,'Grid Data'!$Y$4:$Y$2342,$D$2)*100-I32, "--")</f>
        <v>--</v>
      </c>
      <c r="J64" s="5" t="str">
        <f>IF(  J95&gt;$E$2, SUMIFS(IF($G$2="CPR",'Grid Data'!$AH$4:$AH$2342,'Grid Data'!$AI$4:$AI$2342),'Grid Data'!$Z$4:$Z$2342,$D64,'Grid Data'!$AA$4:$AA$2342,J$4,'Grid Data'!$Y$4:$Y$2342,$D$2)*100-J32, "--")</f>
        <v>--</v>
      </c>
      <c r="K64" s="5" t="str">
        <f>IF(  K95&gt;$E$2, SUMIFS(IF($G$2="CPR",'Grid Data'!$AH$4:$AH$2342,'Grid Data'!$AI$4:$AI$2342),'Grid Data'!$Z$4:$Z$2342,$D64,'Grid Data'!$AA$4:$AA$2342,K$4,'Grid Data'!$Y$4:$Y$2342,$D$2)*100-K32, "--")</f>
        <v>--</v>
      </c>
      <c r="L64" s="5" t="str">
        <f>IF(  L95&gt;$E$2, SUMIFS(IF($G$2="CPR",'Grid Data'!$AH$4:$AH$2342,'Grid Data'!$AI$4:$AI$2342),'Grid Data'!$Z$4:$Z$2342,$D64,'Grid Data'!$AA$4:$AA$2342,L$4,'Grid Data'!$Y$4:$Y$2342,$D$2)*100-L32, "--")</f>
        <v>--</v>
      </c>
      <c r="M64" s="5" t="str">
        <f>IF(  M95&gt;$E$2, SUMIFS(IF($G$2="CPR",'Grid Data'!$AH$4:$AH$2342,'Grid Data'!$AI$4:$AI$2342),'Grid Data'!$Z$4:$Z$2342,$D64,'Grid Data'!$AA$4:$AA$2342,M$4,'Grid Data'!$Y$4:$Y$2342,$D$2)*100-M32, "--")</f>
        <v>--</v>
      </c>
      <c r="N64" s="5" t="str">
        <f>IF(  N95&gt;$E$2, SUMIFS(IF($G$2="CPR",'Grid Data'!$AH$4:$AH$2342,'Grid Data'!$AI$4:$AI$2342),'Grid Data'!$Z$4:$Z$2342,$D64,'Grid Data'!$AA$4:$AA$2342,N$4,'Grid Data'!$Y$4:$Y$2342,$D$2)*100-N32, "--")</f>
        <v>--</v>
      </c>
      <c r="O64" s="5" t="str">
        <f>IF(  O95&gt;$E$2, SUMIFS(IF($G$2="CPR",'Grid Data'!$AH$4:$AH$2342,'Grid Data'!$AI$4:$AI$2342),'Grid Data'!$Z$4:$Z$2342,$D64,'Grid Data'!$AA$4:$AA$2342,O$4,'Grid Data'!$Y$4:$Y$2342,$D$2)*100-O32, "--")</f>
        <v>--</v>
      </c>
      <c r="P64" s="5" t="str">
        <f>IF(  P95&gt;$E$2, SUMIFS(IF($G$2="CPR",'Grid Data'!$AH$4:$AH$2342,'Grid Data'!$AI$4:$AI$2342),'Grid Data'!$Z$4:$Z$2342,$D64,'Grid Data'!$AA$4:$AA$2342,P$4,'Grid Data'!$Y$4:$Y$2342,$D$2)*100-P32, "--")</f>
        <v>--</v>
      </c>
      <c r="Q64" s="5" t="str">
        <f>IF(  Q95&gt;$E$2, SUMIFS(IF($G$2="CPR",'Grid Data'!$AH$4:$AH$2342,'Grid Data'!$AI$4:$AI$2342),'Grid Data'!$Z$4:$Z$2342,$D64,'Grid Data'!$AA$4:$AA$2342,Q$4,'Grid Data'!$Y$4:$Y$2342,$D$2)*100-Q32, "--")</f>
        <v>--</v>
      </c>
      <c r="R64" s="5" t="str">
        <f>IF(  R95&gt;$E$2, SUMIFS(IF($G$2="CPR",'Grid Data'!$AH$4:$AH$2342,'Grid Data'!$AI$4:$AI$2342),'Grid Data'!$Z$4:$Z$2342,$D64,'Grid Data'!$AA$4:$AA$2342,R$4,'Grid Data'!$Y$4:$Y$2342,$D$2)*100-R32, "--")</f>
        <v>--</v>
      </c>
      <c r="S64" s="5" t="str">
        <f>IF(  S95&gt;$E$2, SUMIFS(IF($G$2="CPR",'Grid Data'!$AH$4:$AH$2342,'Grid Data'!$AI$4:$AI$2342),'Grid Data'!$Z$4:$Z$2342,$D64,'Grid Data'!$AA$4:$AA$2342,S$4,'Grid Data'!$Y$4:$Y$2342,$D$2)*100-S32, "--")</f>
        <v>--</v>
      </c>
      <c r="T64" s="5" t="str">
        <f>IF(  T95&gt;$E$2, SUMIFS(IF($G$2="CPR",'Grid Data'!$AH$4:$AH$2342,'Grid Data'!$AI$4:$AI$2342),'Grid Data'!$Z$4:$Z$2342,$D64,'Grid Data'!$AA$4:$AA$2342,T$4,'Grid Data'!$Y$4:$Y$2342,$D$2)*100-T32, "--")</f>
        <v>--</v>
      </c>
      <c r="U64" s="5" t="str">
        <f>IF(  U95&gt;$E$2, SUMIFS(IF($G$2="CPR",'Grid Data'!$AH$4:$AH$2342,'Grid Data'!$AI$4:$AI$2342),'Grid Data'!$Z$4:$Z$2342,$D64,'Grid Data'!$AA$4:$AA$2342,U$4,'Grid Data'!$Y$4:$Y$2342,$D$2)*100-U32, "--")</f>
        <v>--</v>
      </c>
      <c r="V64" s="5" t="str">
        <f>IF(  V95&gt;$E$2, SUMIFS(IF($G$2="CPR",'Grid Data'!$AH$4:$AH$2342,'Grid Data'!$AI$4:$AI$2342),'Grid Data'!$Z$4:$Z$2342,$D64,'Grid Data'!$AA$4:$AA$2342,V$4,'Grid Data'!$Y$4:$Y$2342,$D$2)*100-V32, "--")</f>
        <v>--</v>
      </c>
      <c r="W64" s="5" t="str">
        <f>IF(  W95&gt;$E$2, SUMIFS(IF($G$2="CPR",'Grid Data'!$AH$4:$AH$2342,'Grid Data'!$AI$4:$AI$2342),'Grid Data'!$Z$4:$Z$2342,$D64,'Grid Data'!$AA$4:$AA$2342,W$4,'Grid Data'!$Y$4:$Y$2342,$D$2)*100-W32, "--")</f>
        <v>--</v>
      </c>
      <c r="X64" s="5" t="str">
        <f>IF(  X95&gt;$E$2, SUMIFS(IF($G$2="CPR",'Grid Data'!$AH$4:$AH$2342,'Grid Data'!$AI$4:$AI$2342),'Grid Data'!$Z$4:$Z$2342,$D64,'Grid Data'!$AA$4:$AA$2342,X$4,'Grid Data'!$Y$4:$Y$2342,$D$2)*100-X32, "--")</f>
        <v>--</v>
      </c>
      <c r="Y64" s="5" t="str">
        <f>IF(  Y95&gt;$E$2, SUMIFS(IF($G$2="CPR",'Grid Data'!$AH$4:$AH$2342,'Grid Data'!$AI$4:$AI$2342),'Grid Data'!$Z$4:$Z$2342,$D64,'Grid Data'!$AA$4:$AA$2342,Y$4,'Grid Data'!$Y$4:$Y$2342,$D$2)*100-Y32, "--")</f>
        <v>--</v>
      </c>
      <c r="Z64" s="5" t="str">
        <f>IF(  Z95&gt;$E$2, SUMIFS(IF($G$2="CPR",'Grid Data'!$AH$4:$AH$2342,'Grid Data'!$AI$4:$AI$2342),'Grid Data'!$Z$4:$Z$2342,$D64,'Grid Data'!$AA$4:$AA$2342,Z$4,'Grid Data'!$Y$4:$Y$2342,$D$2)*100-Z32, "--")</f>
        <v>--</v>
      </c>
      <c r="AA64" s="5" t="str">
        <f>IF(  AA95&gt;$E$2, SUMIFS(IF($G$2="CPR",'Grid Data'!$AH$4:$AH$2342,'Grid Data'!$AI$4:$AI$2342),'Grid Data'!$Z$4:$Z$2342,$D64,'Grid Data'!$AA$4:$AA$2342,AA$4,'Grid Data'!$Y$4:$Y$2342,$D$2)*100-AA32, "--")</f>
        <v>--</v>
      </c>
      <c r="AB64" s="5" t="str">
        <f>IF(  AB95&gt;$E$2, SUMIFS(IF($G$2="CPR",'Grid Data'!$AH$4:$AH$2342,'Grid Data'!$AI$4:$AI$2342),'Grid Data'!$Z$4:$Z$2342,$D64,'Grid Data'!$AA$4:$AA$2342,AB$4,'Grid Data'!$Y$4:$Y$2342,$D$2)*100-AB32, "--")</f>
        <v>--</v>
      </c>
      <c r="AC64" s="5" t="str">
        <f>IF(  AC95&gt;$E$2, SUMIFS(IF($G$2="CPR",'Grid Data'!$AH$4:$AH$2342,'Grid Data'!$AI$4:$AI$2342),'Grid Data'!$Z$4:$Z$2342,$D64,'Grid Data'!$AA$4:$AA$2342,AC$4,'Grid Data'!$Y$4:$Y$2342,$D$2)*100-AC32, "--")</f>
        <v>--</v>
      </c>
      <c r="AD64" s="5" t="str">
        <f>IF(  AD95&gt;$E$2, SUMIFS(IF($G$2="CPR",'Grid Data'!$AH$4:$AH$2342,'Grid Data'!$AI$4:$AI$2342),'Grid Data'!$Z$4:$Z$2342,$D64,'Grid Data'!$AA$4:$AA$2342,AD$4,'Grid Data'!$Y$4:$Y$2342,$D$2)*100-AD32, "--")</f>
        <v>--</v>
      </c>
      <c r="AE64" s="5" t="str">
        <f>IF(  AE95&gt;$E$2, SUMIFS(IF($G$2="CPR",'Grid Data'!$AH$4:$AH$2342,'Grid Data'!$AI$4:$AI$2342),'Grid Data'!$Z$4:$Z$2342,$D64,'Grid Data'!$AA$4:$AA$2342,AE$4,'Grid Data'!$Y$4:$Y$2342,$D$2)*100-AE32, "--")</f>
        <v>--</v>
      </c>
      <c r="AF64" s="5" t="str">
        <f>IF(  AF95&gt;$E$2, SUMIFS(IF($G$2="CPR",'Grid Data'!$AH$4:$AH$2342,'Grid Data'!$AI$4:$AI$2342),'Grid Data'!$Z$4:$Z$2342,$D64,'Grid Data'!$AA$4:$AA$2342,AF$4,'Grid Data'!$Y$4:$Y$2342,$D$2)*100-AF32, "--")</f>
        <v>--</v>
      </c>
      <c r="AG64" s="5" t="str">
        <f>IF(  AG95&gt;$E$2, SUMIFS(IF($G$2="CPR",'Grid Data'!$AH$4:$AH$2342,'Grid Data'!$AI$4:$AI$2342),'Grid Data'!$Z$4:$Z$2342,$D64,'Grid Data'!$AA$4:$AA$2342,AG$4,'Grid Data'!$Y$4:$Y$2342,$D$2)*100-AG32, "--")</f>
        <v>--</v>
      </c>
      <c r="AH64" s="5" t="str">
        <f>IF(  AH95&gt;$E$2, SUMIFS(IF($G$2="CPR",'Grid Data'!$AH$4:$AH$2342,'Grid Data'!$AI$4:$AI$2342),'Grid Data'!$Z$4:$Z$2342,$D64,'Grid Data'!$AA$4:$AA$2342,AH$4,'Grid Data'!$Y$4:$Y$2342,$D$2)*100-AH32, "--")</f>
        <v>--</v>
      </c>
    </row>
    <row r="65" spans="3:34" x14ac:dyDescent="0.35">
      <c r="D65">
        <v>20000</v>
      </c>
      <c r="E65" s="5" t="str">
        <f>IF(  E96&gt;$E$2, SUMIFS(IF($G$2="CPR",'Grid Data'!$AH$4:$AH$2342,'Grid Data'!$AI$4:$AI$2342),'Grid Data'!$Z$4:$Z$2342,$D65,'Grid Data'!$AA$4:$AA$2342,E$4,'Grid Data'!$Y$4:$Y$2342,$D$2)*100-E33, "--")</f>
        <v>--</v>
      </c>
      <c r="F65" s="5" t="str">
        <f>IF(  F96&gt;$E$2, SUMIFS(IF($G$2="CPR",'Grid Data'!$AH$4:$AH$2342,'Grid Data'!$AI$4:$AI$2342),'Grid Data'!$Z$4:$Z$2342,$D65,'Grid Data'!$AA$4:$AA$2342,F$4,'Grid Data'!$Y$4:$Y$2342,$D$2)*100-F33, "--")</f>
        <v>--</v>
      </c>
      <c r="G65" s="5" t="str">
        <f>IF(  G96&gt;$E$2, SUMIFS(IF($G$2="CPR",'Grid Data'!$AH$4:$AH$2342,'Grid Data'!$AI$4:$AI$2342),'Grid Data'!$Z$4:$Z$2342,$D65,'Grid Data'!$AA$4:$AA$2342,G$4,'Grid Data'!$Y$4:$Y$2342,$D$2)*100-G33, "--")</f>
        <v>--</v>
      </c>
      <c r="H65" s="5" t="str">
        <f>IF(  H96&gt;$E$2, SUMIFS(IF($G$2="CPR",'Grid Data'!$AH$4:$AH$2342,'Grid Data'!$AI$4:$AI$2342),'Grid Data'!$Z$4:$Z$2342,$D65,'Grid Data'!$AA$4:$AA$2342,H$4,'Grid Data'!$Y$4:$Y$2342,$D$2)*100-H33, "--")</f>
        <v>--</v>
      </c>
      <c r="I65" s="5" t="str">
        <f>IF(  I96&gt;$E$2, SUMIFS(IF($G$2="CPR",'Grid Data'!$AH$4:$AH$2342,'Grid Data'!$AI$4:$AI$2342),'Grid Data'!$Z$4:$Z$2342,$D65,'Grid Data'!$AA$4:$AA$2342,I$4,'Grid Data'!$Y$4:$Y$2342,$D$2)*100-I33, "--")</f>
        <v>--</v>
      </c>
      <c r="J65" s="5" t="str">
        <f>IF(  J96&gt;$E$2, SUMIFS(IF($G$2="CPR",'Grid Data'!$AH$4:$AH$2342,'Grid Data'!$AI$4:$AI$2342),'Grid Data'!$Z$4:$Z$2342,$D65,'Grid Data'!$AA$4:$AA$2342,J$4,'Grid Data'!$Y$4:$Y$2342,$D$2)*100-J33, "--")</f>
        <v>--</v>
      </c>
      <c r="K65" s="5" t="str">
        <f>IF(  K96&gt;$E$2, SUMIFS(IF($G$2="CPR",'Grid Data'!$AH$4:$AH$2342,'Grid Data'!$AI$4:$AI$2342),'Grid Data'!$Z$4:$Z$2342,$D65,'Grid Data'!$AA$4:$AA$2342,K$4,'Grid Data'!$Y$4:$Y$2342,$D$2)*100-K33, "--")</f>
        <v>--</v>
      </c>
      <c r="L65" s="5" t="str">
        <f>IF(  L96&gt;$E$2, SUMIFS(IF($G$2="CPR",'Grid Data'!$AH$4:$AH$2342,'Grid Data'!$AI$4:$AI$2342),'Grid Data'!$Z$4:$Z$2342,$D65,'Grid Data'!$AA$4:$AA$2342,L$4,'Grid Data'!$Y$4:$Y$2342,$D$2)*100-L33, "--")</f>
        <v>--</v>
      </c>
      <c r="M65" s="5" t="str">
        <f>IF(  M96&gt;$E$2, SUMIFS(IF($G$2="CPR",'Grid Data'!$AH$4:$AH$2342,'Grid Data'!$AI$4:$AI$2342),'Grid Data'!$Z$4:$Z$2342,$D65,'Grid Data'!$AA$4:$AA$2342,M$4,'Grid Data'!$Y$4:$Y$2342,$D$2)*100-M33, "--")</f>
        <v>--</v>
      </c>
      <c r="N65" s="5" t="str">
        <f>IF(  N96&gt;$E$2, SUMIFS(IF($G$2="CPR",'Grid Data'!$AH$4:$AH$2342,'Grid Data'!$AI$4:$AI$2342),'Grid Data'!$Z$4:$Z$2342,$D65,'Grid Data'!$AA$4:$AA$2342,N$4,'Grid Data'!$Y$4:$Y$2342,$D$2)*100-N33, "--")</f>
        <v>--</v>
      </c>
      <c r="O65" s="5" t="str">
        <f>IF(  O96&gt;$E$2, SUMIFS(IF($G$2="CPR",'Grid Data'!$AH$4:$AH$2342,'Grid Data'!$AI$4:$AI$2342),'Grid Data'!$Z$4:$Z$2342,$D65,'Grid Data'!$AA$4:$AA$2342,O$4,'Grid Data'!$Y$4:$Y$2342,$D$2)*100-O33, "--")</f>
        <v>--</v>
      </c>
      <c r="P65" s="5" t="str">
        <f>IF(  P96&gt;$E$2, SUMIFS(IF($G$2="CPR",'Grid Data'!$AH$4:$AH$2342,'Grid Data'!$AI$4:$AI$2342),'Grid Data'!$Z$4:$Z$2342,$D65,'Grid Data'!$AA$4:$AA$2342,P$4,'Grid Data'!$Y$4:$Y$2342,$D$2)*100-P33, "--")</f>
        <v>--</v>
      </c>
      <c r="Q65" s="5" t="str">
        <f>IF(  Q96&gt;$E$2, SUMIFS(IF($G$2="CPR",'Grid Data'!$AH$4:$AH$2342,'Grid Data'!$AI$4:$AI$2342),'Grid Data'!$Z$4:$Z$2342,$D65,'Grid Data'!$AA$4:$AA$2342,Q$4,'Grid Data'!$Y$4:$Y$2342,$D$2)*100-Q33, "--")</f>
        <v>--</v>
      </c>
      <c r="R65" s="5" t="str">
        <f>IF(  R96&gt;$E$2, SUMIFS(IF($G$2="CPR",'Grid Data'!$AH$4:$AH$2342,'Grid Data'!$AI$4:$AI$2342),'Grid Data'!$Z$4:$Z$2342,$D65,'Grid Data'!$AA$4:$AA$2342,R$4,'Grid Data'!$Y$4:$Y$2342,$D$2)*100-R33, "--")</f>
        <v>--</v>
      </c>
      <c r="S65" s="5" t="str">
        <f>IF(  S96&gt;$E$2, SUMIFS(IF($G$2="CPR",'Grid Data'!$AH$4:$AH$2342,'Grid Data'!$AI$4:$AI$2342),'Grid Data'!$Z$4:$Z$2342,$D65,'Grid Data'!$AA$4:$AA$2342,S$4,'Grid Data'!$Y$4:$Y$2342,$D$2)*100-S33, "--")</f>
        <v>--</v>
      </c>
      <c r="T65" s="5" t="str">
        <f>IF(  T96&gt;$E$2, SUMIFS(IF($G$2="CPR",'Grid Data'!$AH$4:$AH$2342,'Grid Data'!$AI$4:$AI$2342),'Grid Data'!$Z$4:$Z$2342,$D65,'Grid Data'!$AA$4:$AA$2342,T$4,'Grid Data'!$Y$4:$Y$2342,$D$2)*100-T33, "--")</f>
        <v>--</v>
      </c>
      <c r="U65" s="5" t="str">
        <f>IF(  U96&gt;$E$2, SUMIFS(IF($G$2="CPR",'Grid Data'!$AH$4:$AH$2342,'Grid Data'!$AI$4:$AI$2342),'Grid Data'!$Z$4:$Z$2342,$D65,'Grid Data'!$AA$4:$AA$2342,U$4,'Grid Data'!$Y$4:$Y$2342,$D$2)*100-U33, "--")</f>
        <v>--</v>
      </c>
      <c r="V65" s="5" t="str">
        <f>IF(  V96&gt;$E$2, SUMIFS(IF($G$2="CPR",'Grid Data'!$AH$4:$AH$2342,'Grid Data'!$AI$4:$AI$2342),'Grid Data'!$Z$4:$Z$2342,$D65,'Grid Data'!$AA$4:$AA$2342,V$4,'Grid Data'!$Y$4:$Y$2342,$D$2)*100-V33, "--")</f>
        <v>--</v>
      </c>
      <c r="W65" s="5" t="str">
        <f>IF(  W96&gt;$E$2, SUMIFS(IF($G$2="CPR",'Grid Data'!$AH$4:$AH$2342,'Grid Data'!$AI$4:$AI$2342),'Grid Data'!$Z$4:$Z$2342,$D65,'Grid Data'!$AA$4:$AA$2342,W$4,'Grid Data'!$Y$4:$Y$2342,$D$2)*100-W33, "--")</f>
        <v>--</v>
      </c>
      <c r="X65" s="5" t="str">
        <f>IF(  X96&gt;$E$2, SUMIFS(IF($G$2="CPR",'Grid Data'!$AH$4:$AH$2342,'Grid Data'!$AI$4:$AI$2342),'Grid Data'!$Z$4:$Z$2342,$D65,'Grid Data'!$AA$4:$AA$2342,X$4,'Grid Data'!$Y$4:$Y$2342,$D$2)*100-X33, "--")</f>
        <v>--</v>
      </c>
      <c r="Y65" s="5" t="str">
        <f>IF(  Y96&gt;$E$2, SUMIFS(IF($G$2="CPR",'Grid Data'!$AH$4:$AH$2342,'Grid Data'!$AI$4:$AI$2342),'Grid Data'!$Z$4:$Z$2342,$D65,'Grid Data'!$AA$4:$AA$2342,Y$4,'Grid Data'!$Y$4:$Y$2342,$D$2)*100-Y33, "--")</f>
        <v>--</v>
      </c>
      <c r="Z65" s="5" t="str">
        <f>IF(  Z96&gt;$E$2, SUMIFS(IF($G$2="CPR",'Grid Data'!$AH$4:$AH$2342,'Grid Data'!$AI$4:$AI$2342),'Grid Data'!$Z$4:$Z$2342,$D65,'Grid Data'!$AA$4:$AA$2342,Z$4,'Grid Data'!$Y$4:$Y$2342,$D$2)*100-Z33, "--")</f>
        <v>--</v>
      </c>
      <c r="AA65" s="5" t="str">
        <f>IF(  AA96&gt;$E$2, SUMIFS(IF($G$2="CPR",'Grid Data'!$AH$4:$AH$2342,'Grid Data'!$AI$4:$AI$2342),'Grid Data'!$Z$4:$Z$2342,$D65,'Grid Data'!$AA$4:$AA$2342,AA$4,'Grid Data'!$Y$4:$Y$2342,$D$2)*100-AA33, "--")</f>
        <v>--</v>
      </c>
      <c r="AB65" s="5" t="str">
        <f>IF(  AB96&gt;$E$2, SUMIFS(IF($G$2="CPR",'Grid Data'!$AH$4:$AH$2342,'Grid Data'!$AI$4:$AI$2342),'Grid Data'!$Z$4:$Z$2342,$D65,'Grid Data'!$AA$4:$AA$2342,AB$4,'Grid Data'!$Y$4:$Y$2342,$D$2)*100-AB33, "--")</f>
        <v>--</v>
      </c>
      <c r="AC65" s="5" t="str">
        <f>IF(  AC96&gt;$E$2, SUMIFS(IF($G$2="CPR",'Grid Data'!$AH$4:$AH$2342,'Grid Data'!$AI$4:$AI$2342),'Grid Data'!$Z$4:$Z$2342,$D65,'Grid Data'!$AA$4:$AA$2342,AC$4,'Grid Data'!$Y$4:$Y$2342,$D$2)*100-AC33, "--")</f>
        <v>--</v>
      </c>
      <c r="AD65" s="5" t="str">
        <f>IF(  AD96&gt;$E$2, SUMIFS(IF($G$2="CPR",'Grid Data'!$AH$4:$AH$2342,'Grid Data'!$AI$4:$AI$2342),'Grid Data'!$Z$4:$Z$2342,$D65,'Grid Data'!$AA$4:$AA$2342,AD$4,'Grid Data'!$Y$4:$Y$2342,$D$2)*100-AD33, "--")</f>
        <v>--</v>
      </c>
      <c r="AE65" s="5" t="str">
        <f>IF(  AE96&gt;$E$2, SUMIFS(IF($G$2="CPR",'Grid Data'!$AH$4:$AH$2342,'Grid Data'!$AI$4:$AI$2342),'Grid Data'!$Z$4:$Z$2342,$D65,'Grid Data'!$AA$4:$AA$2342,AE$4,'Grid Data'!$Y$4:$Y$2342,$D$2)*100-AE33, "--")</f>
        <v>--</v>
      </c>
      <c r="AF65" s="5" t="str">
        <f>IF(  AF96&gt;$E$2, SUMIFS(IF($G$2="CPR",'Grid Data'!$AH$4:$AH$2342,'Grid Data'!$AI$4:$AI$2342),'Grid Data'!$Z$4:$Z$2342,$D65,'Grid Data'!$AA$4:$AA$2342,AF$4,'Grid Data'!$Y$4:$Y$2342,$D$2)*100-AF33, "--")</f>
        <v>--</v>
      </c>
      <c r="AG65" s="5" t="str">
        <f>IF(  AG96&gt;$E$2, SUMIFS(IF($G$2="CPR",'Grid Data'!$AH$4:$AH$2342,'Grid Data'!$AI$4:$AI$2342),'Grid Data'!$Z$4:$Z$2342,$D65,'Grid Data'!$AA$4:$AA$2342,AG$4,'Grid Data'!$Y$4:$Y$2342,$D$2)*100-AG33, "--")</f>
        <v>--</v>
      </c>
      <c r="AH65" s="5" t="str">
        <f>IF(  AH96&gt;$E$2, SUMIFS(IF($G$2="CPR",'Grid Data'!$AH$4:$AH$2342,'Grid Data'!$AI$4:$AI$2342),'Grid Data'!$Z$4:$Z$2342,$D65,'Grid Data'!$AA$4:$AA$2342,AH$4,'Grid Data'!$Y$4:$Y$2342,$D$2)*100-AH33, "--")</f>
        <v>--</v>
      </c>
    </row>
    <row r="67" spans="3:34" x14ac:dyDescent="0.35">
      <c r="C67" s="3" t="s">
        <v>18</v>
      </c>
      <c r="D67" s="3" t="s">
        <v>8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24</v>
      </c>
      <c r="Q67">
        <v>30</v>
      </c>
      <c r="R67">
        <v>36</v>
      </c>
      <c r="S67">
        <v>42</v>
      </c>
      <c r="T67">
        <v>48</v>
      </c>
      <c r="U67">
        <v>54</v>
      </c>
      <c r="V67">
        <v>60</v>
      </c>
      <c r="W67">
        <v>72</v>
      </c>
      <c r="X67">
        <v>84</v>
      </c>
      <c r="Y67">
        <v>96</v>
      </c>
      <c r="Z67">
        <v>108</v>
      </c>
      <c r="AA67">
        <v>120</v>
      </c>
      <c r="AB67">
        <v>144</v>
      </c>
      <c r="AC67">
        <v>168</v>
      </c>
      <c r="AD67">
        <v>192</v>
      </c>
      <c r="AE67">
        <v>216</v>
      </c>
      <c r="AF67">
        <v>240</v>
      </c>
      <c r="AG67">
        <v>320</v>
      </c>
      <c r="AH67">
        <v>360</v>
      </c>
    </row>
    <row r="68" spans="3:34" x14ac:dyDescent="0.35">
      <c r="D68">
        <v>2000</v>
      </c>
      <c r="E68" s="2">
        <f>SUMIFS('Grid Data'!$P$4:$P$2342,'Grid Data'!$N$4:$N$2342,$D68,'Grid Data'!$O$4:$O$2342,E$4,'Grid Data'!$M$4:$M$2342,$D$2)</f>
        <v>0</v>
      </c>
      <c r="F68" s="2">
        <f>SUMIFS('Grid Data'!$P$4:$P$2342,'Grid Data'!$N$4:$N$2342,$D68,'Grid Data'!$O$4:$O$2342,F$4,'Grid Data'!$M$4:$M$2342,$D$2)</f>
        <v>0</v>
      </c>
      <c r="G68" s="2">
        <f>SUMIFS('Grid Data'!$P$4:$P$2342,'Grid Data'!$N$4:$N$2342,$D68,'Grid Data'!$O$4:$O$2342,G$4,'Grid Data'!$M$4:$M$2342,$D$2)</f>
        <v>0</v>
      </c>
      <c r="H68" s="2">
        <f>SUMIFS('Grid Data'!$P$4:$P$2342,'Grid Data'!$N$4:$N$2342,$D68,'Grid Data'!$O$4:$O$2342,H$4,'Grid Data'!$M$4:$M$2342,$D$2)</f>
        <v>0</v>
      </c>
      <c r="I68" s="2">
        <f>SUMIFS('Grid Data'!$P$4:$P$2342,'Grid Data'!$N$4:$N$2342,$D68,'Grid Data'!$O$4:$O$2342,I$4,'Grid Data'!$M$4:$M$2342,$D$2)</f>
        <v>0</v>
      </c>
      <c r="J68" s="2">
        <f>SUMIFS('Grid Data'!$P$4:$P$2342,'Grid Data'!$N$4:$N$2342,$D68,'Grid Data'!$O$4:$O$2342,J$4,'Grid Data'!$M$4:$M$2342,$D$2)</f>
        <v>0</v>
      </c>
      <c r="K68" s="2">
        <f>SUMIFS('Grid Data'!$P$4:$P$2342,'Grid Data'!$N$4:$N$2342,$D68,'Grid Data'!$O$4:$O$2342,K$4,'Grid Data'!$M$4:$M$2342,$D$2)</f>
        <v>1</v>
      </c>
      <c r="L68" s="2">
        <f>SUMIFS('Grid Data'!$P$4:$P$2342,'Grid Data'!$N$4:$N$2342,$D68,'Grid Data'!$O$4:$O$2342,L$4,'Grid Data'!$M$4:$M$2342,$D$2)</f>
        <v>0</v>
      </c>
      <c r="M68" s="2">
        <f>SUMIFS('Grid Data'!$P$4:$P$2342,'Grid Data'!$N$4:$N$2342,$D68,'Grid Data'!$O$4:$O$2342,M$4,'Grid Data'!$M$4:$M$2342,$D$2)</f>
        <v>0</v>
      </c>
      <c r="N68" s="2">
        <f>SUMIFS('Grid Data'!$P$4:$P$2342,'Grid Data'!$N$4:$N$2342,$D68,'Grid Data'!$O$4:$O$2342,N$4,'Grid Data'!$M$4:$M$2342,$D$2)</f>
        <v>0</v>
      </c>
      <c r="O68" s="2">
        <f>SUMIFS('Grid Data'!$P$4:$P$2342,'Grid Data'!$N$4:$N$2342,$D68,'Grid Data'!$O$4:$O$2342,O$4,'Grid Data'!$M$4:$M$2342,$D$2)</f>
        <v>0</v>
      </c>
      <c r="P68" s="2">
        <f>SUMIFS('Grid Data'!$P$4:$P$2342,'Grid Data'!$N$4:$N$2342,$D68,'Grid Data'!$O$4:$O$2342,P$4,'Grid Data'!$M$4:$M$2342,$D$2)</f>
        <v>1</v>
      </c>
      <c r="Q68" s="2">
        <f>SUMIFS('Grid Data'!$P$4:$P$2342,'Grid Data'!$N$4:$N$2342,$D68,'Grid Data'!$O$4:$O$2342,Q$4,'Grid Data'!$M$4:$M$2342,$D$2)</f>
        <v>1</v>
      </c>
      <c r="R68" s="2">
        <f>SUMIFS('Grid Data'!$P$4:$P$2342,'Grid Data'!$N$4:$N$2342,$D68,'Grid Data'!$O$4:$O$2342,R$4,'Grid Data'!$M$4:$M$2342,$D$2)</f>
        <v>0</v>
      </c>
      <c r="S68" s="2">
        <f>SUMIFS('Grid Data'!$P$4:$P$2342,'Grid Data'!$N$4:$N$2342,$D68,'Grid Data'!$O$4:$O$2342,S$4,'Grid Data'!$M$4:$M$2342,$D$2)</f>
        <v>1</v>
      </c>
      <c r="T68" s="2">
        <f>SUMIFS('Grid Data'!$P$4:$P$2342,'Grid Data'!$N$4:$N$2342,$D68,'Grid Data'!$O$4:$O$2342,T$4,'Grid Data'!$M$4:$M$2342,$D$2)</f>
        <v>6</v>
      </c>
      <c r="U68" s="2">
        <f>SUMIFS('Grid Data'!$P$4:$P$2342,'Grid Data'!$N$4:$N$2342,$D68,'Grid Data'!$O$4:$O$2342,U$4,'Grid Data'!$M$4:$M$2342,$D$2)</f>
        <v>1339</v>
      </c>
      <c r="V68" s="2">
        <f>SUMIFS('Grid Data'!$P$4:$P$2342,'Grid Data'!$N$4:$N$2342,$D68,'Grid Data'!$O$4:$O$2342,V$4,'Grid Data'!$M$4:$M$2342,$D$2)</f>
        <v>3652</v>
      </c>
      <c r="W68" s="2">
        <f>SUMIFS('Grid Data'!$P$4:$P$2342,'Grid Data'!$N$4:$N$2342,$D68,'Grid Data'!$O$4:$O$2342,W$4,'Grid Data'!$M$4:$M$2342,$D$2)</f>
        <v>4805</v>
      </c>
      <c r="X68" s="2">
        <f>SUMIFS('Grid Data'!$P$4:$P$2342,'Grid Data'!$N$4:$N$2342,$D68,'Grid Data'!$O$4:$O$2342,X$4,'Grid Data'!$M$4:$M$2342,$D$2)</f>
        <v>1</v>
      </c>
      <c r="Y68" s="2">
        <f>SUMIFS('Grid Data'!$P$4:$P$2342,'Grid Data'!$N$4:$N$2342,$D68,'Grid Data'!$O$4:$O$2342,Y$4,'Grid Data'!$M$4:$M$2342,$D$2)</f>
        <v>2</v>
      </c>
      <c r="Z68" s="2">
        <f>SUMIFS('Grid Data'!$P$4:$P$2342,'Grid Data'!$N$4:$N$2342,$D68,'Grid Data'!$O$4:$O$2342,Z$4,'Grid Data'!$M$4:$M$2342,$D$2)</f>
        <v>6</v>
      </c>
      <c r="AA68" s="2">
        <f>SUMIFS('Grid Data'!$P$4:$P$2342,'Grid Data'!$N$4:$N$2342,$D68,'Grid Data'!$O$4:$O$2342,AA$4,'Grid Data'!$M$4:$M$2342,$D$2)</f>
        <v>5</v>
      </c>
      <c r="AB68" s="2">
        <f>SUMIFS('Grid Data'!$P$4:$P$2342,'Grid Data'!$N$4:$N$2342,$D68,'Grid Data'!$O$4:$O$2342,AB$4,'Grid Data'!$M$4:$M$2342,$D$2)</f>
        <v>17</v>
      </c>
      <c r="AC68" s="2">
        <f>SUMIFS('Grid Data'!$P$4:$P$2342,'Grid Data'!$N$4:$N$2342,$D68,'Grid Data'!$O$4:$O$2342,AC$4,'Grid Data'!$M$4:$M$2342,$D$2)</f>
        <v>6</v>
      </c>
      <c r="AD68" s="2">
        <f>SUMIFS('Grid Data'!$P$4:$P$2342,'Grid Data'!$N$4:$N$2342,$D68,'Grid Data'!$O$4:$O$2342,AD$4,'Grid Data'!$M$4:$M$2342,$D$2)</f>
        <v>0</v>
      </c>
      <c r="AE68" s="2">
        <f>SUMIFS('Grid Data'!$P$4:$P$2342,'Grid Data'!$N$4:$N$2342,$D68,'Grid Data'!$O$4:$O$2342,AE$4,'Grid Data'!$M$4:$M$2342,$D$2)</f>
        <v>0</v>
      </c>
      <c r="AF68" s="2">
        <f>SUMIFS('Grid Data'!$P$4:$P$2342,'Grid Data'!$N$4:$N$2342,$D68,'Grid Data'!$O$4:$O$2342,AF$4,'Grid Data'!$M$4:$M$2342,$D$2)</f>
        <v>0</v>
      </c>
      <c r="AG68" s="2">
        <f>SUMIFS('Grid Data'!$P$4:$P$2342,'Grid Data'!$N$4:$N$2342,$D68,'Grid Data'!$O$4:$O$2342,AG$4,'Grid Data'!$M$4:$M$2342,$D$2)</f>
        <v>0</v>
      </c>
      <c r="AH68" s="2">
        <f>SUMIFS('Grid Data'!$P$4:$P$2342,'Grid Data'!$N$4:$N$2342,$D68,'Grid Data'!$O$4:$O$2342,AH$4,'Grid Data'!$M$4:$M$2342,$D$2)</f>
        <v>0</v>
      </c>
    </row>
    <row r="69" spans="3:34" x14ac:dyDescent="0.35">
      <c r="D69">
        <v>2250</v>
      </c>
      <c r="E69" s="2">
        <f>SUMIFS('Grid Data'!$P$4:$P$2342,'Grid Data'!$N$4:$N$2342,$D69,'Grid Data'!$O$4:$O$2342,E$4,'Grid Data'!$M$4:$M$2342,$D$2)</f>
        <v>0</v>
      </c>
      <c r="F69" s="2">
        <f>SUMIFS('Grid Data'!$P$4:$P$2342,'Grid Data'!$N$4:$N$2342,$D69,'Grid Data'!$O$4:$O$2342,F$4,'Grid Data'!$M$4:$M$2342,$D$2)</f>
        <v>0</v>
      </c>
      <c r="G69" s="2">
        <f>SUMIFS('Grid Data'!$P$4:$P$2342,'Grid Data'!$N$4:$N$2342,$D69,'Grid Data'!$O$4:$O$2342,G$4,'Grid Data'!$M$4:$M$2342,$D$2)</f>
        <v>0</v>
      </c>
      <c r="H69" s="2">
        <f>SUMIFS('Grid Data'!$P$4:$P$2342,'Grid Data'!$N$4:$N$2342,$D69,'Grid Data'!$O$4:$O$2342,H$4,'Grid Data'!$M$4:$M$2342,$D$2)</f>
        <v>0</v>
      </c>
      <c r="I69" s="2">
        <f>SUMIFS('Grid Data'!$P$4:$P$2342,'Grid Data'!$N$4:$N$2342,$D69,'Grid Data'!$O$4:$O$2342,I$4,'Grid Data'!$M$4:$M$2342,$D$2)</f>
        <v>0</v>
      </c>
      <c r="J69" s="2">
        <f>SUMIFS('Grid Data'!$P$4:$P$2342,'Grid Data'!$N$4:$N$2342,$D69,'Grid Data'!$O$4:$O$2342,J$4,'Grid Data'!$M$4:$M$2342,$D$2)</f>
        <v>1</v>
      </c>
      <c r="K69" s="2">
        <f>SUMIFS('Grid Data'!$P$4:$P$2342,'Grid Data'!$N$4:$N$2342,$D69,'Grid Data'!$O$4:$O$2342,K$4,'Grid Data'!$M$4:$M$2342,$D$2)</f>
        <v>4</v>
      </c>
      <c r="L69" s="2">
        <f>SUMIFS('Grid Data'!$P$4:$P$2342,'Grid Data'!$N$4:$N$2342,$D69,'Grid Data'!$O$4:$O$2342,L$4,'Grid Data'!$M$4:$M$2342,$D$2)</f>
        <v>1</v>
      </c>
      <c r="M69" s="2">
        <f>SUMIFS('Grid Data'!$P$4:$P$2342,'Grid Data'!$N$4:$N$2342,$D69,'Grid Data'!$O$4:$O$2342,M$4,'Grid Data'!$M$4:$M$2342,$D$2)</f>
        <v>1</v>
      </c>
      <c r="N69" s="2">
        <f>SUMIFS('Grid Data'!$P$4:$P$2342,'Grid Data'!$N$4:$N$2342,$D69,'Grid Data'!$O$4:$O$2342,N$4,'Grid Data'!$M$4:$M$2342,$D$2)</f>
        <v>4</v>
      </c>
      <c r="O69" s="2">
        <f>SUMIFS('Grid Data'!$P$4:$P$2342,'Grid Data'!$N$4:$N$2342,$D69,'Grid Data'!$O$4:$O$2342,O$4,'Grid Data'!$M$4:$M$2342,$D$2)</f>
        <v>3</v>
      </c>
      <c r="P69" s="2">
        <f>SUMIFS('Grid Data'!$P$4:$P$2342,'Grid Data'!$N$4:$N$2342,$D69,'Grid Data'!$O$4:$O$2342,P$4,'Grid Data'!$M$4:$M$2342,$D$2)</f>
        <v>15</v>
      </c>
      <c r="Q69" s="2">
        <f>SUMIFS('Grid Data'!$P$4:$P$2342,'Grid Data'!$N$4:$N$2342,$D69,'Grid Data'!$O$4:$O$2342,Q$4,'Grid Data'!$M$4:$M$2342,$D$2)</f>
        <v>25</v>
      </c>
      <c r="R69" s="2">
        <f>SUMIFS('Grid Data'!$P$4:$P$2342,'Grid Data'!$N$4:$N$2342,$D69,'Grid Data'!$O$4:$O$2342,R$4,'Grid Data'!$M$4:$M$2342,$D$2)</f>
        <v>32</v>
      </c>
      <c r="S69" s="2">
        <f>SUMIFS('Grid Data'!$P$4:$P$2342,'Grid Data'!$N$4:$N$2342,$D69,'Grid Data'!$O$4:$O$2342,S$4,'Grid Data'!$M$4:$M$2342,$D$2)</f>
        <v>33</v>
      </c>
      <c r="T69" s="2">
        <f>SUMIFS('Grid Data'!$P$4:$P$2342,'Grid Data'!$N$4:$N$2342,$D69,'Grid Data'!$O$4:$O$2342,T$4,'Grid Data'!$M$4:$M$2342,$D$2)</f>
        <v>678</v>
      </c>
      <c r="U69" s="2">
        <f>SUMIFS('Grid Data'!$P$4:$P$2342,'Grid Data'!$N$4:$N$2342,$D69,'Grid Data'!$O$4:$O$2342,U$4,'Grid Data'!$M$4:$M$2342,$D$2)</f>
        <v>54122</v>
      </c>
      <c r="V69" s="2">
        <f>SUMIFS('Grid Data'!$P$4:$P$2342,'Grid Data'!$N$4:$N$2342,$D69,'Grid Data'!$O$4:$O$2342,V$4,'Grid Data'!$M$4:$M$2342,$D$2)</f>
        <v>111994</v>
      </c>
      <c r="W69" s="2">
        <f>SUMIFS('Grid Data'!$P$4:$P$2342,'Grid Data'!$N$4:$N$2342,$D69,'Grid Data'!$O$4:$O$2342,W$4,'Grid Data'!$M$4:$M$2342,$D$2)</f>
        <v>209073</v>
      </c>
      <c r="X69" s="2">
        <f>SUMIFS('Grid Data'!$P$4:$P$2342,'Grid Data'!$N$4:$N$2342,$D69,'Grid Data'!$O$4:$O$2342,X$4,'Grid Data'!$M$4:$M$2342,$D$2)</f>
        <v>1</v>
      </c>
      <c r="Y69" s="2">
        <f>SUMIFS('Grid Data'!$P$4:$P$2342,'Grid Data'!$N$4:$N$2342,$D69,'Grid Data'!$O$4:$O$2342,Y$4,'Grid Data'!$M$4:$M$2342,$D$2)</f>
        <v>1</v>
      </c>
      <c r="Z69" s="2">
        <f>SUMIFS('Grid Data'!$P$4:$P$2342,'Grid Data'!$N$4:$N$2342,$D69,'Grid Data'!$O$4:$O$2342,Z$4,'Grid Data'!$M$4:$M$2342,$D$2)</f>
        <v>0</v>
      </c>
      <c r="AA69" s="2">
        <f>SUMIFS('Grid Data'!$P$4:$P$2342,'Grid Data'!$N$4:$N$2342,$D69,'Grid Data'!$O$4:$O$2342,AA$4,'Grid Data'!$M$4:$M$2342,$D$2)</f>
        <v>1</v>
      </c>
      <c r="AB69" s="2">
        <f>SUMIFS('Grid Data'!$P$4:$P$2342,'Grid Data'!$N$4:$N$2342,$D69,'Grid Data'!$O$4:$O$2342,AB$4,'Grid Data'!$M$4:$M$2342,$D$2)</f>
        <v>1</v>
      </c>
      <c r="AC69" s="2">
        <f>SUMIFS('Grid Data'!$P$4:$P$2342,'Grid Data'!$N$4:$N$2342,$D69,'Grid Data'!$O$4:$O$2342,AC$4,'Grid Data'!$M$4:$M$2342,$D$2)</f>
        <v>14</v>
      </c>
      <c r="AD69" s="2">
        <f>SUMIFS('Grid Data'!$P$4:$P$2342,'Grid Data'!$N$4:$N$2342,$D69,'Grid Data'!$O$4:$O$2342,AD$4,'Grid Data'!$M$4:$M$2342,$D$2)</f>
        <v>0</v>
      </c>
      <c r="AE69" s="2">
        <f>SUMIFS('Grid Data'!$P$4:$P$2342,'Grid Data'!$N$4:$N$2342,$D69,'Grid Data'!$O$4:$O$2342,AE$4,'Grid Data'!$M$4:$M$2342,$D$2)</f>
        <v>0</v>
      </c>
      <c r="AF69" s="2">
        <f>SUMIFS('Grid Data'!$P$4:$P$2342,'Grid Data'!$N$4:$N$2342,$D69,'Grid Data'!$O$4:$O$2342,AF$4,'Grid Data'!$M$4:$M$2342,$D$2)</f>
        <v>0</v>
      </c>
      <c r="AG69" s="2">
        <f>SUMIFS('Grid Data'!$P$4:$P$2342,'Grid Data'!$N$4:$N$2342,$D69,'Grid Data'!$O$4:$O$2342,AG$4,'Grid Data'!$M$4:$M$2342,$D$2)</f>
        <v>0</v>
      </c>
      <c r="AH69" s="2">
        <f>SUMIFS('Grid Data'!$P$4:$P$2342,'Grid Data'!$N$4:$N$2342,$D69,'Grid Data'!$O$4:$O$2342,AH$4,'Grid Data'!$M$4:$M$2342,$D$2)</f>
        <v>0</v>
      </c>
    </row>
    <row r="70" spans="3:34" x14ac:dyDescent="0.35">
      <c r="D70">
        <v>2500</v>
      </c>
      <c r="E70" s="2">
        <f>SUMIFS('Grid Data'!$P$4:$P$2342,'Grid Data'!$N$4:$N$2342,$D70,'Grid Data'!$O$4:$O$2342,E$4,'Grid Data'!$M$4:$M$2342,$D$2)</f>
        <v>5</v>
      </c>
      <c r="F70" s="2">
        <f>SUMIFS('Grid Data'!$P$4:$P$2342,'Grid Data'!$N$4:$N$2342,$D70,'Grid Data'!$O$4:$O$2342,F$4,'Grid Data'!$M$4:$M$2342,$D$2)</f>
        <v>1</v>
      </c>
      <c r="G70" s="2">
        <f>SUMIFS('Grid Data'!$P$4:$P$2342,'Grid Data'!$N$4:$N$2342,$D70,'Grid Data'!$O$4:$O$2342,G$4,'Grid Data'!$M$4:$M$2342,$D$2)</f>
        <v>3</v>
      </c>
      <c r="H70" s="2">
        <f>SUMIFS('Grid Data'!$P$4:$P$2342,'Grid Data'!$N$4:$N$2342,$D70,'Grid Data'!$O$4:$O$2342,H$4,'Grid Data'!$M$4:$M$2342,$D$2)</f>
        <v>12</v>
      </c>
      <c r="I70" s="2">
        <f>SUMIFS('Grid Data'!$P$4:$P$2342,'Grid Data'!$N$4:$N$2342,$D70,'Grid Data'!$O$4:$O$2342,I$4,'Grid Data'!$M$4:$M$2342,$D$2)</f>
        <v>6</v>
      </c>
      <c r="J70" s="2">
        <f>SUMIFS('Grid Data'!$P$4:$P$2342,'Grid Data'!$N$4:$N$2342,$D70,'Grid Data'!$O$4:$O$2342,J$4,'Grid Data'!$M$4:$M$2342,$D$2)</f>
        <v>1</v>
      </c>
      <c r="K70" s="2">
        <f>SUMIFS('Grid Data'!$P$4:$P$2342,'Grid Data'!$N$4:$N$2342,$D70,'Grid Data'!$O$4:$O$2342,K$4,'Grid Data'!$M$4:$M$2342,$D$2)</f>
        <v>7</v>
      </c>
      <c r="L70" s="2">
        <f>SUMIFS('Grid Data'!$P$4:$P$2342,'Grid Data'!$N$4:$N$2342,$D70,'Grid Data'!$O$4:$O$2342,L$4,'Grid Data'!$M$4:$M$2342,$D$2)</f>
        <v>1</v>
      </c>
      <c r="M70" s="2">
        <f>SUMIFS('Grid Data'!$P$4:$P$2342,'Grid Data'!$N$4:$N$2342,$D70,'Grid Data'!$O$4:$O$2342,M$4,'Grid Data'!$M$4:$M$2342,$D$2)</f>
        <v>0</v>
      </c>
      <c r="N70" s="2">
        <f>SUMIFS('Grid Data'!$P$4:$P$2342,'Grid Data'!$N$4:$N$2342,$D70,'Grid Data'!$O$4:$O$2342,N$4,'Grid Data'!$M$4:$M$2342,$D$2)</f>
        <v>1</v>
      </c>
      <c r="O70" s="2">
        <f>SUMIFS('Grid Data'!$P$4:$P$2342,'Grid Data'!$N$4:$N$2342,$D70,'Grid Data'!$O$4:$O$2342,O$4,'Grid Data'!$M$4:$M$2342,$D$2)</f>
        <v>1</v>
      </c>
      <c r="P70" s="2">
        <f>SUMIFS('Grid Data'!$P$4:$P$2342,'Grid Data'!$N$4:$N$2342,$D70,'Grid Data'!$O$4:$O$2342,P$4,'Grid Data'!$M$4:$M$2342,$D$2)</f>
        <v>8</v>
      </c>
      <c r="Q70" s="2">
        <f>SUMIFS('Grid Data'!$P$4:$P$2342,'Grid Data'!$N$4:$N$2342,$D70,'Grid Data'!$O$4:$O$2342,Q$4,'Grid Data'!$M$4:$M$2342,$D$2)</f>
        <v>8</v>
      </c>
      <c r="R70" s="2">
        <f>SUMIFS('Grid Data'!$P$4:$P$2342,'Grid Data'!$N$4:$N$2342,$D70,'Grid Data'!$O$4:$O$2342,R$4,'Grid Data'!$M$4:$M$2342,$D$2)</f>
        <v>9</v>
      </c>
      <c r="S70" s="2">
        <f>SUMIFS('Grid Data'!$P$4:$P$2342,'Grid Data'!$N$4:$N$2342,$D70,'Grid Data'!$O$4:$O$2342,S$4,'Grid Data'!$M$4:$M$2342,$D$2)</f>
        <v>39</v>
      </c>
      <c r="T70" s="2">
        <f>SUMIFS('Grid Data'!$P$4:$P$2342,'Grid Data'!$N$4:$N$2342,$D70,'Grid Data'!$O$4:$O$2342,T$4,'Grid Data'!$M$4:$M$2342,$D$2)</f>
        <v>1341</v>
      </c>
      <c r="U70" s="2">
        <f>SUMIFS('Grid Data'!$P$4:$P$2342,'Grid Data'!$N$4:$N$2342,$D70,'Grid Data'!$O$4:$O$2342,U$4,'Grid Data'!$M$4:$M$2342,$D$2)</f>
        <v>53756</v>
      </c>
      <c r="V70" s="2">
        <f>SUMIFS('Grid Data'!$P$4:$P$2342,'Grid Data'!$N$4:$N$2342,$D70,'Grid Data'!$O$4:$O$2342,V$4,'Grid Data'!$M$4:$M$2342,$D$2)</f>
        <v>69510</v>
      </c>
      <c r="W70" s="2">
        <f>SUMIFS('Grid Data'!$P$4:$P$2342,'Grid Data'!$N$4:$N$2342,$D70,'Grid Data'!$O$4:$O$2342,W$4,'Grid Data'!$M$4:$M$2342,$D$2)</f>
        <v>118553</v>
      </c>
      <c r="X70" s="2">
        <f>SUMIFS('Grid Data'!$P$4:$P$2342,'Grid Data'!$N$4:$N$2342,$D70,'Grid Data'!$O$4:$O$2342,X$4,'Grid Data'!$M$4:$M$2342,$D$2)</f>
        <v>2</v>
      </c>
      <c r="Y70" s="2">
        <f>SUMIFS('Grid Data'!$P$4:$P$2342,'Grid Data'!$N$4:$N$2342,$D70,'Grid Data'!$O$4:$O$2342,Y$4,'Grid Data'!$M$4:$M$2342,$D$2)</f>
        <v>0</v>
      </c>
      <c r="Z70" s="2">
        <f>SUMIFS('Grid Data'!$P$4:$P$2342,'Grid Data'!$N$4:$N$2342,$D70,'Grid Data'!$O$4:$O$2342,Z$4,'Grid Data'!$M$4:$M$2342,$D$2)</f>
        <v>0</v>
      </c>
      <c r="AA70" s="2">
        <f>SUMIFS('Grid Data'!$P$4:$P$2342,'Grid Data'!$N$4:$N$2342,$D70,'Grid Data'!$O$4:$O$2342,AA$4,'Grid Data'!$M$4:$M$2342,$D$2)</f>
        <v>4</v>
      </c>
      <c r="AB70" s="2">
        <f>SUMIFS('Grid Data'!$P$4:$P$2342,'Grid Data'!$N$4:$N$2342,$D70,'Grid Data'!$O$4:$O$2342,AB$4,'Grid Data'!$M$4:$M$2342,$D$2)</f>
        <v>7</v>
      </c>
      <c r="AC70" s="2">
        <f>SUMIFS('Grid Data'!$P$4:$P$2342,'Grid Data'!$N$4:$N$2342,$D70,'Grid Data'!$O$4:$O$2342,AC$4,'Grid Data'!$M$4:$M$2342,$D$2)</f>
        <v>16</v>
      </c>
      <c r="AD70" s="2">
        <f>SUMIFS('Grid Data'!$P$4:$P$2342,'Grid Data'!$N$4:$N$2342,$D70,'Grid Data'!$O$4:$O$2342,AD$4,'Grid Data'!$M$4:$M$2342,$D$2)</f>
        <v>2</v>
      </c>
      <c r="AE70" s="2">
        <f>SUMIFS('Grid Data'!$P$4:$P$2342,'Grid Data'!$N$4:$N$2342,$D70,'Grid Data'!$O$4:$O$2342,AE$4,'Grid Data'!$M$4:$M$2342,$D$2)</f>
        <v>0</v>
      </c>
      <c r="AF70" s="2">
        <f>SUMIFS('Grid Data'!$P$4:$P$2342,'Grid Data'!$N$4:$N$2342,$D70,'Grid Data'!$O$4:$O$2342,AF$4,'Grid Data'!$M$4:$M$2342,$D$2)</f>
        <v>0</v>
      </c>
      <c r="AG70" s="2">
        <f>SUMIFS('Grid Data'!$P$4:$P$2342,'Grid Data'!$N$4:$N$2342,$D70,'Grid Data'!$O$4:$O$2342,AG$4,'Grid Data'!$M$4:$M$2342,$D$2)</f>
        <v>0</v>
      </c>
      <c r="AH70" s="2">
        <f>SUMIFS('Grid Data'!$P$4:$P$2342,'Grid Data'!$N$4:$N$2342,$D70,'Grid Data'!$O$4:$O$2342,AH$4,'Grid Data'!$M$4:$M$2342,$D$2)</f>
        <v>0</v>
      </c>
    </row>
    <row r="71" spans="3:34" x14ac:dyDescent="0.35">
      <c r="D71">
        <v>2750</v>
      </c>
      <c r="E71" s="2">
        <f>SUMIFS('Grid Data'!$P$4:$P$2342,'Grid Data'!$N$4:$N$2342,$D71,'Grid Data'!$O$4:$O$2342,E$4,'Grid Data'!$M$4:$M$2342,$D$2)</f>
        <v>5</v>
      </c>
      <c r="F71" s="2">
        <f>SUMIFS('Grid Data'!$P$4:$P$2342,'Grid Data'!$N$4:$N$2342,$D71,'Grid Data'!$O$4:$O$2342,F$4,'Grid Data'!$M$4:$M$2342,$D$2)</f>
        <v>0</v>
      </c>
      <c r="G71" s="2">
        <f>SUMIFS('Grid Data'!$P$4:$P$2342,'Grid Data'!$N$4:$N$2342,$D71,'Grid Data'!$O$4:$O$2342,G$4,'Grid Data'!$M$4:$M$2342,$D$2)</f>
        <v>1</v>
      </c>
      <c r="H71" s="2">
        <f>SUMIFS('Grid Data'!$P$4:$P$2342,'Grid Data'!$N$4:$N$2342,$D71,'Grid Data'!$O$4:$O$2342,H$4,'Grid Data'!$M$4:$M$2342,$D$2)</f>
        <v>1</v>
      </c>
      <c r="I71" s="2">
        <f>SUMIFS('Grid Data'!$P$4:$P$2342,'Grid Data'!$N$4:$N$2342,$D71,'Grid Data'!$O$4:$O$2342,I$4,'Grid Data'!$M$4:$M$2342,$D$2)</f>
        <v>1</v>
      </c>
      <c r="J71" s="2">
        <f>SUMIFS('Grid Data'!$P$4:$P$2342,'Grid Data'!$N$4:$N$2342,$D71,'Grid Data'!$O$4:$O$2342,J$4,'Grid Data'!$M$4:$M$2342,$D$2)</f>
        <v>2</v>
      </c>
      <c r="K71" s="2">
        <f>SUMIFS('Grid Data'!$P$4:$P$2342,'Grid Data'!$N$4:$N$2342,$D71,'Grid Data'!$O$4:$O$2342,K$4,'Grid Data'!$M$4:$M$2342,$D$2)</f>
        <v>5</v>
      </c>
      <c r="L71" s="2">
        <f>SUMIFS('Grid Data'!$P$4:$P$2342,'Grid Data'!$N$4:$N$2342,$D71,'Grid Data'!$O$4:$O$2342,L$4,'Grid Data'!$M$4:$M$2342,$D$2)</f>
        <v>2</v>
      </c>
      <c r="M71" s="2">
        <f>SUMIFS('Grid Data'!$P$4:$P$2342,'Grid Data'!$N$4:$N$2342,$D71,'Grid Data'!$O$4:$O$2342,M$4,'Grid Data'!$M$4:$M$2342,$D$2)</f>
        <v>4</v>
      </c>
      <c r="N71" s="2">
        <f>SUMIFS('Grid Data'!$P$4:$P$2342,'Grid Data'!$N$4:$N$2342,$D71,'Grid Data'!$O$4:$O$2342,N$4,'Grid Data'!$M$4:$M$2342,$D$2)</f>
        <v>2</v>
      </c>
      <c r="O71" s="2">
        <f>SUMIFS('Grid Data'!$P$4:$P$2342,'Grid Data'!$N$4:$N$2342,$D71,'Grid Data'!$O$4:$O$2342,O$4,'Grid Data'!$M$4:$M$2342,$D$2)</f>
        <v>4</v>
      </c>
      <c r="P71" s="2">
        <f>SUMIFS('Grid Data'!$P$4:$P$2342,'Grid Data'!$N$4:$N$2342,$D71,'Grid Data'!$O$4:$O$2342,P$4,'Grid Data'!$M$4:$M$2342,$D$2)</f>
        <v>13</v>
      </c>
      <c r="Q71" s="2">
        <f>SUMIFS('Grid Data'!$P$4:$P$2342,'Grid Data'!$N$4:$N$2342,$D71,'Grid Data'!$O$4:$O$2342,Q$4,'Grid Data'!$M$4:$M$2342,$D$2)</f>
        <v>15</v>
      </c>
      <c r="R71" s="2">
        <f>SUMIFS('Grid Data'!$P$4:$P$2342,'Grid Data'!$N$4:$N$2342,$D71,'Grid Data'!$O$4:$O$2342,R$4,'Grid Data'!$M$4:$M$2342,$D$2)</f>
        <v>41</v>
      </c>
      <c r="S71" s="2">
        <f>SUMIFS('Grid Data'!$P$4:$P$2342,'Grid Data'!$N$4:$N$2342,$D71,'Grid Data'!$O$4:$O$2342,S$4,'Grid Data'!$M$4:$M$2342,$D$2)</f>
        <v>105</v>
      </c>
      <c r="T71" s="2">
        <f>SUMIFS('Grid Data'!$P$4:$P$2342,'Grid Data'!$N$4:$N$2342,$D71,'Grid Data'!$O$4:$O$2342,T$4,'Grid Data'!$M$4:$M$2342,$D$2)</f>
        <v>5730</v>
      </c>
      <c r="U71" s="2">
        <f>SUMIFS('Grid Data'!$P$4:$P$2342,'Grid Data'!$N$4:$N$2342,$D71,'Grid Data'!$O$4:$O$2342,U$4,'Grid Data'!$M$4:$M$2342,$D$2)</f>
        <v>73542</v>
      </c>
      <c r="V71" s="2">
        <f>SUMIFS('Grid Data'!$P$4:$P$2342,'Grid Data'!$N$4:$N$2342,$D71,'Grid Data'!$O$4:$O$2342,V$4,'Grid Data'!$M$4:$M$2342,$D$2)</f>
        <v>100809</v>
      </c>
      <c r="W71" s="2">
        <f>SUMIFS('Grid Data'!$P$4:$P$2342,'Grid Data'!$N$4:$N$2342,$D71,'Grid Data'!$O$4:$O$2342,W$4,'Grid Data'!$M$4:$M$2342,$D$2)</f>
        <v>179910</v>
      </c>
      <c r="X71" s="2">
        <f>SUMIFS('Grid Data'!$P$4:$P$2342,'Grid Data'!$N$4:$N$2342,$D71,'Grid Data'!$O$4:$O$2342,X$4,'Grid Data'!$M$4:$M$2342,$D$2)</f>
        <v>3603</v>
      </c>
      <c r="Y71" s="2">
        <f>SUMIFS('Grid Data'!$P$4:$P$2342,'Grid Data'!$N$4:$N$2342,$D71,'Grid Data'!$O$4:$O$2342,Y$4,'Grid Data'!$M$4:$M$2342,$D$2)</f>
        <v>2</v>
      </c>
      <c r="Z71" s="2">
        <f>SUMIFS('Grid Data'!$P$4:$P$2342,'Grid Data'!$N$4:$N$2342,$D71,'Grid Data'!$O$4:$O$2342,Z$4,'Grid Data'!$M$4:$M$2342,$D$2)</f>
        <v>20</v>
      </c>
      <c r="AA71" s="2">
        <f>SUMIFS('Grid Data'!$P$4:$P$2342,'Grid Data'!$N$4:$N$2342,$D71,'Grid Data'!$O$4:$O$2342,AA$4,'Grid Data'!$M$4:$M$2342,$D$2)</f>
        <v>2495</v>
      </c>
      <c r="AB71" s="2">
        <f>SUMIFS('Grid Data'!$P$4:$P$2342,'Grid Data'!$N$4:$N$2342,$D71,'Grid Data'!$O$4:$O$2342,AB$4,'Grid Data'!$M$4:$M$2342,$D$2)</f>
        <v>430</v>
      </c>
      <c r="AC71" s="2">
        <f>SUMIFS('Grid Data'!$P$4:$P$2342,'Grid Data'!$N$4:$N$2342,$D71,'Grid Data'!$O$4:$O$2342,AC$4,'Grid Data'!$M$4:$M$2342,$D$2)</f>
        <v>756</v>
      </c>
      <c r="AD71" s="2">
        <f>SUMIFS('Grid Data'!$P$4:$P$2342,'Grid Data'!$N$4:$N$2342,$D71,'Grid Data'!$O$4:$O$2342,AD$4,'Grid Data'!$M$4:$M$2342,$D$2)</f>
        <v>2</v>
      </c>
      <c r="AE71" s="2">
        <f>SUMIFS('Grid Data'!$P$4:$P$2342,'Grid Data'!$N$4:$N$2342,$D71,'Grid Data'!$O$4:$O$2342,AE$4,'Grid Data'!$M$4:$M$2342,$D$2)</f>
        <v>0</v>
      </c>
      <c r="AF71" s="2">
        <f>SUMIFS('Grid Data'!$P$4:$P$2342,'Grid Data'!$N$4:$N$2342,$D71,'Grid Data'!$O$4:$O$2342,AF$4,'Grid Data'!$M$4:$M$2342,$D$2)</f>
        <v>1</v>
      </c>
      <c r="AG71" s="2">
        <f>SUMIFS('Grid Data'!$P$4:$P$2342,'Grid Data'!$N$4:$N$2342,$D71,'Grid Data'!$O$4:$O$2342,AG$4,'Grid Data'!$M$4:$M$2342,$D$2)</f>
        <v>0</v>
      </c>
      <c r="AH71" s="2">
        <f>SUMIFS('Grid Data'!$P$4:$P$2342,'Grid Data'!$N$4:$N$2342,$D71,'Grid Data'!$O$4:$O$2342,AH$4,'Grid Data'!$M$4:$M$2342,$D$2)</f>
        <v>0</v>
      </c>
    </row>
    <row r="72" spans="3:34" x14ac:dyDescent="0.35">
      <c r="D72">
        <v>3000</v>
      </c>
      <c r="E72" s="2">
        <f>SUMIFS('Grid Data'!$P$4:$P$2342,'Grid Data'!$N$4:$N$2342,$D72,'Grid Data'!$O$4:$O$2342,E$4,'Grid Data'!$M$4:$M$2342,$D$2)</f>
        <v>6</v>
      </c>
      <c r="F72" s="2">
        <f>SUMIFS('Grid Data'!$P$4:$P$2342,'Grid Data'!$N$4:$N$2342,$D72,'Grid Data'!$O$4:$O$2342,F$4,'Grid Data'!$M$4:$M$2342,$D$2)</f>
        <v>0</v>
      </c>
      <c r="G72" s="2">
        <f>SUMIFS('Grid Data'!$P$4:$P$2342,'Grid Data'!$N$4:$N$2342,$D72,'Grid Data'!$O$4:$O$2342,G$4,'Grid Data'!$M$4:$M$2342,$D$2)</f>
        <v>1</v>
      </c>
      <c r="H72" s="2">
        <f>SUMIFS('Grid Data'!$P$4:$P$2342,'Grid Data'!$N$4:$N$2342,$D72,'Grid Data'!$O$4:$O$2342,H$4,'Grid Data'!$M$4:$M$2342,$D$2)</f>
        <v>1</v>
      </c>
      <c r="I72" s="2">
        <f>SUMIFS('Grid Data'!$P$4:$P$2342,'Grid Data'!$N$4:$N$2342,$D72,'Grid Data'!$O$4:$O$2342,I$4,'Grid Data'!$M$4:$M$2342,$D$2)</f>
        <v>2</v>
      </c>
      <c r="J72" s="2">
        <f>SUMIFS('Grid Data'!$P$4:$P$2342,'Grid Data'!$N$4:$N$2342,$D72,'Grid Data'!$O$4:$O$2342,J$4,'Grid Data'!$M$4:$M$2342,$D$2)</f>
        <v>1</v>
      </c>
      <c r="K72" s="2">
        <f>SUMIFS('Grid Data'!$P$4:$P$2342,'Grid Data'!$N$4:$N$2342,$D72,'Grid Data'!$O$4:$O$2342,K$4,'Grid Data'!$M$4:$M$2342,$D$2)</f>
        <v>8</v>
      </c>
      <c r="L72" s="2">
        <f>SUMIFS('Grid Data'!$P$4:$P$2342,'Grid Data'!$N$4:$N$2342,$D72,'Grid Data'!$O$4:$O$2342,L$4,'Grid Data'!$M$4:$M$2342,$D$2)</f>
        <v>2</v>
      </c>
      <c r="M72" s="2">
        <f>SUMIFS('Grid Data'!$P$4:$P$2342,'Grid Data'!$N$4:$N$2342,$D72,'Grid Data'!$O$4:$O$2342,M$4,'Grid Data'!$M$4:$M$2342,$D$2)</f>
        <v>0</v>
      </c>
      <c r="N72" s="2">
        <f>SUMIFS('Grid Data'!$P$4:$P$2342,'Grid Data'!$N$4:$N$2342,$D72,'Grid Data'!$O$4:$O$2342,N$4,'Grid Data'!$M$4:$M$2342,$D$2)</f>
        <v>3</v>
      </c>
      <c r="O72" s="2">
        <f>SUMIFS('Grid Data'!$P$4:$P$2342,'Grid Data'!$N$4:$N$2342,$D72,'Grid Data'!$O$4:$O$2342,O$4,'Grid Data'!$M$4:$M$2342,$D$2)</f>
        <v>1</v>
      </c>
      <c r="P72" s="2">
        <f>SUMIFS('Grid Data'!$P$4:$P$2342,'Grid Data'!$N$4:$N$2342,$D72,'Grid Data'!$O$4:$O$2342,P$4,'Grid Data'!$M$4:$M$2342,$D$2)</f>
        <v>5</v>
      </c>
      <c r="Q72" s="2">
        <f>SUMIFS('Grid Data'!$P$4:$P$2342,'Grid Data'!$N$4:$N$2342,$D72,'Grid Data'!$O$4:$O$2342,Q$4,'Grid Data'!$M$4:$M$2342,$D$2)</f>
        <v>25</v>
      </c>
      <c r="R72" s="2">
        <f>SUMIFS('Grid Data'!$P$4:$P$2342,'Grid Data'!$N$4:$N$2342,$D72,'Grid Data'!$O$4:$O$2342,R$4,'Grid Data'!$M$4:$M$2342,$D$2)</f>
        <v>45</v>
      </c>
      <c r="S72" s="2">
        <f>SUMIFS('Grid Data'!$P$4:$P$2342,'Grid Data'!$N$4:$N$2342,$D72,'Grid Data'!$O$4:$O$2342,S$4,'Grid Data'!$M$4:$M$2342,$D$2)</f>
        <v>101</v>
      </c>
      <c r="T72" s="2">
        <f>SUMIFS('Grid Data'!$P$4:$P$2342,'Grid Data'!$N$4:$N$2342,$D72,'Grid Data'!$O$4:$O$2342,T$4,'Grid Data'!$M$4:$M$2342,$D$2)</f>
        <v>6020</v>
      </c>
      <c r="U72" s="2">
        <f>SUMIFS('Grid Data'!$P$4:$P$2342,'Grid Data'!$N$4:$N$2342,$D72,'Grid Data'!$O$4:$O$2342,U$4,'Grid Data'!$M$4:$M$2342,$D$2)</f>
        <v>53941</v>
      </c>
      <c r="V72" s="2">
        <f>SUMIFS('Grid Data'!$P$4:$P$2342,'Grid Data'!$N$4:$N$2342,$D72,'Grid Data'!$O$4:$O$2342,V$4,'Grid Data'!$M$4:$M$2342,$D$2)</f>
        <v>62186</v>
      </c>
      <c r="W72" s="2">
        <f>SUMIFS('Grid Data'!$P$4:$P$2342,'Grid Data'!$N$4:$N$2342,$D72,'Grid Data'!$O$4:$O$2342,W$4,'Grid Data'!$M$4:$M$2342,$D$2)</f>
        <v>98288</v>
      </c>
      <c r="X72" s="2">
        <f>SUMIFS('Grid Data'!$P$4:$P$2342,'Grid Data'!$N$4:$N$2342,$D72,'Grid Data'!$O$4:$O$2342,X$4,'Grid Data'!$M$4:$M$2342,$D$2)</f>
        <v>10538</v>
      </c>
      <c r="Y72" s="2">
        <f>SUMIFS('Grid Data'!$P$4:$P$2342,'Grid Data'!$N$4:$N$2342,$D72,'Grid Data'!$O$4:$O$2342,Y$4,'Grid Data'!$M$4:$M$2342,$D$2)</f>
        <v>9</v>
      </c>
      <c r="Z72" s="2">
        <f>SUMIFS('Grid Data'!$P$4:$P$2342,'Grid Data'!$N$4:$N$2342,$D72,'Grid Data'!$O$4:$O$2342,Z$4,'Grid Data'!$M$4:$M$2342,$D$2)</f>
        <v>123</v>
      </c>
      <c r="AA72" s="2">
        <f>SUMIFS('Grid Data'!$P$4:$P$2342,'Grid Data'!$N$4:$N$2342,$D72,'Grid Data'!$O$4:$O$2342,AA$4,'Grid Data'!$M$4:$M$2342,$D$2)</f>
        <v>3511</v>
      </c>
      <c r="AB72" s="2">
        <f>SUMIFS('Grid Data'!$P$4:$P$2342,'Grid Data'!$N$4:$N$2342,$D72,'Grid Data'!$O$4:$O$2342,AB$4,'Grid Data'!$M$4:$M$2342,$D$2)</f>
        <v>233</v>
      </c>
      <c r="AC72" s="2">
        <f>SUMIFS('Grid Data'!$P$4:$P$2342,'Grid Data'!$N$4:$N$2342,$D72,'Grid Data'!$O$4:$O$2342,AC$4,'Grid Data'!$M$4:$M$2342,$D$2)</f>
        <v>2720</v>
      </c>
      <c r="AD72" s="2">
        <f>SUMIFS('Grid Data'!$P$4:$P$2342,'Grid Data'!$N$4:$N$2342,$D72,'Grid Data'!$O$4:$O$2342,AD$4,'Grid Data'!$M$4:$M$2342,$D$2)</f>
        <v>6</v>
      </c>
      <c r="AE72" s="2">
        <f>SUMIFS('Grid Data'!$P$4:$P$2342,'Grid Data'!$N$4:$N$2342,$D72,'Grid Data'!$O$4:$O$2342,AE$4,'Grid Data'!$M$4:$M$2342,$D$2)</f>
        <v>1</v>
      </c>
      <c r="AF72" s="2">
        <f>SUMIFS('Grid Data'!$P$4:$P$2342,'Grid Data'!$N$4:$N$2342,$D72,'Grid Data'!$O$4:$O$2342,AF$4,'Grid Data'!$M$4:$M$2342,$D$2)</f>
        <v>0</v>
      </c>
      <c r="AG72" s="2">
        <f>SUMIFS('Grid Data'!$P$4:$P$2342,'Grid Data'!$N$4:$N$2342,$D72,'Grid Data'!$O$4:$O$2342,AG$4,'Grid Data'!$M$4:$M$2342,$D$2)</f>
        <v>1</v>
      </c>
      <c r="AH72" s="2">
        <f>SUMIFS('Grid Data'!$P$4:$P$2342,'Grid Data'!$N$4:$N$2342,$D72,'Grid Data'!$O$4:$O$2342,AH$4,'Grid Data'!$M$4:$M$2342,$D$2)</f>
        <v>0</v>
      </c>
    </row>
    <row r="73" spans="3:34" x14ac:dyDescent="0.35">
      <c r="D73">
        <v>3250</v>
      </c>
      <c r="E73" s="2">
        <f>SUMIFS('Grid Data'!$P$4:$P$2342,'Grid Data'!$N$4:$N$2342,$D73,'Grid Data'!$O$4:$O$2342,E$4,'Grid Data'!$M$4:$M$2342,$D$2)</f>
        <v>59</v>
      </c>
      <c r="F73" s="2">
        <f>SUMIFS('Grid Data'!$P$4:$P$2342,'Grid Data'!$N$4:$N$2342,$D73,'Grid Data'!$O$4:$O$2342,F$4,'Grid Data'!$M$4:$M$2342,$D$2)</f>
        <v>1</v>
      </c>
      <c r="G73" s="2">
        <f>SUMIFS('Grid Data'!$P$4:$P$2342,'Grid Data'!$N$4:$N$2342,$D73,'Grid Data'!$O$4:$O$2342,G$4,'Grid Data'!$M$4:$M$2342,$D$2)</f>
        <v>16</v>
      </c>
      <c r="H73" s="2">
        <f>SUMIFS('Grid Data'!$P$4:$P$2342,'Grid Data'!$N$4:$N$2342,$D73,'Grid Data'!$O$4:$O$2342,H$4,'Grid Data'!$M$4:$M$2342,$D$2)</f>
        <v>3</v>
      </c>
      <c r="I73" s="2">
        <f>SUMIFS('Grid Data'!$P$4:$P$2342,'Grid Data'!$N$4:$N$2342,$D73,'Grid Data'!$O$4:$O$2342,I$4,'Grid Data'!$M$4:$M$2342,$D$2)</f>
        <v>4</v>
      </c>
      <c r="J73" s="2">
        <f>SUMIFS('Grid Data'!$P$4:$P$2342,'Grid Data'!$N$4:$N$2342,$D73,'Grid Data'!$O$4:$O$2342,J$4,'Grid Data'!$M$4:$M$2342,$D$2)</f>
        <v>9</v>
      </c>
      <c r="K73" s="2">
        <f>SUMIFS('Grid Data'!$P$4:$P$2342,'Grid Data'!$N$4:$N$2342,$D73,'Grid Data'!$O$4:$O$2342,K$4,'Grid Data'!$M$4:$M$2342,$D$2)</f>
        <v>9</v>
      </c>
      <c r="L73" s="2">
        <f>SUMIFS('Grid Data'!$P$4:$P$2342,'Grid Data'!$N$4:$N$2342,$D73,'Grid Data'!$O$4:$O$2342,L$4,'Grid Data'!$M$4:$M$2342,$D$2)</f>
        <v>9</v>
      </c>
      <c r="M73" s="2">
        <f>SUMIFS('Grid Data'!$P$4:$P$2342,'Grid Data'!$N$4:$N$2342,$D73,'Grid Data'!$O$4:$O$2342,M$4,'Grid Data'!$M$4:$M$2342,$D$2)</f>
        <v>20</v>
      </c>
      <c r="N73" s="2">
        <f>SUMIFS('Grid Data'!$P$4:$P$2342,'Grid Data'!$N$4:$N$2342,$D73,'Grid Data'!$O$4:$O$2342,N$4,'Grid Data'!$M$4:$M$2342,$D$2)</f>
        <v>9</v>
      </c>
      <c r="O73" s="2">
        <f>SUMIFS('Grid Data'!$P$4:$P$2342,'Grid Data'!$N$4:$N$2342,$D73,'Grid Data'!$O$4:$O$2342,O$4,'Grid Data'!$M$4:$M$2342,$D$2)</f>
        <v>6</v>
      </c>
      <c r="P73" s="2">
        <f>SUMIFS('Grid Data'!$P$4:$P$2342,'Grid Data'!$N$4:$N$2342,$D73,'Grid Data'!$O$4:$O$2342,P$4,'Grid Data'!$M$4:$M$2342,$D$2)</f>
        <v>23</v>
      </c>
      <c r="Q73" s="2">
        <f>SUMIFS('Grid Data'!$P$4:$P$2342,'Grid Data'!$N$4:$N$2342,$D73,'Grid Data'!$O$4:$O$2342,Q$4,'Grid Data'!$M$4:$M$2342,$D$2)</f>
        <v>36</v>
      </c>
      <c r="R73" s="2">
        <f>SUMIFS('Grid Data'!$P$4:$P$2342,'Grid Data'!$N$4:$N$2342,$D73,'Grid Data'!$O$4:$O$2342,R$4,'Grid Data'!$M$4:$M$2342,$D$2)</f>
        <v>83</v>
      </c>
      <c r="S73" s="2">
        <f>SUMIFS('Grid Data'!$P$4:$P$2342,'Grid Data'!$N$4:$N$2342,$D73,'Grid Data'!$O$4:$O$2342,S$4,'Grid Data'!$M$4:$M$2342,$D$2)</f>
        <v>311</v>
      </c>
      <c r="T73" s="2">
        <f>SUMIFS('Grid Data'!$P$4:$P$2342,'Grid Data'!$N$4:$N$2342,$D73,'Grid Data'!$O$4:$O$2342,T$4,'Grid Data'!$M$4:$M$2342,$D$2)</f>
        <v>13677</v>
      </c>
      <c r="U73" s="2">
        <f>SUMIFS('Grid Data'!$P$4:$P$2342,'Grid Data'!$N$4:$N$2342,$D73,'Grid Data'!$O$4:$O$2342,U$4,'Grid Data'!$M$4:$M$2342,$D$2)</f>
        <v>40565</v>
      </c>
      <c r="V73" s="2">
        <f>SUMIFS('Grid Data'!$P$4:$P$2342,'Grid Data'!$N$4:$N$2342,$D73,'Grid Data'!$O$4:$O$2342,V$4,'Grid Data'!$M$4:$M$2342,$D$2)</f>
        <v>36192</v>
      </c>
      <c r="W73" s="2">
        <f>SUMIFS('Grid Data'!$P$4:$P$2342,'Grid Data'!$N$4:$N$2342,$D73,'Grid Data'!$O$4:$O$2342,W$4,'Grid Data'!$M$4:$M$2342,$D$2)</f>
        <v>56250</v>
      </c>
      <c r="X73" s="2">
        <f>SUMIFS('Grid Data'!$P$4:$P$2342,'Grid Data'!$N$4:$N$2342,$D73,'Grid Data'!$O$4:$O$2342,X$4,'Grid Data'!$M$4:$M$2342,$D$2)</f>
        <v>21155</v>
      </c>
      <c r="Y73" s="2">
        <f>SUMIFS('Grid Data'!$P$4:$P$2342,'Grid Data'!$N$4:$N$2342,$D73,'Grid Data'!$O$4:$O$2342,Y$4,'Grid Data'!$M$4:$M$2342,$D$2)</f>
        <v>154</v>
      </c>
      <c r="Z73" s="2">
        <f>SUMIFS('Grid Data'!$P$4:$P$2342,'Grid Data'!$N$4:$N$2342,$D73,'Grid Data'!$O$4:$O$2342,Z$4,'Grid Data'!$M$4:$M$2342,$D$2)</f>
        <v>5293</v>
      </c>
      <c r="AA73" s="2">
        <f>SUMIFS('Grid Data'!$P$4:$P$2342,'Grid Data'!$N$4:$N$2342,$D73,'Grid Data'!$O$4:$O$2342,AA$4,'Grid Data'!$M$4:$M$2342,$D$2)</f>
        <v>36122</v>
      </c>
      <c r="AB73" s="2">
        <f>SUMIFS('Grid Data'!$P$4:$P$2342,'Grid Data'!$N$4:$N$2342,$D73,'Grid Data'!$O$4:$O$2342,AB$4,'Grid Data'!$M$4:$M$2342,$D$2)</f>
        <v>9816</v>
      </c>
      <c r="AC73" s="2">
        <f>SUMIFS('Grid Data'!$P$4:$P$2342,'Grid Data'!$N$4:$N$2342,$D73,'Grid Data'!$O$4:$O$2342,AC$4,'Grid Data'!$M$4:$M$2342,$D$2)</f>
        <v>38356</v>
      </c>
      <c r="AD73" s="2">
        <f>SUMIFS('Grid Data'!$P$4:$P$2342,'Grid Data'!$N$4:$N$2342,$D73,'Grid Data'!$O$4:$O$2342,AD$4,'Grid Data'!$M$4:$M$2342,$D$2)</f>
        <v>30</v>
      </c>
      <c r="AE73" s="2">
        <f>SUMIFS('Grid Data'!$P$4:$P$2342,'Grid Data'!$N$4:$N$2342,$D73,'Grid Data'!$O$4:$O$2342,AE$4,'Grid Data'!$M$4:$M$2342,$D$2)</f>
        <v>0</v>
      </c>
      <c r="AF73" s="2">
        <f>SUMIFS('Grid Data'!$P$4:$P$2342,'Grid Data'!$N$4:$N$2342,$D73,'Grid Data'!$O$4:$O$2342,AF$4,'Grid Data'!$M$4:$M$2342,$D$2)</f>
        <v>0</v>
      </c>
      <c r="AG73" s="2">
        <f>SUMIFS('Grid Data'!$P$4:$P$2342,'Grid Data'!$N$4:$N$2342,$D73,'Grid Data'!$O$4:$O$2342,AG$4,'Grid Data'!$M$4:$M$2342,$D$2)</f>
        <v>0</v>
      </c>
      <c r="AH73" s="2">
        <f>SUMIFS('Grid Data'!$P$4:$P$2342,'Grid Data'!$N$4:$N$2342,$D73,'Grid Data'!$O$4:$O$2342,AH$4,'Grid Data'!$M$4:$M$2342,$D$2)</f>
        <v>0</v>
      </c>
    </row>
    <row r="74" spans="3:34" x14ac:dyDescent="0.35">
      <c r="D74">
        <v>3500</v>
      </c>
      <c r="E74" s="2">
        <f>SUMIFS('Grid Data'!$P$4:$P$2342,'Grid Data'!$N$4:$N$2342,$D74,'Grid Data'!$O$4:$O$2342,E$4,'Grid Data'!$M$4:$M$2342,$D$2)</f>
        <v>183</v>
      </c>
      <c r="F74" s="2">
        <f>SUMIFS('Grid Data'!$P$4:$P$2342,'Grid Data'!$N$4:$N$2342,$D74,'Grid Data'!$O$4:$O$2342,F$4,'Grid Data'!$M$4:$M$2342,$D$2)</f>
        <v>20</v>
      </c>
      <c r="G74" s="2">
        <f>SUMIFS('Grid Data'!$P$4:$P$2342,'Grid Data'!$N$4:$N$2342,$D74,'Grid Data'!$O$4:$O$2342,G$4,'Grid Data'!$M$4:$M$2342,$D$2)</f>
        <v>13</v>
      </c>
      <c r="H74" s="2">
        <f>SUMIFS('Grid Data'!$P$4:$P$2342,'Grid Data'!$N$4:$N$2342,$D74,'Grid Data'!$O$4:$O$2342,H$4,'Grid Data'!$M$4:$M$2342,$D$2)</f>
        <v>10</v>
      </c>
      <c r="I74" s="2">
        <f>SUMIFS('Grid Data'!$P$4:$P$2342,'Grid Data'!$N$4:$N$2342,$D74,'Grid Data'!$O$4:$O$2342,I$4,'Grid Data'!$M$4:$M$2342,$D$2)</f>
        <v>9</v>
      </c>
      <c r="J74" s="2">
        <f>SUMIFS('Grid Data'!$P$4:$P$2342,'Grid Data'!$N$4:$N$2342,$D74,'Grid Data'!$O$4:$O$2342,J$4,'Grid Data'!$M$4:$M$2342,$D$2)</f>
        <v>9</v>
      </c>
      <c r="K74" s="2">
        <f>SUMIFS('Grid Data'!$P$4:$P$2342,'Grid Data'!$N$4:$N$2342,$D74,'Grid Data'!$O$4:$O$2342,K$4,'Grid Data'!$M$4:$M$2342,$D$2)</f>
        <v>6</v>
      </c>
      <c r="L74" s="2">
        <f>SUMIFS('Grid Data'!$P$4:$P$2342,'Grid Data'!$N$4:$N$2342,$D74,'Grid Data'!$O$4:$O$2342,L$4,'Grid Data'!$M$4:$M$2342,$D$2)</f>
        <v>27</v>
      </c>
      <c r="M74" s="2">
        <f>SUMIFS('Grid Data'!$P$4:$P$2342,'Grid Data'!$N$4:$N$2342,$D74,'Grid Data'!$O$4:$O$2342,M$4,'Grid Data'!$M$4:$M$2342,$D$2)</f>
        <v>34</v>
      </c>
      <c r="N74" s="2">
        <f>SUMIFS('Grid Data'!$P$4:$P$2342,'Grid Data'!$N$4:$N$2342,$D74,'Grid Data'!$O$4:$O$2342,N$4,'Grid Data'!$M$4:$M$2342,$D$2)</f>
        <v>27</v>
      </c>
      <c r="O74" s="2">
        <f>SUMIFS('Grid Data'!$P$4:$P$2342,'Grid Data'!$N$4:$N$2342,$D74,'Grid Data'!$O$4:$O$2342,O$4,'Grid Data'!$M$4:$M$2342,$D$2)</f>
        <v>6</v>
      </c>
      <c r="P74" s="2">
        <f>SUMIFS('Grid Data'!$P$4:$P$2342,'Grid Data'!$N$4:$N$2342,$D74,'Grid Data'!$O$4:$O$2342,P$4,'Grid Data'!$M$4:$M$2342,$D$2)</f>
        <v>26</v>
      </c>
      <c r="Q74" s="2">
        <f>SUMIFS('Grid Data'!$P$4:$P$2342,'Grid Data'!$N$4:$N$2342,$D74,'Grid Data'!$O$4:$O$2342,Q$4,'Grid Data'!$M$4:$M$2342,$D$2)</f>
        <v>33</v>
      </c>
      <c r="R74" s="2">
        <f>SUMIFS('Grid Data'!$P$4:$P$2342,'Grid Data'!$N$4:$N$2342,$D74,'Grid Data'!$O$4:$O$2342,R$4,'Grid Data'!$M$4:$M$2342,$D$2)</f>
        <v>55</v>
      </c>
      <c r="S74" s="2">
        <f>SUMIFS('Grid Data'!$P$4:$P$2342,'Grid Data'!$N$4:$N$2342,$D74,'Grid Data'!$O$4:$O$2342,S$4,'Grid Data'!$M$4:$M$2342,$D$2)</f>
        <v>182</v>
      </c>
      <c r="T74" s="2">
        <f>SUMIFS('Grid Data'!$P$4:$P$2342,'Grid Data'!$N$4:$N$2342,$D74,'Grid Data'!$O$4:$O$2342,T$4,'Grid Data'!$M$4:$M$2342,$D$2)</f>
        <v>12079</v>
      </c>
      <c r="U74" s="2">
        <f>SUMIFS('Grid Data'!$P$4:$P$2342,'Grid Data'!$N$4:$N$2342,$D74,'Grid Data'!$O$4:$O$2342,U$4,'Grid Data'!$M$4:$M$2342,$D$2)</f>
        <v>21533</v>
      </c>
      <c r="V74" s="2">
        <f>SUMIFS('Grid Data'!$P$4:$P$2342,'Grid Data'!$N$4:$N$2342,$D74,'Grid Data'!$O$4:$O$2342,V$4,'Grid Data'!$M$4:$M$2342,$D$2)</f>
        <v>11969</v>
      </c>
      <c r="W74" s="2">
        <f>SUMIFS('Grid Data'!$P$4:$P$2342,'Grid Data'!$N$4:$N$2342,$D74,'Grid Data'!$O$4:$O$2342,W$4,'Grid Data'!$M$4:$M$2342,$D$2)</f>
        <v>20907</v>
      </c>
      <c r="X74" s="2">
        <f>SUMIFS('Grid Data'!$P$4:$P$2342,'Grid Data'!$N$4:$N$2342,$D74,'Grid Data'!$O$4:$O$2342,X$4,'Grid Data'!$M$4:$M$2342,$D$2)</f>
        <v>39521</v>
      </c>
      <c r="Y74" s="2">
        <f>SUMIFS('Grid Data'!$P$4:$P$2342,'Grid Data'!$N$4:$N$2342,$D74,'Grid Data'!$O$4:$O$2342,Y$4,'Grid Data'!$M$4:$M$2342,$D$2)</f>
        <v>403</v>
      </c>
      <c r="Z74" s="2">
        <f>SUMIFS('Grid Data'!$P$4:$P$2342,'Grid Data'!$N$4:$N$2342,$D74,'Grid Data'!$O$4:$O$2342,Z$4,'Grid Data'!$M$4:$M$2342,$D$2)</f>
        <v>9211</v>
      </c>
      <c r="AA74" s="2">
        <f>SUMIFS('Grid Data'!$P$4:$P$2342,'Grid Data'!$N$4:$N$2342,$D74,'Grid Data'!$O$4:$O$2342,AA$4,'Grid Data'!$M$4:$M$2342,$D$2)</f>
        <v>33979</v>
      </c>
      <c r="AB74" s="2">
        <f>SUMIFS('Grid Data'!$P$4:$P$2342,'Grid Data'!$N$4:$N$2342,$D74,'Grid Data'!$O$4:$O$2342,AB$4,'Grid Data'!$M$4:$M$2342,$D$2)</f>
        <v>16778</v>
      </c>
      <c r="AC74" s="2">
        <f>SUMIFS('Grid Data'!$P$4:$P$2342,'Grid Data'!$N$4:$N$2342,$D74,'Grid Data'!$O$4:$O$2342,AC$4,'Grid Data'!$M$4:$M$2342,$D$2)</f>
        <v>26713</v>
      </c>
      <c r="AD74" s="2">
        <f>SUMIFS('Grid Data'!$P$4:$P$2342,'Grid Data'!$N$4:$N$2342,$D74,'Grid Data'!$O$4:$O$2342,AD$4,'Grid Data'!$M$4:$M$2342,$D$2)</f>
        <v>151</v>
      </c>
      <c r="AE74" s="2">
        <f>SUMIFS('Grid Data'!$P$4:$P$2342,'Grid Data'!$N$4:$N$2342,$D74,'Grid Data'!$O$4:$O$2342,AE$4,'Grid Data'!$M$4:$M$2342,$D$2)</f>
        <v>0</v>
      </c>
      <c r="AF74" s="2">
        <f>SUMIFS('Grid Data'!$P$4:$P$2342,'Grid Data'!$N$4:$N$2342,$D74,'Grid Data'!$O$4:$O$2342,AF$4,'Grid Data'!$M$4:$M$2342,$D$2)</f>
        <v>0</v>
      </c>
      <c r="AG74" s="2">
        <f>SUMIFS('Grid Data'!$P$4:$P$2342,'Grid Data'!$N$4:$N$2342,$D74,'Grid Data'!$O$4:$O$2342,AG$4,'Grid Data'!$M$4:$M$2342,$D$2)</f>
        <v>0</v>
      </c>
      <c r="AH74" s="2">
        <f>SUMIFS('Grid Data'!$P$4:$P$2342,'Grid Data'!$N$4:$N$2342,$D74,'Grid Data'!$O$4:$O$2342,AH$4,'Grid Data'!$M$4:$M$2342,$D$2)</f>
        <v>0</v>
      </c>
    </row>
    <row r="75" spans="3:34" x14ac:dyDescent="0.35">
      <c r="D75">
        <v>3750</v>
      </c>
      <c r="E75" s="2">
        <f>SUMIFS('Grid Data'!$P$4:$P$2342,'Grid Data'!$N$4:$N$2342,$D75,'Grid Data'!$O$4:$O$2342,E$4,'Grid Data'!$M$4:$M$2342,$D$2)</f>
        <v>347</v>
      </c>
      <c r="F75" s="2">
        <f>SUMIFS('Grid Data'!$P$4:$P$2342,'Grid Data'!$N$4:$N$2342,$D75,'Grid Data'!$O$4:$O$2342,F$4,'Grid Data'!$M$4:$M$2342,$D$2)</f>
        <v>37</v>
      </c>
      <c r="G75" s="2">
        <f>SUMIFS('Grid Data'!$P$4:$P$2342,'Grid Data'!$N$4:$N$2342,$D75,'Grid Data'!$O$4:$O$2342,G$4,'Grid Data'!$M$4:$M$2342,$D$2)</f>
        <v>72</v>
      </c>
      <c r="H75" s="2">
        <f>SUMIFS('Grid Data'!$P$4:$P$2342,'Grid Data'!$N$4:$N$2342,$D75,'Grid Data'!$O$4:$O$2342,H$4,'Grid Data'!$M$4:$M$2342,$D$2)</f>
        <v>44</v>
      </c>
      <c r="I75" s="2">
        <f>SUMIFS('Grid Data'!$P$4:$P$2342,'Grid Data'!$N$4:$N$2342,$D75,'Grid Data'!$O$4:$O$2342,I$4,'Grid Data'!$M$4:$M$2342,$D$2)</f>
        <v>28</v>
      </c>
      <c r="J75" s="2">
        <f>SUMIFS('Grid Data'!$P$4:$P$2342,'Grid Data'!$N$4:$N$2342,$D75,'Grid Data'!$O$4:$O$2342,J$4,'Grid Data'!$M$4:$M$2342,$D$2)</f>
        <v>65</v>
      </c>
      <c r="K75" s="2">
        <f>SUMIFS('Grid Data'!$P$4:$P$2342,'Grid Data'!$N$4:$N$2342,$D75,'Grid Data'!$O$4:$O$2342,K$4,'Grid Data'!$M$4:$M$2342,$D$2)</f>
        <v>64</v>
      </c>
      <c r="L75" s="2">
        <f>SUMIFS('Grid Data'!$P$4:$P$2342,'Grid Data'!$N$4:$N$2342,$D75,'Grid Data'!$O$4:$O$2342,L$4,'Grid Data'!$M$4:$M$2342,$D$2)</f>
        <v>64</v>
      </c>
      <c r="M75" s="2">
        <f>SUMIFS('Grid Data'!$P$4:$P$2342,'Grid Data'!$N$4:$N$2342,$D75,'Grid Data'!$O$4:$O$2342,M$4,'Grid Data'!$M$4:$M$2342,$D$2)</f>
        <v>210</v>
      </c>
      <c r="N75" s="2">
        <f>SUMIFS('Grid Data'!$P$4:$P$2342,'Grid Data'!$N$4:$N$2342,$D75,'Grid Data'!$O$4:$O$2342,N$4,'Grid Data'!$M$4:$M$2342,$D$2)</f>
        <v>181</v>
      </c>
      <c r="O75" s="2">
        <f>SUMIFS('Grid Data'!$P$4:$P$2342,'Grid Data'!$N$4:$N$2342,$D75,'Grid Data'!$O$4:$O$2342,O$4,'Grid Data'!$M$4:$M$2342,$D$2)</f>
        <v>27</v>
      </c>
      <c r="P75" s="2">
        <f>SUMIFS('Grid Data'!$P$4:$P$2342,'Grid Data'!$N$4:$N$2342,$D75,'Grid Data'!$O$4:$O$2342,P$4,'Grid Data'!$M$4:$M$2342,$D$2)</f>
        <v>41</v>
      </c>
      <c r="Q75" s="2">
        <f>SUMIFS('Grid Data'!$P$4:$P$2342,'Grid Data'!$N$4:$N$2342,$D75,'Grid Data'!$O$4:$O$2342,Q$4,'Grid Data'!$M$4:$M$2342,$D$2)</f>
        <v>51</v>
      </c>
      <c r="R75" s="2">
        <f>SUMIFS('Grid Data'!$P$4:$P$2342,'Grid Data'!$N$4:$N$2342,$D75,'Grid Data'!$O$4:$O$2342,R$4,'Grid Data'!$M$4:$M$2342,$D$2)</f>
        <v>99</v>
      </c>
      <c r="S75" s="2">
        <f>SUMIFS('Grid Data'!$P$4:$P$2342,'Grid Data'!$N$4:$N$2342,$D75,'Grid Data'!$O$4:$O$2342,S$4,'Grid Data'!$M$4:$M$2342,$D$2)</f>
        <v>596</v>
      </c>
      <c r="T75" s="2">
        <f>SUMIFS('Grid Data'!$P$4:$P$2342,'Grid Data'!$N$4:$N$2342,$D75,'Grid Data'!$O$4:$O$2342,T$4,'Grid Data'!$M$4:$M$2342,$D$2)</f>
        <v>19051</v>
      </c>
      <c r="U75" s="2">
        <f>SUMIFS('Grid Data'!$P$4:$P$2342,'Grid Data'!$N$4:$N$2342,$D75,'Grid Data'!$O$4:$O$2342,U$4,'Grid Data'!$M$4:$M$2342,$D$2)</f>
        <v>15096</v>
      </c>
      <c r="V75" s="2">
        <f>SUMIFS('Grid Data'!$P$4:$P$2342,'Grid Data'!$N$4:$N$2342,$D75,'Grid Data'!$O$4:$O$2342,V$4,'Grid Data'!$M$4:$M$2342,$D$2)</f>
        <v>8136</v>
      </c>
      <c r="W75" s="2">
        <f>SUMIFS('Grid Data'!$P$4:$P$2342,'Grid Data'!$N$4:$N$2342,$D75,'Grid Data'!$O$4:$O$2342,W$4,'Grid Data'!$M$4:$M$2342,$D$2)</f>
        <v>13379</v>
      </c>
      <c r="X75" s="2">
        <f>SUMIFS('Grid Data'!$P$4:$P$2342,'Grid Data'!$N$4:$N$2342,$D75,'Grid Data'!$O$4:$O$2342,X$4,'Grid Data'!$M$4:$M$2342,$D$2)</f>
        <v>27549</v>
      </c>
      <c r="Y75" s="2">
        <f>SUMIFS('Grid Data'!$P$4:$P$2342,'Grid Data'!$N$4:$N$2342,$D75,'Grid Data'!$O$4:$O$2342,Y$4,'Grid Data'!$M$4:$M$2342,$D$2)</f>
        <v>1923</v>
      </c>
      <c r="Z75" s="2">
        <f>SUMIFS('Grid Data'!$P$4:$P$2342,'Grid Data'!$N$4:$N$2342,$D75,'Grid Data'!$O$4:$O$2342,Z$4,'Grid Data'!$M$4:$M$2342,$D$2)</f>
        <v>23755</v>
      </c>
      <c r="AA75" s="2">
        <f>SUMIFS('Grid Data'!$P$4:$P$2342,'Grid Data'!$N$4:$N$2342,$D75,'Grid Data'!$O$4:$O$2342,AA$4,'Grid Data'!$M$4:$M$2342,$D$2)</f>
        <v>20955</v>
      </c>
      <c r="AB75" s="2">
        <f>SUMIFS('Grid Data'!$P$4:$P$2342,'Grid Data'!$N$4:$N$2342,$D75,'Grid Data'!$O$4:$O$2342,AB$4,'Grid Data'!$M$4:$M$2342,$D$2)</f>
        <v>41124</v>
      </c>
      <c r="AC75" s="2">
        <f>SUMIFS('Grid Data'!$P$4:$P$2342,'Grid Data'!$N$4:$N$2342,$D75,'Grid Data'!$O$4:$O$2342,AC$4,'Grid Data'!$M$4:$M$2342,$D$2)</f>
        <v>34285</v>
      </c>
      <c r="AD75" s="2">
        <f>SUMIFS('Grid Data'!$P$4:$P$2342,'Grid Data'!$N$4:$N$2342,$D75,'Grid Data'!$O$4:$O$2342,AD$4,'Grid Data'!$M$4:$M$2342,$D$2)</f>
        <v>5772</v>
      </c>
      <c r="AE75" s="2">
        <f>SUMIFS('Grid Data'!$P$4:$P$2342,'Grid Data'!$N$4:$N$2342,$D75,'Grid Data'!$O$4:$O$2342,AE$4,'Grid Data'!$M$4:$M$2342,$D$2)</f>
        <v>4</v>
      </c>
      <c r="AF75" s="2">
        <f>SUMIFS('Grid Data'!$P$4:$P$2342,'Grid Data'!$N$4:$N$2342,$D75,'Grid Data'!$O$4:$O$2342,AF$4,'Grid Data'!$M$4:$M$2342,$D$2)</f>
        <v>0</v>
      </c>
      <c r="AG75" s="2">
        <f>SUMIFS('Grid Data'!$P$4:$P$2342,'Grid Data'!$N$4:$N$2342,$D75,'Grid Data'!$O$4:$O$2342,AG$4,'Grid Data'!$M$4:$M$2342,$D$2)</f>
        <v>10</v>
      </c>
      <c r="AH75" s="2">
        <f>SUMIFS('Grid Data'!$P$4:$P$2342,'Grid Data'!$N$4:$N$2342,$D75,'Grid Data'!$O$4:$O$2342,AH$4,'Grid Data'!$M$4:$M$2342,$D$2)</f>
        <v>0</v>
      </c>
    </row>
    <row r="76" spans="3:34" x14ac:dyDescent="0.35">
      <c r="D76">
        <v>4000</v>
      </c>
      <c r="E76" s="2">
        <f>SUMIFS('Grid Data'!$P$4:$P$2342,'Grid Data'!$N$4:$N$2342,$D76,'Grid Data'!$O$4:$O$2342,E$4,'Grid Data'!$M$4:$M$2342,$D$2)</f>
        <v>4468</v>
      </c>
      <c r="F76" s="2">
        <f>SUMIFS('Grid Data'!$P$4:$P$2342,'Grid Data'!$N$4:$N$2342,$D76,'Grid Data'!$O$4:$O$2342,F$4,'Grid Data'!$M$4:$M$2342,$D$2)</f>
        <v>933</v>
      </c>
      <c r="G76" s="2">
        <f>SUMIFS('Grid Data'!$P$4:$P$2342,'Grid Data'!$N$4:$N$2342,$D76,'Grid Data'!$O$4:$O$2342,G$4,'Grid Data'!$M$4:$M$2342,$D$2)</f>
        <v>630</v>
      </c>
      <c r="H76" s="2">
        <f>SUMIFS('Grid Data'!$P$4:$P$2342,'Grid Data'!$N$4:$N$2342,$D76,'Grid Data'!$O$4:$O$2342,H$4,'Grid Data'!$M$4:$M$2342,$D$2)</f>
        <v>441</v>
      </c>
      <c r="I76" s="2">
        <f>SUMIFS('Grid Data'!$P$4:$P$2342,'Grid Data'!$N$4:$N$2342,$D76,'Grid Data'!$O$4:$O$2342,I$4,'Grid Data'!$M$4:$M$2342,$D$2)</f>
        <v>630</v>
      </c>
      <c r="J76" s="2">
        <f>SUMIFS('Grid Data'!$P$4:$P$2342,'Grid Data'!$N$4:$N$2342,$D76,'Grid Data'!$O$4:$O$2342,J$4,'Grid Data'!$M$4:$M$2342,$D$2)</f>
        <v>492</v>
      </c>
      <c r="K76" s="2">
        <f>SUMIFS('Grid Data'!$P$4:$P$2342,'Grid Data'!$N$4:$N$2342,$D76,'Grid Data'!$O$4:$O$2342,K$4,'Grid Data'!$M$4:$M$2342,$D$2)</f>
        <v>429</v>
      </c>
      <c r="L76" s="2">
        <f>SUMIFS('Grid Data'!$P$4:$P$2342,'Grid Data'!$N$4:$N$2342,$D76,'Grid Data'!$O$4:$O$2342,L$4,'Grid Data'!$M$4:$M$2342,$D$2)</f>
        <v>452</v>
      </c>
      <c r="M76" s="2">
        <f>SUMIFS('Grid Data'!$P$4:$P$2342,'Grid Data'!$N$4:$N$2342,$D76,'Grid Data'!$O$4:$O$2342,M$4,'Grid Data'!$M$4:$M$2342,$D$2)</f>
        <v>989</v>
      </c>
      <c r="N76" s="2">
        <f>SUMIFS('Grid Data'!$P$4:$P$2342,'Grid Data'!$N$4:$N$2342,$D76,'Grid Data'!$O$4:$O$2342,N$4,'Grid Data'!$M$4:$M$2342,$D$2)</f>
        <v>842</v>
      </c>
      <c r="O76" s="2">
        <f>SUMIFS('Grid Data'!$P$4:$P$2342,'Grid Data'!$N$4:$N$2342,$D76,'Grid Data'!$O$4:$O$2342,O$4,'Grid Data'!$M$4:$M$2342,$D$2)</f>
        <v>66</v>
      </c>
      <c r="P76" s="2">
        <f>SUMIFS('Grid Data'!$P$4:$P$2342,'Grid Data'!$N$4:$N$2342,$D76,'Grid Data'!$O$4:$O$2342,P$4,'Grid Data'!$M$4:$M$2342,$D$2)</f>
        <v>62</v>
      </c>
      <c r="Q76" s="2">
        <f>SUMIFS('Grid Data'!$P$4:$P$2342,'Grid Data'!$N$4:$N$2342,$D76,'Grid Data'!$O$4:$O$2342,Q$4,'Grid Data'!$M$4:$M$2342,$D$2)</f>
        <v>79</v>
      </c>
      <c r="R76" s="2">
        <f>SUMIFS('Grid Data'!$P$4:$P$2342,'Grid Data'!$N$4:$N$2342,$D76,'Grid Data'!$O$4:$O$2342,R$4,'Grid Data'!$M$4:$M$2342,$D$2)</f>
        <v>99</v>
      </c>
      <c r="S76" s="2">
        <f>SUMIFS('Grid Data'!$P$4:$P$2342,'Grid Data'!$N$4:$N$2342,$D76,'Grid Data'!$O$4:$O$2342,S$4,'Grid Data'!$M$4:$M$2342,$D$2)</f>
        <v>1649</v>
      </c>
      <c r="T76" s="2">
        <f>SUMIFS('Grid Data'!$P$4:$P$2342,'Grid Data'!$N$4:$N$2342,$D76,'Grid Data'!$O$4:$O$2342,T$4,'Grid Data'!$M$4:$M$2342,$D$2)</f>
        <v>15668</v>
      </c>
      <c r="U76" s="2">
        <f>SUMIFS('Grid Data'!$P$4:$P$2342,'Grid Data'!$N$4:$N$2342,$D76,'Grid Data'!$O$4:$O$2342,U$4,'Grid Data'!$M$4:$M$2342,$D$2)</f>
        <v>4801</v>
      </c>
      <c r="V76" s="2">
        <f>SUMIFS('Grid Data'!$P$4:$P$2342,'Grid Data'!$N$4:$N$2342,$D76,'Grid Data'!$O$4:$O$2342,V$4,'Grid Data'!$M$4:$M$2342,$D$2)</f>
        <v>1425</v>
      </c>
      <c r="W76" s="2">
        <f>SUMIFS('Grid Data'!$P$4:$P$2342,'Grid Data'!$N$4:$N$2342,$D76,'Grid Data'!$O$4:$O$2342,W$4,'Grid Data'!$M$4:$M$2342,$D$2)</f>
        <v>2397</v>
      </c>
      <c r="X76" s="2">
        <f>SUMIFS('Grid Data'!$P$4:$P$2342,'Grid Data'!$N$4:$N$2342,$D76,'Grid Data'!$O$4:$O$2342,X$4,'Grid Data'!$M$4:$M$2342,$D$2)</f>
        <v>14259</v>
      </c>
      <c r="Y76" s="2">
        <f>SUMIFS('Grid Data'!$P$4:$P$2342,'Grid Data'!$N$4:$N$2342,$D76,'Grid Data'!$O$4:$O$2342,Y$4,'Grid Data'!$M$4:$M$2342,$D$2)</f>
        <v>3638</v>
      </c>
      <c r="Z76" s="2">
        <f>SUMIFS('Grid Data'!$P$4:$P$2342,'Grid Data'!$N$4:$N$2342,$D76,'Grid Data'!$O$4:$O$2342,Z$4,'Grid Data'!$M$4:$M$2342,$D$2)</f>
        <v>23581</v>
      </c>
      <c r="AA76" s="2">
        <f>SUMIFS('Grid Data'!$P$4:$P$2342,'Grid Data'!$N$4:$N$2342,$D76,'Grid Data'!$O$4:$O$2342,AA$4,'Grid Data'!$M$4:$M$2342,$D$2)</f>
        <v>11459</v>
      </c>
      <c r="AB76" s="2">
        <f>SUMIFS('Grid Data'!$P$4:$P$2342,'Grid Data'!$N$4:$N$2342,$D76,'Grid Data'!$O$4:$O$2342,AB$4,'Grid Data'!$M$4:$M$2342,$D$2)</f>
        <v>28044</v>
      </c>
      <c r="AC76" s="2">
        <f>SUMIFS('Grid Data'!$P$4:$P$2342,'Grid Data'!$N$4:$N$2342,$D76,'Grid Data'!$O$4:$O$2342,AC$4,'Grid Data'!$M$4:$M$2342,$D$2)</f>
        <v>16378</v>
      </c>
      <c r="AD76" s="2">
        <f>SUMIFS('Grid Data'!$P$4:$P$2342,'Grid Data'!$N$4:$N$2342,$D76,'Grid Data'!$O$4:$O$2342,AD$4,'Grid Data'!$M$4:$M$2342,$D$2)</f>
        <v>8383</v>
      </c>
      <c r="AE76" s="2">
        <f>SUMIFS('Grid Data'!$P$4:$P$2342,'Grid Data'!$N$4:$N$2342,$D76,'Grid Data'!$O$4:$O$2342,AE$4,'Grid Data'!$M$4:$M$2342,$D$2)</f>
        <v>19</v>
      </c>
      <c r="AF76" s="2">
        <f>SUMIFS('Grid Data'!$P$4:$P$2342,'Grid Data'!$N$4:$N$2342,$D76,'Grid Data'!$O$4:$O$2342,AF$4,'Grid Data'!$M$4:$M$2342,$D$2)</f>
        <v>2</v>
      </c>
      <c r="AG76" s="2">
        <f>SUMIFS('Grid Data'!$P$4:$P$2342,'Grid Data'!$N$4:$N$2342,$D76,'Grid Data'!$O$4:$O$2342,AG$4,'Grid Data'!$M$4:$M$2342,$D$2)</f>
        <v>47</v>
      </c>
      <c r="AH76" s="2">
        <f>SUMIFS('Grid Data'!$P$4:$P$2342,'Grid Data'!$N$4:$N$2342,$D76,'Grid Data'!$O$4:$O$2342,AH$4,'Grid Data'!$M$4:$M$2342,$D$2)</f>
        <v>0</v>
      </c>
    </row>
    <row r="77" spans="3:34" x14ac:dyDescent="0.35">
      <c r="D77">
        <v>4250</v>
      </c>
      <c r="E77" s="2">
        <f>SUMIFS('Grid Data'!$P$4:$P$2342,'Grid Data'!$N$4:$N$2342,$D77,'Grid Data'!$O$4:$O$2342,E$4,'Grid Data'!$M$4:$M$2342,$D$2)</f>
        <v>1127</v>
      </c>
      <c r="F77" s="2">
        <f>SUMIFS('Grid Data'!$P$4:$P$2342,'Grid Data'!$N$4:$N$2342,$D77,'Grid Data'!$O$4:$O$2342,F$4,'Grid Data'!$M$4:$M$2342,$D$2)</f>
        <v>138</v>
      </c>
      <c r="G77" s="2">
        <f>SUMIFS('Grid Data'!$P$4:$P$2342,'Grid Data'!$N$4:$N$2342,$D77,'Grid Data'!$O$4:$O$2342,G$4,'Grid Data'!$M$4:$M$2342,$D$2)</f>
        <v>171</v>
      </c>
      <c r="H77" s="2">
        <f>SUMIFS('Grid Data'!$P$4:$P$2342,'Grid Data'!$N$4:$N$2342,$D77,'Grid Data'!$O$4:$O$2342,H$4,'Grid Data'!$M$4:$M$2342,$D$2)</f>
        <v>127</v>
      </c>
      <c r="I77" s="2">
        <f>SUMIFS('Grid Data'!$P$4:$P$2342,'Grid Data'!$N$4:$N$2342,$D77,'Grid Data'!$O$4:$O$2342,I$4,'Grid Data'!$M$4:$M$2342,$D$2)</f>
        <v>138</v>
      </c>
      <c r="J77" s="2">
        <f>SUMIFS('Grid Data'!$P$4:$P$2342,'Grid Data'!$N$4:$N$2342,$D77,'Grid Data'!$O$4:$O$2342,J$4,'Grid Data'!$M$4:$M$2342,$D$2)</f>
        <v>171</v>
      </c>
      <c r="K77" s="2">
        <f>SUMIFS('Grid Data'!$P$4:$P$2342,'Grid Data'!$N$4:$N$2342,$D77,'Grid Data'!$O$4:$O$2342,K$4,'Grid Data'!$M$4:$M$2342,$D$2)</f>
        <v>244</v>
      </c>
      <c r="L77" s="2">
        <f>SUMIFS('Grid Data'!$P$4:$P$2342,'Grid Data'!$N$4:$N$2342,$D77,'Grid Data'!$O$4:$O$2342,L$4,'Grid Data'!$M$4:$M$2342,$D$2)</f>
        <v>263</v>
      </c>
      <c r="M77" s="2">
        <f>SUMIFS('Grid Data'!$P$4:$P$2342,'Grid Data'!$N$4:$N$2342,$D77,'Grid Data'!$O$4:$O$2342,M$4,'Grid Data'!$M$4:$M$2342,$D$2)</f>
        <v>432</v>
      </c>
      <c r="N77" s="2">
        <f>SUMIFS('Grid Data'!$P$4:$P$2342,'Grid Data'!$N$4:$N$2342,$D77,'Grid Data'!$O$4:$O$2342,N$4,'Grid Data'!$M$4:$M$2342,$D$2)</f>
        <v>454</v>
      </c>
      <c r="O77" s="2">
        <f>SUMIFS('Grid Data'!$P$4:$P$2342,'Grid Data'!$N$4:$N$2342,$D77,'Grid Data'!$O$4:$O$2342,O$4,'Grid Data'!$M$4:$M$2342,$D$2)</f>
        <v>229</v>
      </c>
      <c r="P77" s="2">
        <f>SUMIFS('Grid Data'!$P$4:$P$2342,'Grid Data'!$N$4:$N$2342,$D77,'Grid Data'!$O$4:$O$2342,P$4,'Grid Data'!$M$4:$M$2342,$D$2)</f>
        <v>202</v>
      </c>
      <c r="Q77" s="2">
        <f>SUMIFS('Grid Data'!$P$4:$P$2342,'Grid Data'!$N$4:$N$2342,$D77,'Grid Data'!$O$4:$O$2342,Q$4,'Grid Data'!$M$4:$M$2342,$D$2)</f>
        <v>352</v>
      </c>
      <c r="R77" s="2">
        <f>SUMIFS('Grid Data'!$P$4:$P$2342,'Grid Data'!$N$4:$N$2342,$D77,'Grid Data'!$O$4:$O$2342,R$4,'Grid Data'!$M$4:$M$2342,$D$2)</f>
        <v>392</v>
      </c>
      <c r="S77" s="2">
        <f>SUMIFS('Grid Data'!$P$4:$P$2342,'Grid Data'!$N$4:$N$2342,$D77,'Grid Data'!$O$4:$O$2342,S$4,'Grid Data'!$M$4:$M$2342,$D$2)</f>
        <v>2861</v>
      </c>
      <c r="T77" s="2">
        <f>SUMIFS('Grid Data'!$P$4:$P$2342,'Grid Data'!$N$4:$N$2342,$D77,'Grid Data'!$O$4:$O$2342,T$4,'Grid Data'!$M$4:$M$2342,$D$2)</f>
        <v>17652</v>
      </c>
      <c r="U77" s="2">
        <f>SUMIFS('Grid Data'!$P$4:$P$2342,'Grid Data'!$N$4:$N$2342,$D77,'Grid Data'!$O$4:$O$2342,U$4,'Grid Data'!$M$4:$M$2342,$D$2)</f>
        <v>2562</v>
      </c>
      <c r="V77" s="2">
        <f>SUMIFS('Grid Data'!$P$4:$P$2342,'Grid Data'!$N$4:$N$2342,$D77,'Grid Data'!$O$4:$O$2342,V$4,'Grid Data'!$M$4:$M$2342,$D$2)</f>
        <v>832</v>
      </c>
      <c r="W77" s="2">
        <f>SUMIFS('Grid Data'!$P$4:$P$2342,'Grid Data'!$N$4:$N$2342,$D77,'Grid Data'!$O$4:$O$2342,W$4,'Grid Data'!$M$4:$M$2342,$D$2)</f>
        <v>1550</v>
      </c>
      <c r="X77" s="2">
        <f>SUMIFS('Grid Data'!$P$4:$P$2342,'Grid Data'!$N$4:$N$2342,$D77,'Grid Data'!$O$4:$O$2342,X$4,'Grid Data'!$M$4:$M$2342,$D$2)</f>
        <v>10037</v>
      </c>
      <c r="Y77" s="2">
        <f>SUMIFS('Grid Data'!$P$4:$P$2342,'Grid Data'!$N$4:$N$2342,$D77,'Grid Data'!$O$4:$O$2342,Y$4,'Grid Data'!$M$4:$M$2342,$D$2)</f>
        <v>6894</v>
      </c>
      <c r="Z77" s="2">
        <f>SUMIFS('Grid Data'!$P$4:$P$2342,'Grid Data'!$N$4:$N$2342,$D77,'Grid Data'!$O$4:$O$2342,Z$4,'Grid Data'!$M$4:$M$2342,$D$2)</f>
        <v>9232</v>
      </c>
      <c r="AA77" s="2">
        <f>SUMIFS('Grid Data'!$P$4:$P$2342,'Grid Data'!$N$4:$N$2342,$D77,'Grid Data'!$O$4:$O$2342,AA$4,'Grid Data'!$M$4:$M$2342,$D$2)</f>
        <v>3772</v>
      </c>
      <c r="AB77" s="2">
        <f>SUMIFS('Grid Data'!$P$4:$P$2342,'Grid Data'!$N$4:$N$2342,$D77,'Grid Data'!$O$4:$O$2342,AB$4,'Grid Data'!$M$4:$M$2342,$D$2)</f>
        <v>14737</v>
      </c>
      <c r="AC77" s="2">
        <f>SUMIFS('Grid Data'!$P$4:$P$2342,'Grid Data'!$N$4:$N$2342,$D77,'Grid Data'!$O$4:$O$2342,AC$4,'Grid Data'!$M$4:$M$2342,$D$2)</f>
        <v>8859</v>
      </c>
      <c r="AD77" s="2">
        <f>SUMIFS('Grid Data'!$P$4:$P$2342,'Grid Data'!$N$4:$N$2342,$D77,'Grid Data'!$O$4:$O$2342,AD$4,'Grid Data'!$M$4:$M$2342,$D$2)</f>
        <v>8724</v>
      </c>
      <c r="AE77" s="2">
        <f>SUMIFS('Grid Data'!$P$4:$P$2342,'Grid Data'!$N$4:$N$2342,$D77,'Grid Data'!$O$4:$O$2342,AE$4,'Grid Data'!$M$4:$M$2342,$D$2)</f>
        <v>71</v>
      </c>
      <c r="AF77" s="2">
        <f>SUMIFS('Grid Data'!$P$4:$P$2342,'Grid Data'!$N$4:$N$2342,$D77,'Grid Data'!$O$4:$O$2342,AF$4,'Grid Data'!$M$4:$M$2342,$D$2)</f>
        <v>5</v>
      </c>
      <c r="AG77" s="2">
        <f>SUMIFS('Grid Data'!$P$4:$P$2342,'Grid Data'!$N$4:$N$2342,$D77,'Grid Data'!$O$4:$O$2342,AG$4,'Grid Data'!$M$4:$M$2342,$D$2)</f>
        <v>56</v>
      </c>
      <c r="AH77" s="2">
        <f>SUMIFS('Grid Data'!$P$4:$P$2342,'Grid Data'!$N$4:$N$2342,$D77,'Grid Data'!$O$4:$O$2342,AH$4,'Grid Data'!$M$4:$M$2342,$D$2)</f>
        <v>0</v>
      </c>
    </row>
    <row r="78" spans="3:34" x14ac:dyDescent="0.35">
      <c r="D78">
        <v>4500</v>
      </c>
      <c r="E78" s="2">
        <f>SUMIFS('Grid Data'!$P$4:$P$2342,'Grid Data'!$N$4:$N$2342,$D78,'Grid Data'!$O$4:$O$2342,E$4,'Grid Data'!$M$4:$M$2342,$D$2)</f>
        <v>1656</v>
      </c>
      <c r="F78" s="2">
        <f>SUMIFS('Grid Data'!$P$4:$P$2342,'Grid Data'!$N$4:$N$2342,$D78,'Grid Data'!$O$4:$O$2342,F$4,'Grid Data'!$M$4:$M$2342,$D$2)</f>
        <v>205</v>
      </c>
      <c r="G78" s="2">
        <f>SUMIFS('Grid Data'!$P$4:$P$2342,'Grid Data'!$N$4:$N$2342,$D78,'Grid Data'!$O$4:$O$2342,G$4,'Grid Data'!$M$4:$M$2342,$D$2)</f>
        <v>225</v>
      </c>
      <c r="H78" s="2">
        <f>SUMIFS('Grid Data'!$P$4:$P$2342,'Grid Data'!$N$4:$N$2342,$D78,'Grid Data'!$O$4:$O$2342,H$4,'Grid Data'!$M$4:$M$2342,$D$2)</f>
        <v>220</v>
      </c>
      <c r="I78" s="2">
        <f>SUMIFS('Grid Data'!$P$4:$P$2342,'Grid Data'!$N$4:$N$2342,$D78,'Grid Data'!$O$4:$O$2342,I$4,'Grid Data'!$M$4:$M$2342,$D$2)</f>
        <v>320</v>
      </c>
      <c r="J78" s="2">
        <f>SUMIFS('Grid Data'!$P$4:$P$2342,'Grid Data'!$N$4:$N$2342,$D78,'Grid Data'!$O$4:$O$2342,J$4,'Grid Data'!$M$4:$M$2342,$D$2)</f>
        <v>368</v>
      </c>
      <c r="K78" s="2">
        <f>SUMIFS('Grid Data'!$P$4:$P$2342,'Grid Data'!$N$4:$N$2342,$D78,'Grid Data'!$O$4:$O$2342,K$4,'Grid Data'!$M$4:$M$2342,$D$2)</f>
        <v>626</v>
      </c>
      <c r="L78" s="2">
        <f>SUMIFS('Grid Data'!$P$4:$P$2342,'Grid Data'!$N$4:$N$2342,$D78,'Grid Data'!$O$4:$O$2342,L$4,'Grid Data'!$M$4:$M$2342,$D$2)</f>
        <v>670</v>
      </c>
      <c r="M78" s="2">
        <f>SUMIFS('Grid Data'!$P$4:$P$2342,'Grid Data'!$N$4:$N$2342,$D78,'Grid Data'!$O$4:$O$2342,M$4,'Grid Data'!$M$4:$M$2342,$D$2)</f>
        <v>914</v>
      </c>
      <c r="N78" s="2">
        <f>SUMIFS('Grid Data'!$P$4:$P$2342,'Grid Data'!$N$4:$N$2342,$D78,'Grid Data'!$O$4:$O$2342,N$4,'Grid Data'!$M$4:$M$2342,$D$2)</f>
        <v>730</v>
      </c>
      <c r="O78" s="2">
        <f>SUMIFS('Grid Data'!$P$4:$P$2342,'Grid Data'!$N$4:$N$2342,$D78,'Grid Data'!$O$4:$O$2342,O$4,'Grid Data'!$M$4:$M$2342,$D$2)</f>
        <v>419</v>
      </c>
      <c r="P78" s="2">
        <f>SUMIFS('Grid Data'!$P$4:$P$2342,'Grid Data'!$N$4:$N$2342,$D78,'Grid Data'!$O$4:$O$2342,P$4,'Grid Data'!$M$4:$M$2342,$D$2)</f>
        <v>570</v>
      </c>
      <c r="Q78" s="2">
        <f>SUMIFS('Grid Data'!$P$4:$P$2342,'Grid Data'!$N$4:$N$2342,$D78,'Grid Data'!$O$4:$O$2342,Q$4,'Grid Data'!$M$4:$M$2342,$D$2)</f>
        <v>645</v>
      </c>
      <c r="R78" s="2">
        <f>SUMIFS('Grid Data'!$P$4:$P$2342,'Grid Data'!$N$4:$N$2342,$D78,'Grid Data'!$O$4:$O$2342,R$4,'Grid Data'!$M$4:$M$2342,$D$2)</f>
        <v>551</v>
      </c>
      <c r="S78" s="2">
        <f>SUMIFS('Grid Data'!$P$4:$P$2342,'Grid Data'!$N$4:$N$2342,$D78,'Grid Data'!$O$4:$O$2342,S$4,'Grid Data'!$M$4:$M$2342,$D$2)</f>
        <v>4609</v>
      </c>
      <c r="T78" s="2">
        <f>SUMIFS('Grid Data'!$P$4:$P$2342,'Grid Data'!$N$4:$N$2342,$D78,'Grid Data'!$O$4:$O$2342,T$4,'Grid Data'!$M$4:$M$2342,$D$2)</f>
        <v>18779</v>
      </c>
      <c r="U78" s="2">
        <f>SUMIFS('Grid Data'!$P$4:$P$2342,'Grid Data'!$N$4:$N$2342,$D78,'Grid Data'!$O$4:$O$2342,U$4,'Grid Data'!$M$4:$M$2342,$D$2)</f>
        <v>754</v>
      </c>
      <c r="V78" s="2">
        <f>SUMIFS('Grid Data'!$P$4:$P$2342,'Grid Data'!$N$4:$N$2342,$D78,'Grid Data'!$O$4:$O$2342,V$4,'Grid Data'!$M$4:$M$2342,$D$2)</f>
        <v>186</v>
      </c>
      <c r="W78" s="2">
        <f>SUMIFS('Grid Data'!$P$4:$P$2342,'Grid Data'!$N$4:$N$2342,$D78,'Grid Data'!$O$4:$O$2342,W$4,'Grid Data'!$M$4:$M$2342,$D$2)</f>
        <v>606</v>
      </c>
      <c r="X78" s="2">
        <f>SUMIFS('Grid Data'!$P$4:$P$2342,'Grid Data'!$N$4:$N$2342,$D78,'Grid Data'!$O$4:$O$2342,X$4,'Grid Data'!$M$4:$M$2342,$D$2)</f>
        <v>4524</v>
      </c>
      <c r="Y78" s="2">
        <f>SUMIFS('Grid Data'!$P$4:$P$2342,'Grid Data'!$N$4:$N$2342,$D78,'Grid Data'!$O$4:$O$2342,Y$4,'Grid Data'!$M$4:$M$2342,$D$2)</f>
        <v>9327</v>
      </c>
      <c r="Z78" s="2">
        <f>SUMIFS('Grid Data'!$P$4:$P$2342,'Grid Data'!$N$4:$N$2342,$D78,'Grid Data'!$O$4:$O$2342,Z$4,'Grid Data'!$M$4:$M$2342,$D$2)</f>
        <v>5441</v>
      </c>
      <c r="AA78" s="2">
        <f>SUMIFS('Grid Data'!$P$4:$P$2342,'Grid Data'!$N$4:$N$2342,$D78,'Grid Data'!$O$4:$O$2342,AA$4,'Grid Data'!$M$4:$M$2342,$D$2)</f>
        <v>1563</v>
      </c>
      <c r="AB78" s="2">
        <f>SUMIFS('Grid Data'!$P$4:$P$2342,'Grid Data'!$N$4:$N$2342,$D78,'Grid Data'!$O$4:$O$2342,AB$4,'Grid Data'!$M$4:$M$2342,$D$2)</f>
        <v>5786</v>
      </c>
      <c r="AC78" s="2">
        <f>SUMIFS('Grid Data'!$P$4:$P$2342,'Grid Data'!$N$4:$N$2342,$D78,'Grid Data'!$O$4:$O$2342,AC$4,'Grid Data'!$M$4:$M$2342,$D$2)</f>
        <v>3871</v>
      </c>
      <c r="AD78" s="2">
        <f>SUMIFS('Grid Data'!$P$4:$P$2342,'Grid Data'!$N$4:$N$2342,$D78,'Grid Data'!$O$4:$O$2342,AD$4,'Grid Data'!$M$4:$M$2342,$D$2)</f>
        <v>8014</v>
      </c>
      <c r="AE78" s="2">
        <f>SUMIFS('Grid Data'!$P$4:$P$2342,'Grid Data'!$N$4:$N$2342,$D78,'Grid Data'!$O$4:$O$2342,AE$4,'Grid Data'!$M$4:$M$2342,$D$2)</f>
        <v>1587</v>
      </c>
      <c r="AF78" s="2">
        <f>SUMIFS('Grid Data'!$P$4:$P$2342,'Grid Data'!$N$4:$N$2342,$D78,'Grid Data'!$O$4:$O$2342,AF$4,'Grid Data'!$M$4:$M$2342,$D$2)</f>
        <v>28</v>
      </c>
      <c r="AG78" s="2">
        <f>SUMIFS('Grid Data'!$P$4:$P$2342,'Grid Data'!$N$4:$N$2342,$D78,'Grid Data'!$O$4:$O$2342,AG$4,'Grid Data'!$M$4:$M$2342,$D$2)</f>
        <v>100</v>
      </c>
      <c r="AH78" s="2">
        <f>SUMIFS('Grid Data'!$P$4:$P$2342,'Grid Data'!$N$4:$N$2342,$D78,'Grid Data'!$O$4:$O$2342,AH$4,'Grid Data'!$M$4:$M$2342,$D$2)</f>
        <v>0</v>
      </c>
    </row>
    <row r="79" spans="3:34" x14ac:dyDescent="0.35">
      <c r="D79">
        <v>4750</v>
      </c>
      <c r="E79" s="2">
        <f>SUMIFS('Grid Data'!$P$4:$P$2342,'Grid Data'!$N$4:$N$2342,$D79,'Grid Data'!$O$4:$O$2342,E$4,'Grid Data'!$M$4:$M$2342,$D$2)</f>
        <v>3642</v>
      </c>
      <c r="F79" s="2">
        <f>SUMIFS('Grid Data'!$P$4:$P$2342,'Grid Data'!$N$4:$N$2342,$D79,'Grid Data'!$O$4:$O$2342,F$4,'Grid Data'!$M$4:$M$2342,$D$2)</f>
        <v>305</v>
      </c>
      <c r="G79" s="2">
        <f>SUMIFS('Grid Data'!$P$4:$P$2342,'Grid Data'!$N$4:$N$2342,$D79,'Grid Data'!$O$4:$O$2342,G$4,'Grid Data'!$M$4:$M$2342,$D$2)</f>
        <v>291</v>
      </c>
      <c r="H79" s="2">
        <f>SUMIFS('Grid Data'!$P$4:$P$2342,'Grid Data'!$N$4:$N$2342,$D79,'Grid Data'!$O$4:$O$2342,H$4,'Grid Data'!$M$4:$M$2342,$D$2)</f>
        <v>281</v>
      </c>
      <c r="I79" s="2">
        <f>SUMIFS('Grid Data'!$P$4:$P$2342,'Grid Data'!$N$4:$N$2342,$D79,'Grid Data'!$O$4:$O$2342,I$4,'Grid Data'!$M$4:$M$2342,$D$2)</f>
        <v>255</v>
      </c>
      <c r="J79" s="2">
        <f>SUMIFS('Grid Data'!$P$4:$P$2342,'Grid Data'!$N$4:$N$2342,$D79,'Grid Data'!$O$4:$O$2342,J$4,'Grid Data'!$M$4:$M$2342,$D$2)</f>
        <v>319</v>
      </c>
      <c r="K79" s="2">
        <f>SUMIFS('Grid Data'!$P$4:$P$2342,'Grid Data'!$N$4:$N$2342,$D79,'Grid Data'!$O$4:$O$2342,K$4,'Grid Data'!$M$4:$M$2342,$D$2)</f>
        <v>535</v>
      </c>
      <c r="L79" s="2">
        <f>SUMIFS('Grid Data'!$P$4:$P$2342,'Grid Data'!$N$4:$N$2342,$D79,'Grid Data'!$O$4:$O$2342,L$4,'Grid Data'!$M$4:$M$2342,$D$2)</f>
        <v>419</v>
      </c>
      <c r="M79" s="2">
        <f>SUMIFS('Grid Data'!$P$4:$P$2342,'Grid Data'!$N$4:$N$2342,$D79,'Grid Data'!$O$4:$O$2342,M$4,'Grid Data'!$M$4:$M$2342,$D$2)</f>
        <v>881</v>
      </c>
      <c r="N79" s="2">
        <f>SUMIFS('Grid Data'!$P$4:$P$2342,'Grid Data'!$N$4:$N$2342,$D79,'Grid Data'!$O$4:$O$2342,N$4,'Grid Data'!$M$4:$M$2342,$D$2)</f>
        <v>2606</v>
      </c>
      <c r="O79" s="2">
        <f>SUMIFS('Grid Data'!$P$4:$P$2342,'Grid Data'!$N$4:$N$2342,$D79,'Grid Data'!$O$4:$O$2342,O$4,'Grid Data'!$M$4:$M$2342,$D$2)</f>
        <v>557</v>
      </c>
      <c r="P79" s="2">
        <f>SUMIFS('Grid Data'!$P$4:$P$2342,'Grid Data'!$N$4:$N$2342,$D79,'Grid Data'!$O$4:$O$2342,P$4,'Grid Data'!$M$4:$M$2342,$D$2)</f>
        <v>722</v>
      </c>
      <c r="Q79" s="2">
        <f>SUMIFS('Grid Data'!$P$4:$P$2342,'Grid Data'!$N$4:$N$2342,$D79,'Grid Data'!$O$4:$O$2342,Q$4,'Grid Data'!$M$4:$M$2342,$D$2)</f>
        <v>799</v>
      </c>
      <c r="R79" s="2">
        <f>SUMIFS('Grid Data'!$P$4:$P$2342,'Grid Data'!$N$4:$N$2342,$D79,'Grid Data'!$O$4:$O$2342,R$4,'Grid Data'!$M$4:$M$2342,$D$2)</f>
        <v>2307</v>
      </c>
      <c r="S79" s="2">
        <f>SUMIFS('Grid Data'!$P$4:$P$2342,'Grid Data'!$N$4:$N$2342,$D79,'Grid Data'!$O$4:$O$2342,S$4,'Grid Data'!$M$4:$M$2342,$D$2)</f>
        <v>11073</v>
      </c>
      <c r="T79" s="2">
        <f>SUMIFS('Grid Data'!$P$4:$P$2342,'Grid Data'!$N$4:$N$2342,$D79,'Grid Data'!$O$4:$O$2342,T$4,'Grid Data'!$M$4:$M$2342,$D$2)</f>
        <v>29349</v>
      </c>
      <c r="U79" s="2">
        <f>SUMIFS('Grid Data'!$P$4:$P$2342,'Grid Data'!$N$4:$N$2342,$D79,'Grid Data'!$O$4:$O$2342,U$4,'Grid Data'!$M$4:$M$2342,$D$2)</f>
        <v>490</v>
      </c>
      <c r="V79" s="2">
        <f>SUMIFS('Grid Data'!$P$4:$P$2342,'Grid Data'!$N$4:$N$2342,$D79,'Grid Data'!$O$4:$O$2342,V$4,'Grid Data'!$M$4:$M$2342,$D$2)</f>
        <v>211</v>
      </c>
      <c r="W79" s="2">
        <f>SUMIFS('Grid Data'!$P$4:$P$2342,'Grid Data'!$N$4:$N$2342,$D79,'Grid Data'!$O$4:$O$2342,W$4,'Grid Data'!$M$4:$M$2342,$D$2)</f>
        <v>502</v>
      </c>
      <c r="X79" s="2">
        <f>SUMIFS('Grid Data'!$P$4:$P$2342,'Grid Data'!$N$4:$N$2342,$D79,'Grid Data'!$O$4:$O$2342,X$4,'Grid Data'!$M$4:$M$2342,$D$2)</f>
        <v>3618</v>
      </c>
      <c r="Y79" s="2">
        <f>SUMIFS('Grid Data'!$P$4:$P$2342,'Grid Data'!$N$4:$N$2342,$D79,'Grid Data'!$O$4:$O$2342,Y$4,'Grid Data'!$M$4:$M$2342,$D$2)</f>
        <v>7518</v>
      </c>
      <c r="Z79" s="2">
        <f>SUMIFS('Grid Data'!$P$4:$P$2342,'Grid Data'!$N$4:$N$2342,$D79,'Grid Data'!$O$4:$O$2342,Z$4,'Grid Data'!$M$4:$M$2342,$D$2)</f>
        <v>2470</v>
      </c>
      <c r="AA79" s="2">
        <f>SUMIFS('Grid Data'!$P$4:$P$2342,'Grid Data'!$N$4:$N$2342,$D79,'Grid Data'!$O$4:$O$2342,AA$4,'Grid Data'!$M$4:$M$2342,$D$2)</f>
        <v>703</v>
      </c>
      <c r="AB79" s="2">
        <f>SUMIFS('Grid Data'!$P$4:$P$2342,'Grid Data'!$N$4:$N$2342,$D79,'Grid Data'!$O$4:$O$2342,AB$4,'Grid Data'!$M$4:$M$2342,$D$2)</f>
        <v>1872</v>
      </c>
      <c r="AC79" s="2">
        <f>SUMIFS('Grid Data'!$P$4:$P$2342,'Grid Data'!$N$4:$N$2342,$D79,'Grid Data'!$O$4:$O$2342,AC$4,'Grid Data'!$M$4:$M$2342,$D$2)</f>
        <v>1864</v>
      </c>
      <c r="AD79" s="2">
        <f>SUMIFS('Grid Data'!$P$4:$P$2342,'Grid Data'!$N$4:$N$2342,$D79,'Grid Data'!$O$4:$O$2342,AD$4,'Grid Data'!$M$4:$M$2342,$D$2)</f>
        <v>5920</v>
      </c>
      <c r="AE79" s="2">
        <f>SUMIFS('Grid Data'!$P$4:$P$2342,'Grid Data'!$N$4:$N$2342,$D79,'Grid Data'!$O$4:$O$2342,AE$4,'Grid Data'!$M$4:$M$2342,$D$2)</f>
        <v>1036</v>
      </c>
      <c r="AF79" s="2">
        <f>SUMIFS('Grid Data'!$P$4:$P$2342,'Grid Data'!$N$4:$N$2342,$D79,'Grid Data'!$O$4:$O$2342,AF$4,'Grid Data'!$M$4:$M$2342,$D$2)</f>
        <v>24</v>
      </c>
      <c r="AG79" s="2">
        <f>SUMIFS('Grid Data'!$P$4:$P$2342,'Grid Data'!$N$4:$N$2342,$D79,'Grid Data'!$O$4:$O$2342,AG$4,'Grid Data'!$M$4:$M$2342,$D$2)</f>
        <v>88</v>
      </c>
      <c r="AH79" s="2">
        <f>SUMIFS('Grid Data'!$P$4:$P$2342,'Grid Data'!$N$4:$N$2342,$D79,'Grid Data'!$O$4:$O$2342,AH$4,'Grid Data'!$M$4:$M$2342,$D$2)</f>
        <v>0</v>
      </c>
    </row>
    <row r="80" spans="3:34" x14ac:dyDescent="0.35">
      <c r="D80">
        <v>5000</v>
      </c>
      <c r="E80" s="2">
        <f>SUMIFS('Grid Data'!$P$4:$P$2342,'Grid Data'!$N$4:$N$2342,$D80,'Grid Data'!$O$4:$O$2342,E$4,'Grid Data'!$M$4:$M$2342,$D$2)</f>
        <v>15445</v>
      </c>
      <c r="F80" s="2">
        <f>SUMIFS('Grid Data'!$P$4:$P$2342,'Grid Data'!$N$4:$N$2342,$D80,'Grid Data'!$O$4:$O$2342,F$4,'Grid Data'!$M$4:$M$2342,$D$2)</f>
        <v>1261</v>
      </c>
      <c r="G80" s="2">
        <f>SUMIFS('Grid Data'!$P$4:$P$2342,'Grid Data'!$N$4:$N$2342,$D80,'Grid Data'!$O$4:$O$2342,G$4,'Grid Data'!$M$4:$M$2342,$D$2)</f>
        <v>940</v>
      </c>
      <c r="H80" s="2">
        <f>SUMIFS('Grid Data'!$P$4:$P$2342,'Grid Data'!$N$4:$N$2342,$D80,'Grid Data'!$O$4:$O$2342,H$4,'Grid Data'!$M$4:$M$2342,$D$2)</f>
        <v>918</v>
      </c>
      <c r="I80" s="2">
        <f>SUMIFS('Grid Data'!$P$4:$P$2342,'Grid Data'!$N$4:$N$2342,$D80,'Grid Data'!$O$4:$O$2342,I$4,'Grid Data'!$M$4:$M$2342,$D$2)</f>
        <v>1155</v>
      </c>
      <c r="J80" s="2">
        <f>SUMIFS('Grid Data'!$P$4:$P$2342,'Grid Data'!$N$4:$N$2342,$D80,'Grid Data'!$O$4:$O$2342,J$4,'Grid Data'!$M$4:$M$2342,$D$2)</f>
        <v>1035</v>
      </c>
      <c r="K80" s="2">
        <f>SUMIFS('Grid Data'!$P$4:$P$2342,'Grid Data'!$N$4:$N$2342,$D80,'Grid Data'!$O$4:$O$2342,K$4,'Grid Data'!$M$4:$M$2342,$D$2)</f>
        <v>1995</v>
      </c>
      <c r="L80" s="2">
        <f>SUMIFS('Grid Data'!$P$4:$P$2342,'Grid Data'!$N$4:$N$2342,$D80,'Grid Data'!$O$4:$O$2342,L$4,'Grid Data'!$M$4:$M$2342,$D$2)</f>
        <v>1383</v>
      </c>
      <c r="M80" s="2">
        <f>SUMIFS('Grid Data'!$P$4:$P$2342,'Grid Data'!$N$4:$N$2342,$D80,'Grid Data'!$O$4:$O$2342,M$4,'Grid Data'!$M$4:$M$2342,$D$2)</f>
        <v>4236</v>
      </c>
      <c r="N80" s="2">
        <f>SUMIFS('Grid Data'!$P$4:$P$2342,'Grid Data'!$N$4:$N$2342,$D80,'Grid Data'!$O$4:$O$2342,N$4,'Grid Data'!$M$4:$M$2342,$D$2)</f>
        <v>8217</v>
      </c>
      <c r="O80" s="2">
        <f>SUMIFS('Grid Data'!$P$4:$P$2342,'Grid Data'!$N$4:$N$2342,$D80,'Grid Data'!$O$4:$O$2342,O$4,'Grid Data'!$M$4:$M$2342,$D$2)</f>
        <v>1816</v>
      </c>
      <c r="P80" s="2">
        <f>SUMIFS('Grid Data'!$P$4:$P$2342,'Grid Data'!$N$4:$N$2342,$D80,'Grid Data'!$O$4:$O$2342,P$4,'Grid Data'!$M$4:$M$2342,$D$2)</f>
        <v>3284</v>
      </c>
      <c r="Q80" s="2">
        <f>SUMIFS('Grid Data'!$P$4:$P$2342,'Grid Data'!$N$4:$N$2342,$D80,'Grid Data'!$O$4:$O$2342,Q$4,'Grid Data'!$M$4:$M$2342,$D$2)</f>
        <v>3152</v>
      </c>
      <c r="R80" s="2">
        <f>SUMIFS('Grid Data'!$P$4:$P$2342,'Grid Data'!$N$4:$N$2342,$D80,'Grid Data'!$O$4:$O$2342,R$4,'Grid Data'!$M$4:$M$2342,$D$2)</f>
        <v>5786</v>
      </c>
      <c r="S80" s="2">
        <f>SUMIFS('Grid Data'!$P$4:$P$2342,'Grid Data'!$N$4:$N$2342,$D80,'Grid Data'!$O$4:$O$2342,S$4,'Grid Data'!$M$4:$M$2342,$D$2)</f>
        <v>6830</v>
      </c>
      <c r="T80" s="2">
        <f>SUMIFS('Grid Data'!$P$4:$P$2342,'Grid Data'!$N$4:$N$2342,$D80,'Grid Data'!$O$4:$O$2342,T$4,'Grid Data'!$M$4:$M$2342,$D$2)</f>
        <v>18543</v>
      </c>
      <c r="U80" s="2">
        <f>SUMIFS('Grid Data'!$P$4:$P$2342,'Grid Data'!$N$4:$N$2342,$D80,'Grid Data'!$O$4:$O$2342,U$4,'Grid Data'!$M$4:$M$2342,$D$2)</f>
        <v>77</v>
      </c>
      <c r="V80" s="2">
        <f>SUMIFS('Grid Data'!$P$4:$P$2342,'Grid Data'!$N$4:$N$2342,$D80,'Grid Data'!$O$4:$O$2342,V$4,'Grid Data'!$M$4:$M$2342,$D$2)</f>
        <v>45</v>
      </c>
      <c r="W80" s="2">
        <f>SUMIFS('Grid Data'!$P$4:$P$2342,'Grid Data'!$N$4:$N$2342,$D80,'Grid Data'!$O$4:$O$2342,W$4,'Grid Data'!$M$4:$M$2342,$D$2)</f>
        <v>115</v>
      </c>
      <c r="X80" s="2">
        <f>SUMIFS('Grid Data'!$P$4:$P$2342,'Grid Data'!$N$4:$N$2342,$D80,'Grid Data'!$O$4:$O$2342,X$4,'Grid Data'!$M$4:$M$2342,$D$2)</f>
        <v>978</v>
      </c>
      <c r="Y80" s="2">
        <f>SUMIFS('Grid Data'!$P$4:$P$2342,'Grid Data'!$N$4:$N$2342,$D80,'Grid Data'!$O$4:$O$2342,Y$4,'Grid Data'!$M$4:$M$2342,$D$2)</f>
        <v>6285</v>
      </c>
      <c r="Z80" s="2">
        <f>SUMIFS('Grid Data'!$P$4:$P$2342,'Grid Data'!$N$4:$N$2342,$D80,'Grid Data'!$O$4:$O$2342,Z$4,'Grid Data'!$M$4:$M$2342,$D$2)</f>
        <v>730</v>
      </c>
      <c r="AA80" s="2">
        <f>SUMIFS('Grid Data'!$P$4:$P$2342,'Grid Data'!$N$4:$N$2342,$D80,'Grid Data'!$O$4:$O$2342,AA$4,'Grid Data'!$M$4:$M$2342,$D$2)</f>
        <v>172</v>
      </c>
      <c r="AB80" s="2">
        <f>SUMIFS('Grid Data'!$P$4:$P$2342,'Grid Data'!$N$4:$N$2342,$D80,'Grid Data'!$O$4:$O$2342,AB$4,'Grid Data'!$M$4:$M$2342,$D$2)</f>
        <v>476</v>
      </c>
      <c r="AC80" s="2">
        <f>SUMIFS('Grid Data'!$P$4:$P$2342,'Grid Data'!$N$4:$N$2342,$D80,'Grid Data'!$O$4:$O$2342,AC$4,'Grid Data'!$M$4:$M$2342,$D$2)</f>
        <v>518</v>
      </c>
      <c r="AD80" s="2">
        <f>SUMIFS('Grid Data'!$P$4:$P$2342,'Grid Data'!$N$4:$N$2342,$D80,'Grid Data'!$O$4:$O$2342,AD$4,'Grid Data'!$M$4:$M$2342,$D$2)</f>
        <v>3845</v>
      </c>
      <c r="AE80" s="2">
        <f>SUMIFS('Grid Data'!$P$4:$P$2342,'Grid Data'!$N$4:$N$2342,$D80,'Grid Data'!$O$4:$O$2342,AE$4,'Grid Data'!$M$4:$M$2342,$D$2)</f>
        <v>4859</v>
      </c>
      <c r="AF80" s="2">
        <f>SUMIFS('Grid Data'!$P$4:$P$2342,'Grid Data'!$N$4:$N$2342,$D80,'Grid Data'!$O$4:$O$2342,AF$4,'Grid Data'!$M$4:$M$2342,$D$2)</f>
        <v>45</v>
      </c>
      <c r="AG80" s="2">
        <f>SUMIFS('Grid Data'!$P$4:$P$2342,'Grid Data'!$N$4:$N$2342,$D80,'Grid Data'!$O$4:$O$2342,AG$4,'Grid Data'!$M$4:$M$2342,$D$2)</f>
        <v>1514</v>
      </c>
      <c r="AH80" s="2">
        <f>SUMIFS('Grid Data'!$P$4:$P$2342,'Grid Data'!$N$4:$N$2342,$D80,'Grid Data'!$O$4:$O$2342,AH$4,'Grid Data'!$M$4:$M$2342,$D$2)</f>
        <v>7</v>
      </c>
    </row>
    <row r="81" spans="4:34" x14ac:dyDescent="0.35">
      <c r="D81">
        <v>5250</v>
      </c>
      <c r="E81" s="2">
        <f>SUMIFS('Grid Data'!$P$4:$P$2342,'Grid Data'!$N$4:$N$2342,$D81,'Grid Data'!$O$4:$O$2342,E$4,'Grid Data'!$M$4:$M$2342,$D$2)</f>
        <v>46957</v>
      </c>
      <c r="F81" s="2">
        <f>SUMIFS('Grid Data'!$P$4:$P$2342,'Grid Data'!$N$4:$N$2342,$D81,'Grid Data'!$O$4:$O$2342,F$4,'Grid Data'!$M$4:$M$2342,$D$2)</f>
        <v>2042</v>
      </c>
      <c r="G81" s="2">
        <f>SUMIFS('Grid Data'!$P$4:$P$2342,'Grid Data'!$N$4:$N$2342,$D81,'Grid Data'!$O$4:$O$2342,G$4,'Grid Data'!$M$4:$M$2342,$D$2)</f>
        <v>468</v>
      </c>
      <c r="H81" s="2">
        <f>SUMIFS('Grid Data'!$P$4:$P$2342,'Grid Data'!$N$4:$N$2342,$D81,'Grid Data'!$O$4:$O$2342,H$4,'Grid Data'!$M$4:$M$2342,$D$2)</f>
        <v>387</v>
      </c>
      <c r="I81" s="2">
        <f>SUMIFS('Grid Data'!$P$4:$P$2342,'Grid Data'!$N$4:$N$2342,$D81,'Grid Data'!$O$4:$O$2342,I$4,'Grid Data'!$M$4:$M$2342,$D$2)</f>
        <v>389</v>
      </c>
      <c r="J81" s="2">
        <f>SUMIFS('Grid Data'!$P$4:$P$2342,'Grid Data'!$N$4:$N$2342,$D81,'Grid Data'!$O$4:$O$2342,J$4,'Grid Data'!$M$4:$M$2342,$D$2)</f>
        <v>689</v>
      </c>
      <c r="K81" s="2">
        <f>SUMIFS('Grid Data'!$P$4:$P$2342,'Grid Data'!$N$4:$N$2342,$D81,'Grid Data'!$O$4:$O$2342,K$4,'Grid Data'!$M$4:$M$2342,$D$2)</f>
        <v>1702</v>
      </c>
      <c r="L81" s="2">
        <f>SUMIFS('Grid Data'!$P$4:$P$2342,'Grid Data'!$N$4:$N$2342,$D81,'Grid Data'!$O$4:$O$2342,L$4,'Grid Data'!$M$4:$M$2342,$D$2)</f>
        <v>809</v>
      </c>
      <c r="M81" s="2">
        <f>SUMIFS('Grid Data'!$P$4:$P$2342,'Grid Data'!$N$4:$N$2342,$D81,'Grid Data'!$O$4:$O$2342,M$4,'Grid Data'!$M$4:$M$2342,$D$2)</f>
        <v>5568</v>
      </c>
      <c r="N81" s="2">
        <f>SUMIFS('Grid Data'!$P$4:$P$2342,'Grid Data'!$N$4:$N$2342,$D81,'Grid Data'!$O$4:$O$2342,N$4,'Grid Data'!$M$4:$M$2342,$D$2)</f>
        <v>16721</v>
      </c>
      <c r="O81" s="2">
        <f>SUMIFS('Grid Data'!$P$4:$P$2342,'Grid Data'!$N$4:$N$2342,$D81,'Grid Data'!$O$4:$O$2342,O$4,'Grid Data'!$M$4:$M$2342,$D$2)</f>
        <v>2345</v>
      </c>
      <c r="P81" s="2">
        <f>SUMIFS('Grid Data'!$P$4:$P$2342,'Grid Data'!$N$4:$N$2342,$D81,'Grid Data'!$O$4:$O$2342,P$4,'Grid Data'!$M$4:$M$2342,$D$2)</f>
        <v>1835</v>
      </c>
      <c r="Q81" s="2">
        <f>SUMIFS('Grid Data'!$P$4:$P$2342,'Grid Data'!$N$4:$N$2342,$D81,'Grid Data'!$O$4:$O$2342,Q$4,'Grid Data'!$M$4:$M$2342,$D$2)</f>
        <v>2320</v>
      </c>
      <c r="R81" s="2">
        <f>SUMIFS('Grid Data'!$P$4:$P$2342,'Grid Data'!$N$4:$N$2342,$D81,'Grid Data'!$O$4:$O$2342,R$4,'Grid Data'!$M$4:$M$2342,$D$2)</f>
        <v>10206</v>
      </c>
      <c r="S81" s="2">
        <f>SUMIFS('Grid Data'!$P$4:$P$2342,'Grid Data'!$N$4:$N$2342,$D81,'Grid Data'!$O$4:$O$2342,S$4,'Grid Data'!$M$4:$M$2342,$D$2)</f>
        <v>13155</v>
      </c>
      <c r="T81" s="2">
        <f>SUMIFS('Grid Data'!$P$4:$P$2342,'Grid Data'!$N$4:$N$2342,$D81,'Grid Data'!$O$4:$O$2342,T$4,'Grid Data'!$M$4:$M$2342,$D$2)</f>
        <v>23957</v>
      </c>
      <c r="U81" s="2">
        <f>SUMIFS('Grid Data'!$P$4:$P$2342,'Grid Data'!$N$4:$N$2342,$D81,'Grid Data'!$O$4:$O$2342,U$4,'Grid Data'!$M$4:$M$2342,$D$2)</f>
        <v>377</v>
      </c>
      <c r="V81" s="2">
        <f>SUMIFS('Grid Data'!$P$4:$P$2342,'Grid Data'!$N$4:$N$2342,$D81,'Grid Data'!$O$4:$O$2342,V$4,'Grid Data'!$M$4:$M$2342,$D$2)</f>
        <v>164</v>
      </c>
      <c r="W81" s="2">
        <f>SUMIFS('Grid Data'!$P$4:$P$2342,'Grid Data'!$N$4:$N$2342,$D81,'Grid Data'!$O$4:$O$2342,W$4,'Grid Data'!$M$4:$M$2342,$D$2)</f>
        <v>138</v>
      </c>
      <c r="X81" s="2">
        <f>SUMIFS('Grid Data'!$P$4:$P$2342,'Grid Data'!$N$4:$N$2342,$D81,'Grid Data'!$O$4:$O$2342,X$4,'Grid Data'!$M$4:$M$2342,$D$2)</f>
        <v>1025</v>
      </c>
      <c r="Y81" s="2">
        <f>SUMIFS('Grid Data'!$P$4:$P$2342,'Grid Data'!$N$4:$N$2342,$D81,'Grid Data'!$O$4:$O$2342,Y$4,'Grid Data'!$M$4:$M$2342,$D$2)</f>
        <v>2931</v>
      </c>
      <c r="Z81" s="2">
        <f>SUMIFS('Grid Data'!$P$4:$P$2342,'Grid Data'!$N$4:$N$2342,$D81,'Grid Data'!$O$4:$O$2342,Z$4,'Grid Data'!$M$4:$M$2342,$D$2)</f>
        <v>454</v>
      </c>
      <c r="AA81" s="2">
        <f>SUMIFS('Grid Data'!$P$4:$P$2342,'Grid Data'!$N$4:$N$2342,$D81,'Grid Data'!$O$4:$O$2342,AA$4,'Grid Data'!$M$4:$M$2342,$D$2)</f>
        <v>54</v>
      </c>
      <c r="AB81" s="2">
        <f>SUMIFS('Grid Data'!$P$4:$P$2342,'Grid Data'!$N$4:$N$2342,$D81,'Grid Data'!$O$4:$O$2342,AB$4,'Grid Data'!$M$4:$M$2342,$D$2)</f>
        <v>117</v>
      </c>
      <c r="AC81" s="2">
        <f>SUMIFS('Grid Data'!$P$4:$P$2342,'Grid Data'!$N$4:$N$2342,$D81,'Grid Data'!$O$4:$O$2342,AC$4,'Grid Data'!$M$4:$M$2342,$D$2)</f>
        <v>130</v>
      </c>
      <c r="AD81" s="2">
        <f>SUMIFS('Grid Data'!$P$4:$P$2342,'Grid Data'!$N$4:$N$2342,$D81,'Grid Data'!$O$4:$O$2342,AD$4,'Grid Data'!$M$4:$M$2342,$D$2)</f>
        <v>1436</v>
      </c>
      <c r="AE81" s="2">
        <f>SUMIFS('Grid Data'!$P$4:$P$2342,'Grid Data'!$N$4:$N$2342,$D81,'Grid Data'!$O$4:$O$2342,AE$4,'Grid Data'!$M$4:$M$2342,$D$2)</f>
        <v>1373</v>
      </c>
      <c r="AF81" s="2">
        <f>SUMIFS('Grid Data'!$P$4:$P$2342,'Grid Data'!$N$4:$N$2342,$D81,'Grid Data'!$O$4:$O$2342,AF$4,'Grid Data'!$M$4:$M$2342,$D$2)</f>
        <v>20</v>
      </c>
      <c r="AG81" s="2">
        <f>SUMIFS('Grid Data'!$P$4:$P$2342,'Grid Data'!$N$4:$N$2342,$D81,'Grid Data'!$O$4:$O$2342,AG$4,'Grid Data'!$M$4:$M$2342,$D$2)</f>
        <v>626</v>
      </c>
      <c r="AH81" s="2">
        <f>SUMIFS('Grid Data'!$P$4:$P$2342,'Grid Data'!$N$4:$N$2342,$D81,'Grid Data'!$O$4:$O$2342,AH$4,'Grid Data'!$M$4:$M$2342,$D$2)</f>
        <v>1</v>
      </c>
    </row>
    <row r="82" spans="4:34" x14ac:dyDescent="0.35">
      <c r="D82">
        <v>5500</v>
      </c>
      <c r="E82" s="2">
        <f>SUMIFS('Grid Data'!$P$4:$P$2342,'Grid Data'!$N$4:$N$2342,$D82,'Grid Data'!$O$4:$O$2342,E$4,'Grid Data'!$M$4:$M$2342,$D$2)</f>
        <v>63061</v>
      </c>
      <c r="F82" s="2">
        <f>SUMIFS('Grid Data'!$P$4:$P$2342,'Grid Data'!$N$4:$N$2342,$D82,'Grid Data'!$O$4:$O$2342,F$4,'Grid Data'!$M$4:$M$2342,$D$2)</f>
        <v>4645</v>
      </c>
      <c r="G82" s="2">
        <f>SUMIFS('Grid Data'!$P$4:$P$2342,'Grid Data'!$N$4:$N$2342,$D82,'Grid Data'!$O$4:$O$2342,G$4,'Grid Data'!$M$4:$M$2342,$D$2)</f>
        <v>1383</v>
      </c>
      <c r="H82" s="2">
        <f>SUMIFS('Grid Data'!$P$4:$P$2342,'Grid Data'!$N$4:$N$2342,$D82,'Grid Data'!$O$4:$O$2342,H$4,'Grid Data'!$M$4:$M$2342,$D$2)</f>
        <v>850</v>
      </c>
      <c r="I82" s="2">
        <f>SUMIFS('Grid Data'!$P$4:$P$2342,'Grid Data'!$N$4:$N$2342,$D82,'Grid Data'!$O$4:$O$2342,I$4,'Grid Data'!$M$4:$M$2342,$D$2)</f>
        <v>808</v>
      </c>
      <c r="J82" s="2">
        <f>SUMIFS('Grid Data'!$P$4:$P$2342,'Grid Data'!$N$4:$N$2342,$D82,'Grid Data'!$O$4:$O$2342,J$4,'Grid Data'!$M$4:$M$2342,$D$2)</f>
        <v>1421</v>
      </c>
      <c r="K82" s="2">
        <f>SUMIFS('Grid Data'!$P$4:$P$2342,'Grid Data'!$N$4:$N$2342,$D82,'Grid Data'!$O$4:$O$2342,K$4,'Grid Data'!$M$4:$M$2342,$D$2)</f>
        <v>3892</v>
      </c>
      <c r="L82" s="2">
        <f>SUMIFS('Grid Data'!$P$4:$P$2342,'Grid Data'!$N$4:$N$2342,$D82,'Grid Data'!$O$4:$O$2342,L$4,'Grid Data'!$M$4:$M$2342,$D$2)</f>
        <v>1438</v>
      </c>
      <c r="M82" s="2">
        <f>SUMIFS('Grid Data'!$P$4:$P$2342,'Grid Data'!$N$4:$N$2342,$D82,'Grid Data'!$O$4:$O$2342,M$4,'Grid Data'!$M$4:$M$2342,$D$2)</f>
        <v>4018</v>
      </c>
      <c r="N82" s="2">
        <f>SUMIFS('Grid Data'!$P$4:$P$2342,'Grid Data'!$N$4:$N$2342,$D82,'Grid Data'!$O$4:$O$2342,N$4,'Grid Data'!$M$4:$M$2342,$D$2)</f>
        <v>9633</v>
      </c>
      <c r="O82" s="2">
        <f>SUMIFS('Grid Data'!$P$4:$P$2342,'Grid Data'!$N$4:$N$2342,$D82,'Grid Data'!$O$4:$O$2342,O$4,'Grid Data'!$M$4:$M$2342,$D$2)</f>
        <v>3257</v>
      </c>
      <c r="P82" s="2">
        <f>SUMIFS('Grid Data'!$P$4:$P$2342,'Grid Data'!$N$4:$N$2342,$D82,'Grid Data'!$O$4:$O$2342,P$4,'Grid Data'!$M$4:$M$2342,$D$2)</f>
        <v>4140</v>
      </c>
      <c r="Q82" s="2">
        <f>SUMIFS('Grid Data'!$P$4:$P$2342,'Grid Data'!$N$4:$N$2342,$D82,'Grid Data'!$O$4:$O$2342,Q$4,'Grid Data'!$M$4:$M$2342,$D$2)</f>
        <v>5129</v>
      </c>
      <c r="R82" s="2">
        <f>SUMIFS('Grid Data'!$P$4:$P$2342,'Grid Data'!$N$4:$N$2342,$D82,'Grid Data'!$O$4:$O$2342,R$4,'Grid Data'!$M$4:$M$2342,$D$2)</f>
        <v>12785</v>
      </c>
      <c r="S82" s="2">
        <f>SUMIFS('Grid Data'!$P$4:$P$2342,'Grid Data'!$N$4:$N$2342,$D82,'Grid Data'!$O$4:$O$2342,S$4,'Grid Data'!$M$4:$M$2342,$D$2)</f>
        <v>10758</v>
      </c>
      <c r="T82" s="2">
        <f>SUMIFS('Grid Data'!$P$4:$P$2342,'Grid Data'!$N$4:$N$2342,$D82,'Grid Data'!$O$4:$O$2342,T$4,'Grid Data'!$M$4:$M$2342,$D$2)</f>
        <v>9848</v>
      </c>
      <c r="U82" s="2">
        <f>SUMIFS('Grid Data'!$P$4:$P$2342,'Grid Data'!$N$4:$N$2342,$D82,'Grid Data'!$O$4:$O$2342,U$4,'Grid Data'!$M$4:$M$2342,$D$2)</f>
        <v>13</v>
      </c>
      <c r="V82" s="2">
        <f>SUMIFS('Grid Data'!$P$4:$P$2342,'Grid Data'!$N$4:$N$2342,$D82,'Grid Data'!$O$4:$O$2342,V$4,'Grid Data'!$M$4:$M$2342,$D$2)</f>
        <v>0</v>
      </c>
      <c r="W82" s="2">
        <f>SUMIFS('Grid Data'!$P$4:$P$2342,'Grid Data'!$N$4:$N$2342,$D82,'Grid Data'!$O$4:$O$2342,W$4,'Grid Data'!$M$4:$M$2342,$D$2)</f>
        <v>8</v>
      </c>
      <c r="X82" s="2">
        <f>SUMIFS('Grid Data'!$P$4:$P$2342,'Grid Data'!$N$4:$N$2342,$D82,'Grid Data'!$O$4:$O$2342,X$4,'Grid Data'!$M$4:$M$2342,$D$2)</f>
        <v>190</v>
      </c>
      <c r="Y82" s="2">
        <f>SUMIFS('Grid Data'!$P$4:$P$2342,'Grid Data'!$N$4:$N$2342,$D82,'Grid Data'!$O$4:$O$2342,Y$4,'Grid Data'!$M$4:$M$2342,$D$2)</f>
        <v>1377</v>
      </c>
      <c r="Z82" s="2">
        <f>SUMIFS('Grid Data'!$P$4:$P$2342,'Grid Data'!$N$4:$N$2342,$D82,'Grid Data'!$O$4:$O$2342,Z$4,'Grid Data'!$M$4:$M$2342,$D$2)</f>
        <v>102</v>
      </c>
      <c r="AA82" s="2">
        <f>SUMIFS('Grid Data'!$P$4:$P$2342,'Grid Data'!$N$4:$N$2342,$D82,'Grid Data'!$O$4:$O$2342,AA$4,'Grid Data'!$M$4:$M$2342,$D$2)</f>
        <v>10</v>
      </c>
      <c r="AB82" s="2">
        <f>SUMIFS('Grid Data'!$P$4:$P$2342,'Grid Data'!$N$4:$N$2342,$D82,'Grid Data'!$O$4:$O$2342,AB$4,'Grid Data'!$M$4:$M$2342,$D$2)</f>
        <v>18</v>
      </c>
      <c r="AC82" s="2">
        <f>SUMIFS('Grid Data'!$P$4:$P$2342,'Grid Data'!$N$4:$N$2342,$D82,'Grid Data'!$O$4:$O$2342,AC$4,'Grid Data'!$M$4:$M$2342,$D$2)</f>
        <v>14</v>
      </c>
      <c r="AD82" s="2">
        <f>SUMIFS('Grid Data'!$P$4:$P$2342,'Grid Data'!$N$4:$N$2342,$D82,'Grid Data'!$O$4:$O$2342,AD$4,'Grid Data'!$M$4:$M$2342,$D$2)</f>
        <v>479</v>
      </c>
      <c r="AE82" s="2">
        <f>SUMIFS('Grid Data'!$P$4:$P$2342,'Grid Data'!$N$4:$N$2342,$D82,'Grid Data'!$O$4:$O$2342,AE$4,'Grid Data'!$M$4:$M$2342,$D$2)</f>
        <v>2480</v>
      </c>
      <c r="AF82" s="2">
        <f>SUMIFS('Grid Data'!$P$4:$P$2342,'Grid Data'!$N$4:$N$2342,$D82,'Grid Data'!$O$4:$O$2342,AF$4,'Grid Data'!$M$4:$M$2342,$D$2)</f>
        <v>280</v>
      </c>
      <c r="AG82" s="2">
        <f>SUMIFS('Grid Data'!$P$4:$P$2342,'Grid Data'!$N$4:$N$2342,$D82,'Grid Data'!$O$4:$O$2342,AG$4,'Grid Data'!$M$4:$M$2342,$D$2)</f>
        <v>4861</v>
      </c>
      <c r="AH82" s="2">
        <f>SUMIFS('Grid Data'!$P$4:$P$2342,'Grid Data'!$N$4:$N$2342,$D82,'Grid Data'!$O$4:$O$2342,AH$4,'Grid Data'!$M$4:$M$2342,$D$2)</f>
        <v>1</v>
      </c>
    </row>
    <row r="83" spans="4:34" x14ac:dyDescent="0.35">
      <c r="D83">
        <v>5750</v>
      </c>
      <c r="E83" s="2">
        <f>SUMIFS('Grid Data'!$P$4:$P$2342,'Grid Data'!$N$4:$N$2342,$D83,'Grid Data'!$O$4:$O$2342,E$4,'Grid Data'!$M$4:$M$2342,$D$2)</f>
        <v>116016</v>
      </c>
      <c r="F83" s="2">
        <f>SUMIFS('Grid Data'!$P$4:$P$2342,'Grid Data'!$N$4:$N$2342,$D83,'Grid Data'!$O$4:$O$2342,F$4,'Grid Data'!$M$4:$M$2342,$D$2)</f>
        <v>11009</v>
      </c>
      <c r="G83" s="2">
        <f>SUMIFS('Grid Data'!$P$4:$P$2342,'Grid Data'!$N$4:$N$2342,$D83,'Grid Data'!$O$4:$O$2342,G$4,'Grid Data'!$M$4:$M$2342,$D$2)</f>
        <v>4693</v>
      </c>
      <c r="H83" s="2">
        <f>SUMIFS('Grid Data'!$P$4:$P$2342,'Grid Data'!$N$4:$N$2342,$D83,'Grid Data'!$O$4:$O$2342,H$4,'Grid Data'!$M$4:$M$2342,$D$2)</f>
        <v>2463</v>
      </c>
      <c r="I83" s="2">
        <f>SUMIFS('Grid Data'!$P$4:$P$2342,'Grid Data'!$N$4:$N$2342,$D83,'Grid Data'!$O$4:$O$2342,I$4,'Grid Data'!$M$4:$M$2342,$D$2)</f>
        <v>2011</v>
      </c>
      <c r="J83" s="2">
        <f>SUMIFS('Grid Data'!$P$4:$P$2342,'Grid Data'!$N$4:$N$2342,$D83,'Grid Data'!$O$4:$O$2342,J$4,'Grid Data'!$M$4:$M$2342,$D$2)</f>
        <v>5006</v>
      </c>
      <c r="K83" s="2">
        <f>SUMIFS('Grid Data'!$P$4:$P$2342,'Grid Data'!$N$4:$N$2342,$D83,'Grid Data'!$O$4:$O$2342,K$4,'Grid Data'!$M$4:$M$2342,$D$2)</f>
        <v>13148</v>
      </c>
      <c r="L83" s="2">
        <f>SUMIFS('Grid Data'!$P$4:$P$2342,'Grid Data'!$N$4:$N$2342,$D83,'Grid Data'!$O$4:$O$2342,L$4,'Grid Data'!$M$4:$M$2342,$D$2)</f>
        <v>5081</v>
      </c>
      <c r="M83" s="2">
        <f>SUMIFS('Grid Data'!$P$4:$P$2342,'Grid Data'!$N$4:$N$2342,$D83,'Grid Data'!$O$4:$O$2342,M$4,'Grid Data'!$M$4:$M$2342,$D$2)</f>
        <v>11880</v>
      </c>
      <c r="N83" s="2">
        <f>SUMIFS('Grid Data'!$P$4:$P$2342,'Grid Data'!$N$4:$N$2342,$D83,'Grid Data'!$O$4:$O$2342,N$4,'Grid Data'!$M$4:$M$2342,$D$2)</f>
        <v>25369</v>
      </c>
      <c r="O83" s="2">
        <f>SUMIFS('Grid Data'!$P$4:$P$2342,'Grid Data'!$N$4:$N$2342,$D83,'Grid Data'!$O$4:$O$2342,O$4,'Grid Data'!$M$4:$M$2342,$D$2)</f>
        <v>10565</v>
      </c>
      <c r="P83" s="2">
        <f>SUMIFS('Grid Data'!$P$4:$P$2342,'Grid Data'!$N$4:$N$2342,$D83,'Grid Data'!$O$4:$O$2342,P$4,'Grid Data'!$M$4:$M$2342,$D$2)</f>
        <v>7833</v>
      </c>
      <c r="Q83" s="2">
        <f>SUMIFS('Grid Data'!$P$4:$P$2342,'Grid Data'!$N$4:$N$2342,$D83,'Grid Data'!$O$4:$O$2342,Q$4,'Grid Data'!$M$4:$M$2342,$D$2)</f>
        <v>9127</v>
      </c>
      <c r="R83" s="2">
        <f>SUMIFS('Grid Data'!$P$4:$P$2342,'Grid Data'!$N$4:$N$2342,$D83,'Grid Data'!$O$4:$O$2342,R$4,'Grid Data'!$M$4:$M$2342,$D$2)</f>
        <v>26467</v>
      </c>
      <c r="S83" s="2">
        <f>SUMIFS('Grid Data'!$P$4:$P$2342,'Grid Data'!$N$4:$N$2342,$D83,'Grid Data'!$O$4:$O$2342,S$4,'Grid Data'!$M$4:$M$2342,$D$2)</f>
        <v>19574</v>
      </c>
      <c r="T83" s="2">
        <f>SUMIFS('Grid Data'!$P$4:$P$2342,'Grid Data'!$N$4:$N$2342,$D83,'Grid Data'!$O$4:$O$2342,T$4,'Grid Data'!$M$4:$M$2342,$D$2)</f>
        <v>14658</v>
      </c>
      <c r="U83" s="2">
        <f>SUMIFS('Grid Data'!$P$4:$P$2342,'Grid Data'!$N$4:$N$2342,$D83,'Grid Data'!$O$4:$O$2342,U$4,'Grid Data'!$M$4:$M$2342,$D$2)</f>
        <v>13</v>
      </c>
      <c r="V83" s="2">
        <f>SUMIFS('Grid Data'!$P$4:$P$2342,'Grid Data'!$N$4:$N$2342,$D83,'Grid Data'!$O$4:$O$2342,V$4,'Grid Data'!$M$4:$M$2342,$D$2)</f>
        <v>2</v>
      </c>
      <c r="W83" s="2">
        <f>SUMIFS('Grid Data'!$P$4:$P$2342,'Grid Data'!$N$4:$N$2342,$D83,'Grid Data'!$O$4:$O$2342,W$4,'Grid Data'!$M$4:$M$2342,$D$2)</f>
        <v>13</v>
      </c>
      <c r="X83" s="2">
        <f>SUMIFS('Grid Data'!$P$4:$P$2342,'Grid Data'!$N$4:$N$2342,$D83,'Grid Data'!$O$4:$O$2342,X$4,'Grid Data'!$M$4:$M$2342,$D$2)</f>
        <v>360</v>
      </c>
      <c r="Y83" s="2">
        <f>SUMIFS('Grid Data'!$P$4:$P$2342,'Grid Data'!$N$4:$N$2342,$D83,'Grid Data'!$O$4:$O$2342,Y$4,'Grid Data'!$M$4:$M$2342,$D$2)</f>
        <v>1112</v>
      </c>
      <c r="Z83" s="2">
        <f>SUMIFS('Grid Data'!$P$4:$P$2342,'Grid Data'!$N$4:$N$2342,$D83,'Grid Data'!$O$4:$O$2342,Z$4,'Grid Data'!$M$4:$M$2342,$D$2)</f>
        <v>13</v>
      </c>
      <c r="AA83" s="2">
        <f>SUMIFS('Grid Data'!$P$4:$P$2342,'Grid Data'!$N$4:$N$2342,$D83,'Grid Data'!$O$4:$O$2342,AA$4,'Grid Data'!$M$4:$M$2342,$D$2)</f>
        <v>0</v>
      </c>
      <c r="AB83" s="2">
        <f>SUMIFS('Grid Data'!$P$4:$P$2342,'Grid Data'!$N$4:$N$2342,$D83,'Grid Data'!$O$4:$O$2342,AB$4,'Grid Data'!$M$4:$M$2342,$D$2)</f>
        <v>9</v>
      </c>
      <c r="AC83" s="2">
        <f>SUMIFS('Grid Data'!$P$4:$P$2342,'Grid Data'!$N$4:$N$2342,$D83,'Grid Data'!$O$4:$O$2342,AC$4,'Grid Data'!$M$4:$M$2342,$D$2)</f>
        <v>4</v>
      </c>
      <c r="AD83" s="2">
        <f>SUMIFS('Grid Data'!$P$4:$P$2342,'Grid Data'!$N$4:$N$2342,$D83,'Grid Data'!$O$4:$O$2342,AD$4,'Grid Data'!$M$4:$M$2342,$D$2)</f>
        <v>32</v>
      </c>
      <c r="AE83" s="2">
        <f>SUMIFS('Grid Data'!$P$4:$P$2342,'Grid Data'!$N$4:$N$2342,$D83,'Grid Data'!$O$4:$O$2342,AE$4,'Grid Data'!$M$4:$M$2342,$D$2)</f>
        <v>397</v>
      </c>
      <c r="AF83" s="2">
        <f>SUMIFS('Grid Data'!$P$4:$P$2342,'Grid Data'!$N$4:$N$2342,$D83,'Grid Data'!$O$4:$O$2342,AF$4,'Grid Data'!$M$4:$M$2342,$D$2)</f>
        <v>165</v>
      </c>
      <c r="AG83" s="2">
        <f>SUMIFS('Grid Data'!$P$4:$P$2342,'Grid Data'!$N$4:$N$2342,$D83,'Grid Data'!$O$4:$O$2342,AG$4,'Grid Data'!$M$4:$M$2342,$D$2)</f>
        <v>1884</v>
      </c>
      <c r="AH83" s="2">
        <f>SUMIFS('Grid Data'!$P$4:$P$2342,'Grid Data'!$N$4:$N$2342,$D83,'Grid Data'!$O$4:$O$2342,AH$4,'Grid Data'!$M$4:$M$2342,$D$2)</f>
        <v>11</v>
      </c>
    </row>
    <row r="84" spans="4:34" x14ac:dyDescent="0.35">
      <c r="D84">
        <v>6000</v>
      </c>
      <c r="E84" s="2">
        <f>SUMIFS('Grid Data'!$P$4:$P$2342,'Grid Data'!$N$4:$N$2342,$D84,'Grid Data'!$O$4:$O$2342,E$4,'Grid Data'!$M$4:$M$2342,$D$2)</f>
        <v>33305</v>
      </c>
      <c r="F84" s="2">
        <f>SUMIFS('Grid Data'!$P$4:$P$2342,'Grid Data'!$N$4:$N$2342,$D84,'Grid Data'!$O$4:$O$2342,F$4,'Grid Data'!$M$4:$M$2342,$D$2)</f>
        <v>8968</v>
      </c>
      <c r="G84" s="2">
        <f>SUMIFS('Grid Data'!$P$4:$P$2342,'Grid Data'!$N$4:$N$2342,$D84,'Grid Data'!$O$4:$O$2342,G$4,'Grid Data'!$M$4:$M$2342,$D$2)</f>
        <v>6860</v>
      </c>
      <c r="H84" s="2">
        <f>SUMIFS('Grid Data'!$P$4:$P$2342,'Grid Data'!$N$4:$N$2342,$D84,'Grid Data'!$O$4:$O$2342,H$4,'Grid Data'!$M$4:$M$2342,$D$2)</f>
        <v>5120</v>
      </c>
      <c r="I84" s="2">
        <f>SUMIFS('Grid Data'!$P$4:$P$2342,'Grid Data'!$N$4:$N$2342,$D84,'Grid Data'!$O$4:$O$2342,I$4,'Grid Data'!$M$4:$M$2342,$D$2)</f>
        <v>4244</v>
      </c>
      <c r="J84" s="2">
        <f>SUMIFS('Grid Data'!$P$4:$P$2342,'Grid Data'!$N$4:$N$2342,$D84,'Grid Data'!$O$4:$O$2342,J$4,'Grid Data'!$M$4:$M$2342,$D$2)</f>
        <v>5772</v>
      </c>
      <c r="K84" s="2">
        <f>SUMIFS('Grid Data'!$P$4:$P$2342,'Grid Data'!$N$4:$N$2342,$D84,'Grid Data'!$O$4:$O$2342,K$4,'Grid Data'!$M$4:$M$2342,$D$2)</f>
        <v>11410</v>
      </c>
      <c r="L84" s="2">
        <f>SUMIFS('Grid Data'!$P$4:$P$2342,'Grid Data'!$N$4:$N$2342,$D84,'Grid Data'!$O$4:$O$2342,L$4,'Grid Data'!$M$4:$M$2342,$D$2)</f>
        <v>4677</v>
      </c>
      <c r="M84" s="2">
        <f>SUMIFS('Grid Data'!$P$4:$P$2342,'Grid Data'!$N$4:$N$2342,$D84,'Grid Data'!$O$4:$O$2342,M$4,'Grid Data'!$M$4:$M$2342,$D$2)</f>
        <v>5566</v>
      </c>
      <c r="N84" s="2">
        <f>SUMIFS('Grid Data'!$P$4:$P$2342,'Grid Data'!$N$4:$N$2342,$D84,'Grid Data'!$O$4:$O$2342,N$4,'Grid Data'!$M$4:$M$2342,$D$2)</f>
        <v>4823</v>
      </c>
      <c r="O84" s="2">
        <f>SUMIFS('Grid Data'!$P$4:$P$2342,'Grid Data'!$N$4:$N$2342,$D84,'Grid Data'!$O$4:$O$2342,O$4,'Grid Data'!$M$4:$M$2342,$D$2)</f>
        <v>6361</v>
      </c>
      <c r="P84" s="2">
        <f>SUMIFS('Grid Data'!$P$4:$P$2342,'Grid Data'!$N$4:$N$2342,$D84,'Grid Data'!$O$4:$O$2342,P$4,'Grid Data'!$M$4:$M$2342,$D$2)</f>
        <v>8952</v>
      </c>
      <c r="Q84" s="2">
        <f>SUMIFS('Grid Data'!$P$4:$P$2342,'Grid Data'!$N$4:$N$2342,$D84,'Grid Data'!$O$4:$O$2342,Q$4,'Grid Data'!$M$4:$M$2342,$D$2)</f>
        <v>9415</v>
      </c>
      <c r="R84" s="2">
        <f>SUMIFS('Grid Data'!$P$4:$P$2342,'Grid Data'!$N$4:$N$2342,$D84,'Grid Data'!$O$4:$O$2342,R$4,'Grid Data'!$M$4:$M$2342,$D$2)</f>
        <v>11900</v>
      </c>
      <c r="S84" s="2">
        <f>SUMIFS('Grid Data'!$P$4:$P$2342,'Grid Data'!$N$4:$N$2342,$D84,'Grid Data'!$O$4:$O$2342,S$4,'Grid Data'!$M$4:$M$2342,$D$2)</f>
        <v>9284</v>
      </c>
      <c r="T84" s="2">
        <f>SUMIFS('Grid Data'!$P$4:$P$2342,'Grid Data'!$N$4:$N$2342,$D84,'Grid Data'!$O$4:$O$2342,T$4,'Grid Data'!$M$4:$M$2342,$D$2)</f>
        <v>2668</v>
      </c>
      <c r="U84" s="2">
        <f>SUMIFS('Grid Data'!$P$4:$P$2342,'Grid Data'!$N$4:$N$2342,$D84,'Grid Data'!$O$4:$O$2342,U$4,'Grid Data'!$M$4:$M$2342,$D$2)</f>
        <v>0</v>
      </c>
      <c r="V84" s="2">
        <f>SUMIFS('Grid Data'!$P$4:$P$2342,'Grid Data'!$N$4:$N$2342,$D84,'Grid Data'!$O$4:$O$2342,V$4,'Grid Data'!$M$4:$M$2342,$D$2)</f>
        <v>0</v>
      </c>
      <c r="W84" s="2">
        <f>SUMIFS('Grid Data'!$P$4:$P$2342,'Grid Data'!$N$4:$N$2342,$D84,'Grid Data'!$O$4:$O$2342,W$4,'Grid Data'!$M$4:$M$2342,$D$2)</f>
        <v>1</v>
      </c>
      <c r="X84" s="2">
        <f>SUMIFS('Grid Data'!$P$4:$P$2342,'Grid Data'!$N$4:$N$2342,$D84,'Grid Data'!$O$4:$O$2342,X$4,'Grid Data'!$M$4:$M$2342,$D$2)</f>
        <v>45</v>
      </c>
      <c r="Y84" s="2">
        <f>SUMIFS('Grid Data'!$P$4:$P$2342,'Grid Data'!$N$4:$N$2342,$D84,'Grid Data'!$O$4:$O$2342,Y$4,'Grid Data'!$M$4:$M$2342,$D$2)</f>
        <v>68</v>
      </c>
      <c r="Z84" s="2">
        <f>SUMIFS('Grid Data'!$P$4:$P$2342,'Grid Data'!$N$4:$N$2342,$D84,'Grid Data'!$O$4:$O$2342,Z$4,'Grid Data'!$M$4:$M$2342,$D$2)</f>
        <v>0</v>
      </c>
      <c r="AA84" s="2">
        <f>SUMIFS('Grid Data'!$P$4:$P$2342,'Grid Data'!$N$4:$N$2342,$D84,'Grid Data'!$O$4:$O$2342,AA$4,'Grid Data'!$M$4:$M$2342,$D$2)</f>
        <v>0</v>
      </c>
      <c r="AB84" s="2">
        <f>SUMIFS('Grid Data'!$P$4:$P$2342,'Grid Data'!$N$4:$N$2342,$D84,'Grid Data'!$O$4:$O$2342,AB$4,'Grid Data'!$M$4:$M$2342,$D$2)</f>
        <v>1</v>
      </c>
      <c r="AC84" s="2">
        <f>SUMIFS('Grid Data'!$P$4:$P$2342,'Grid Data'!$N$4:$N$2342,$D84,'Grid Data'!$O$4:$O$2342,AC$4,'Grid Data'!$M$4:$M$2342,$D$2)</f>
        <v>1</v>
      </c>
      <c r="AD84" s="2">
        <f>SUMIFS('Grid Data'!$P$4:$P$2342,'Grid Data'!$N$4:$N$2342,$D84,'Grid Data'!$O$4:$O$2342,AD$4,'Grid Data'!$M$4:$M$2342,$D$2)</f>
        <v>27</v>
      </c>
      <c r="AE84" s="2">
        <f>SUMIFS('Grid Data'!$P$4:$P$2342,'Grid Data'!$N$4:$N$2342,$D84,'Grid Data'!$O$4:$O$2342,AE$4,'Grid Data'!$M$4:$M$2342,$D$2)</f>
        <v>817</v>
      </c>
      <c r="AF84" s="2">
        <f>SUMIFS('Grid Data'!$P$4:$P$2342,'Grid Data'!$N$4:$N$2342,$D84,'Grid Data'!$O$4:$O$2342,AF$4,'Grid Data'!$M$4:$M$2342,$D$2)</f>
        <v>707</v>
      </c>
      <c r="AG84" s="2">
        <f>SUMIFS('Grid Data'!$P$4:$P$2342,'Grid Data'!$N$4:$N$2342,$D84,'Grid Data'!$O$4:$O$2342,AG$4,'Grid Data'!$M$4:$M$2342,$D$2)</f>
        <v>6019</v>
      </c>
      <c r="AH84" s="2">
        <f>SUMIFS('Grid Data'!$P$4:$P$2342,'Grid Data'!$N$4:$N$2342,$D84,'Grid Data'!$O$4:$O$2342,AH$4,'Grid Data'!$M$4:$M$2342,$D$2)</f>
        <v>54</v>
      </c>
    </row>
    <row r="85" spans="4:34" x14ac:dyDescent="0.35">
      <c r="D85">
        <v>6250</v>
      </c>
      <c r="E85" s="2">
        <f>SUMIFS('Grid Data'!$P$4:$P$2342,'Grid Data'!$N$4:$N$2342,$D85,'Grid Data'!$O$4:$O$2342,E$4,'Grid Data'!$M$4:$M$2342,$D$2)</f>
        <v>41642</v>
      </c>
      <c r="F85" s="2">
        <f>SUMIFS('Grid Data'!$P$4:$P$2342,'Grid Data'!$N$4:$N$2342,$D85,'Grid Data'!$O$4:$O$2342,F$4,'Grid Data'!$M$4:$M$2342,$D$2)</f>
        <v>10304</v>
      </c>
      <c r="G85" s="2">
        <f>SUMIFS('Grid Data'!$P$4:$P$2342,'Grid Data'!$N$4:$N$2342,$D85,'Grid Data'!$O$4:$O$2342,G$4,'Grid Data'!$M$4:$M$2342,$D$2)</f>
        <v>10673</v>
      </c>
      <c r="H85" s="2">
        <f>SUMIFS('Grid Data'!$P$4:$P$2342,'Grid Data'!$N$4:$N$2342,$D85,'Grid Data'!$O$4:$O$2342,H$4,'Grid Data'!$M$4:$M$2342,$D$2)</f>
        <v>9650</v>
      </c>
      <c r="I85" s="2">
        <f>SUMIFS('Grid Data'!$P$4:$P$2342,'Grid Data'!$N$4:$N$2342,$D85,'Grid Data'!$O$4:$O$2342,I$4,'Grid Data'!$M$4:$M$2342,$D$2)</f>
        <v>8538</v>
      </c>
      <c r="J85" s="2">
        <f>SUMIFS('Grid Data'!$P$4:$P$2342,'Grid Data'!$N$4:$N$2342,$D85,'Grid Data'!$O$4:$O$2342,J$4,'Grid Data'!$M$4:$M$2342,$D$2)</f>
        <v>9160</v>
      </c>
      <c r="K85" s="2">
        <f>SUMIFS('Grid Data'!$P$4:$P$2342,'Grid Data'!$N$4:$N$2342,$D85,'Grid Data'!$O$4:$O$2342,K$4,'Grid Data'!$M$4:$M$2342,$D$2)</f>
        <v>17042</v>
      </c>
      <c r="L85" s="2">
        <f>SUMIFS('Grid Data'!$P$4:$P$2342,'Grid Data'!$N$4:$N$2342,$D85,'Grid Data'!$O$4:$O$2342,L$4,'Grid Data'!$M$4:$M$2342,$D$2)</f>
        <v>9569</v>
      </c>
      <c r="M85" s="2">
        <f>SUMIFS('Grid Data'!$P$4:$P$2342,'Grid Data'!$N$4:$N$2342,$D85,'Grid Data'!$O$4:$O$2342,M$4,'Grid Data'!$M$4:$M$2342,$D$2)</f>
        <v>11820</v>
      </c>
      <c r="N85" s="2">
        <f>SUMIFS('Grid Data'!$P$4:$P$2342,'Grid Data'!$N$4:$N$2342,$D85,'Grid Data'!$O$4:$O$2342,N$4,'Grid Data'!$M$4:$M$2342,$D$2)</f>
        <v>9566</v>
      </c>
      <c r="O85" s="2">
        <f>SUMIFS('Grid Data'!$P$4:$P$2342,'Grid Data'!$N$4:$N$2342,$D85,'Grid Data'!$O$4:$O$2342,O$4,'Grid Data'!$M$4:$M$2342,$D$2)</f>
        <v>14398</v>
      </c>
      <c r="P85" s="2">
        <f>SUMIFS('Grid Data'!$P$4:$P$2342,'Grid Data'!$N$4:$N$2342,$D85,'Grid Data'!$O$4:$O$2342,P$4,'Grid Data'!$M$4:$M$2342,$D$2)</f>
        <v>18504</v>
      </c>
      <c r="Q85" s="2">
        <f>SUMIFS('Grid Data'!$P$4:$P$2342,'Grid Data'!$N$4:$N$2342,$D85,'Grid Data'!$O$4:$O$2342,Q$4,'Grid Data'!$M$4:$M$2342,$D$2)</f>
        <v>13560</v>
      </c>
      <c r="R85" s="2">
        <f>SUMIFS('Grid Data'!$P$4:$P$2342,'Grid Data'!$N$4:$N$2342,$D85,'Grid Data'!$O$4:$O$2342,R$4,'Grid Data'!$M$4:$M$2342,$D$2)</f>
        <v>21402</v>
      </c>
      <c r="S85" s="2">
        <f>SUMIFS('Grid Data'!$P$4:$P$2342,'Grid Data'!$N$4:$N$2342,$D85,'Grid Data'!$O$4:$O$2342,S$4,'Grid Data'!$M$4:$M$2342,$D$2)</f>
        <v>13775</v>
      </c>
      <c r="T85" s="2">
        <f>SUMIFS('Grid Data'!$P$4:$P$2342,'Grid Data'!$N$4:$N$2342,$D85,'Grid Data'!$O$4:$O$2342,T$4,'Grid Data'!$M$4:$M$2342,$D$2)</f>
        <v>2731</v>
      </c>
      <c r="U85" s="2">
        <f>SUMIFS('Grid Data'!$P$4:$P$2342,'Grid Data'!$N$4:$N$2342,$D85,'Grid Data'!$O$4:$O$2342,U$4,'Grid Data'!$M$4:$M$2342,$D$2)</f>
        <v>1</v>
      </c>
      <c r="V85" s="2">
        <f>SUMIFS('Grid Data'!$P$4:$P$2342,'Grid Data'!$N$4:$N$2342,$D85,'Grid Data'!$O$4:$O$2342,V$4,'Grid Data'!$M$4:$M$2342,$D$2)</f>
        <v>0</v>
      </c>
      <c r="W85" s="2">
        <f>SUMIFS('Grid Data'!$P$4:$P$2342,'Grid Data'!$N$4:$N$2342,$D85,'Grid Data'!$O$4:$O$2342,W$4,'Grid Data'!$M$4:$M$2342,$D$2)</f>
        <v>2</v>
      </c>
      <c r="X85" s="2">
        <f>SUMIFS('Grid Data'!$P$4:$P$2342,'Grid Data'!$N$4:$N$2342,$D85,'Grid Data'!$O$4:$O$2342,X$4,'Grid Data'!$M$4:$M$2342,$D$2)</f>
        <v>19</v>
      </c>
      <c r="Y85" s="2">
        <f>SUMIFS('Grid Data'!$P$4:$P$2342,'Grid Data'!$N$4:$N$2342,$D85,'Grid Data'!$O$4:$O$2342,Y$4,'Grid Data'!$M$4:$M$2342,$D$2)</f>
        <v>67</v>
      </c>
      <c r="Z85" s="2">
        <f>SUMIFS('Grid Data'!$P$4:$P$2342,'Grid Data'!$N$4:$N$2342,$D85,'Grid Data'!$O$4:$O$2342,Z$4,'Grid Data'!$M$4:$M$2342,$D$2)</f>
        <v>2</v>
      </c>
      <c r="AA85" s="2">
        <f>SUMIFS('Grid Data'!$P$4:$P$2342,'Grid Data'!$N$4:$N$2342,$D85,'Grid Data'!$O$4:$O$2342,AA$4,'Grid Data'!$M$4:$M$2342,$D$2)</f>
        <v>1</v>
      </c>
      <c r="AB85" s="2">
        <f>SUMIFS('Grid Data'!$P$4:$P$2342,'Grid Data'!$N$4:$N$2342,$D85,'Grid Data'!$O$4:$O$2342,AB$4,'Grid Data'!$M$4:$M$2342,$D$2)</f>
        <v>1</v>
      </c>
      <c r="AC85" s="2">
        <f>SUMIFS('Grid Data'!$P$4:$P$2342,'Grid Data'!$N$4:$N$2342,$D85,'Grid Data'!$O$4:$O$2342,AC$4,'Grid Data'!$M$4:$M$2342,$D$2)</f>
        <v>0</v>
      </c>
      <c r="AD85" s="2">
        <f>SUMIFS('Grid Data'!$P$4:$P$2342,'Grid Data'!$N$4:$N$2342,$D85,'Grid Data'!$O$4:$O$2342,AD$4,'Grid Data'!$M$4:$M$2342,$D$2)</f>
        <v>0</v>
      </c>
      <c r="AE85" s="2">
        <f>SUMIFS('Grid Data'!$P$4:$P$2342,'Grid Data'!$N$4:$N$2342,$D85,'Grid Data'!$O$4:$O$2342,AE$4,'Grid Data'!$M$4:$M$2342,$D$2)</f>
        <v>172</v>
      </c>
      <c r="AF85" s="2">
        <f>SUMIFS('Grid Data'!$P$4:$P$2342,'Grid Data'!$N$4:$N$2342,$D85,'Grid Data'!$O$4:$O$2342,AF$4,'Grid Data'!$M$4:$M$2342,$D$2)</f>
        <v>444</v>
      </c>
      <c r="AG85" s="2">
        <f>SUMIFS('Grid Data'!$P$4:$P$2342,'Grid Data'!$N$4:$N$2342,$D85,'Grid Data'!$O$4:$O$2342,AG$4,'Grid Data'!$M$4:$M$2342,$D$2)</f>
        <v>1234</v>
      </c>
      <c r="AH85" s="2">
        <f>SUMIFS('Grid Data'!$P$4:$P$2342,'Grid Data'!$N$4:$N$2342,$D85,'Grid Data'!$O$4:$O$2342,AH$4,'Grid Data'!$M$4:$M$2342,$D$2)</f>
        <v>14</v>
      </c>
    </row>
    <row r="86" spans="4:34" x14ac:dyDescent="0.35">
      <c r="D86">
        <v>6500</v>
      </c>
      <c r="E86" s="2">
        <f>SUMIFS('Grid Data'!$P$4:$P$2342,'Grid Data'!$N$4:$N$2342,$D86,'Grid Data'!$O$4:$O$2342,E$4,'Grid Data'!$M$4:$M$2342,$D$2)</f>
        <v>8039</v>
      </c>
      <c r="F86" s="2">
        <f>SUMIFS('Grid Data'!$P$4:$P$2342,'Grid Data'!$N$4:$N$2342,$D86,'Grid Data'!$O$4:$O$2342,F$4,'Grid Data'!$M$4:$M$2342,$D$2)</f>
        <v>3440</v>
      </c>
      <c r="G86" s="2">
        <f>SUMIFS('Grid Data'!$P$4:$P$2342,'Grid Data'!$N$4:$N$2342,$D86,'Grid Data'!$O$4:$O$2342,G$4,'Grid Data'!$M$4:$M$2342,$D$2)</f>
        <v>5928</v>
      </c>
      <c r="H86" s="2">
        <f>SUMIFS('Grid Data'!$P$4:$P$2342,'Grid Data'!$N$4:$N$2342,$D86,'Grid Data'!$O$4:$O$2342,H$4,'Grid Data'!$M$4:$M$2342,$D$2)</f>
        <v>5116</v>
      </c>
      <c r="I86" s="2">
        <f>SUMIFS('Grid Data'!$P$4:$P$2342,'Grid Data'!$N$4:$N$2342,$D86,'Grid Data'!$O$4:$O$2342,I$4,'Grid Data'!$M$4:$M$2342,$D$2)</f>
        <v>4627</v>
      </c>
      <c r="J86" s="2">
        <f>SUMIFS('Grid Data'!$P$4:$P$2342,'Grid Data'!$N$4:$N$2342,$D86,'Grid Data'!$O$4:$O$2342,J$4,'Grid Data'!$M$4:$M$2342,$D$2)</f>
        <v>3164</v>
      </c>
      <c r="K86" s="2">
        <f>SUMIFS('Grid Data'!$P$4:$P$2342,'Grid Data'!$N$4:$N$2342,$D86,'Grid Data'!$O$4:$O$2342,K$4,'Grid Data'!$M$4:$M$2342,$D$2)</f>
        <v>4447</v>
      </c>
      <c r="L86" s="2">
        <f>SUMIFS('Grid Data'!$P$4:$P$2342,'Grid Data'!$N$4:$N$2342,$D86,'Grid Data'!$O$4:$O$2342,L$4,'Grid Data'!$M$4:$M$2342,$D$2)</f>
        <v>3729</v>
      </c>
      <c r="M86" s="2">
        <f>SUMIFS('Grid Data'!$P$4:$P$2342,'Grid Data'!$N$4:$N$2342,$D86,'Grid Data'!$O$4:$O$2342,M$4,'Grid Data'!$M$4:$M$2342,$D$2)</f>
        <v>2038</v>
      </c>
      <c r="N86" s="2">
        <f>SUMIFS('Grid Data'!$P$4:$P$2342,'Grid Data'!$N$4:$N$2342,$D86,'Grid Data'!$O$4:$O$2342,N$4,'Grid Data'!$M$4:$M$2342,$D$2)</f>
        <v>1135</v>
      </c>
      <c r="O86" s="2">
        <f>SUMIFS('Grid Data'!$P$4:$P$2342,'Grid Data'!$N$4:$N$2342,$D86,'Grid Data'!$O$4:$O$2342,O$4,'Grid Data'!$M$4:$M$2342,$D$2)</f>
        <v>3044</v>
      </c>
      <c r="P86" s="2">
        <f>SUMIFS('Grid Data'!$P$4:$P$2342,'Grid Data'!$N$4:$N$2342,$D86,'Grid Data'!$O$4:$O$2342,P$4,'Grid Data'!$M$4:$M$2342,$D$2)</f>
        <v>7109</v>
      </c>
      <c r="Q86" s="2">
        <f>SUMIFS('Grid Data'!$P$4:$P$2342,'Grid Data'!$N$4:$N$2342,$D86,'Grid Data'!$O$4:$O$2342,Q$4,'Grid Data'!$M$4:$M$2342,$D$2)</f>
        <v>5482</v>
      </c>
      <c r="R86" s="2">
        <f>SUMIFS('Grid Data'!$P$4:$P$2342,'Grid Data'!$N$4:$N$2342,$D86,'Grid Data'!$O$4:$O$2342,R$4,'Grid Data'!$M$4:$M$2342,$D$2)</f>
        <v>5430</v>
      </c>
      <c r="S86" s="2">
        <f>SUMIFS('Grid Data'!$P$4:$P$2342,'Grid Data'!$N$4:$N$2342,$D86,'Grid Data'!$O$4:$O$2342,S$4,'Grid Data'!$M$4:$M$2342,$D$2)</f>
        <v>3746</v>
      </c>
      <c r="T86" s="2">
        <f>SUMIFS('Grid Data'!$P$4:$P$2342,'Grid Data'!$N$4:$N$2342,$D86,'Grid Data'!$O$4:$O$2342,T$4,'Grid Data'!$M$4:$M$2342,$D$2)</f>
        <v>156</v>
      </c>
      <c r="U86" s="2">
        <f>SUMIFS('Grid Data'!$P$4:$P$2342,'Grid Data'!$N$4:$N$2342,$D86,'Grid Data'!$O$4:$O$2342,U$4,'Grid Data'!$M$4:$M$2342,$D$2)</f>
        <v>0</v>
      </c>
      <c r="V86" s="2">
        <f>SUMIFS('Grid Data'!$P$4:$P$2342,'Grid Data'!$N$4:$N$2342,$D86,'Grid Data'!$O$4:$O$2342,V$4,'Grid Data'!$M$4:$M$2342,$D$2)</f>
        <v>0</v>
      </c>
      <c r="W86" s="2">
        <f>SUMIFS('Grid Data'!$P$4:$P$2342,'Grid Data'!$N$4:$N$2342,$D86,'Grid Data'!$O$4:$O$2342,W$4,'Grid Data'!$M$4:$M$2342,$D$2)</f>
        <v>0</v>
      </c>
      <c r="X86" s="2">
        <f>SUMIFS('Grid Data'!$P$4:$P$2342,'Grid Data'!$N$4:$N$2342,$D86,'Grid Data'!$O$4:$O$2342,X$4,'Grid Data'!$M$4:$M$2342,$D$2)</f>
        <v>2</v>
      </c>
      <c r="Y86" s="2">
        <f>SUMIFS('Grid Data'!$P$4:$P$2342,'Grid Data'!$N$4:$N$2342,$D86,'Grid Data'!$O$4:$O$2342,Y$4,'Grid Data'!$M$4:$M$2342,$D$2)</f>
        <v>2</v>
      </c>
      <c r="Z86" s="2">
        <f>SUMIFS('Grid Data'!$P$4:$P$2342,'Grid Data'!$N$4:$N$2342,$D86,'Grid Data'!$O$4:$O$2342,Z$4,'Grid Data'!$M$4:$M$2342,$D$2)</f>
        <v>0</v>
      </c>
      <c r="AA86" s="2">
        <f>SUMIFS('Grid Data'!$P$4:$P$2342,'Grid Data'!$N$4:$N$2342,$D86,'Grid Data'!$O$4:$O$2342,AA$4,'Grid Data'!$M$4:$M$2342,$D$2)</f>
        <v>0</v>
      </c>
      <c r="AB86" s="2">
        <f>SUMIFS('Grid Data'!$P$4:$P$2342,'Grid Data'!$N$4:$N$2342,$D86,'Grid Data'!$O$4:$O$2342,AB$4,'Grid Data'!$M$4:$M$2342,$D$2)</f>
        <v>0</v>
      </c>
      <c r="AC86" s="2">
        <f>SUMIFS('Grid Data'!$P$4:$P$2342,'Grid Data'!$N$4:$N$2342,$D86,'Grid Data'!$O$4:$O$2342,AC$4,'Grid Data'!$M$4:$M$2342,$D$2)</f>
        <v>0</v>
      </c>
      <c r="AD86" s="2">
        <f>SUMIFS('Grid Data'!$P$4:$P$2342,'Grid Data'!$N$4:$N$2342,$D86,'Grid Data'!$O$4:$O$2342,AD$4,'Grid Data'!$M$4:$M$2342,$D$2)</f>
        <v>2</v>
      </c>
      <c r="AE86" s="2">
        <f>SUMIFS('Grid Data'!$P$4:$P$2342,'Grid Data'!$N$4:$N$2342,$D86,'Grid Data'!$O$4:$O$2342,AE$4,'Grid Data'!$M$4:$M$2342,$D$2)</f>
        <v>382</v>
      </c>
      <c r="AF86" s="2">
        <f>SUMIFS('Grid Data'!$P$4:$P$2342,'Grid Data'!$N$4:$N$2342,$D86,'Grid Data'!$O$4:$O$2342,AF$4,'Grid Data'!$M$4:$M$2342,$D$2)</f>
        <v>919</v>
      </c>
      <c r="AG86" s="2">
        <f>SUMIFS('Grid Data'!$P$4:$P$2342,'Grid Data'!$N$4:$N$2342,$D86,'Grid Data'!$O$4:$O$2342,AG$4,'Grid Data'!$M$4:$M$2342,$D$2)</f>
        <v>2596</v>
      </c>
      <c r="AH86" s="2">
        <f>SUMIFS('Grid Data'!$P$4:$P$2342,'Grid Data'!$N$4:$N$2342,$D86,'Grid Data'!$O$4:$O$2342,AH$4,'Grid Data'!$M$4:$M$2342,$D$2)</f>
        <v>861</v>
      </c>
    </row>
    <row r="87" spans="4:34" x14ac:dyDescent="0.35">
      <c r="D87">
        <v>6750</v>
      </c>
      <c r="E87" s="2">
        <f>SUMIFS('Grid Data'!$P$4:$P$2342,'Grid Data'!$N$4:$N$2342,$D87,'Grid Data'!$O$4:$O$2342,E$4,'Grid Data'!$M$4:$M$2342,$D$2)</f>
        <v>15233</v>
      </c>
      <c r="F87" s="2">
        <f>SUMIFS('Grid Data'!$P$4:$P$2342,'Grid Data'!$N$4:$N$2342,$D87,'Grid Data'!$O$4:$O$2342,F$4,'Grid Data'!$M$4:$M$2342,$D$2)</f>
        <v>4077</v>
      </c>
      <c r="G87" s="2">
        <f>SUMIFS('Grid Data'!$P$4:$P$2342,'Grid Data'!$N$4:$N$2342,$D87,'Grid Data'!$O$4:$O$2342,G$4,'Grid Data'!$M$4:$M$2342,$D$2)</f>
        <v>6225</v>
      </c>
      <c r="H87" s="2">
        <f>SUMIFS('Grid Data'!$P$4:$P$2342,'Grid Data'!$N$4:$N$2342,$D87,'Grid Data'!$O$4:$O$2342,H$4,'Grid Data'!$M$4:$M$2342,$D$2)</f>
        <v>6025</v>
      </c>
      <c r="I87" s="2">
        <f>SUMIFS('Grid Data'!$P$4:$P$2342,'Grid Data'!$N$4:$N$2342,$D87,'Grid Data'!$O$4:$O$2342,I$4,'Grid Data'!$M$4:$M$2342,$D$2)</f>
        <v>5596</v>
      </c>
      <c r="J87" s="2">
        <f>SUMIFS('Grid Data'!$P$4:$P$2342,'Grid Data'!$N$4:$N$2342,$D87,'Grid Data'!$O$4:$O$2342,J$4,'Grid Data'!$M$4:$M$2342,$D$2)</f>
        <v>4532</v>
      </c>
      <c r="K87" s="2">
        <f>SUMIFS('Grid Data'!$P$4:$P$2342,'Grid Data'!$N$4:$N$2342,$D87,'Grid Data'!$O$4:$O$2342,K$4,'Grid Data'!$M$4:$M$2342,$D$2)</f>
        <v>7268</v>
      </c>
      <c r="L87" s="2">
        <f>SUMIFS('Grid Data'!$P$4:$P$2342,'Grid Data'!$N$4:$N$2342,$D87,'Grid Data'!$O$4:$O$2342,L$4,'Grid Data'!$M$4:$M$2342,$D$2)</f>
        <v>6264</v>
      </c>
      <c r="M87" s="2">
        <f>SUMIFS('Grid Data'!$P$4:$P$2342,'Grid Data'!$N$4:$N$2342,$D87,'Grid Data'!$O$4:$O$2342,M$4,'Grid Data'!$M$4:$M$2342,$D$2)</f>
        <v>5027</v>
      </c>
      <c r="N87" s="2">
        <f>SUMIFS('Grid Data'!$P$4:$P$2342,'Grid Data'!$N$4:$N$2342,$D87,'Grid Data'!$O$4:$O$2342,N$4,'Grid Data'!$M$4:$M$2342,$D$2)</f>
        <v>2813</v>
      </c>
      <c r="O87" s="2">
        <f>SUMIFS('Grid Data'!$P$4:$P$2342,'Grid Data'!$N$4:$N$2342,$D87,'Grid Data'!$O$4:$O$2342,O$4,'Grid Data'!$M$4:$M$2342,$D$2)</f>
        <v>7229</v>
      </c>
      <c r="P87" s="2">
        <f>SUMIFS('Grid Data'!$P$4:$P$2342,'Grid Data'!$N$4:$N$2342,$D87,'Grid Data'!$O$4:$O$2342,P$4,'Grid Data'!$M$4:$M$2342,$D$2)</f>
        <v>14774</v>
      </c>
      <c r="Q87" s="2">
        <f>SUMIFS('Grid Data'!$P$4:$P$2342,'Grid Data'!$N$4:$N$2342,$D87,'Grid Data'!$O$4:$O$2342,Q$4,'Grid Data'!$M$4:$M$2342,$D$2)</f>
        <v>11396</v>
      </c>
      <c r="R87" s="2">
        <f>SUMIFS('Grid Data'!$P$4:$P$2342,'Grid Data'!$N$4:$N$2342,$D87,'Grid Data'!$O$4:$O$2342,R$4,'Grid Data'!$M$4:$M$2342,$D$2)</f>
        <v>12813</v>
      </c>
      <c r="S87" s="2">
        <f>SUMIFS('Grid Data'!$P$4:$P$2342,'Grid Data'!$N$4:$N$2342,$D87,'Grid Data'!$O$4:$O$2342,S$4,'Grid Data'!$M$4:$M$2342,$D$2)</f>
        <v>7703</v>
      </c>
      <c r="T87" s="2">
        <f>SUMIFS('Grid Data'!$P$4:$P$2342,'Grid Data'!$N$4:$N$2342,$D87,'Grid Data'!$O$4:$O$2342,T$4,'Grid Data'!$M$4:$M$2342,$D$2)</f>
        <v>135</v>
      </c>
      <c r="U87" s="2">
        <f>SUMIFS('Grid Data'!$P$4:$P$2342,'Grid Data'!$N$4:$N$2342,$D87,'Grid Data'!$O$4:$O$2342,U$4,'Grid Data'!$M$4:$M$2342,$D$2)</f>
        <v>0</v>
      </c>
      <c r="V87" s="2">
        <f>SUMIFS('Grid Data'!$P$4:$P$2342,'Grid Data'!$N$4:$N$2342,$D87,'Grid Data'!$O$4:$O$2342,V$4,'Grid Data'!$M$4:$M$2342,$D$2)</f>
        <v>0</v>
      </c>
      <c r="W87" s="2">
        <f>SUMIFS('Grid Data'!$P$4:$P$2342,'Grid Data'!$N$4:$N$2342,$D87,'Grid Data'!$O$4:$O$2342,W$4,'Grid Data'!$M$4:$M$2342,$D$2)</f>
        <v>0</v>
      </c>
      <c r="X87" s="2">
        <f>SUMIFS('Grid Data'!$P$4:$P$2342,'Grid Data'!$N$4:$N$2342,$D87,'Grid Data'!$O$4:$O$2342,X$4,'Grid Data'!$M$4:$M$2342,$D$2)</f>
        <v>0</v>
      </c>
      <c r="Y87" s="2">
        <f>SUMIFS('Grid Data'!$P$4:$P$2342,'Grid Data'!$N$4:$N$2342,$D87,'Grid Data'!$O$4:$O$2342,Y$4,'Grid Data'!$M$4:$M$2342,$D$2)</f>
        <v>0</v>
      </c>
      <c r="Z87" s="2">
        <f>SUMIFS('Grid Data'!$P$4:$P$2342,'Grid Data'!$N$4:$N$2342,$D87,'Grid Data'!$O$4:$O$2342,Z$4,'Grid Data'!$M$4:$M$2342,$D$2)</f>
        <v>0</v>
      </c>
      <c r="AA87" s="2">
        <f>SUMIFS('Grid Data'!$P$4:$P$2342,'Grid Data'!$N$4:$N$2342,$D87,'Grid Data'!$O$4:$O$2342,AA$4,'Grid Data'!$M$4:$M$2342,$D$2)</f>
        <v>0</v>
      </c>
      <c r="AB87" s="2">
        <f>SUMIFS('Grid Data'!$P$4:$P$2342,'Grid Data'!$N$4:$N$2342,$D87,'Grid Data'!$O$4:$O$2342,AB$4,'Grid Data'!$M$4:$M$2342,$D$2)</f>
        <v>0</v>
      </c>
      <c r="AC87" s="2">
        <f>SUMIFS('Grid Data'!$P$4:$P$2342,'Grid Data'!$N$4:$N$2342,$D87,'Grid Data'!$O$4:$O$2342,AC$4,'Grid Data'!$M$4:$M$2342,$D$2)</f>
        <v>0</v>
      </c>
      <c r="AD87" s="2">
        <f>SUMIFS('Grid Data'!$P$4:$P$2342,'Grid Data'!$N$4:$N$2342,$D87,'Grid Data'!$O$4:$O$2342,AD$4,'Grid Data'!$M$4:$M$2342,$D$2)</f>
        <v>0</v>
      </c>
      <c r="AE87" s="2">
        <f>SUMIFS('Grid Data'!$P$4:$P$2342,'Grid Data'!$N$4:$N$2342,$D87,'Grid Data'!$O$4:$O$2342,AE$4,'Grid Data'!$M$4:$M$2342,$D$2)</f>
        <v>117</v>
      </c>
      <c r="AF87" s="2">
        <f>SUMIFS('Grid Data'!$P$4:$P$2342,'Grid Data'!$N$4:$N$2342,$D87,'Grid Data'!$O$4:$O$2342,AF$4,'Grid Data'!$M$4:$M$2342,$D$2)</f>
        <v>356</v>
      </c>
      <c r="AG87" s="2">
        <f>SUMIFS('Grid Data'!$P$4:$P$2342,'Grid Data'!$N$4:$N$2342,$D87,'Grid Data'!$O$4:$O$2342,AG$4,'Grid Data'!$M$4:$M$2342,$D$2)</f>
        <v>437</v>
      </c>
      <c r="AH87" s="2">
        <f>SUMIFS('Grid Data'!$P$4:$P$2342,'Grid Data'!$N$4:$N$2342,$D87,'Grid Data'!$O$4:$O$2342,AH$4,'Grid Data'!$M$4:$M$2342,$D$2)</f>
        <v>103</v>
      </c>
    </row>
    <row r="88" spans="4:34" x14ac:dyDescent="0.35">
      <c r="D88">
        <v>7000</v>
      </c>
      <c r="E88" s="2">
        <f>SUMIFS('Grid Data'!$P$4:$P$2342,'Grid Data'!$N$4:$N$2342,$D88,'Grid Data'!$O$4:$O$2342,E$4,'Grid Data'!$M$4:$M$2342,$D$2)</f>
        <v>4503</v>
      </c>
      <c r="F88" s="2">
        <f>SUMIFS('Grid Data'!$P$4:$P$2342,'Grid Data'!$N$4:$N$2342,$D88,'Grid Data'!$O$4:$O$2342,F$4,'Grid Data'!$M$4:$M$2342,$D$2)</f>
        <v>882</v>
      </c>
      <c r="G88" s="2">
        <f>SUMIFS('Grid Data'!$P$4:$P$2342,'Grid Data'!$N$4:$N$2342,$D88,'Grid Data'!$O$4:$O$2342,G$4,'Grid Data'!$M$4:$M$2342,$D$2)</f>
        <v>1452</v>
      </c>
      <c r="H88" s="2">
        <f>SUMIFS('Grid Data'!$P$4:$P$2342,'Grid Data'!$N$4:$N$2342,$D88,'Grid Data'!$O$4:$O$2342,H$4,'Grid Data'!$M$4:$M$2342,$D$2)</f>
        <v>1346</v>
      </c>
      <c r="I88" s="2">
        <f>SUMIFS('Grid Data'!$P$4:$P$2342,'Grid Data'!$N$4:$N$2342,$D88,'Grid Data'!$O$4:$O$2342,I$4,'Grid Data'!$M$4:$M$2342,$D$2)</f>
        <v>1330</v>
      </c>
      <c r="J88" s="2">
        <f>SUMIFS('Grid Data'!$P$4:$P$2342,'Grid Data'!$N$4:$N$2342,$D88,'Grid Data'!$O$4:$O$2342,J$4,'Grid Data'!$M$4:$M$2342,$D$2)</f>
        <v>1041</v>
      </c>
      <c r="K88" s="2">
        <f>SUMIFS('Grid Data'!$P$4:$P$2342,'Grid Data'!$N$4:$N$2342,$D88,'Grid Data'!$O$4:$O$2342,K$4,'Grid Data'!$M$4:$M$2342,$D$2)</f>
        <v>883</v>
      </c>
      <c r="L88" s="2">
        <f>SUMIFS('Grid Data'!$P$4:$P$2342,'Grid Data'!$N$4:$N$2342,$D88,'Grid Data'!$O$4:$O$2342,L$4,'Grid Data'!$M$4:$M$2342,$D$2)</f>
        <v>912</v>
      </c>
      <c r="M88" s="2">
        <f>SUMIFS('Grid Data'!$P$4:$P$2342,'Grid Data'!$N$4:$N$2342,$D88,'Grid Data'!$O$4:$O$2342,M$4,'Grid Data'!$M$4:$M$2342,$D$2)</f>
        <v>696</v>
      </c>
      <c r="N88" s="2">
        <f>SUMIFS('Grid Data'!$P$4:$P$2342,'Grid Data'!$N$4:$N$2342,$D88,'Grid Data'!$O$4:$O$2342,N$4,'Grid Data'!$M$4:$M$2342,$D$2)</f>
        <v>359</v>
      </c>
      <c r="O88" s="2">
        <f>SUMIFS('Grid Data'!$P$4:$P$2342,'Grid Data'!$N$4:$N$2342,$D88,'Grid Data'!$O$4:$O$2342,O$4,'Grid Data'!$M$4:$M$2342,$D$2)</f>
        <v>972</v>
      </c>
      <c r="P88" s="2">
        <f>SUMIFS('Grid Data'!$P$4:$P$2342,'Grid Data'!$N$4:$N$2342,$D88,'Grid Data'!$O$4:$O$2342,P$4,'Grid Data'!$M$4:$M$2342,$D$2)</f>
        <v>2788</v>
      </c>
      <c r="Q88" s="2">
        <f>SUMIFS('Grid Data'!$P$4:$P$2342,'Grid Data'!$N$4:$N$2342,$D88,'Grid Data'!$O$4:$O$2342,Q$4,'Grid Data'!$M$4:$M$2342,$D$2)</f>
        <v>3782</v>
      </c>
      <c r="R88" s="2">
        <f>SUMIFS('Grid Data'!$P$4:$P$2342,'Grid Data'!$N$4:$N$2342,$D88,'Grid Data'!$O$4:$O$2342,R$4,'Grid Data'!$M$4:$M$2342,$D$2)</f>
        <v>3314</v>
      </c>
      <c r="S88" s="2">
        <f>SUMIFS('Grid Data'!$P$4:$P$2342,'Grid Data'!$N$4:$N$2342,$D88,'Grid Data'!$O$4:$O$2342,S$4,'Grid Data'!$M$4:$M$2342,$D$2)</f>
        <v>1807</v>
      </c>
      <c r="T88" s="2">
        <f>SUMIFS('Grid Data'!$P$4:$P$2342,'Grid Data'!$N$4:$N$2342,$D88,'Grid Data'!$O$4:$O$2342,T$4,'Grid Data'!$M$4:$M$2342,$D$2)</f>
        <v>2</v>
      </c>
      <c r="U88" s="2">
        <f>SUMIFS('Grid Data'!$P$4:$P$2342,'Grid Data'!$N$4:$N$2342,$D88,'Grid Data'!$O$4:$O$2342,U$4,'Grid Data'!$M$4:$M$2342,$D$2)</f>
        <v>0</v>
      </c>
      <c r="V88" s="2">
        <f>SUMIFS('Grid Data'!$P$4:$P$2342,'Grid Data'!$N$4:$N$2342,$D88,'Grid Data'!$O$4:$O$2342,V$4,'Grid Data'!$M$4:$M$2342,$D$2)</f>
        <v>0</v>
      </c>
      <c r="W88" s="2">
        <f>SUMIFS('Grid Data'!$P$4:$P$2342,'Grid Data'!$N$4:$N$2342,$D88,'Grid Data'!$O$4:$O$2342,W$4,'Grid Data'!$M$4:$M$2342,$D$2)</f>
        <v>0</v>
      </c>
      <c r="X88" s="2">
        <f>SUMIFS('Grid Data'!$P$4:$P$2342,'Grid Data'!$N$4:$N$2342,$D88,'Grid Data'!$O$4:$O$2342,X$4,'Grid Data'!$M$4:$M$2342,$D$2)</f>
        <v>0</v>
      </c>
      <c r="Y88" s="2">
        <f>SUMIFS('Grid Data'!$P$4:$P$2342,'Grid Data'!$N$4:$N$2342,$D88,'Grid Data'!$O$4:$O$2342,Y$4,'Grid Data'!$M$4:$M$2342,$D$2)</f>
        <v>0</v>
      </c>
      <c r="Z88" s="2">
        <f>SUMIFS('Grid Data'!$P$4:$P$2342,'Grid Data'!$N$4:$N$2342,$D88,'Grid Data'!$O$4:$O$2342,Z$4,'Grid Data'!$M$4:$M$2342,$D$2)</f>
        <v>0</v>
      </c>
      <c r="AA88" s="2">
        <f>SUMIFS('Grid Data'!$P$4:$P$2342,'Grid Data'!$N$4:$N$2342,$D88,'Grid Data'!$O$4:$O$2342,AA$4,'Grid Data'!$M$4:$M$2342,$D$2)</f>
        <v>0</v>
      </c>
      <c r="AB88" s="2">
        <f>SUMIFS('Grid Data'!$P$4:$P$2342,'Grid Data'!$N$4:$N$2342,$D88,'Grid Data'!$O$4:$O$2342,AB$4,'Grid Data'!$M$4:$M$2342,$D$2)</f>
        <v>0</v>
      </c>
      <c r="AC88" s="2">
        <f>SUMIFS('Grid Data'!$P$4:$P$2342,'Grid Data'!$N$4:$N$2342,$D88,'Grid Data'!$O$4:$O$2342,AC$4,'Grid Data'!$M$4:$M$2342,$D$2)</f>
        <v>0</v>
      </c>
      <c r="AD88" s="2">
        <f>SUMIFS('Grid Data'!$P$4:$P$2342,'Grid Data'!$N$4:$N$2342,$D88,'Grid Data'!$O$4:$O$2342,AD$4,'Grid Data'!$M$4:$M$2342,$D$2)</f>
        <v>0</v>
      </c>
      <c r="AE88" s="2">
        <f>SUMIFS('Grid Data'!$P$4:$P$2342,'Grid Data'!$N$4:$N$2342,$D88,'Grid Data'!$O$4:$O$2342,AE$4,'Grid Data'!$M$4:$M$2342,$D$2)</f>
        <v>93</v>
      </c>
      <c r="AF88" s="2">
        <f>SUMIFS('Grid Data'!$P$4:$P$2342,'Grid Data'!$N$4:$N$2342,$D88,'Grid Data'!$O$4:$O$2342,AF$4,'Grid Data'!$M$4:$M$2342,$D$2)</f>
        <v>272</v>
      </c>
      <c r="AG88" s="2">
        <f>SUMIFS('Grid Data'!$P$4:$P$2342,'Grid Data'!$N$4:$N$2342,$D88,'Grid Data'!$O$4:$O$2342,AG$4,'Grid Data'!$M$4:$M$2342,$D$2)</f>
        <v>943</v>
      </c>
      <c r="AH88" s="2">
        <f>SUMIFS('Grid Data'!$P$4:$P$2342,'Grid Data'!$N$4:$N$2342,$D88,'Grid Data'!$O$4:$O$2342,AH$4,'Grid Data'!$M$4:$M$2342,$D$2)</f>
        <v>1220</v>
      </c>
    </row>
    <row r="89" spans="4:34" x14ac:dyDescent="0.35">
      <c r="D89">
        <v>7250</v>
      </c>
      <c r="E89" s="2">
        <f>SUMIFS('Grid Data'!$P$4:$P$2342,'Grid Data'!$N$4:$N$2342,$D89,'Grid Data'!$O$4:$O$2342,E$4,'Grid Data'!$M$4:$M$2342,$D$2)</f>
        <v>3192</v>
      </c>
      <c r="F89" s="2">
        <f>SUMIFS('Grid Data'!$P$4:$P$2342,'Grid Data'!$N$4:$N$2342,$D89,'Grid Data'!$O$4:$O$2342,F$4,'Grid Data'!$M$4:$M$2342,$D$2)</f>
        <v>896</v>
      </c>
      <c r="G89" s="2">
        <f>SUMIFS('Grid Data'!$P$4:$P$2342,'Grid Data'!$N$4:$N$2342,$D89,'Grid Data'!$O$4:$O$2342,G$4,'Grid Data'!$M$4:$M$2342,$D$2)</f>
        <v>1426</v>
      </c>
      <c r="H89" s="2">
        <f>SUMIFS('Grid Data'!$P$4:$P$2342,'Grid Data'!$N$4:$N$2342,$D89,'Grid Data'!$O$4:$O$2342,H$4,'Grid Data'!$M$4:$M$2342,$D$2)</f>
        <v>1107</v>
      </c>
      <c r="I89" s="2">
        <f>SUMIFS('Grid Data'!$P$4:$P$2342,'Grid Data'!$N$4:$N$2342,$D89,'Grid Data'!$O$4:$O$2342,I$4,'Grid Data'!$M$4:$M$2342,$D$2)</f>
        <v>975</v>
      </c>
      <c r="J89" s="2">
        <f>SUMIFS('Grid Data'!$P$4:$P$2342,'Grid Data'!$N$4:$N$2342,$D89,'Grid Data'!$O$4:$O$2342,J$4,'Grid Data'!$M$4:$M$2342,$D$2)</f>
        <v>780</v>
      </c>
      <c r="K89" s="2">
        <f>SUMIFS('Grid Data'!$P$4:$P$2342,'Grid Data'!$N$4:$N$2342,$D89,'Grid Data'!$O$4:$O$2342,K$4,'Grid Data'!$M$4:$M$2342,$D$2)</f>
        <v>1232</v>
      </c>
      <c r="L89" s="2">
        <f>SUMIFS('Grid Data'!$P$4:$P$2342,'Grid Data'!$N$4:$N$2342,$D89,'Grid Data'!$O$4:$O$2342,L$4,'Grid Data'!$M$4:$M$2342,$D$2)</f>
        <v>1151</v>
      </c>
      <c r="M89" s="2">
        <f>SUMIFS('Grid Data'!$P$4:$P$2342,'Grid Data'!$N$4:$N$2342,$D89,'Grid Data'!$O$4:$O$2342,M$4,'Grid Data'!$M$4:$M$2342,$D$2)</f>
        <v>947</v>
      </c>
      <c r="N89" s="2">
        <f>SUMIFS('Grid Data'!$P$4:$P$2342,'Grid Data'!$N$4:$N$2342,$D89,'Grid Data'!$O$4:$O$2342,N$4,'Grid Data'!$M$4:$M$2342,$D$2)</f>
        <v>546</v>
      </c>
      <c r="O89" s="2">
        <f>SUMIFS('Grid Data'!$P$4:$P$2342,'Grid Data'!$N$4:$N$2342,$D89,'Grid Data'!$O$4:$O$2342,O$4,'Grid Data'!$M$4:$M$2342,$D$2)</f>
        <v>2102</v>
      </c>
      <c r="P89" s="2">
        <f>SUMIFS('Grid Data'!$P$4:$P$2342,'Grid Data'!$N$4:$N$2342,$D89,'Grid Data'!$O$4:$O$2342,P$4,'Grid Data'!$M$4:$M$2342,$D$2)</f>
        <v>4777</v>
      </c>
      <c r="Q89" s="2">
        <f>SUMIFS('Grid Data'!$P$4:$P$2342,'Grid Data'!$N$4:$N$2342,$D89,'Grid Data'!$O$4:$O$2342,Q$4,'Grid Data'!$M$4:$M$2342,$D$2)</f>
        <v>5327</v>
      </c>
      <c r="R89" s="2">
        <f>SUMIFS('Grid Data'!$P$4:$P$2342,'Grid Data'!$N$4:$N$2342,$D89,'Grid Data'!$O$4:$O$2342,R$4,'Grid Data'!$M$4:$M$2342,$D$2)</f>
        <v>4236</v>
      </c>
      <c r="S89" s="2">
        <f>SUMIFS('Grid Data'!$P$4:$P$2342,'Grid Data'!$N$4:$N$2342,$D89,'Grid Data'!$O$4:$O$2342,S$4,'Grid Data'!$M$4:$M$2342,$D$2)</f>
        <v>1881</v>
      </c>
      <c r="T89" s="2">
        <f>SUMIFS('Grid Data'!$P$4:$P$2342,'Grid Data'!$N$4:$N$2342,$D89,'Grid Data'!$O$4:$O$2342,T$4,'Grid Data'!$M$4:$M$2342,$D$2)</f>
        <v>3</v>
      </c>
      <c r="U89" s="2">
        <f>SUMIFS('Grid Data'!$P$4:$P$2342,'Grid Data'!$N$4:$N$2342,$D89,'Grid Data'!$O$4:$O$2342,U$4,'Grid Data'!$M$4:$M$2342,$D$2)</f>
        <v>0</v>
      </c>
      <c r="V89" s="2">
        <f>SUMIFS('Grid Data'!$P$4:$P$2342,'Grid Data'!$N$4:$N$2342,$D89,'Grid Data'!$O$4:$O$2342,V$4,'Grid Data'!$M$4:$M$2342,$D$2)</f>
        <v>0</v>
      </c>
      <c r="W89" s="2">
        <f>SUMIFS('Grid Data'!$P$4:$P$2342,'Grid Data'!$N$4:$N$2342,$D89,'Grid Data'!$O$4:$O$2342,W$4,'Grid Data'!$M$4:$M$2342,$D$2)</f>
        <v>0</v>
      </c>
      <c r="X89" s="2">
        <f>SUMIFS('Grid Data'!$P$4:$P$2342,'Grid Data'!$N$4:$N$2342,$D89,'Grid Data'!$O$4:$O$2342,X$4,'Grid Data'!$M$4:$M$2342,$D$2)</f>
        <v>0</v>
      </c>
      <c r="Y89" s="2">
        <f>SUMIFS('Grid Data'!$P$4:$P$2342,'Grid Data'!$N$4:$N$2342,$D89,'Grid Data'!$O$4:$O$2342,Y$4,'Grid Data'!$M$4:$M$2342,$D$2)</f>
        <v>0</v>
      </c>
      <c r="Z89" s="2">
        <f>SUMIFS('Grid Data'!$P$4:$P$2342,'Grid Data'!$N$4:$N$2342,$D89,'Grid Data'!$O$4:$O$2342,Z$4,'Grid Data'!$M$4:$M$2342,$D$2)</f>
        <v>0</v>
      </c>
      <c r="AA89" s="2">
        <f>SUMIFS('Grid Data'!$P$4:$P$2342,'Grid Data'!$N$4:$N$2342,$D89,'Grid Data'!$O$4:$O$2342,AA$4,'Grid Data'!$M$4:$M$2342,$D$2)</f>
        <v>0</v>
      </c>
      <c r="AB89" s="2">
        <f>SUMIFS('Grid Data'!$P$4:$P$2342,'Grid Data'!$N$4:$N$2342,$D89,'Grid Data'!$O$4:$O$2342,AB$4,'Grid Data'!$M$4:$M$2342,$D$2)</f>
        <v>0</v>
      </c>
      <c r="AC89" s="2">
        <f>SUMIFS('Grid Data'!$P$4:$P$2342,'Grid Data'!$N$4:$N$2342,$D89,'Grid Data'!$O$4:$O$2342,AC$4,'Grid Data'!$M$4:$M$2342,$D$2)</f>
        <v>0</v>
      </c>
      <c r="AD89" s="2">
        <f>SUMIFS('Grid Data'!$P$4:$P$2342,'Grid Data'!$N$4:$N$2342,$D89,'Grid Data'!$O$4:$O$2342,AD$4,'Grid Data'!$M$4:$M$2342,$D$2)</f>
        <v>0</v>
      </c>
      <c r="AE89" s="2">
        <f>SUMIFS('Grid Data'!$P$4:$P$2342,'Grid Data'!$N$4:$N$2342,$D89,'Grid Data'!$O$4:$O$2342,AE$4,'Grid Data'!$M$4:$M$2342,$D$2)</f>
        <v>12</v>
      </c>
      <c r="AF89" s="2">
        <f>SUMIFS('Grid Data'!$P$4:$P$2342,'Grid Data'!$N$4:$N$2342,$D89,'Grid Data'!$O$4:$O$2342,AF$4,'Grid Data'!$M$4:$M$2342,$D$2)</f>
        <v>33</v>
      </c>
      <c r="AG89" s="2">
        <f>SUMIFS('Grid Data'!$P$4:$P$2342,'Grid Data'!$N$4:$N$2342,$D89,'Grid Data'!$O$4:$O$2342,AG$4,'Grid Data'!$M$4:$M$2342,$D$2)</f>
        <v>194</v>
      </c>
      <c r="AH89" s="2">
        <f>SUMIFS('Grid Data'!$P$4:$P$2342,'Grid Data'!$N$4:$N$2342,$D89,'Grid Data'!$O$4:$O$2342,AH$4,'Grid Data'!$M$4:$M$2342,$D$2)</f>
        <v>185</v>
      </c>
    </row>
    <row r="90" spans="4:34" x14ac:dyDescent="0.35">
      <c r="D90">
        <v>7500</v>
      </c>
      <c r="E90" s="2">
        <f>SUMIFS('Grid Data'!$P$4:$P$2342,'Grid Data'!$N$4:$N$2342,$D90,'Grid Data'!$O$4:$O$2342,E$4,'Grid Data'!$M$4:$M$2342,$D$2)</f>
        <v>209</v>
      </c>
      <c r="F90" s="2">
        <f>SUMIFS('Grid Data'!$P$4:$P$2342,'Grid Data'!$N$4:$N$2342,$D90,'Grid Data'!$O$4:$O$2342,F$4,'Grid Data'!$M$4:$M$2342,$D$2)</f>
        <v>135</v>
      </c>
      <c r="G90" s="2">
        <f>SUMIFS('Grid Data'!$P$4:$P$2342,'Grid Data'!$N$4:$N$2342,$D90,'Grid Data'!$O$4:$O$2342,G$4,'Grid Data'!$M$4:$M$2342,$D$2)</f>
        <v>195</v>
      </c>
      <c r="H90" s="2">
        <f>SUMIFS('Grid Data'!$P$4:$P$2342,'Grid Data'!$N$4:$N$2342,$D90,'Grid Data'!$O$4:$O$2342,H$4,'Grid Data'!$M$4:$M$2342,$D$2)</f>
        <v>116</v>
      </c>
      <c r="I90" s="2">
        <f>SUMIFS('Grid Data'!$P$4:$P$2342,'Grid Data'!$N$4:$N$2342,$D90,'Grid Data'!$O$4:$O$2342,I$4,'Grid Data'!$M$4:$M$2342,$D$2)</f>
        <v>188</v>
      </c>
      <c r="J90" s="2">
        <f>SUMIFS('Grid Data'!$P$4:$P$2342,'Grid Data'!$N$4:$N$2342,$D90,'Grid Data'!$O$4:$O$2342,J$4,'Grid Data'!$M$4:$M$2342,$D$2)</f>
        <v>100</v>
      </c>
      <c r="K90" s="2">
        <f>SUMIFS('Grid Data'!$P$4:$P$2342,'Grid Data'!$N$4:$N$2342,$D90,'Grid Data'!$O$4:$O$2342,K$4,'Grid Data'!$M$4:$M$2342,$D$2)</f>
        <v>293</v>
      </c>
      <c r="L90" s="2">
        <f>SUMIFS('Grid Data'!$P$4:$P$2342,'Grid Data'!$N$4:$N$2342,$D90,'Grid Data'!$O$4:$O$2342,L$4,'Grid Data'!$M$4:$M$2342,$D$2)</f>
        <v>349</v>
      </c>
      <c r="M90" s="2">
        <f>SUMIFS('Grid Data'!$P$4:$P$2342,'Grid Data'!$N$4:$N$2342,$D90,'Grid Data'!$O$4:$O$2342,M$4,'Grid Data'!$M$4:$M$2342,$D$2)</f>
        <v>272</v>
      </c>
      <c r="N90" s="2">
        <f>SUMIFS('Grid Data'!$P$4:$P$2342,'Grid Data'!$N$4:$N$2342,$D90,'Grid Data'!$O$4:$O$2342,N$4,'Grid Data'!$M$4:$M$2342,$D$2)</f>
        <v>224</v>
      </c>
      <c r="O90" s="2">
        <f>SUMIFS('Grid Data'!$P$4:$P$2342,'Grid Data'!$N$4:$N$2342,$D90,'Grid Data'!$O$4:$O$2342,O$4,'Grid Data'!$M$4:$M$2342,$D$2)</f>
        <v>239</v>
      </c>
      <c r="P90" s="2">
        <f>SUMIFS('Grid Data'!$P$4:$P$2342,'Grid Data'!$N$4:$N$2342,$D90,'Grid Data'!$O$4:$O$2342,P$4,'Grid Data'!$M$4:$M$2342,$D$2)</f>
        <v>607</v>
      </c>
      <c r="Q90" s="2">
        <f>SUMIFS('Grid Data'!$P$4:$P$2342,'Grid Data'!$N$4:$N$2342,$D90,'Grid Data'!$O$4:$O$2342,Q$4,'Grid Data'!$M$4:$M$2342,$D$2)</f>
        <v>1563</v>
      </c>
      <c r="R90" s="2">
        <f>SUMIFS('Grid Data'!$P$4:$P$2342,'Grid Data'!$N$4:$N$2342,$D90,'Grid Data'!$O$4:$O$2342,R$4,'Grid Data'!$M$4:$M$2342,$D$2)</f>
        <v>448</v>
      </c>
      <c r="S90" s="2">
        <f>SUMIFS('Grid Data'!$P$4:$P$2342,'Grid Data'!$N$4:$N$2342,$D90,'Grid Data'!$O$4:$O$2342,S$4,'Grid Data'!$M$4:$M$2342,$D$2)</f>
        <v>261</v>
      </c>
      <c r="T90" s="2">
        <f>SUMIFS('Grid Data'!$P$4:$P$2342,'Grid Data'!$N$4:$N$2342,$D90,'Grid Data'!$O$4:$O$2342,T$4,'Grid Data'!$M$4:$M$2342,$D$2)</f>
        <v>0</v>
      </c>
      <c r="U90" s="2">
        <f>SUMIFS('Grid Data'!$P$4:$P$2342,'Grid Data'!$N$4:$N$2342,$D90,'Grid Data'!$O$4:$O$2342,U$4,'Grid Data'!$M$4:$M$2342,$D$2)</f>
        <v>0</v>
      </c>
      <c r="V90" s="2">
        <f>SUMIFS('Grid Data'!$P$4:$P$2342,'Grid Data'!$N$4:$N$2342,$D90,'Grid Data'!$O$4:$O$2342,V$4,'Grid Data'!$M$4:$M$2342,$D$2)</f>
        <v>0</v>
      </c>
      <c r="W90" s="2">
        <f>SUMIFS('Grid Data'!$P$4:$P$2342,'Grid Data'!$N$4:$N$2342,$D90,'Grid Data'!$O$4:$O$2342,W$4,'Grid Data'!$M$4:$M$2342,$D$2)</f>
        <v>0</v>
      </c>
      <c r="X90" s="2">
        <f>SUMIFS('Grid Data'!$P$4:$P$2342,'Grid Data'!$N$4:$N$2342,$D90,'Grid Data'!$O$4:$O$2342,X$4,'Grid Data'!$M$4:$M$2342,$D$2)</f>
        <v>0</v>
      </c>
      <c r="Y90" s="2">
        <f>SUMIFS('Grid Data'!$P$4:$P$2342,'Grid Data'!$N$4:$N$2342,$D90,'Grid Data'!$O$4:$O$2342,Y$4,'Grid Data'!$M$4:$M$2342,$D$2)</f>
        <v>0</v>
      </c>
      <c r="Z90" s="2">
        <f>SUMIFS('Grid Data'!$P$4:$P$2342,'Grid Data'!$N$4:$N$2342,$D90,'Grid Data'!$O$4:$O$2342,Z$4,'Grid Data'!$M$4:$M$2342,$D$2)</f>
        <v>0</v>
      </c>
      <c r="AA90" s="2">
        <f>SUMIFS('Grid Data'!$P$4:$P$2342,'Grid Data'!$N$4:$N$2342,$D90,'Grid Data'!$O$4:$O$2342,AA$4,'Grid Data'!$M$4:$M$2342,$D$2)</f>
        <v>0</v>
      </c>
      <c r="AB90" s="2">
        <f>SUMIFS('Grid Data'!$P$4:$P$2342,'Grid Data'!$N$4:$N$2342,$D90,'Grid Data'!$O$4:$O$2342,AB$4,'Grid Data'!$M$4:$M$2342,$D$2)</f>
        <v>0</v>
      </c>
      <c r="AC90" s="2">
        <f>SUMIFS('Grid Data'!$P$4:$P$2342,'Grid Data'!$N$4:$N$2342,$D90,'Grid Data'!$O$4:$O$2342,AC$4,'Grid Data'!$M$4:$M$2342,$D$2)</f>
        <v>0</v>
      </c>
      <c r="AD90" s="2">
        <f>SUMIFS('Grid Data'!$P$4:$P$2342,'Grid Data'!$N$4:$N$2342,$D90,'Grid Data'!$O$4:$O$2342,AD$4,'Grid Data'!$M$4:$M$2342,$D$2)</f>
        <v>0</v>
      </c>
      <c r="AE90" s="2">
        <f>SUMIFS('Grid Data'!$P$4:$P$2342,'Grid Data'!$N$4:$N$2342,$D90,'Grid Data'!$O$4:$O$2342,AE$4,'Grid Data'!$M$4:$M$2342,$D$2)</f>
        <v>8</v>
      </c>
      <c r="AF90" s="2">
        <f>SUMIFS('Grid Data'!$P$4:$P$2342,'Grid Data'!$N$4:$N$2342,$D90,'Grid Data'!$O$4:$O$2342,AF$4,'Grid Data'!$M$4:$M$2342,$D$2)</f>
        <v>35</v>
      </c>
      <c r="AG90" s="2">
        <f>SUMIFS('Grid Data'!$P$4:$P$2342,'Grid Data'!$N$4:$N$2342,$D90,'Grid Data'!$O$4:$O$2342,AG$4,'Grid Data'!$M$4:$M$2342,$D$2)</f>
        <v>357</v>
      </c>
      <c r="AH90" s="2">
        <f>SUMIFS('Grid Data'!$P$4:$P$2342,'Grid Data'!$N$4:$N$2342,$D90,'Grid Data'!$O$4:$O$2342,AH$4,'Grid Data'!$M$4:$M$2342,$D$2)</f>
        <v>617</v>
      </c>
    </row>
    <row r="91" spans="4:34" x14ac:dyDescent="0.35">
      <c r="D91">
        <v>7750</v>
      </c>
      <c r="E91" s="2">
        <f>SUMIFS('Grid Data'!$P$4:$P$2342,'Grid Data'!$N$4:$N$2342,$D91,'Grid Data'!$O$4:$O$2342,E$4,'Grid Data'!$M$4:$M$2342,$D$2)</f>
        <v>952</v>
      </c>
      <c r="F91" s="2">
        <f>SUMIFS('Grid Data'!$P$4:$P$2342,'Grid Data'!$N$4:$N$2342,$D91,'Grid Data'!$O$4:$O$2342,F$4,'Grid Data'!$M$4:$M$2342,$D$2)</f>
        <v>418</v>
      </c>
      <c r="G91" s="2">
        <f>SUMIFS('Grid Data'!$P$4:$P$2342,'Grid Data'!$N$4:$N$2342,$D91,'Grid Data'!$O$4:$O$2342,G$4,'Grid Data'!$M$4:$M$2342,$D$2)</f>
        <v>443</v>
      </c>
      <c r="H91" s="2">
        <f>SUMIFS('Grid Data'!$P$4:$P$2342,'Grid Data'!$N$4:$N$2342,$D91,'Grid Data'!$O$4:$O$2342,H$4,'Grid Data'!$M$4:$M$2342,$D$2)</f>
        <v>297</v>
      </c>
      <c r="I91" s="2">
        <f>SUMIFS('Grid Data'!$P$4:$P$2342,'Grid Data'!$N$4:$N$2342,$D91,'Grid Data'!$O$4:$O$2342,I$4,'Grid Data'!$M$4:$M$2342,$D$2)</f>
        <v>247</v>
      </c>
      <c r="J91" s="2">
        <f>SUMIFS('Grid Data'!$P$4:$P$2342,'Grid Data'!$N$4:$N$2342,$D91,'Grid Data'!$O$4:$O$2342,J$4,'Grid Data'!$M$4:$M$2342,$D$2)</f>
        <v>198</v>
      </c>
      <c r="K91" s="2">
        <f>SUMIFS('Grid Data'!$P$4:$P$2342,'Grid Data'!$N$4:$N$2342,$D91,'Grid Data'!$O$4:$O$2342,K$4,'Grid Data'!$M$4:$M$2342,$D$2)</f>
        <v>394</v>
      </c>
      <c r="L91" s="2">
        <f>SUMIFS('Grid Data'!$P$4:$P$2342,'Grid Data'!$N$4:$N$2342,$D91,'Grid Data'!$O$4:$O$2342,L$4,'Grid Data'!$M$4:$M$2342,$D$2)</f>
        <v>296</v>
      </c>
      <c r="M91" s="2">
        <f>SUMIFS('Grid Data'!$P$4:$P$2342,'Grid Data'!$N$4:$N$2342,$D91,'Grid Data'!$O$4:$O$2342,M$4,'Grid Data'!$M$4:$M$2342,$D$2)</f>
        <v>264</v>
      </c>
      <c r="N91" s="2">
        <f>SUMIFS('Grid Data'!$P$4:$P$2342,'Grid Data'!$N$4:$N$2342,$D91,'Grid Data'!$O$4:$O$2342,N$4,'Grid Data'!$M$4:$M$2342,$D$2)</f>
        <v>191</v>
      </c>
      <c r="O91" s="2">
        <f>SUMIFS('Grid Data'!$P$4:$P$2342,'Grid Data'!$N$4:$N$2342,$D91,'Grid Data'!$O$4:$O$2342,O$4,'Grid Data'!$M$4:$M$2342,$D$2)</f>
        <v>209</v>
      </c>
      <c r="P91" s="2">
        <f>SUMIFS('Grid Data'!$P$4:$P$2342,'Grid Data'!$N$4:$N$2342,$D91,'Grid Data'!$O$4:$O$2342,P$4,'Grid Data'!$M$4:$M$2342,$D$2)</f>
        <v>702</v>
      </c>
      <c r="Q91" s="2">
        <f>SUMIFS('Grid Data'!$P$4:$P$2342,'Grid Data'!$N$4:$N$2342,$D91,'Grid Data'!$O$4:$O$2342,Q$4,'Grid Data'!$M$4:$M$2342,$D$2)</f>
        <v>2224</v>
      </c>
      <c r="R91" s="2">
        <f>SUMIFS('Grid Data'!$P$4:$P$2342,'Grid Data'!$N$4:$N$2342,$D91,'Grid Data'!$O$4:$O$2342,R$4,'Grid Data'!$M$4:$M$2342,$D$2)</f>
        <v>591</v>
      </c>
      <c r="S91" s="2">
        <f>SUMIFS('Grid Data'!$P$4:$P$2342,'Grid Data'!$N$4:$N$2342,$D91,'Grid Data'!$O$4:$O$2342,S$4,'Grid Data'!$M$4:$M$2342,$D$2)</f>
        <v>218</v>
      </c>
      <c r="T91" s="2">
        <f>SUMIFS('Grid Data'!$P$4:$P$2342,'Grid Data'!$N$4:$N$2342,$D91,'Grid Data'!$O$4:$O$2342,T$4,'Grid Data'!$M$4:$M$2342,$D$2)</f>
        <v>0</v>
      </c>
      <c r="U91" s="2">
        <f>SUMIFS('Grid Data'!$P$4:$P$2342,'Grid Data'!$N$4:$N$2342,$D91,'Grid Data'!$O$4:$O$2342,U$4,'Grid Data'!$M$4:$M$2342,$D$2)</f>
        <v>0</v>
      </c>
      <c r="V91" s="2">
        <f>SUMIFS('Grid Data'!$P$4:$P$2342,'Grid Data'!$N$4:$N$2342,$D91,'Grid Data'!$O$4:$O$2342,V$4,'Grid Data'!$M$4:$M$2342,$D$2)</f>
        <v>0</v>
      </c>
      <c r="W91" s="2">
        <f>SUMIFS('Grid Data'!$P$4:$P$2342,'Grid Data'!$N$4:$N$2342,$D91,'Grid Data'!$O$4:$O$2342,W$4,'Grid Data'!$M$4:$M$2342,$D$2)</f>
        <v>0</v>
      </c>
      <c r="X91" s="2">
        <f>SUMIFS('Grid Data'!$P$4:$P$2342,'Grid Data'!$N$4:$N$2342,$D91,'Grid Data'!$O$4:$O$2342,X$4,'Grid Data'!$M$4:$M$2342,$D$2)</f>
        <v>0</v>
      </c>
      <c r="Y91" s="2">
        <f>SUMIFS('Grid Data'!$P$4:$P$2342,'Grid Data'!$N$4:$N$2342,$D91,'Grid Data'!$O$4:$O$2342,Y$4,'Grid Data'!$M$4:$M$2342,$D$2)</f>
        <v>0</v>
      </c>
      <c r="Z91" s="2">
        <f>SUMIFS('Grid Data'!$P$4:$P$2342,'Grid Data'!$N$4:$N$2342,$D91,'Grid Data'!$O$4:$O$2342,Z$4,'Grid Data'!$M$4:$M$2342,$D$2)</f>
        <v>0</v>
      </c>
      <c r="AA91" s="2">
        <f>SUMIFS('Grid Data'!$P$4:$P$2342,'Grid Data'!$N$4:$N$2342,$D91,'Grid Data'!$O$4:$O$2342,AA$4,'Grid Data'!$M$4:$M$2342,$D$2)</f>
        <v>0</v>
      </c>
      <c r="AB91" s="2">
        <f>SUMIFS('Grid Data'!$P$4:$P$2342,'Grid Data'!$N$4:$N$2342,$D91,'Grid Data'!$O$4:$O$2342,AB$4,'Grid Data'!$M$4:$M$2342,$D$2)</f>
        <v>0</v>
      </c>
      <c r="AC91" s="2">
        <f>SUMIFS('Grid Data'!$P$4:$P$2342,'Grid Data'!$N$4:$N$2342,$D91,'Grid Data'!$O$4:$O$2342,AC$4,'Grid Data'!$M$4:$M$2342,$D$2)</f>
        <v>0</v>
      </c>
      <c r="AD91" s="2">
        <f>SUMIFS('Grid Data'!$P$4:$P$2342,'Grid Data'!$N$4:$N$2342,$D91,'Grid Data'!$O$4:$O$2342,AD$4,'Grid Data'!$M$4:$M$2342,$D$2)</f>
        <v>0</v>
      </c>
      <c r="AE91" s="2">
        <f>SUMIFS('Grid Data'!$P$4:$P$2342,'Grid Data'!$N$4:$N$2342,$D91,'Grid Data'!$O$4:$O$2342,AE$4,'Grid Data'!$M$4:$M$2342,$D$2)</f>
        <v>0</v>
      </c>
      <c r="AF91" s="2">
        <f>SUMIFS('Grid Data'!$P$4:$P$2342,'Grid Data'!$N$4:$N$2342,$D91,'Grid Data'!$O$4:$O$2342,AF$4,'Grid Data'!$M$4:$M$2342,$D$2)</f>
        <v>1</v>
      </c>
      <c r="AG91" s="2">
        <f>SUMIFS('Grid Data'!$P$4:$P$2342,'Grid Data'!$N$4:$N$2342,$D91,'Grid Data'!$O$4:$O$2342,AG$4,'Grid Data'!$M$4:$M$2342,$D$2)</f>
        <v>60</v>
      </c>
      <c r="AH91" s="2">
        <f>SUMIFS('Grid Data'!$P$4:$P$2342,'Grid Data'!$N$4:$N$2342,$D91,'Grid Data'!$O$4:$O$2342,AH$4,'Grid Data'!$M$4:$M$2342,$D$2)</f>
        <v>73</v>
      </c>
    </row>
    <row r="92" spans="4:34" x14ac:dyDescent="0.35">
      <c r="D92">
        <v>8000</v>
      </c>
      <c r="E92" s="2">
        <f>SUMIFS('Grid Data'!$P$4:$P$2342,'Grid Data'!$N$4:$N$2342,$D92,'Grid Data'!$O$4:$O$2342,E$4,'Grid Data'!$M$4:$M$2342,$D$2)</f>
        <v>4</v>
      </c>
      <c r="F92" s="2">
        <f>SUMIFS('Grid Data'!$P$4:$P$2342,'Grid Data'!$N$4:$N$2342,$D92,'Grid Data'!$O$4:$O$2342,F$4,'Grid Data'!$M$4:$M$2342,$D$2)</f>
        <v>8</v>
      </c>
      <c r="G92" s="2">
        <f>SUMIFS('Grid Data'!$P$4:$P$2342,'Grid Data'!$N$4:$N$2342,$D92,'Grid Data'!$O$4:$O$2342,G$4,'Grid Data'!$M$4:$M$2342,$D$2)</f>
        <v>15</v>
      </c>
      <c r="H92" s="2">
        <f>SUMIFS('Grid Data'!$P$4:$P$2342,'Grid Data'!$N$4:$N$2342,$D92,'Grid Data'!$O$4:$O$2342,H$4,'Grid Data'!$M$4:$M$2342,$D$2)</f>
        <v>2</v>
      </c>
      <c r="I92" s="2">
        <f>SUMIFS('Grid Data'!$P$4:$P$2342,'Grid Data'!$N$4:$N$2342,$D92,'Grid Data'!$O$4:$O$2342,I$4,'Grid Data'!$M$4:$M$2342,$D$2)</f>
        <v>10</v>
      </c>
      <c r="J92" s="2">
        <f>SUMIFS('Grid Data'!$P$4:$P$2342,'Grid Data'!$N$4:$N$2342,$D92,'Grid Data'!$O$4:$O$2342,J$4,'Grid Data'!$M$4:$M$2342,$D$2)</f>
        <v>4</v>
      </c>
      <c r="K92" s="2">
        <f>SUMIFS('Grid Data'!$P$4:$P$2342,'Grid Data'!$N$4:$N$2342,$D92,'Grid Data'!$O$4:$O$2342,K$4,'Grid Data'!$M$4:$M$2342,$D$2)</f>
        <v>6</v>
      </c>
      <c r="L92" s="2">
        <f>SUMIFS('Grid Data'!$P$4:$P$2342,'Grid Data'!$N$4:$N$2342,$D92,'Grid Data'!$O$4:$O$2342,L$4,'Grid Data'!$M$4:$M$2342,$D$2)</f>
        <v>1</v>
      </c>
      <c r="M92" s="2">
        <f>SUMIFS('Grid Data'!$P$4:$P$2342,'Grid Data'!$N$4:$N$2342,$D92,'Grid Data'!$O$4:$O$2342,M$4,'Grid Data'!$M$4:$M$2342,$D$2)</f>
        <v>4</v>
      </c>
      <c r="N92" s="2">
        <f>SUMIFS('Grid Data'!$P$4:$P$2342,'Grid Data'!$N$4:$N$2342,$D92,'Grid Data'!$O$4:$O$2342,N$4,'Grid Data'!$M$4:$M$2342,$D$2)</f>
        <v>44</v>
      </c>
      <c r="O92" s="2">
        <f>SUMIFS('Grid Data'!$P$4:$P$2342,'Grid Data'!$N$4:$N$2342,$D92,'Grid Data'!$O$4:$O$2342,O$4,'Grid Data'!$M$4:$M$2342,$D$2)</f>
        <v>129</v>
      </c>
      <c r="P92" s="2">
        <f>SUMIFS('Grid Data'!$P$4:$P$2342,'Grid Data'!$N$4:$N$2342,$D92,'Grid Data'!$O$4:$O$2342,P$4,'Grid Data'!$M$4:$M$2342,$D$2)</f>
        <v>214</v>
      </c>
      <c r="Q92" s="2">
        <f>SUMIFS('Grid Data'!$P$4:$P$2342,'Grid Data'!$N$4:$N$2342,$D92,'Grid Data'!$O$4:$O$2342,Q$4,'Grid Data'!$M$4:$M$2342,$D$2)</f>
        <v>326</v>
      </c>
      <c r="R92" s="2">
        <f>SUMIFS('Grid Data'!$P$4:$P$2342,'Grid Data'!$N$4:$N$2342,$D92,'Grid Data'!$O$4:$O$2342,R$4,'Grid Data'!$M$4:$M$2342,$D$2)</f>
        <v>7</v>
      </c>
      <c r="S92" s="2">
        <f>SUMIFS('Grid Data'!$P$4:$P$2342,'Grid Data'!$N$4:$N$2342,$D92,'Grid Data'!$O$4:$O$2342,S$4,'Grid Data'!$M$4:$M$2342,$D$2)</f>
        <v>34</v>
      </c>
      <c r="T92" s="2">
        <f>SUMIFS('Grid Data'!$P$4:$P$2342,'Grid Data'!$N$4:$N$2342,$D92,'Grid Data'!$O$4:$O$2342,T$4,'Grid Data'!$M$4:$M$2342,$D$2)</f>
        <v>0</v>
      </c>
      <c r="U92" s="2">
        <f>SUMIFS('Grid Data'!$P$4:$P$2342,'Grid Data'!$N$4:$N$2342,$D92,'Grid Data'!$O$4:$O$2342,U$4,'Grid Data'!$M$4:$M$2342,$D$2)</f>
        <v>0</v>
      </c>
      <c r="V92" s="2">
        <f>SUMIFS('Grid Data'!$P$4:$P$2342,'Grid Data'!$N$4:$N$2342,$D92,'Grid Data'!$O$4:$O$2342,V$4,'Grid Data'!$M$4:$M$2342,$D$2)</f>
        <v>0</v>
      </c>
      <c r="W92" s="2">
        <f>SUMIFS('Grid Data'!$P$4:$P$2342,'Grid Data'!$N$4:$N$2342,$D92,'Grid Data'!$O$4:$O$2342,W$4,'Grid Data'!$M$4:$M$2342,$D$2)</f>
        <v>0</v>
      </c>
      <c r="X92" s="2">
        <f>SUMIFS('Grid Data'!$P$4:$P$2342,'Grid Data'!$N$4:$N$2342,$D92,'Grid Data'!$O$4:$O$2342,X$4,'Grid Data'!$M$4:$M$2342,$D$2)</f>
        <v>0</v>
      </c>
      <c r="Y92" s="2">
        <f>SUMIFS('Grid Data'!$P$4:$P$2342,'Grid Data'!$N$4:$N$2342,$D92,'Grid Data'!$O$4:$O$2342,Y$4,'Grid Data'!$M$4:$M$2342,$D$2)</f>
        <v>0</v>
      </c>
      <c r="Z92" s="2">
        <f>SUMIFS('Grid Data'!$P$4:$P$2342,'Grid Data'!$N$4:$N$2342,$D92,'Grid Data'!$O$4:$O$2342,Z$4,'Grid Data'!$M$4:$M$2342,$D$2)</f>
        <v>0</v>
      </c>
      <c r="AA92" s="2">
        <f>SUMIFS('Grid Data'!$P$4:$P$2342,'Grid Data'!$N$4:$N$2342,$D92,'Grid Data'!$O$4:$O$2342,AA$4,'Grid Data'!$M$4:$M$2342,$D$2)</f>
        <v>0</v>
      </c>
      <c r="AB92" s="2">
        <f>SUMIFS('Grid Data'!$P$4:$P$2342,'Grid Data'!$N$4:$N$2342,$D92,'Grid Data'!$O$4:$O$2342,AB$4,'Grid Data'!$M$4:$M$2342,$D$2)</f>
        <v>0</v>
      </c>
      <c r="AC92" s="2">
        <f>SUMIFS('Grid Data'!$P$4:$P$2342,'Grid Data'!$N$4:$N$2342,$D92,'Grid Data'!$O$4:$O$2342,AC$4,'Grid Data'!$M$4:$M$2342,$D$2)</f>
        <v>0</v>
      </c>
      <c r="AD92" s="2">
        <f>SUMIFS('Grid Data'!$P$4:$P$2342,'Grid Data'!$N$4:$N$2342,$D92,'Grid Data'!$O$4:$O$2342,AD$4,'Grid Data'!$M$4:$M$2342,$D$2)</f>
        <v>0</v>
      </c>
      <c r="AE92" s="2">
        <f>SUMIFS('Grid Data'!$P$4:$P$2342,'Grid Data'!$N$4:$N$2342,$D92,'Grid Data'!$O$4:$O$2342,AE$4,'Grid Data'!$M$4:$M$2342,$D$2)</f>
        <v>0</v>
      </c>
      <c r="AF92" s="2">
        <f>SUMIFS('Grid Data'!$P$4:$P$2342,'Grid Data'!$N$4:$N$2342,$D92,'Grid Data'!$O$4:$O$2342,AF$4,'Grid Data'!$M$4:$M$2342,$D$2)</f>
        <v>0</v>
      </c>
      <c r="AG92" s="2">
        <f>SUMIFS('Grid Data'!$P$4:$P$2342,'Grid Data'!$N$4:$N$2342,$D92,'Grid Data'!$O$4:$O$2342,AG$4,'Grid Data'!$M$4:$M$2342,$D$2)</f>
        <v>183</v>
      </c>
      <c r="AH92" s="2">
        <f>SUMIFS('Grid Data'!$P$4:$P$2342,'Grid Data'!$N$4:$N$2342,$D92,'Grid Data'!$O$4:$O$2342,AH$4,'Grid Data'!$M$4:$M$2342,$D$2)</f>
        <v>262</v>
      </c>
    </row>
    <row r="93" spans="4:34" x14ac:dyDescent="0.35">
      <c r="D93">
        <v>8250</v>
      </c>
      <c r="E93" s="2">
        <f>SUMIFS('Grid Data'!$P$4:$P$2342,'Grid Data'!$N$4:$N$2342,$D93,'Grid Data'!$O$4:$O$2342,E$4,'Grid Data'!$M$4:$M$2342,$D$2)</f>
        <v>10</v>
      </c>
      <c r="F93" s="2">
        <f>SUMIFS('Grid Data'!$P$4:$P$2342,'Grid Data'!$N$4:$N$2342,$D93,'Grid Data'!$O$4:$O$2342,F$4,'Grid Data'!$M$4:$M$2342,$D$2)</f>
        <v>6</v>
      </c>
      <c r="G93" s="2">
        <f>SUMIFS('Grid Data'!$P$4:$P$2342,'Grid Data'!$N$4:$N$2342,$D93,'Grid Data'!$O$4:$O$2342,G$4,'Grid Data'!$M$4:$M$2342,$D$2)</f>
        <v>10</v>
      </c>
      <c r="H93" s="2">
        <f>SUMIFS('Grid Data'!$P$4:$P$2342,'Grid Data'!$N$4:$N$2342,$D93,'Grid Data'!$O$4:$O$2342,H$4,'Grid Data'!$M$4:$M$2342,$D$2)</f>
        <v>0</v>
      </c>
      <c r="I93" s="2">
        <f>SUMIFS('Grid Data'!$P$4:$P$2342,'Grid Data'!$N$4:$N$2342,$D93,'Grid Data'!$O$4:$O$2342,I$4,'Grid Data'!$M$4:$M$2342,$D$2)</f>
        <v>3</v>
      </c>
      <c r="J93" s="2">
        <f>SUMIFS('Grid Data'!$P$4:$P$2342,'Grid Data'!$N$4:$N$2342,$D93,'Grid Data'!$O$4:$O$2342,J$4,'Grid Data'!$M$4:$M$2342,$D$2)</f>
        <v>2</v>
      </c>
      <c r="K93" s="2">
        <f>SUMIFS('Grid Data'!$P$4:$P$2342,'Grid Data'!$N$4:$N$2342,$D93,'Grid Data'!$O$4:$O$2342,K$4,'Grid Data'!$M$4:$M$2342,$D$2)</f>
        <v>2</v>
      </c>
      <c r="L93" s="2">
        <f>SUMIFS('Grid Data'!$P$4:$P$2342,'Grid Data'!$N$4:$N$2342,$D93,'Grid Data'!$O$4:$O$2342,L$4,'Grid Data'!$M$4:$M$2342,$D$2)</f>
        <v>2</v>
      </c>
      <c r="M93" s="2">
        <f>SUMIFS('Grid Data'!$P$4:$P$2342,'Grid Data'!$N$4:$N$2342,$D93,'Grid Data'!$O$4:$O$2342,M$4,'Grid Data'!$M$4:$M$2342,$D$2)</f>
        <v>0</v>
      </c>
      <c r="N93" s="2">
        <f>SUMIFS('Grid Data'!$P$4:$P$2342,'Grid Data'!$N$4:$N$2342,$D93,'Grid Data'!$O$4:$O$2342,N$4,'Grid Data'!$M$4:$M$2342,$D$2)</f>
        <v>8</v>
      </c>
      <c r="O93" s="2">
        <f>SUMIFS('Grid Data'!$P$4:$P$2342,'Grid Data'!$N$4:$N$2342,$D93,'Grid Data'!$O$4:$O$2342,O$4,'Grid Data'!$M$4:$M$2342,$D$2)</f>
        <v>60</v>
      </c>
      <c r="P93" s="2">
        <f>SUMIFS('Grid Data'!$P$4:$P$2342,'Grid Data'!$N$4:$N$2342,$D93,'Grid Data'!$O$4:$O$2342,P$4,'Grid Data'!$M$4:$M$2342,$D$2)</f>
        <v>96</v>
      </c>
      <c r="Q93" s="2">
        <f>SUMIFS('Grid Data'!$P$4:$P$2342,'Grid Data'!$N$4:$N$2342,$D93,'Grid Data'!$O$4:$O$2342,Q$4,'Grid Data'!$M$4:$M$2342,$D$2)</f>
        <v>278</v>
      </c>
      <c r="R93" s="2">
        <f>SUMIFS('Grid Data'!$P$4:$P$2342,'Grid Data'!$N$4:$N$2342,$D93,'Grid Data'!$O$4:$O$2342,R$4,'Grid Data'!$M$4:$M$2342,$D$2)</f>
        <v>7</v>
      </c>
      <c r="S93" s="2">
        <f>SUMIFS('Grid Data'!$P$4:$P$2342,'Grid Data'!$N$4:$N$2342,$D93,'Grid Data'!$O$4:$O$2342,S$4,'Grid Data'!$M$4:$M$2342,$D$2)</f>
        <v>5</v>
      </c>
      <c r="T93" s="2">
        <f>SUMIFS('Grid Data'!$P$4:$P$2342,'Grid Data'!$N$4:$N$2342,$D93,'Grid Data'!$O$4:$O$2342,T$4,'Grid Data'!$M$4:$M$2342,$D$2)</f>
        <v>0</v>
      </c>
      <c r="U93" s="2">
        <f>SUMIFS('Grid Data'!$P$4:$P$2342,'Grid Data'!$N$4:$N$2342,$D93,'Grid Data'!$O$4:$O$2342,U$4,'Grid Data'!$M$4:$M$2342,$D$2)</f>
        <v>0</v>
      </c>
      <c r="V93" s="2">
        <f>SUMIFS('Grid Data'!$P$4:$P$2342,'Grid Data'!$N$4:$N$2342,$D93,'Grid Data'!$O$4:$O$2342,V$4,'Grid Data'!$M$4:$M$2342,$D$2)</f>
        <v>0</v>
      </c>
      <c r="W93" s="2">
        <f>SUMIFS('Grid Data'!$P$4:$P$2342,'Grid Data'!$N$4:$N$2342,$D93,'Grid Data'!$O$4:$O$2342,W$4,'Grid Data'!$M$4:$M$2342,$D$2)</f>
        <v>0</v>
      </c>
      <c r="X93" s="2">
        <f>SUMIFS('Grid Data'!$P$4:$P$2342,'Grid Data'!$N$4:$N$2342,$D93,'Grid Data'!$O$4:$O$2342,X$4,'Grid Data'!$M$4:$M$2342,$D$2)</f>
        <v>0</v>
      </c>
      <c r="Y93" s="2">
        <f>SUMIFS('Grid Data'!$P$4:$P$2342,'Grid Data'!$N$4:$N$2342,$D93,'Grid Data'!$O$4:$O$2342,Y$4,'Grid Data'!$M$4:$M$2342,$D$2)</f>
        <v>0</v>
      </c>
      <c r="Z93" s="2">
        <f>SUMIFS('Grid Data'!$P$4:$P$2342,'Grid Data'!$N$4:$N$2342,$D93,'Grid Data'!$O$4:$O$2342,Z$4,'Grid Data'!$M$4:$M$2342,$D$2)</f>
        <v>0</v>
      </c>
      <c r="AA93" s="2">
        <f>SUMIFS('Grid Data'!$P$4:$P$2342,'Grid Data'!$N$4:$N$2342,$D93,'Grid Data'!$O$4:$O$2342,AA$4,'Grid Data'!$M$4:$M$2342,$D$2)</f>
        <v>0</v>
      </c>
      <c r="AB93" s="2">
        <f>SUMIFS('Grid Data'!$P$4:$P$2342,'Grid Data'!$N$4:$N$2342,$D93,'Grid Data'!$O$4:$O$2342,AB$4,'Grid Data'!$M$4:$M$2342,$D$2)</f>
        <v>0</v>
      </c>
      <c r="AC93" s="2">
        <f>SUMIFS('Grid Data'!$P$4:$P$2342,'Grid Data'!$N$4:$N$2342,$D93,'Grid Data'!$O$4:$O$2342,AC$4,'Grid Data'!$M$4:$M$2342,$D$2)</f>
        <v>0</v>
      </c>
      <c r="AD93" s="2">
        <f>SUMIFS('Grid Data'!$P$4:$P$2342,'Grid Data'!$N$4:$N$2342,$D93,'Grid Data'!$O$4:$O$2342,AD$4,'Grid Data'!$M$4:$M$2342,$D$2)</f>
        <v>0</v>
      </c>
      <c r="AE93" s="2">
        <f>SUMIFS('Grid Data'!$P$4:$P$2342,'Grid Data'!$N$4:$N$2342,$D93,'Grid Data'!$O$4:$O$2342,AE$4,'Grid Data'!$M$4:$M$2342,$D$2)</f>
        <v>0</v>
      </c>
      <c r="AF93" s="2">
        <f>SUMIFS('Grid Data'!$P$4:$P$2342,'Grid Data'!$N$4:$N$2342,$D93,'Grid Data'!$O$4:$O$2342,AF$4,'Grid Data'!$M$4:$M$2342,$D$2)</f>
        <v>0</v>
      </c>
      <c r="AG93" s="2">
        <f>SUMIFS('Grid Data'!$P$4:$P$2342,'Grid Data'!$N$4:$N$2342,$D93,'Grid Data'!$O$4:$O$2342,AG$4,'Grid Data'!$M$4:$M$2342,$D$2)</f>
        <v>45</v>
      </c>
      <c r="AH93" s="2">
        <f>SUMIFS('Grid Data'!$P$4:$P$2342,'Grid Data'!$N$4:$N$2342,$D93,'Grid Data'!$O$4:$O$2342,AH$4,'Grid Data'!$M$4:$M$2342,$D$2)</f>
        <v>29</v>
      </c>
    </row>
    <row r="94" spans="4:34" x14ac:dyDescent="0.35">
      <c r="D94">
        <v>8500</v>
      </c>
      <c r="E94" s="2">
        <f>SUMIFS('Grid Data'!$P$4:$P$2342,'Grid Data'!$N$4:$N$2342,$D94,'Grid Data'!$O$4:$O$2342,E$4,'Grid Data'!$M$4:$M$2342,$D$2)</f>
        <v>0</v>
      </c>
      <c r="F94" s="2">
        <f>SUMIFS('Grid Data'!$P$4:$P$2342,'Grid Data'!$N$4:$N$2342,$D94,'Grid Data'!$O$4:$O$2342,F$4,'Grid Data'!$M$4:$M$2342,$D$2)</f>
        <v>0</v>
      </c>
      <c r="G94" s="2">
        <f>SUMIFS('Grid Data'!$P$4:$P$2342,'Grid Data'!$N$4:$N$2342,$D94,'Grid Data'!$O$4:$O$2342,G$4,'Grid Data'!$M$4:$M$2342,$D$2)</f>
        <v>0</v>
      </c>
      <c r="H94" s="2">
        <f>SUMIFS('Grid Data'!$P$4:$P$2342,'Grid Data'!$N$4:$N$2342,$D94,'Grid Data'!$O$4:$O$2342,H$4,'Grid Data'!$M$4:$M$2342,$D$2)</f>
        <v>0</v>
      </c>
      <c r="I94" s="2">
        <f>SUMIFS('Grid Data'!$P$4:$P$2342,'Grid Data'!$N$4:$N$2342,$D94,'Grid Data'!$O$4:$O$2342,I$4,'Grid Data'!$M$4:$M$2342,$D$2)</f>
        <v>0</v>
      </c>
      <c r="J94" s="2">
        <f>SUMIFS('Grid Data'!$P$4:$P$2342,'Grid Data'!$N$4:$N$2342,$D94,'Grid Data'!$O$4:$O$2342,J$4,'Grid Data'!$M$4:$M$2342,$D$2)</f>
        <v>0</v>
      </c>
      <c r="K94" s="2">
        <f>SUMIFS('Grid Data'!$P$4:$P$2342,'Grid Data'!$N$4:$N$2342,$D94,'Grid Data'!$O$4:$O$2342,K$4,'Grid Data'!$M$4:$M$2342,$D$2)</f>
        <v>0</v>
      </c>
      <c r="L94" s="2">
        <f>SUMIFS('Grid Data'!$P$4:$P$2342,'Grid Data'!$N$4:$N$2342,$D94,'Grid Data'!$O$4:$O$2342,L$4,'Grid Data'!$M$4:$M$2342,$D$2)</f>
        <v>0</v>
      </c>
      <c r="M94" s="2">
        <f>SUMIFS('Grid Data'!$P$4:$P$2342,'Grid Data'!$N$4:$N$2342,$D94,'Grid Data'!$O$4:$O$2342,M$4,'Grid Data'!$M$4:$M$2342,$D$2)</f>
        <v>0</v>
      </c>
      <c r="N94" s="2">
        <f>SUMIFS('Grid Data'!$P$4:$P$2342,'Grid Data'!$N$4:$N$2342,$D94,'Grid Data'!$O$4:$O$2342,N$4,'Grid Data'!$M$4:$M$2342,$D$2)</f>
        <v>0</v>
      </c>
      <c r="O94" s="2">
        <f>SUMIFS('Grid Data'!$P$4:$P$2342,'Grid Data'!$N$4:$N$2342,$D94,'Grid Data'!$O$4:$O$2342,O$4,'Grid Data'!$M$4:$M$2342,$D$2)</f>
        <v>14</v>
      </c>
      <c r="P94" s="2">
        <f>SUMIFS('Grid Data'!$P$4:$P$2342,'Grid Data'!$N$4:$N$2342,$D94,'Grid Data'!$O$4:$O$2342,P$4,'Grid Data'!$M$4:$M$2342,$D$2)</f>
        <v>30</v>
      </c>
      <c r="Q94" s="2">
        <f>SUMIFS('Grid Data'!$P$4:$P$2342,'Grid Data'!$N$4:$N$2342,$D94,'Grid Data'!$O$4:$O$2342,Q$4,'Grid Data'!$M$4:$M$2342,$D$2)</f>
        <v>36</v>
      </c>
      <c r="R94" s="2">
        <f>SUMIFS('Grid Data'!$P$4:$P$2342,'Grid Data'!$N$4:$N$2342,$D94,'Grid Data'!$O$4:$O$2342,R$4,'Grid Data'!$M$4:$M$2342,$D$2)</f>
        <v>0</v>
      </c>
      <c r="S94" s="2">
        <f>SUMIFS('Grid Data'!$P$4:$P$2342,'Grid Data'!$N$4:$N$2342,$D94,'Grid Data'!$O$4:$O$2342,S$4,'Grid Data'!$M$4:$M$2342,$D$2)</f>
        <v>0</v>
      </c>
      <c r="T94" s="2">
        <f>SUMIFS('Grid Data'!$P$4:$P$2342,'Grid Data'!$N$4:$N$2342,$D94,'Grid Data'!$O$4:$O$2342,T$4,'Grid Data'!$M$4:$M$2342,$D$2)</f>
        <v>0</v>
      </c>
      <c r="U94" s="2">
        <f>SUMIFS('Grid Data'!$P$4:$P$2342,'Grid Data'!$N$4:$N$2342,$D94,'Grid Data'!$O$4:$O$2342,U$4,'Grid Data'!$M$4:$M$2342,$D$2)</f>
        <v>0</v>
      </c>
      <c r="V94" s="2">
        <f>SUMIFS('Grid Data'!$P$4:$P$2342,'Grid Data'!$N$4:$N$2342,$D94,'Grid Data'!$O$4:$O$2342,V$4,'Grid Data'!$M$4:$M$2342,$D$2)</f>
        <v>0</v>
      </c>
      <c r="W94" s="2">
        <f>SUMIFS('Grid Data'!$P$4:$P$2342,'Grid Data'!$N$4:$N$2342,$D94,'Grid Data'!$O$4:$O$2342,W$4,'Grid Data'!$M$4:$M$2342,$D$2)</f>
        <v>0</v>
      </c>
      <c r="X94" s="2">
        <f>SUMIFS('Grid Data'!$P$4:$P$2342,'Grid Data'!$N$4:$N$2342,$D94,'Grid Data'!$O$4:$O$2342,X$4,'Grid Data'!$M$4:$M$2342,$D$2)</f>
        <v>0</v>
      </c>
      <c r="Y94" s="2">
        <f>SUMIFS('Grid Data'!$P$4:$P$2342,'Grid Data'!$N$4:$N$2342,$D94,'Grid Data'!$O$4:$O$2342,Y$4,'Grid Data'!$M$4:$M$2342,$D$2)</f>
        <v>0</v>
      </c>
      <c r="Z94" s="2">
        <f>SUMIFS('Grid Data'!$P$4:$P$2342,'Grid Data'!$N$4:$N$2342,$D94,'Grid Data'!$O$4:$O$2342,Z$4,'Grid Data'!$M$4:$M$2342,$D$2)</f>
        <v>0</v>
      </c>
      <c r="AA94" s="2">
        <f>SUMIFS('Grid Data'!$P$4:$P$2342,'Grid Data'!$N$4:$N$2342,$D94,'Grid Data'!$O$4:$O$2342,AA$4,'Grid Data'!$M$4:$M$2342,$D$2)</f>
        <v>0</v>
      </c>
      <c r="AB94" s="2">
        <f>SUMIFS('Grid Data'!$P$4:$P$2342,'Grid Data'!$N$4:$N$2342,$D94,'Grid Data'!$O$4:$O$2342,AB$4,'Grid Data'!$M$4:$M$2342,$D$2)</f>
        <v>0</v>
      </c>
      <c r="AC94" s="2">
        <f>SUMIFS('Grid Data'!$P$4:$P$2342,'Grid Data'!$N$4:$N$2342,$D94,'Grid Data'!$O$4:$O$2342,AC$4,'Grid Data'!$M$4:$M$2342,$D$2)</f>
        <v>0</v>
      </c>
      <c r="AD94" s="2">
        <f>SUMIFS('Grid Data'!$P$4:$P$2342,'Grid Data'!$N$4:$N$2342,$D94,'Grid Data'!$O$4:$O$2342,AD$4,'Grid Data'!$M$4:$M$2342,$D$2)</f>
        <v>0</v>
      </c>
      <c r="AE94" s="2">
        <f>SUMIFS('Grid Data'!$P$4:$P$2342,'Grid Data'!$N$4:$N$2342,$D94,'Grid Data'!$O$4:$O$2342,AE$4,'Grid Data'!$M$4:$M$2342,$D$2)</f>
        <v>0</v>
      </c>
      <c r="AF94" s="2">
        <f>SUMIFS('Grid Data'!$P$4:$P$2342,'Grid Data'!$N$4:$N$2342,$D94,'Grid Data'!$O$4:$O$2342,AF$4,'Grid Data'!$M$4:$M$2342,$D$2)</f>
        <v>0</v>
      </c>
      <c r="AG94" s="2">
        <f>SUMIFS('Grid Data'!$P$4:$P$2342,'Grid Data'!$N$4:$N$2342,$D94,'Grid Data'!$O$4:$O$2342,AG$4,'Grid Data'!$M$4:$M$2342,$D$2)</f>
        <v>110</v>
      </c>
      <c r="AH94" s="2">
        <f>SUMIFS('Grid Data'!$P$4:$P$2342,'Grid Data'!$N$4:$N$2342,$D94,'Grid Data'!$O$4:$O$2342,AH$4,'Grid Data'!$M$4:$M$2342,$D$2)</f>
        <v>148</v>
      </c>
    </row>
    <row r="95" spans="4:34" x14ac:dyDescent="0.35">
      <c r="D95">
        <v>9000</v>
      </c>
      <c r="E95" s="2">
        <f>SUMIFS('Grid Data'!$P$4:$P$2342,'Grid Data'!$N$4:$N$2342,$D95,'Grid Data'!$O$4:$O$2342,E$4,'Grid Data'!$M$4:$M$2342,$D$2)</f>
        <v>0</v>
      </c>
      <c r="F95" s="2">
        <f>SUMIFS('Grid Data'!$P$4:$P$2342,'Grid Data'!$N$4:$N$2342,$D95,'Grid Data'!$O$4:$O$2342,F$4,'Grid Data'!$M$4:$M$2342,$D$2)</f>
        <v>0</v>
      </c>
      <c r="G95" s="2">
        <f>SUMIFS('Grid Data'!$P$4:$P$2342,'Grid Data'!$N$4:$N$2342,$D95,'Grid Data'!$O$4:$O$2342,G$4,'Grid Data'!$M$4:$M$2342,$D$2)</f>
        <v>0</v>
      </c>
      <c r="H95" s="2">
        <f>SUMIFS('Grid Data'!$P$4:$P$2342,'Grid Data'!$N$4:$N$2342,$D95,'Grid Data'!$O$4:$O$2342,H$4,'Grid Data'!$M$4:$M$2342,$D$2)</f>
        <v>0</v>
      </c>
      <c r="I95" s="2">
        <f>SUMIFS('Grid Data'!$P$4:$P$2342,'Grid Data'!$N$4:$N$2342,$D95,'Grid Data'!$O$4:$O$2342,I$4,'Grid Data'!$M$4:$M$2342,$D$2)</f>
        <v>0</v>
      </c>
      <c r="J95" s="2">
        <f>SUMIFS('Grid Data'!$P$4:$P$2342,'Grid Data'!$N$4:$N$2342,$D95,'Grid Data'!$O$4:$O$2342,J$4,'Grid Data'!$M$4:$M$2342,$D$2)</f>
        <v>0</v>
      </c>
      <c r="K95" s="2">
        <f>SUMIFS('Grid Data'!$P$4:$P$2342,'Grid Data'!$N$4:$N$2342,$D95,'Grid Data'!$O$4:$O$2342,K$4,'Grid Data'!$M$4:$M$2342,$D$2)</f>
        <v>0</v>
      </c>
      <c r="L95" s="2">
        <f>SUMIFS('Grid Data'!$P$4:$P$2342,'Grid Data'!$N$4:$N$2342,$D95,'Grid Data'!$O$4:$O$2342,L$4,'Grid Data'!$M$4:$M$2342,$D$2)</f>
        <v>0</v>
      </c>
      <c r="M95" s="2">
        <f>SUMIFS('Grid Data'!$P$4:$P$2342,'Grid Data'!$N$4:$N$2342,$D95,'Grid Data'!$O$4:$O$2342,M$4,'Grid Data'!$M$4:$M$2342,$D$2)</f>
        <v>0</v>
      </c>
      <c r="N95" s="2">
        <f>SUMIFS('Grid Data'!$P$4:$P$2342,'Grid Data'!$N$4:$N$2342,$D95,'Grid Data'!$O$4:$O$2342,N$4,'Grid Data'!$M$4:$M$2342,$D$2)</f>
        <v>0</v>
      </c>
      <c r="O95" s="2">
        <f>SUMIFS('Grid Data'!$P$4:$P$2342,'Grid Data'!$N$4:$N$2342,$D95,'Grid Data'!$O$4:$O$2342,O$4,'Grid Data'!$M$4:$M$2342,$D$2)</f>
        <v>1</v>
      </c>
      <c r="P95" s="2">
        <f>SUMIFS('Grid Data'!$P$4:$P$2342,'Grid Data'!$N$4:$N$2342,$D95,'Grid Data'!$O$4:$O$2342,P$4,'Grid Data'!$M$4:$M$2342,$D$2)</f>
        <v>12</v>
      </c>
      <c r="Q95" s="2">
        <f>SUMIFS('Grid Data'!$P$4:$P$2342,'Grid Data'!$N$4:$N$2342,$D95,'Grid Data'!$O$4:$O$2342,Q$4,'Grid Data'!$M$4:$M$2342,$D$2)</f>
        <v>26</v>
      </c>
      <c r="R95" s="2">
        <f>SUMIFS('Grid Data'!$P$4:$P$2342,'Grid Data'!$N$4:$N$2342,$D95,'Grid Data'!$O$4:$O$2342,R$4,'Grid Data'!$M$4:$M$2342,$D$2)</f>
        <v>1</v>
      </c>
      <c r="S95" s="2">
        <f>SUMIFS('Grid Data'!$P$4:$P$2342,'Grid Data'!$N$4:$N$2342,$D95,'Grid Data'!$O$4:$O$2342,S$4,'Grid Data'!$M$4:$M$2342,$D$2)</f>
        <v>1</v>
      </c>
      <c r="T95" s="2">
        <f>SUMIFS('Grid Data'!$P$4:$P$2342,'Grid Data'!$N$4:$N$2342,$D95,'Grid Data'!$O$4:$O$2342,T$4,'Grid Data'!$M$4:$M$2342,$D$2)</f>
        <v>0</v>
      </c>
      <c r="U95" s="2">
        <f>SUMIFS('Grid Data'!$P$4:$P$2342,'Grid Data'!$N$4:$N$2342,$D95,'Grid Data'!$O$4:$O$2342,U$4,'Grid Data'!$M$4:$M$2342,$D$2)</f>
        <v>0</v>
      </c>
      <c r="V95" s="2">
        <f>SUMIFS('Grid Data'!$P$4:$P$2342,'Grid Data'!$N$4:$N$2342,$D95,'Grid Data'!$O$4:$O$2342,V$4,'Grid Data'!$M$4:$M$2342,$D$2)</f>
        <v>0</v>
      </c>
      <c r="W95" s="2">
        <f>SUMIFS('Grid Data'!$P$4:$P$2342,'Grid Data'!$N$4:$N$2342,$D95,'Grid Data'!$O$4:$O$2342,W$4,'Grid Data'!$M$4:$M$2342,$D$2)</f>
        <v>0</v>
      </c>
      <c r="X95" s="2">
        <f>SUMIFS('Grid Data'!$P$4:$P$2342,'Grid Data'!$N$4:$N$2342,$D95,'Grid Data'!$O$4:$O$2342,X$4,'Grid Data'!$M$4:$M$2342,$D$2)</f>
        <v>0</v>
      </c>
      <c r="Y95" s="2">
        <f>SUMIFS('Grid Data'!$P$4:$P$2342,'Grid Data'!$N$4:$N$2342,$D95,'Grid Data'!$O$4:$O$2342,Y$4,'Grid Data'!$M$4:$M$2342,$D$2)</f>
        <v>0</v>
      </c>
      <c r="Z95" s="2">
        <f>SUMIFS('Grid Data'!$P$4:$P$2342,'Grid Data'!$N$4:$N$2342,$D95,'Grid Data'!$O$4:$O$2342,Z$4,'Grid Data'!$M$4:$M$2342,$D$2)</f>
        <v>0</v>
      </c>
      <c r="AA95" s="2">
        <f>SUMIFS('Grid Data'!$P$4:$P$2342,'Grid Data'!$N$4:$N$2342,$D95,'Grid Data'!$O$4:$O$2342,AA$4,'Grid Data'!$M$4:$M$2342,$D$2)</f>
        <v>0</v>
      </c>
      <c r="AB95" s="2">
        <f>SUMIFS('Grid Data'!$P$4:$P$2342,'Grid Data'!$N$4:$N$2342,$D95,'Grid Data'!$O$4:$O$2342,AB$4,'Grid Data'!$M$4:$M$2342,$D$2)</f>
        <v>0</v>
      </c>
      <c r="AC95" s="2">
        <f>SUMIFS('Grid Data'!$P$4:$P$2342,'Grid Data'!$N$4:$N$2342,$D95,'Grid Data'!$O$4:$O$2342,AC$4,'Grid Data'!$M$4:$M$2342,$D$2)</f>
        <v>0</v>
      </c>
      <c r="AD95" s="2">
        <f>SUMIFS('Grid Data'!$P$4:$P$2342,'Grid Data'!$N$4:$N$2342,$D95,'Grid Data'!$O$4:$O$2342,AD$4,'Grid Data'!$M$4:$M$2342,$D$2)</f>
        <v>0</v>
      </c>
      <c r="AE95" s="2">
        <f>SUMIFS('Grid Data'!$P$4:$P$2342,'Grid Data'!$N$4:$N$2342,$D95,'Grid Data'!$O$4:$O$2342,AE$4,'Grid Data'!$M$4:$M$2342,$D$2)</f>
        <v>0</v>
      </c>
      <c r="AF95" s="2">
        <f>SUMIFS('Grid Data'!$P$4:$P$2342,'Grid Data'!$N$4:$N$2342,$D95,'Grid Data'!$O$4:$O$2342,AF$4,'Grid Data'!$M$4:$M$2342,$D$2)</f>
        <v>0</v>
      </c>
      <c r="AG95" s="2">
        <f>SUMIFS('Grid Data'!$P$4:$P$2342,'Grid Data'!$N$4:$N$2342,$D95,'Grid Data'!$O$4:$O$2342,AG$4,'Grid Data'!$M$4:$M$2342,$D$2)</f>
        <v>38</v>
      </c>
      <c r="AH95" s="2">
        <f>SUMIFS('Grid Data'!$P$4:$P$2342,'Grid Data'!$N$4:$N$2342,$D95,'Grid Data'!$O$4:$O$2342,AH$4,'Grid Data'!$M$4:$M$2342,$D$2)</f>
        <v>24</v>
      </c>
    </row>
    <row r="96" spans="4:34" x14ac:dyDescent="0.35">
      <c r="D96">
        <v>20000</v>
      </c>
      <c r="E96" s="2">
        <f>SUMIFS('Grid Data'!$P$4:$P$2342,'Grid Data'!$N$4:$N$2342,$D96,'Grid Data'!$O$4:$O$2342,E$4,'Grid Data'!$M$4:$M$2342,$D$2)</f>
        <v>0</v>
      </c>
      <c r="F96" s="2">
        <f>SUMIFS('Grid Data'!$P$4:$P$2342,'Grid Data'!$N$4:$N$2342,$D96,'Grid Data'!$O$4:$O$2342,F$4,'Grid Data'!$M$4:$M$2342,$D$2)</f>
        <v>0</v>
      </c>
      <c r="G96" s="2">
        <f>SUMIFS('Grid Data'!$P$4:$P$2342,'Grid Data'!$N$4:$N$2342,$D96,'Grid Data'!$O$4:$O$2342,G$4,'Grid Data'!$M$4:$M$2342,$D$2)</f>
        <v>0</v>
      </c>
      <c r="H96" s="2">
        <f>SUMIFS('Grid Data'!$P$4:$P$2342,'Grid Data'!$N$4:$N$2342,$D96,'Grid Data'!$O$4:$O$2342,H$4,'Grid Data'!$M$4:$M$2342,$D$2)</f>
        <v>0</v>
      </c>
      <c r="I96" s="2">
        <f>SUMIFS('Grid Data'!$P$4:$P$2342,'Grid Data'!$N$4:$N$2342,$D96,'Grid Data'!$O$4:$O$2342,I$4,'Grid Data'!$M$4:$M$2342,$D$2)</f>
        <v>0</v>
      </c>
      <c r="J96" s="2">
        <f>SUMIFS('Grid Data'!$P$4:$P$2342,'Grid Data'!$N$4:$N$2342,$D96,'Grid Data'!$O$4:$O$2342,J$4,'Grid Data'!$M$4:$M$2342,$D$2)</f>
        <v>0</v>
      </c>
      <c r="K96" s="2">
        <f>SUMIFS('Grid Data'!$P$4:$P$2342,'Grid Data'!$N$4:$N$2342,$D96,'Grid Data'!$O$4:$O$2342,K$4,'Grid Data'!$M$4:$M$2342,$D$2)</f>
        <v>0</v>
      </c>
      <c r="L96" s="2">
        <f>SUMIFS('Grid Data'!$P$4:$P$2342,'Grid Data'!$N$4:$N$2342,$D96,'Grid Data'!$O$4:$O$2342,L$4,'Grid Data'!$M$4:$M$2342,$D$2)</f>
        <v>0</v>
      </c>
      <c r="M96" s="2">
        <f>SUMIFS('Grid Data'!$P$4:$P$2342,'Grid Data'!$N$4:$N$2342,$D96,'Grid Data'!$O$4:$O$2342,M$4,'Grid Data'!$M$4:$M$2342,$D$2)</f>
        <v>0</v>
      </c>
      <c r="N96" s="2">
        <f>SUMIFS('Grid Data'!$P$4:$P$2342,'Grid Data'!$N$4:$N$2342,$D96,'Grid Data'!$O$4:$O$2342,N$4,'Grid Data'!$M$4:$M$2342,$D$2)</f>
        <v>0</v>
      </c>
      <c r="O96" s="2">
        <f>SUMIFS('Grid Data'!$P$4:$P$2342,'Grid Data'!$N$4:$N$2342,$D96,'Grid Data'!$O$4:$O$2342,O$4,'Grid Data'!$M$4:$M$2342,$D$2)</f>
        <v>0</v>
      </c>
      <c r="P96" s="2">
        <f>SUMIFS('Grid Data'!$P$4:$P$2342,'Grid Data'!$N$4:$N$2342,$D96,'Grid Data'!$O$4:$O$2342,P$4,'Grid Data'!$M$4:$M$2342,$D$2)</f>
        <v>0</v>
      </c>
      <c r="Q96" s="2">
        <f>SUMIFS('Grid Data'!$P$4:$P$2342,'Grid Data'!$N$4:$N$2342,$D96,'Grid Data'!$O$4:$O$2342,Q$4,'Grid Data'!$M$4:$M$2342,$D$2)</f>
        <v>0</v>
      </c>
      <c r="R96" s="2">
        <f>SUMIFS('Grid Data'!$P$4:$P$2342,'Grid Data'!$N$4:$N$2342,$D96,'Grid Data'!$O$4:$O$2342,R$4,'Grid Data'!$M$4:$M$2342,$D$2)</f>
        <v>0</v>
      </c>
      <c r="S96" s="2">
        <f>SUMIFS('Grid Data'!$P$4:$P$2342,'Grid Data'!$N$4:$N$2342,$D96,'Grid Data'!$O$4:$O$2342,S$4,'Grid Data'!$M$4:$M$2342,$D$2)</f>
        <v>0</v>
      </c>
      <c r="T96" s="2">
        <f>SUMIFS('Grid Data'!$P$4:$P$2342,'Grid Data'!$N$4:$N$2342,$D96,'Grid Data'!$O$4:$O$2342,T$4,'Grid Data'!$M$4:$M$2342,$D$2)</f>
        <v>0</v>
      </c>
      <c r="U96" s="2">
        <f>SUMIFS('Grid Data'!$P$4:$P$2342,'Grid Data'!$N$4:$N$2342,$D96,'Grid Data'!$O$4:$O$2342,U$4,'Grid Data'!$M$4:$M$2342,$D$2)</f>
        <v>0</v>
      </c>
      <c r="V96" s="2">
        <f>SUMIFS('Grid Data'!$P$4:$P$2342,'Grid Data'!$N$4:$N$2342,$D96,'Grid Data'!$O$4:$O$2342,V$4,'Grid Data'!$M$4:$M$2342,$D$2)</f>
        <v>0</v>
      </c>
      <c r="W96" s="2">
        <f>SUMIFS('Grid Data'!$P$4:$P$2342,'Grid Data'!$N$4:$N$2342,$D96,'Grid Data'!$O$4:$O$2342,W$4,'Grid Data'!$M$4:$M$2342,$D$2)</f>
        <v>0</v>
      </c>
      <c r="X96" s="2">
        <f>SUMIFS('Grid Data'!$P$4:$P$2342,'Grid Data'!$N$4:$N$2342,$D96,'Grid Data'!$O$4:$O$2342,X$4,'Grid Data'!$M$4:$M$2342,$D$2)</f>
        <v>0</v>
      </c>
      <c r="Y96" s="2">
        <f>SUMIFS('Grid Data'!$P$4:$P$2342,'Grid Data'!$N$4:$N$2342,$D96,'Grid Data'!$O$4:$O$2342,Y$4,'Grid Data'!$M$4:$M$2342,$D$2)</f>
        <v>0</v>
      </c>
      <c r="Z96" s="2">
        <f>SUMIFS('Grid Data'!$P$4:$P$2342,'Grid Data'!$N$4:$N$2342,$D96,'Grid Data'!$O$4:$O$2342,Z$4,'Grid Data'!$M$4:$M$2342,$D$2)</f>
        <v>0</v>
      </c>
      <c r="AA96" s="2">
        <f>SUMIFS('Grid Data'!$P$4:$P$2342,'Grid Data'!$N$4:$N$2342,$D96,'Grid Data'!$O$4:$O$2342,AA$4,'Grid Data'!$M$4:$M$2342,$D$2)</f>
        <v>0</v>
      </c>
      <c r="AB96" s="2">
        <f>SUMIFS('Grid Data'!$P$4:$P$2342,'Grid Data'!$N$4:$N$2342,$D96,'Grid Data'!$O$4:$O$2342,AB$4,'Grid Data'!$M$4:$M$2342,$D$2)</f>
        <v>0</v>
      </c>
      <c r="AC96" s="2">
        <f>SUMIFS('Grid Data'!$P$4:$P$2342,'Grid Data'!$N$4:$N$2342,$D96,'Grid Data'!$O$4:$O$2342,AC$4,'Grid Data'!$M$4:$M$2342,$D$2)</f>
        <v>0</v>
      </c>
      <c r="AD96" s="2">
        <f>SUMIFS('Grid Data'!$P$4:$P$2342,'Grid Data'!$N$4:$N$2342,$D96,'Grid Data'!$O$4:$O$2342,AD$4,'Grid Data'!$M$4:$M$2342,$D$2)</f>
        <v>0</v>
      </c>
      <c r="AE96" s="2">
        <f>SUMIFS('Grid Data'!$P$4:$P$2342,'Grid Data'!$N$4:$N$2342,$D96,'Grid Data'!$O$4:$O$2342,AE$4,'Grid Data'!$M$4:$M$2342,$D$2)</f>
        <v>0</v>
      </c>
      <c r="AF96" s="2">
        <f>SUMIFS('Grid Data'!$P$4:$P$2342,'Grid Data'!$N$4:$N$2342,$D96,'Grid Data'!$O$4:$O$2342,AF$4,'Grid Data'!$M$4:$M$2342,$D$2)</f>
        <v>0</v>
      </c>
      <c r="AG96" s="2">
        <f>SUMIFS('Grid Data'!$P$4:$P$2342,'Grid Data'!$N$4:$N$2342,$D96,'Grid Data'!$O$4:$O$2342,AG$4,'Grid Data'!$M$4:$M$2342,$D$2)</f>
        <v>3</v>
      </c>
      <c r="AH96" s="2">
        <f>SUMIFS('Grid Data'!$P$4:$P$2342,'Grid Data'!$N$4:$N$2342,$D96,'Grid Data'!$O$4:$O$2342,AH$4,'Grid Data'!$M$4:$M$2342,$D$2)</f>
        <v>4</v>
      </c>
    </row>
    <row r="98" spans="4:19" x14ac:dyDescent="0.35">
      <c r="D98" t="s">
        <v>9</v>
      </c>
      <c r="E98" s="13" t="s">
        <v>16</v>
      </c>
      <c r="F98" s="13"/>
      <c r="G98" s="13"/>
      <c r="H98" s="13"/>
      <c r="I98" s="13"/>
      <c r="J98" s="13"/>
      <c r="K98" s="13"/>
      <c r="M98" s="13" t="s">
        <v>17</v>
      </c>
      <c r="N98" s="13"/>
      <c r="O98" s="13"/>
      <c r="P98" s="13"/>
      <c r="Q98" s="13"/>
      <c r="R98" s="13"/>
      <c r="S98" s="13"/>
    </row>
    <row r="99" spans="4:19" x14ac:dyDescent="0.35">
      <c r="D99" t="s">
        <v>15</v>
      </c>
      <c r="E99">
        <f>E4</f>
        <v>5</v>
      </c>
      <c r="F99">
        <f t="shared" ref="F99:K99" si="0">F4</f>
        <v>6</v>
      </c>
      <c r="G99">
        <f t="shared" si="0"/>
        <v>7</v>
      </c>
      <c r="H99">
        <f t="shared" si="0"/>
        <v>8</v>
      </c>
      <c r="I99">
        <f t="shared" si="0"/>
        <v>9</v>
      </c>
      <c r="J99">
        <f t="shared" si="0"/>
        <v>10</v>
      </c>
      <c r="K99">
        <f t="shared" si="0"/>
        <v>12</v>
      </c>
      <c r="M99">
        <f>E99</f>
        <v>5</v>
      </c>
      <c r="N99">
        <f t="shared" ref="N99:S99" si="1">F99</f>
        <v>6</v>
      </c>
      <c r="O99">
        <f t="shared" si="1"/>
        <v>7</v>
      </c>
      <c r="P99">
        <f t="shared" si="1"/>
        <v>8</v>
      </c>
      <c r="Q99">
        <f t="shared" si="1"/>
        <v>9</v>
      </c>
      <c r="R99">
        <f t="shared" si="1"/>
        <v>10</v>
      </c>
      <c r="S99">
        <f t="shared" si="1"/>
        <v>12</v>
      </c>
    </row>
    <row r="100" spans="4:19" x14ac:dyDescent="0.35">
      <c r="D100">
        <f>D18/1000</f>
        <v>5.25</v>
      </c>
      <c r="E100" s="12">
        <f>E18</f>
        <v>1.9349000000000001</v>
      </c>
      <c r="F100" s="12">
        <f t="shared" ref="F100:K100" si="2">F18</f>
        <v>4.6028000000000002</v>
      </c>
      <c r="G100" s="12">
        <f t="shared" si="2"/>
        <v>9.9216999999999995</v>
      </c>
      <c r="H100" s="12">
        <f t="shared" si="2"/>
        <v>1.9174</v>
      </c>
      <c r="I100" s="12">
        <f t="shared" si="2"/>
        <v>4.0282999999999998</v>
      </c>
      <c r="J100" s="12">
        <f t="shared" si="2"/>
        <v>2.0337999999999998</v>
      </c>
      <c r="K100" s="12">
        <f t="shared" si="2"/>
        <v>11.5862</v>
      </c>
      <c r="L100" s="12"/>
      <c r="M100" s="12">
        <f>E50</f>
        <v>-1.9349000000000001</v>
      </c>
      <c r="N100" s="12">
        <f t="shared" ref="N100:S100" si="3">F50</f>
        <v>-4.6028000000000002</v>
      </c>
      <c r="O100" s="12">
        <f t="shared" si="3"/>
        <v>-9.9216999999999995</v>
      </c>
      <c r="P100" s="12">
        <f t="shared" si="3"/>
        <v>-1.9174</v>
      </c>
      <c r="Q100" s="12">
        <f t="shared" si="3"/>
        <v>-4.0282999999999998</v>
      </c>
      <c r="R100" s="12">
        <f t="shared" si="3"/>
        <v>-2.0337999999999998</v>
      </c>
      <c r="S100" s="12">
        <f t="shared" si="3"/>
        <v>-11.5862</v>
      </c>
    </row>
    <row r="101" spans="4:19" x14ac:dyDescent="0.35">
      <c r="D101">
        <f t="shared" ref="D101:D107" si="4">D19/1000</f>
        <v>5.5</v>
      </c>
      <c r="E101" s="12">
        <f t="shared" ref="E101:K101" si="5">E19</f>
        <v>1.746</v>
      </c>
      <c r="F101" s="12">
        <f t="shared" si="5"/>
        <v>3.2422</v>
      </c>
      <c r="G101" s="12">
        <f t="shared" si="5"/>
        <v>8.341899999999999</v>
      </c>
      <c r="H101" s="12">
        <f t="shared" si="5"/>
        <v>5.3955000000000002</v>
      </c>
      <c r="I101" s="12">
        <f t="shared" si="5"/>
        <v>2.0581999999999998</v>
      </c>
      <c r="J101" s="12">
        <f t="shared" si="5"/>
        <v>6.7881999999999998</v>
      </c>
      <c r="K101" s="12">
        <f t="shared" si="5"/>
        <v>13.660400000000001</v>
      </c>
      <c r="L101" s="12"/>
      <c r="M101" s="12">
        <f t="shared" ref="M101:S101" si="6">E51</f>
        <v>-1.746</v>
      </c>
      <c r="N101" s="12">
        <f t="shared" si="6"/>
        <v>-3.2422</v>
      </c>
      <c r="O101" s="12">
        <f t="shared" si="6"/>
        <v>-8.341899999999999</v>
      </c>
      <c r="P101" s="12">
        <f t="shared" si="6"/>
        <v>-5.3955000000000002</v>
      </c>
      <c r="Q101" s="12">
        <f t="shared" si="6"/>
        <v>-2.0581999999999998</v>
      </c>
      <c r="R101" s="12">
        <f t="shared" si="6"/>
        <v>-6.7881999999999998</v>
      </c>
      <c r="S101" s="12">
        <f t="shared" si="6"/>
        <v>-13.660400000000001</v>
      </c>
    </row>
    <row r="102" spans="4:19" x14ac:dyDescent="0.35">
      <c r="D102">
        <f t="shared" si="4"/>
        <v>5.75</v>
      </c>
      <c r="E102" s="12">
        <f t="shared" ref="E102:K102" si="7">E20</f>
        <v>2.0990000000000002</v>
      </c>
      <c r="F102" s="12">
        <f t="shared" si="7"/>
        <v>3.0846</v>
      </c>
      <c r="G102" s="12">
        <f t="shared" si="7"/>
        <v>25.101099999999999</v>
      </c>
      <c r="H102" s="12">
        <f t="shared" si="7"/>
        <v>20.263200000000001</v>
      </c>
      <c r="I102" s="12">
        <f t="shared" si="7"/>
        <v>18.558800000000002</v>
      </c>
      <c r="J102" s="12">
        <f t="shared" si="7"/>
        <v>18.479799999999997</v>
      </c>
      <c r="K102" s="12">
        <f t="shared" si="7"/>
        <v>16.394200000000001</v>
      </c>
      <c r="L102" s="12"/>
      <c r="M102" s="12">
        <f t="shared" ref="M102:S102" si="8">E52</f>
        <v>-2.0990000000000002</v>
      </c>
      <c r="N102" s="12">
        <f t="shared" si="8"/>
        <v>-3.0846</v>
      </c>
      <c r="O102" s="12">
        <f t="shared" si="8"/>
        <v>-25.101099999999999</v>
      </c>
      <c r="P102" s="12">
        <f t="shared" si="8"/>
        <v>-20.263200000000001</v>
      </c>
      <c r="Q102" s="12">
        <f t="shared" si="8"/>
        <v>-18.558800000000002</v>
      </c>
      <c r="R102" s="12">
        <f t="shared" si="8"/>
        <v>-18.479799999999997</v>
      </c>
      <c r="S102" s="12">
        <f t="shared" si="8"/>
        <v>-16.394200000000001</v>
      </c>
    </row>
    <row r="103" spans="4:19" x14ac:dyDescent="0.35">
      <c r="D103">
        <f t="shared" si="4"/>
        <v>6</v>
      </c>
      <c r="E103" s="12">
        <f t="shared" ref="E103:K103" si="9">E21</f>
        <v>2.6270000000000002</v>
      </c>
      <c r="F103" s="12">
        <f t="shared" si="9"/>
        <v>4.7355999999999998</v>
      </c>
      <c r="G103" s="12">
        <f t="shared" si="9"/>
        <v>53.0533</v>
      </c>
      <c r="H103" s="12">
        <f t="shared" si="9"/>
        <v>26.453700000000001</v>
      </c>
      <c r="I103" s="12">
        <f t="shared" si="9"/>
        <v>21.414999999999999</v>
      </c>
      <c r="J103" s="12">
        <f t="shared" si="9"/>
        <v>22.694200000000002</v>
      </c>
      <c r="K103" s="12">
        <f t="shared" si="9"/>
        <v>20.482099999999999</v>
      </c>
      <c r="L103" s="12"/>
      <c r="M103" s="12">
        <f t="shared" ref="M103:S103" si="10">E53</f>
        <v>-2.6270000000000002</v>
      </c>
      <c r="N103" s="12">
        <f t="shared" si="10"/>
        <v>-4.7355999999999998</v>
      </c>
      <c r="O103" s="12">
        <f t="shared" si="10"/>
        <v>-53.0533</v>
      </c>
      <c r="P103" s="12">
        <f t="shared" si="10"/>
        <v>-26.453700000000001</v>
      </c>
      <c r="Q103" s="12">
        <f t="shared" si="10"/>
        <v>-21.414999999999999</v>
      </c>
      <c r="R103" s="12">
        <f t="shared" si="10"/>
        <v>-22.694200000000002</v>
      </c>
      <c r="S103" s="12">
        <f t="shared" si="10"/>
        <v>-20.482099999999999</v>
      </c>
    </row>
    <row r="104" spans="4:19" x14ac:dyDescent="0.35">
      <c r="D104">
        <f t="shared" si="4"/>
        <v>6.25</v>
      </c>
      <c r="E104" s="12">
        <f t="shared" ref="E104:K104" si="11">E22</f>
        <v>2.7195</v>
      </c>
      <c r="F104" s="12">
        <f t="shared" si="11"/>
        <v>4.0377999999999998</v>
      </c>
      <c r="G104" s="12">
        <f t="shared" si="11"/>
        <v>78.003599999999992</v>
      </c>
      <c r="H104" s="12">
        <f t="shared" si="11"/>
        <v>43.0505</v>
      </c>
      <c r="I104" s="12">
        <f t="shared" si="11"/>
        <v>31.770799999999998</v>
      </c>
      <c r="J104" s="12">
        <f t="shared" si="11"/>
        <v>31.509399999999999</v>
      </c>
      <c r="K104" s="12">
        <f t="shared" si="11"/>
        <v>32.111699999999999</v>
      </c>
      <c r="L104" s="12"/>
      <c r="M104" s="12">
        <f t="shared" ref="M104:S104" si="12">E54</f>
        <v>-2.7195</v>
      </c>
      <c r="N104" s="12">
        <f t="shared" si="12"/>
        <v>-4.0377999999999998</v>
      </c>
      <c r="O104" s="12">
        <f t="shared" si="12"/>
        <v>-78.003599999999992</v>
      </c>
      <c r="P104" s="12">
        <f t="shared" si="12"/>
        <v>-43.0505</v>
      </c>
      <c r="Q104" s="12">
        <f t="shared" si="12"/>
        <v>-31.770799999999998</v>
      </c>
      <c r="R104" s="12">
        <f t="shared" si="12"/>
        <v>-31.509399999999999</v>
      </c>
      <c r="S104" s="12">
        <f t="shared" si="12"/>
        <v>-32.111699999999999</v>
      </c>
    </row>
    <row r="105" spans="4:19" x14ac:dyDescent="0.35">
      <c r="D105">
        <f t="shared" si="4"/>
        <v>6.5</v>
      </c>
      <c r="E105" s="12">
        <f t="shared" ref="E105:K105" si="13">E23</f>
        <v>2.6663999999999999</v>
      </c>
      <c r="F105" s="12">
        <f t="shared" si="13"/>
        <v>3.7815000000000003</v>
      </c>
      <c r="G105" s="12">
        <f t="shared" si="13"/>
        <v>91.552599999999998</v>
      </c>
      <c r="H105" s="12">
        <f t="shared" si="13"/>
        <v>52.545400000000001</v>
      </c>
      <c r="I105" s="12">
        <f t="shared" si="13"/>
        <v>41.238700000000001</v>
      </c>
      <c r="J105" s="12">
        <f t="shared" si="13"/>
        <v>43.668700000000001</v>
      </c>
      <c r="K105" s="12">
        <f t="shared" si="13"/>
        <v>43.339399999999998</v>
      </c>
      <c r="L105" s="12"/>
      <c r="M105" s="12">
        <f t="shared" ref="M105:S105" si="14">E55</f>
        <v>-2.6663999999999999</v>
      </c>
      <c r="N105" s="12">
        <f t="shared" si="14"/>
        <v>-3.7815000000000003</v>
      </c>
      <c r="O105" s="12">
        <f t="shared" si="14"/>
        <v>-91.552599999999998</v>
      </c>
      <c r="P105" s="12">
        <f t="shared" si="14"/>
        <v>-52.545400000000001</v>
      </c>
      <c r="Q105" s="12">
        <f t="shared" si="14"/>
        <v>-41.238700000000001</v>
      </c>
      <c r="R105" s="12">
        <f t="shared" si="14"/>
        <v>-43.668700000000001</v>
      </c>
      <c r="S105" s="12">
        <f t="shared" si="14"/>
        <v>-43.339399999999998</v>
      </c>
    </row>
    <row r="106" spans="4:19" x14ac:dyDescent="0.35">
      <c r="D106">
        <f t="shared" si="4"/>
        <v>6.75</v>
      </c>
      <c r="E106" s="12">
        <f t="shared" ref="E106:K106" si="15">E24</f>
        <v>2.7553000000000001</v>
      </c>
      <c r="F106" s="12">
        <f t="shared" si="15"/>
        <v>5.9322999999999997</v>
      </c>
      <c r="G106" s="12">
        <f t="shared" si="15"/>
        <v>96.609300000000005</v>
      </c>
      <c r="H106" s="12">
        <f t="shared" si="15"/>
        <v>71.435900000000004</v>
      </c>
      <c r="I106" s="12">
        <f t="shared" si="15"/>
        <v>53.241799999999998</v>
      </c>
      <c r="J106" s="12">
        <f t="shared" si="15"/>
        <v>54.183400000000006</v>
      </c>
      <c r="K106" s="12">
        <f t="shared" si="15"/>
        <v>47.018700000000003</v>
      </c>
      <c r="L106" s="12"/>
      <c r="M106" s="12">
        <f t="shared" ref="M106:S106" si="16">E56</f>
        <v>-2.7553000000000001</v>
      </c>
      <c r="N106" s="12">
        <f t="shared" si="16"/>
        <v>-5.9322999999999997</v>
      </c>
      <c r="O106" s="12">
        <f t="shared" si="16"/>
        <v>-96.609300000000005</v>
      </c>
      <c r="P106" s="12">
        <f t="shared" si="16"/>
        <v>-71.435900000000004</v>
      </c>
      <c r="Q106" s="12">
        <f t="shared" si="16"/>
        <v>-53.241799999999998</v>
      </c>
      <c r="R106" s="12">
        <f t="shared" si="16"/>
        <v>-54.183400000000006</v>
      </c>
      <c r="S106" s="12">
        <f t="shared" si="16"/>
        <v>-47.018700000000003</v>
      </c>
    </row>
    <row r="107" spans="4:19" x14ac:dyDescent="0.35">
      <c r="D107">
        <f t="shared" si="4"/>
        <v>7</v>
      </c>
      <c r="E107" s="12">
        <f t="shared" ref="E107:K107" si="17">E25</f>
        <v>3.9432</v>
      </c>
      <c r="F107" s="12">
        <f t="shared" si="17"/>
        <v>3.903</v>
      </c>
      <c r="G107" s="12">
        <f t="shared" si="17"/>
        <v>99.458699999999993</v>
      </c>
      <c r="H107" s="12">
        <f t="shared" si="17"/>
        <v>78.2042</v>
      </c>
      <c r="I107" s="12">
        <f t="shared" si="17"/>
        <v>65.169799999999995</v>
      </c>
      <c r="J107" s="12">
        <f t="shared" si="17"/>
        <v>58.940899999999999</v>
      </c>
      <c r="K107" s="12">
        <f t="shared" si="17"/>
        <v>59.050699999999999</v>
      </c>
      <c r="L107" s="12"/>
      <c r="M107" s="12">
        <f t="shared" ref="M107:S107" si="18">E57</f>
        <v>-3.9432</v>
      </c>
      <c r="N107" s="12">
        <f t="shared" si="18"/>
        <v>-3.903</v>
      </c>
      <c r="O107" s="12">
        <f t="shared" si="18"/>
        <v>-99.458699999999993</v>
      </c>
      <c r="P107" s="12">
        <f t="shared" si="18"/>
        <v>-78.2042</v>
      </c>
      <c r="Q107" s="12">
        <f t="shared" si="18"/>
        <v>-65.169799999999995</v>
      </c>
      <c r="R107" s="12">
        <f t="shared" si="18"/>
        <v>-58.940899999999999</v>
      </c>
      <c r="S107" s="12">
        <f t="shared" si="18"/>
        <v>-59.050699999999999</v>
      </c>
    </row>
  </sheetData>
  <mergeCells count="2">
    <mergeCell ref="E98:K98"/>
    <mergeCell ref="M98:S98"/>
  </mergeCells>
  <dataValidations count="1">
    <dataValidation type="list" allowBlank="1" showInputMessage="1" showErrorMessage="1" sqref="G2" xr:uid="{AEEE54BE-71E9-4741-BA28-94AA8CEA338B}">
      <formula1>"CPR,CDR"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CF4A-11B9-4289-B92E-32202A34328D}">
  <dimension ref="A1:AI2342"/>
  <sheetViews>
    <sheetView tabSelected="1" workbookViewId="0"/>
  </sheetViews>
  <sheetFormatPr defaultRowHeight="14.5" x14ac:dyDescent="0.35"/>
  <cols>
    <col min="40" max="40" width="12" bestFit="1" customWidth="1"/>
  </cols>
  <sheetData>
    <row r="1" spans="1:23" x14ac:dyDescent="0.35">
      <c r="V1" t="s">
        <v>20</v>
      </c>
    </row>
    <row r="2" spans="1:23" x14ac:dyDescent="0.35">
      <c r="J2" t="s">
        <v>19</v>
      </c>
      <c r="V2" t="s">
        <v>14</v>
      </c>
    </row>
    <row r="3" spans="1:23" x14ac:dyDescent="0.35">
      <c r="A3" t="s">
        <v>11</v>
      </c>
      <c r="J3" t="s">
        <v>4</v>
      </c>
      <c r="K3" t="s">
        <v>5</v>
      </c>
      <c r="M3" t="s">
        <v>11</v>
      </c>
      <c r="V3" t="s">
        <v>4</v>
      </c>
      <c r="W3" t="s">
        <v>5</v>
      </c>
    </row>
    <row r="4" spans="1:23" x14ac:dyDescent="0.35">
      <c r="A4" t="s">
        <v>0</v>
      </c>
      <c r="B4">
        <v>7000</v>
      </c>
      <c r="C4">
        <v>360</v>
      </c>
      <c r="D4">
        <v>4403</v>
      </c>
      <c r="E4">
        <v>0</v>
      </c>
      <c r="F4">
        <v>4735279275</v>
      </c>
      <c r="G4">
        <v>152254172.05000001</v>
      </c>
      <c r="H4">
        <v>4542161307.4300003</v>
      </c>
      <c r="I4">
        <v>4579546055.1700001</v>
      </c>
      <c r="J4">
        <v>9.8779000000000006E-2</v>
      </c>
      <c r="K4">
        <v>8.7810000000000006E-3</v>
      </c>
      <c r="M4" t="s">
        <v>0</v>
      </c>
      <c r="N4">
        <v>7000</v>
      </c>
      <c r="O4">
        <v>360</v>
      </c>
      <c r="P4">
        <v>4451</v>
      </c>
      <c r="Q4">
        <v>0</v>
      </c>
      <c r="R4">
        <v>4928409254</v>
      </c>
      <c r="S4">
        <v>153386130.33000001</v>
      </c>
      <c r="T4">
        <v>4740929319.7799997</v>
      </c>
      <c r="U4">
        <v>4772157210.54</v>
      </c>
      <c r="V4">
        <v>7.9926999999999998E-2</v>
      </c>
      <c r="W4">
        <v>6.9560000000000004E-3</v>
      </c>
    </row>
    <row r="5" spans="1:23" x14ac:dyDescent="0.35">
      <c r="A5" t="s">
        <v>0</v>
      </c>
      <c r="B5">
        <v>7500</v>
      </c>
      <c r="C5">
        <v>360</v>
      </c>
      <c r="D5">
        <v>3848</v>
      </c>
      <c r="E5">
        <v>0</v>
      </c>
      <c r="F5">
        <v>3725324373</v>
      </c>
      <c r="G5">
        <v>129806079.8</v>
      </c>
      <c r="H5">
        <v>3569221406.7800002</v>
      </c>
      <c r="I5">
        <v>3591635799.0300002</v>
      </c>
      <c r="J5">
        <v>8.1494999999999998E-2</v>
      </c>
      <c r="K5">
        <v>1.2435E-2</v>
      </c>
      <c r="M5" t="s">
        <v>0</v>
      </c>
      <c r="N5">
        <v>7500</v>
      </c>
      <c r="O5">
        <v>360</v>
      </c>
      <c r="P5">
        <v>3854</v>
      </c>
      <c r="Q5">
        <v>0</v>
      </c>
      <c r="R5">
        <v>3778205483</v>
      </c>
      <c r="S5">
        <v>128650326.48999999</v>
      </c>
      <c r="T5">
        <v>3617770393.8499999</v>
      </c>
      <c r="U5">
        <v>3648957504.1100001</v>
      </c>
      <c r="V5">
        <v>9.6408999999999995E-2</v>
      </c>
      <c r="W5">
        <v>1.897E-3</v>
      </c>
    </row>
    <row r="6" spans="1:23" x14ac:dyDescent="0.35">
      <c r="A6" t="s">
        <v>0</v>
      </c>
      <c r="B6">
        <v>8000</v>
      </c>
      <c r="C6">
        <v>360</v>
      </c>
      <c r="D6">
        <v>1613</v>
      </c>
      <c r="E6">
        <v>0</v>
      </c>
      <c r="F6">
        <v>1320359132</v>
      </c>
      <c r="G6">
        <v>52409079.420000002</v>
      </c>
      <c r="H6">
        <v>1256029548.1400001</v>
      </c>
      <c r="I6">
        <v>1265043157.95</v>
      </c>
      <c r="J6">
        <v>0.103118</v>
      </c>
      <c r="K6">
        <v>2.6102E-2</v>
      </c>
      <c r="M6" t="s">
        <v>0</v>
      </c>
      <c r="N6">
        <v>8000</v>
      </c>
      <c r="O6">
        <v>360</v>
      </c>
      <c r="P6">
        <v>1533</v>
      </c>
      <c r="Q6">
        <v>0</v>
      </c>
      <c r="R6">
        <v>1180470211</v>
      </c>
      <c r="S6">
        <v>49328190.619999997</v>
      </c>
      <c r="T6">
        <v>1120838360.27</v>
      </c>
      <c r="U6">
        <v>1131142020.3800001</v>
      </c>
      <c r="V6">
        <v>9.9856E-2</v>
      </c>
      <c r="W6">
        <v>0</v>
      </c>
    </row>
    <row r="7" spans="1:23" x14ac:dyDescent="0.35">
      <c r="A7" t="s">
        <v>1</v>
      </c>
      <c r="B7">
        <v>8500</v>
      </c>
      <c r="C7">
        <v>360</v>
      </c>
      <c r="D7">
        <v>147</v>
      </c>
      <c r="E7">
        <v>0</v>
      </c>
      <c r="F7">
        <v>58367719</v>
      </c>
      <c r="G7">
        <v>5240769.09</v>
      </c>
      <c r="H7">
        <v>52605829.439999998</v>
      </c>
      <c r="I7">
        <v>53126949.909999996</v>
      </c>
      <c r="J7">
        <v>0.102031</v>
      </c>
      <c r="K7">
        <v>0</v>
      </c>
      <c r="M7" t="s">
        <v>1</v>
      </c>
      <c r="N7">
        <v>8500</v>
      </c>
      <c r="O7">
        <v>360</v>
      </c>
      <c r="P7">
        <v>148</v>
      </c>
      <c r="Q7">
        <v>0</v>
      </c>
      <c r="R7">
        <v>64380457</v>
      </c>
      <c r="S7">
        <v>5505446.25</v>
      </c>
      <c r="T7">
        <v>58392718.259999998</v>
      </c>
      <c r="U7">
        <v>58875010.75</v>
      </c>
      <c r="V7">
        <v>8.6282999999999999E-2</v>
      </c>
      <c r="W7">
        <v>0</v>
      </c>
    </row>
    <row r="8" spans="1:23" x14ac:dyDescent="0.35">
      <c r="A8" t="s">
        <v>0</v>
      </c>
      <c r="B8">
        <v>8500</v>
      </c>
      <c r="C8">
        <v>360</v>
      </c>
      <c r="D8">
        <v>689</v>
      </c>
      <c r="E8">
        <v>0</v>
      </c>
      <c r="F8">
        <v>341576539</v>
      </c>
      <c r="G8">
        <v>21602119.129999999</v>
      </c>
      <c r="H8">
        <v>315754428.32999998</v>
      </c>
      <c r="I8">
        <v>319974419.87</v>
      </c>
      <c r="J8">
        <v>0.13858300000000001</v>
      </c>
      <c r="K8">
        <v>0</v>
      </c>
      <c r="M8" t="s">
        <v>0</v>
      </c>
      <c r="N8">
        <v>8500</v>
      </c>
      <c r="O8">
        <v>360</v>
      </c>
      <c r="P8">
        <v>699</v>
      </c>
      <c r="Q8">
        <v>0</v>
      </c>
      <c r="R8">
        <v>325514109</v>
      </c>
      <c r="S8">
        <v>22313483.16</v>
      </c>
      <c r="T8">
        <v>298888899.22000003</v>
      </c>
      <c r="U8">
        <v>303200625.83999997</v>
      </c>
      <c r="V8">
        <v>0.147867</v>
      </c>
      <c r="W8">
        <v>0</v>
      </c>
    </row>
    <row r="9" spans="1:23" x14ac:dyDescent="0.35">
      <c r="A9" t="s">
        <v>0</v>
      </c>
      <c r="B9">
        <v>6500</v>
      </c>
      <c r="C9">
        <v>360</v>
      </c>
      <c r="D9">
        <v>1962</v>
      </c>
      <c r="E9">
        <v>0</v>
      </c>
      <c r="F9">
        <v>2309604819</v>
      </c>
      <c r="G9">
        <v>68392388.480000004</v>
      </c>
      <c r="H9">
        <v>2220524364.7600002</v>
      </c>
      <c r="I9">
        <v>2236717842.8200002</v>
      </c>
      <c r="J9">
        <v>0.10234799999999999</v>
      </c>
      <c r="K9">
        <v>2.3104E-2</v>
      </c>
      <c r="M9" t="s">
        <v>0</v>
      </c>
      <c r="N9">
        <v>6500</v>
      </c>
      <c r="O9">
        <v>360</v>
      </c>
      <c r="P9">
        <v>1912</v>
      </c>
      <c r="Q9">
        <v>0</v>
      </c>
      <c r="R9">
        <v>2298452921</v>
      </c>
      <c r="S9">
        <v>66547949.880000003</v>
      </c>
      <c r="T9">
        <v>2212778982.5300002</v>
      </c>
      <c r="U9">
        <v>2229513329.3499999</v>
      </c>
      <c r="V9">
        <v>9.5408999999999994E-2</v>
      </c>
      <c r="W9">
        <v>1.2415000000000001E-2</v>
      </c>
    </row>
    <row r="10" spans="1:23" x14ac:dyDescent="0.35">
      <c r="A10" t="s">
        <v>1</v>
      </c>
      <c r="B10">
        <v>4000</v>
      </c>
      <c r="C10">
        <v>192</v>
      </c>
      <c r="D10">
        <v>10057</v>
      </c>
      <c r="E10">
        <v>0</v>
      </c>
      <c r="F10">
        <v>113448833605</v>
      </c>
      <c r="G10">
        <v>441402031.19999999</v>
      </c>
      <c r="H10">
        <v>112263717504.83</v>
      </c>
      <c r="I10">
        <v>112927235886.42</v>
      </c>
      <c r="J10">
        <v>7.5891E-2</v>
      </c>
      <c r="K10">
        <v>8.4499999999999992E-3</v>
      </c>
      <c r="M10" t="s">
        <v>1</v>
      </c>
      <c r="N10">
        <v>4000</v>
      </c>
      <c r="O10">
        <v>192</v>
      </c>
      <c r="P10">
        <v>8383</v>
      </c>
      <c r="Q10">
        <v>0</v>
      </c>
      <c r="R10">
        <v>95273082360</v>
      </c>
      <c r="S10">
        <v>370072985.93000001</v>
      </c>
      <c r="T10">
        <v>94325851463.910004</v>
      </c>
      <c r="U10">
        <v>94882199419.770004</v>
      </c>
      <c r="V10">
        <v>7.0320999999999995E-2</v>
      </c>
      <c r="W10">
        <v>2.6180000000000001E-3</v>
      </c>
    </row>
    <row r="11" spans="1:23" x14ac:dyDescent="0.35">
      <c r="A11" t="s">
        <v>0</v>
      </c>
      <c r="B11">
        <v>4000</v>
      </c>
      <c r="C11">
        <v>192</v>
      </c>
      <c r="D11">
        <v>32126</v>
      </c>
      <c r="E11">
        <v>0</v>
      </c>
      <c r="F11">
        <v>307436380290</v>
      </c>
      <c r="G11">
        <v>1193274003.22</v>
      </c>
      <c r="H11">
        <v>304934530015.78003</v>
      </c>
      <c r="I11">
        <v>306150692407.5</v>
      </c>
      <c r="J11">
        <v>4.9897999999999998E-2</v>
      </c>
      <c r="K11">
        <v>3.601E-3</v>
      </c>
      <c r="M11" t="s">
        <v>0</v>
      </c>
      <c r="N11">
        <v>4000</v>
      </c>
      <c r="O11">
        <v>192</v>
      </c>
      <c r="P11">
        <v>26527</v>
      </c>
      <c r="Q11">
        <v>0</v>
      </c>
      <c r="R11">
        <v>255424644093</v>
      </c>
      <c r="S11">
        <v>990023897.82000005</v>
      </c>
      <c r="T11">
        <v>253304222778.60001</v>
      </c>
      <c r="U11">
        <v>254304506673.32001</v>
      </c>
      <c r="V11">
        <v>5.1832999999999997E-2</v>
      </c>
      <c r="W11">
        <v>6.0959999999999999E-3</v>
      </c>
    </row>
    <row r="12" spans="1:23" x14ac:dyDescent="0.35">
      <c r="A12" t="s">
        <v>0</v>
      </c>
      <c r="B12">
        <v>4500</v>
      </c>
      <c r="C12">
        <v>192</v>
      </c>
      <c r="D12">
        <v>58860</v>
      </c>
      <c r="E12">
        <v>0</v>
      </c>
      <c r="F12">
        <v>528034859120</v>
      </c>
      <c r="G12">
        <v>2096481573.8</v>
      </c>
      <c r="H12">
        <v>523245137656.46002</v>
      </c>
      <c r="I12">
        <v>525669111798.32001</v>
      </c>
      <c r="J12">
        <v>5.9518000000000001E-2</v>
      </c>
      <c r="K12">
        <v>6.1019999999999998E-3</v>
      </c>
      <c r="M12" t="s">
        <v>0</v>
      </c>
      <c r="N12">
        <v>4500</v>
      </c>
      <c r="O12">
        <v>192</v>
      </c>
      <c r="P12">
        <v>58045</v>
      </c>
      <c r="Q12">
        <v>0</v>
      </c>
      <c r="R12">
        <v>524631394119</v>
      </c>
      <c r="S12">
        <v>2071245753.7</v>
      </c>
      <c r="T12">
        <v>520143286585.59998</v>
      </c>
      <c r="U12">
        <v>522242345227.63</v>
      </c>
      <c r="V12">
        <v>5.3901999999999999E-2</v>
      </c>
      <c r="W12">
        <v>7.2449999999999997E-3</v>
      </c>
    </row>
    <row r="13" spans="1:23" x14ac:dyDescent="0.35">
      <c r="A13" t="s">
        <v>0</v>
      </c>
      <c r="B13">
        <v>6250</v>
      </c>
      <c r="C13">
        <v>360</v>
      </c>
      <c r="D13">
        <v>171</v>
      </c>
      <c r="E13">
        <v>0</v>
      </c>
      <c r="F13">
        <v>170771874</v>
      </c>
      <c r="G13">
        <v>5411171.2400000002</v>
      </c>
      <c r="H13">
        <v>163205551.05000001</v>
      </c>
      <c r="I13">
        <v>165360702.75999999</v>
      </c>
      <c r="J13">
        <v>0.14135900000000001</v>
      </c>
      <c r="K13">
        <v>0</v>
      </c>
      <c r="M13" t="s">
        <v>0</v>
      </c>
      <c r="N13">
        <v>6250</v>
      </c>
      <c r="O13">
        <v>320</v>
      </c>
      <c r="P13">
        <v>10384</v>
      </c>
      <c r="Q13">
        <v>0</v>
      </c>
      <c r="R13">
        <v>39943210221</v>
      </c>
      <c r="S13">
        <v>319264680.17000002</v>
      </c>
      <c r="T13">
        <v>39383786324.660004</v>
      </c>
      <c r="U13">
        <v>39583267992.940002</v>
      </c>
      <c r="V13">
        <v>6.9810999999999998E-2</v>
      </c>
      <c r="W13">
        <v>1.2152E-2</v>
      </c>
    </row>
    <row r="14" spans="1:23" x14ac:dyDescent="0.35">
      <c r="A14" t="s">
        <v>0</v>
      </c>
      <c r="B14">
        <v>8000</v>
      </c>
      <c r="C14">
        <v>320</v>
      </c>
      <c r="D14">
        <v>1601</v>
      </c>
      <c r="E14">
        <v>0</v>
      </c>
      <c r="F14">
        <v>3274690994</v>
      </c>
      <c r="G14">
        <v>49375447.539999999</v>
      </c>
      <c r="H14">
        <v>3214728076.7399998</v>
      </c>
      <c r="I14">
        <v>3225315546.46</v>
      </c>
      <c r="J14">
        <v>3.8115000000000003E-2</v>
      </c>
      <c r="K14">
        <v>0</v>
      </c>
      <c r="M14" t="s">
        <v>0</v>
      </c>
      <c r="N14">
        <v>7500</v>
      </c>
      <c r="O14">
        <v>320</v>
      </c>
      <c r="P14">
        <v>4539</v>
      </c>
      <c r="Q14">
        <v>0</v>
      </c>
      <c r="R14">
        <v>11192201859</v>
      </c>
      <c r="S14">
        <v>138463436.28999999</v>
      </c>
      <c r="T14">
        <v>10989441151.040001</v>
      </c>
      <c r="U14">
        <v>11050560912.540001</v>
      </c>
      <c r="V14">
        <v>6.6800999999999999E-2</v>
      </c>
      <c r="W14">
        <v>3.4020000000000001E-3</v>
      </c>
    </row>
    <row r="15" spans="1:23" x14ac:dyDescent="0.35">
      <c r="A15" t="s">
        <v>0</v>
      </c>
      <c r="B15">
        <v>8500</v>
      </c>
      <c r="C15">
        <v>320</v>
      </c>
      <c r="D15">
        <v>1207</v>
      </c>
      <c r="E15">
        <v>0</v>
      </c>
      <c r="F15">
        <v>2087918855</v>
      </c>
      <c r="G15">
        <v>35730792.539999999</v>
      </c>
      <c r="H15">
        <v>2040177017.71</v>
      </c>
      <c r="I15">
        <v>2052188062.46</v>
      </c>
      <c r="J15">
        <v>6.6889000000000004E-2</v>
      </c>
      <c r="K15">
        <v>0</v>
      </c>
      <c r="M15" t="s">
        <v>0</v>
      </c>
      <c r="N15">
        <v>8000</v>
      </c>
      <c r="O15">
        <v>320</v>
      </c>
      <c r="P15">
        <v>1765</v>
      </c>
      <c r="Q15">
        <v>0</v>
      </c>
      <c r="R15">
        <v>3571859450</v>
      </c>
      <c r="S15">
        <v>54317894.960000001</v>
      </c>
      <c r="T15">
        <v>3505515415.0900002</v>
      </c>
      <c r="U15">
        <v>3514283150.2399998</v>
      </c>
      <c r="V15">
        <v>3.9662999999999997E-2</v>
      </c>
      <c r="W15">
        <v>1.0892000000000001E-2</v>
      </c>
    </row>
    <row r="16" spans="1:23" x14ac:dyDescent="0.35">
      <c r="A16" t="s">
        <v>0</v>
      </c>
      <c r="B16">
        <v>7500</v>
      </c>
      <c r="C16">
        <v>320</v>
      </c>
      <c r="D16">
        <v>4415</v>
      </c>
      <c r="E16">
        <v>0</v>
      </c>
      <c r="F16">
        <v>10808245971</v>
      </c>
      <c r="G16">
        <v>134612346.16999999</v>
      </c>
      <c r="H16">
        <v>10617926146.4</v>
      </c>
      <c r="I16">
        <v>10667420736.98</v>
      </c>
      <c r="J16">
        <v>6.0125999999999999E-2</v>
      </c>
      <c r="K16">
        <v>6.8760000000000002E-3</v>
      </c>
      <c r="M16" t="s">
        <v>0</v>
      </c>
      <c r="N16">
        <v>8500</v>
      </c>
      <c r="O16">
        <v>320</v>
      </c>
      <c r="P16">
        <v>1254</v>
      </c>
      <c r="Q16">
        <v>0</v>
      </c>
      <c r="R16">
        <v>2200903867</v>
      </c>
      <c r="S16">
        <v>37058701.289999999</v>
      </c>
      <c r="T16">
        <v>2151504833.27</v>
      </c>
      <c r="U16">
        <v>2160270392.46</v>
      </c>
      <c r="V16">
        <v>6.5246999999999999E-2</v>
      </c>
      <c r="W16">
        <v>1.9317999999999998E-2</v>
      </c>
    </row>
    <row r="17" spans="1:23" x14ac:dyDescent="0.35">
      <c r="A17" t="s">
        <v>1</v>
      </c>
      <c r="B17">
        <v>7000</v>
      </c>
      <c r="C17">
        <v>360</v>
      </c>
      <c r="D17">
        <v>1207</v>
      </c>
      <c r="E17">
        <v>0</v>
      </c>
      <c r="F17">
        <v>1567193777</v>
      </c>
      <c r="G17">
        <v>49860931.82</v>
      </c>
      <c r="H17">
        <v>1507568698.4400001</v>
      </c>
      <c r="I17">
        <v>1513788758.78</v>
      </c>
      <c r="J17">
        <v>7.2255E-2</v>
      </c>
      <c r="K17">
        <v>2.6801999999999999E-2</v>
      </c>
      <c r="M17" t="s">
        <v>1</v>
      </c>
      <c r="N17">
        <v>7000</v>
      </c>
      <c r="O17">
        <v>360</v>
      </c>
      <c r="P17">
        <v>1220</v>
      </c>
      <c r="Q17">
        <v>0</v>
      </c>
      <c r="R17">
        <v>1629434821</v>
      </c>
      <c r="S17">
        <v>50259334.289999999</v>
      </c>
      <c r="T17">
        <v>1566460004.3099999</v>
      </c>
      <c r="U17">
        <v>1579175486.71</v>
      </c>
      <c r="V17">
        <v>8.9727000000000001E-2</v>
      </c>
      <c r="W17">
        <v>0</v>
      </c>
    </row>
    <row r="18" spans="1:23" x14ac:dyDescent="0.35">
      <c r="A18" t="s">
        <v>1</v>
      </c>
      <c r="B18">
        <v>7500</v>
      </c>
      <c r="C18">
        <v>360</v>
      </c>
      <c r="D18">
        <v>622</v>
      </c>
      <c r="E18">
        <v>0</v>
      </c>
      <c r="F18">
        <v>667285920</v>
      </c>
      <c r="G18">
        <v>24474981.649999999</v>
      </c>
      <c r="H18">
        <v>627869316.05999994</v>
      </c>
      <c r="I18">
        <v>642810938.35000002</v>
      </c>
      <c r="J18">
        <v>0.237958</v>
      </c>
      <c r="K18">
        <v>0</v>
      </c>
      <c r="M18" t="s">
        <v>1</v>
      </c>
      <c r="N18">
        <v>7500</v>
      </c>
      <c r="O18">
        <v>360</v>
      </c>
      <c r="P18">
        <v>617</v>
      </c>
      <c r="Q18">
        <v>0</v>
      </c>
      <c r="R18">
        <v>672974015</v>
      </c>
      <c r="S18">
        <v>24072631.399999999</v>
      </c>
      <c r="T18">
        <v>639184307.76999998</v>
      </c>
      <c r="U18">
        <v>648901383.60000002</v>
      </c>
      <c r="V18">
        <v>0.16014900000000001</v>
      </c>
      <c r="W18">
        <v>0</v>
      </c>
    </row>
    <row r="19" spans="1:23" x14ac:dyDescent="0.35">
      <c r="A19" t="s">
        <v>0</v>
      </c>
      <c r="B19">
        <v>6500</v>
      </c>
      <c r="C19">
        <v>320</v>
      </c>
      <c r="D19">
        <v>22503</v>
      </c>
      <c r="E19">
        <v>0</v>
      </c>
      <c r="F19">
        <v>79016984020</v>
      </c>
      <c r="G19">
        <v>700573321.52999997</v>
      </c>
      <c r="H19">
        <v>77835355318.070007</v>
      </c>
      <c r="I19">
        <v>78276941551.130005</v>
      </c>
      <c r="J19">
        <v>7.0659E-2</v>
      </c>
      <c r="K19">
        <v>5.9779999999999998E-3</v>
      </c>
      <c r="M19" t="s">
        <v>2</v>
      </c>
      <c r="N19">
        <v>8000</v>
      </c>
      <c r="O19">
        <v>360</v>
      </c>
      <c r="P19">
        <v>79</v>
      </c>
      <c r="Q19">
        <v>0</v>
      </c>
      <c r="R19">
        <v>50049115</v>
      </c>
      <c r="S19">
        <v>2314693.4900000002</v>
      </c>
      <c r="T19">
        <v>47456899.039999999</v>
      </c>
      <c r="U19">
        <v>47734421.509999998</v>
      </c>
      <c r="V19">
        <v>6.4547999999999994E-2</v>
      </c>
      <c r="W19">
        <v>0</v>
      </c>
    </row>
    <row r="20" spans="1:23" x14ac:dyDescent="0.35">
      <c r="A20" t="s">
        <v>1</v>
      </c>
      <c r="B20">
        <v>6000</v>
      </c>
      <c r="C20">
        <v>320</v>
      </c>
      <c r="D20">
        <v>6037</v>
      </c>
      <c r="E20">
        <v>0</v>
      </c>
      <c r="F20">
        <v>25434106377</v>
      </c>
      <c r="G20">
        <v>218594314.58000001</v>
      </c>
      <c r="H20">
        <v>25044748962.5</v>
      </c>
      <c r="I20">
        <v>25183398927.009998</v>
      </c>
      <c r="J20">
        <v>7.7658000000000005E-2</v>
      </c>
      <c r="K20">
        <v>1.5046E-2</v>
      </c>
      <c r="M20" t="s">
        <v>0</v>
      </c>
      <c r="N20">
        <v>6500</v>
      </c>
      <c r="O20">
        <v>320</v>
      </c>
      <c r="P20">
        <v>22283</v>
      </c>
      <c r="Q20">
        <v>0</v>
      </c>
      <c r="R20">
        <v>78218091140</v>
      </c>
      <c r="S20">
        <v>691891391.75999999</v>
      </c>
      <c r="T20">
        <v>77084215791.589996</v>
      </c>
      <c r="U20">
        <v>77486990751.820007</v>
      </c>
      <c r="V20">
        <v>6.5740000000000007E-2</v>
      </c>
      <c r="W20">
        <v>5.999E-3</v>
      </c>
    </row>
    <row r="21" spans="1:23" x14ac:dyDescent="0.35">
      <c r="A21" t="s">
        <v>0</v>
      </c>
      <c r="B21">
        <v>6000</v>
      </c>
      <c r="C21">
        <v>320</v>
      </c>
      <c r="D21">
        <v>33075</v>
      </c>
      <c r="E21">
        <v>0</v>
      </c>
      <c r="F21">
        <v>128206804070</v>
      </c>
      <c r="G21">
        <v>1074501508.6300001</v>
      </c>
      <c r="H21">
        <v>126374912637.94</v>
      </c>
      <c r="I21">
        <v>127038956032.81</v>
      </c>
      <c r="J21">
        <v>6.8631999999999999E-2</v>
      </c>
      <c r="K21">
        <v>8.7019999999999997E-3</v>
      </c>
      <c r="M21" t="s">
        <v>1</v>
      </c>
      <c r="N21">
        <v>6000</v>
      </c>
      <c r="O21">
        <v>320</v>
      </c>
      <c r="P21">
        <v>6019</v>
      </c>
      <c r="Q21">
        <v>0</v>
      </c>
      <c r="R21">
        <v>25398227863</v>
      </c>
      <c r="S21">
        <v>216719018.05000001</v>
      </c>
      <c r="T21">
        <v>25032935278.34</v>
      </c>
      <c r="U21">
        <v>25161259263.23</v>
      </c>
      <c r="V21">
        <v>6.7982000000000001E-2</v>
      </c>
      <c r="W21">
        <v>9.5259999999999997E-3</v>
      </c>
    </row>
    <row r="22" spans="1:23" x14ac:dyDescent="0.35">
      <c r="A22" t="s">
        <v>0</v>
      </c>
      <c r="B22">
        <v>7000</v>
      </c>
      <c r="C22">
        <v>320</v>
      </c>
      <c r="D22">
        <v>9733</v>
      </c>
      <c r="E22">
        <v>0</v>
      </c>
      <c r="F22">
        <v>27517083380</v>
      </c>
      <c r="G22">
        <v>307754679.44999999</v>
      </c>
      <c r="H22">
        <v>27107036592.279999</v>
      </c>
      <c r="I22">
        <v>27193199833.619999</v>
      </c>
      <c r="J22">
        <v>4.3707999999999997E-2</v>
      </c>
      <c r="K22">
        <v>7.0109999999999999E-3</v>
      </c>
      <c r="M22" t="s">
        <v>0</v>
      </c>
      <c r="N22">
        <v>6000</v>
      </c>
      <c r="O22">
        <v>320</v>
      </c>
      <c r="P22">
        <v>33031</v>
      </c>
      <c r="Q22">
        <v>0</v>
      </c>
      <c r="R22">
        <v>128638457994</v>
      </c>
      <c r="S22">
        <v>1068550244.9299999</v>
      </c>
      <c r="T22">
        <v>126837166119.64</v>
      </c>
      <c r="U22">
        <v>127470745570.92999</v>
      </c>
      <c r="V22">
        <v>6.6252000000000005E-2</v>
      </c>
      <c r="W22">
        <v>9.2110000000000004E-3</v>
      </c>
    </row>
    <row r="23" spans="1:23" x14ac:dyDescent="0.35">
      <c r="A23" t="s">
        <v>0</v>
      </c>
      <c r="B23">
        <v>5500</v>
      </c>
      <c r="C23">
        <v>320</v>
      </c>
      <c r="D23">
        <v>16054</v>
      </c>
      <c r="E23">
        <v>0</v>
      </c>
      <c r="F23">
        <v>65348591526</v>
      </c>
      <c r="G23">
        <v>557879150.39999998</v>
      </c>
      <c r="H23">
        <v>64466114887.059998</v>
      </c>
      <c r="I23">
        <v>64764941422.150002</v>
      </c>
      <c r="J23">
        <v>5.8004E-2</v>
      </c>
      <c r="K23">
        <v>4.7219999999999996E-3</v>
      </c>
      <c r="M23" t="s">
        <v>0</v>
      </c>
      <c r="N23">
        <v>7000</v>
      </c>
      <c r="O23">
        <v>320</v>
      </c>
      <c r="P23">
        <v>9740</v>
      </c>
      <c r="Q23">
        <v>0</v>
      </c>
      <c r="R23">
        <v>27734802412</v>
      </c>
      <c r="S23">
        <v>307466641.77999997</v>
      </c>
      <c r="T23">
        <v>27274833075.299999</v>
      </c>
      <c r="U23">
        <v>27414227201.630001</v>
      </c>
      <c r="V23">
        <v>6.4023999999999998E-2</v>
      </c>
      <c r="W23">
        <v>5.6569999999999997E-3</v>
      </c>
    </row>
    <row r="24" spans="1:23" x14ac:dyDescent="0.35">
      <c r="A24" t="s">
        <v>1</v>
      </c>
      <c r="B24">
        <v>5000</v>
      </c>
      <c r="C24">
        <v>320</v>
      </c>
      <c r="D24">
        <v>1505</v>
      </c>
      <c r="E24">
        <v>0</v>
      </c>
      <c r="F24">
        <v>5802771939</v>
      </c>
      <c r="G24">
        <v>53309799.719999999</v>
      </c>
      <c r="H24">
        <v>5721442418.7200003</v>
      </c>
      <c r="I24">
        <v>5749462139.2799997</v>
      </c>
      <c r="J24">
        <v>5.6430000000000001E-2</v>
      </c>
      <c r="K24">
        <v>0</v>
      </c>
      <c r="M24" t="s">
        <v>0</v>
      </c>
      <c r="N24">
        <v>5500</v>
      </c>
      <c r="O24">
        <v>320</v>
      </c>
      <c r="P24">
        <v>16058</v>
      </c>
      <c r="Q24">
        <v>0</v>
      </c>
      <c r="R24">
        <v>65925622954</v>
      </c>
      <c r="S24">
        <v>556820923.61000001</v>
      </c>
      <c r="T24">
        <v>64986743381.959999</v>
      </c>
      <c r="U24">
        <v>65343103260.150002</v>
      </c>
      <c r="V24">
        <v>6.7368999999999998E-2</v>
      </c>
      <c r="W24">
        <v>4.6680000000000003E-3</v>
      </c>
    </row>
    <row r="25" spans="1:23" x14ac:dyDescent="0.35">
      <c r="A25" t="s">
        <v>0</v>
      </c>
      <c r="B25">
        <v>5000</v>
      </c>
      <c r="C25">
        <v>320</v>
      </c>
      <c r="D25">
        <v>2283</v>
      </c>
      <c r="E25">
        <v>0</v>
      </c>
      <c r="F25">
        <v>9534932029</v>
      </c>
      <c r="G25">
        <v>80851758.25</v>
      </c>
      <c r="H25">
        <v>9407115394.5200005</v>
      </c>
      <c r="I25">
        <v>9450260087.9200001</v>
      </c>
      <c r="J25">
        <v>5.7530999999999999E-2</v>
      </c>
      <c r="K25">
        <v>4.797E-3</v>
      </c>
      <c r="M25" t="s">
        <v>1</v>
      </c>
      <c r="N25">
        <v>5000</v>
      </c>
      <c r="O25">
        <v>320</v>
      </c>
      <c r="P25">
        <v>1514</v>
      </c>
      <c r="Q25">
        <v>0</v>
      </c>
      <c r="R25">
        <v>5890580214</v>
      </c>
      <c r="S25">
        <v>53479653.670000002</v>
      </c>
      <c r="T25">
        <v>5799824817.7399998</v>
      </c>
      <c r="U25">
        <v>5837100560.3299999</v>
      </c>
      <c r="V25">
        <v>7.3347999999999997E-2</v>
      </c>
      <c r="W25">
        <v>0</v>
      </c>
    </row>
    <row r="26" spans="1:23" x14ac:dyDescent="0.35">
      <c r="A26" t="s">
        <v>0</v>
      </c>
      <c r="B26">
        <v>3500</v>
      </c>
      <c r="C26">
        <v>168</v>
      </c>
      <c r="D26">
        <v>80017</v>
      </c>
      <c r="E26">
        <v>0</v>
      </c>
      <c r="F26">
        <v>838665560403</v>
      </c>
      <c r="G26">
        <v>3090218840.2399998</v>
      </c>
      <c r="H26">
        <v>831504025558.20996</v>
      </c>
      <c r="I26">
        <v>835292497000.16003</v>
      </c>
      <c r="J26">
        <v>5.6723999999999997E-2</v>
      </c>
      <c r="K26">
        <v>4.0400000000000002E-3</v>
      </c>
      <c r="M26" t="s">
        <v>0</v>
      </c>
      <c r="N26">
        <v>5000</v>
      </c>
      <c r="O26">
        <v>320</v>
      </c>
      <c r="P26">
        <v>2281</v>
      </c>
      <c r="Q26">
        <v>0</v>
      </c>
      <c r="R26">
        <v>9590656652</v>
      </c>
      <c r="S26">
        <v>80582519.760000005</v>
      </c>
      <c r="T26">
        <v>9447664825.6700001</v>
      </c>
      <c r="U26">
        <v>9510074132.2399998</v>
      </c>
      <c r="V26">
        <v>7.5353000000000003E-2</v>
      </c>
      <c r="W26">
        <v>0</v>
      </c>
    </row>
    <row r="27" spans="1:23" x14ac:dyDescent="0.35">
      <c r="A27" t="s">
        <v>2</v>
      </c>
      <c r="B27">
        <v>3500</v>
      </c>
      <c r="C27">
        <v>168</v>
      </c>
      <c r="D27">
        <v>14801</v>
      </c>
      <c r="E27">
        <v>0</v>
      </c>
      <c r="F27">
        <v>124394850438</v>
      </c>
      <c r="G27">
        <v>459242844.39999998</v>
      </c>
      <c r="H27">
        <v>123357697831.96001</v>
      </c>
      <c r="I27">
        <v>123906225632.88</v>
      </c>
      <c r="J27">
        <v>5.4346999999999999E-2</v>
      </c>
      <c r="K27">
        <v>2.8310000000000002E-3</v>
      </c>
      <c r="M27" t="s">
        <v>1</v>
      </c>
      <c r="N27">
        <v>6500</v>
      </c>
      <c r="O27">
        <v>320</v>
      </c>
      <c r="P27">
        <v>2596</v>
      </c>
      <c r="Q27">
        <v>0</v>
      </c>
      <c r="R27">
        <v>9329788202</v>
      </c>
      <c r="S27">
        <v>89129746.140000001</v>
      </c>
      <c r="T27">
        <v>9183468518.5</v>
      </c>
      <c r="U27">
        <v>9235725436.2900009</v>
      </c>
      <c r="V27">
        <v>7.1127999999999997E-2</v>
      </c>
      <c r="W27">
        <v>6.326E-3</v>
      </c>
    </row>
    <row r="28" spans="1:23" x14ac:dyDescent="0.35">
      <c r="A28" t="s">
        <v>0</v>
      </c>
      <c r="B28">
        <v>6750</v>
      </c>
      <c r="C28">
        <v>360</v>
      </c>
      <c r="D28">
        <v>956</v>
      </c>
      <c r="E28">
        <v>0</v>
      </c>
      <c r="F28">
        <v>797463558</v>
      </c>
      <c r="G28">
        <v>28855413.149999999</v>
      </c>
      <c r="H28">
        <v>764270379.58000004</v>
      </c>
      <c r="I28">
        <v>768608144.85000002</v>
      </c>
      <c r="J28">
        <v>6.3355999999999996E-2</v>
      </c>
      <c r="K28">
        <v>0</v>
      </c>
      <c r="M28" t="s">
        <v>0</v>
      </c>
      <c r="N28">
        <v>3500</v>
      </c>
      <c r="O28">
        <v>168</v>
      </c>
      <c r="P28">
        <v>80667</v>
      </c>
      <c r="Q28">
        <v>0</v>
      </c>
      <c r="R28">
        <v>848557282563</v>
      </c>
      <c r="S28">
        <v>3107077924.23</v>
      </c>
      <c r="T28">
        <v>841966042170.59998</v>
      </c>
      <c r="U28">
        <v>845147202350.23999</v>
      </c>
      <c r="V28">
        <v>4.8174000000000002E-2</v>
      </c>
      <c r="W28">
        <v>4.2770000000000004E-3</v>
      </c>
    </row>
    <row r="29" spans="1:23" x14ac:dyDescent="0.35">
      <c r="A29" t="s">
        <v>0</v>
      </c>
      <c r="B29">
        <v>7250</v>
      </c>
      <c r="C29">
        <v>360</v>
      </c>
      <c r="D29">
        <v>1104</v>
      </c>
      <c r="E29">
        <v>0</v>
      </c>
      <c r="F29">
        <v>999803659</v>
      </c>
      <c r="G29">
        <v>35084379.359999999</v>
      </c>
      <c r="H29">
        <v>953736699.63999999</v>
      </c>
      <c r="I29">
        <v>961101584.90999997</v>
      </c>
      <c r="J29">
        <v>0.124138</v>
      </c>
      <c r="K29">
        <v>4.2567000000000001E-2</v>
      </c>
      <c r="M29" t="s">
        <v>2</v>
      </c>
      <c r="N29">
        <v>3500</v>
      </c>
      <c r="O29">
        <v>168</v>
      </c>
      <c r="P29">
        <v>14941</v>
      </c>
      <c r="Q29">
        <v>0</v>
      </c>
      <c r="R29">
        <v>126042272118</v>
      </c>
      <c r="S29">
        <v>462452432.16000003</v>
      </c>
      <c r="T29">
        <v>125019572751.23</v>
      </c>
      <c r="U29">
        <v>125549462819.28</v>
      </c>
      <c r="V29">
        <v>5.2054000000000003E-2</v>
      </c>
      <c r="W29">
        <v>2.8860000000000001E-3</v>
      </c>
    </row>
    <row r="30" spans="1:23" x14ac:dyDescent="0.35">
      <c r="A30" t="s">
        <v>2</v>
      </c>
      <c r="B30">
        <v>7500</v>
      </c>
      <c r="C30">
        <v>360</v>
      </c>
      <c r="D30">
        <v>266</v>
      </c>
      <c r="E30">
        <v>0</v>
      </c>
      <c r="F30">
        <v>242149664</v>
      </c>
      <c r="G30">
        <v>8302646.8200000003</v>
      </c>
      <c r="H30">
        <v>231406719.71000001</v>
      </c>
      <c r="I30">
        <v>233847017.18000001</v>
      </c>
      <c r="J30">
        <v>0.114449</v>
      </c>
      <c r="K30">
        <v>0</v>
      </c>
      <c r="M30" t="s">
        <v>0</v>
      </c>
      <c r="N30">
        <v>6750</v>
      </c>
      <c r="O30">
        <v>360</v>
      </c>
      <c r="P30">
        <v>938</v>
      </c>
      <c r="Q30">
        <v>0</v>
      </c>
      <c r="R30">
        <v>801079358</v>
      </c>
      <c r="S30">
        <v>28600459.719999999</v>
      </c>
      <c r="T30">
        <v>769847163.35000002</v>
      </c>
      <c r="U30">
        <v>772478898.27999997</v>
      </c>
      <c r="V30">
        <v>3.8718000000000002E-2</v>
      </c>
      <c r="W30">
        <v>0</v>
      </c>
    </row>
    <row r="31" spans="1:23" x14ac:dyDescent="0.35">
      <c r="A31" t="s">
        <v>0</v>
      </c>
      <c r="B31">
        <v>7750</v>
      </c>
      <c r="C31">
        <v>360</v>
      </c>
      <c r="D31">
        <v>595</v>
      </c>
      <c r="E31">
        <v>0</v>
      </c>
      <c r="F31">
        <v>504180969</v>
      </c>
      <c r="G31">
        <v>18613015.469999999</v>
      </c>
      <c r="H31">
        <v>480740537.94</v>
      </c>
      <c r="I31">
        <v>485000515.13</v>
      </c>
      <c r="J31">
        <v>0.10903599999999999</v>
      </c>
      <c r="K31">
        <v>1.3422E-2</v>
      </c>
      <c r="M31" t="s">
        <v>0</v>
      </c>
      <c r="N31">
        <v>7250</v>
      </c>
      <c r="O31">
        <v>360</v>
      </c>
      <c r="P31">
        <v>1134</v>
      </c>
      <c r="Q31">
        <v>0</v>
      </c>
      <c r="R31">
        <v>1036389092</v>
      </c>
      <c r="S31">
        <v>36025752.039999999</v>
      </c>
      <c r="T31">
        <v>991797700.42999995</v>
      </c>
      <c r="U31">
        <v>1000363339.96</v>
      </c>
      <c r="V31">
        <v>9.4792000000000001E-2</v>
      </c>
      <c r="W31">
        <v>0</v>
      </c>
    </row>
    <row r="32" spans="1:23" x14ac:dyDescent="0.35">
      <c r="A32" t="s">
        <v>1</v>
      </c>
      <c r="B32">
        <v>6500</v>
      </c>
      <c r="C32">
        <v>360</v>
      </c>
      <c r="D32">
        <v>850</v>
      </c>
      <c r="E32">
        <v>0</v>
      </c>
      <c r="F32">
        <v>1135542125</v>
      </c>
      <c r="G32">
        <v>33256087.539999999</v>
      </c>
      <c r="H32">
        <v>1083814369.01</v>
      </c>
      <c r="I32">
        <v>1101295613.6099999</v>
      </c>
      <c r="J32">
        <v>0.178651</v>
      </c>
      <c r="K32">
        <v>1.0416E-2</v>
      </c>
      <c r="M32" t="s">
        <v>2</v>
      </c>
      <c r="N32">
        <v>7500</v>
      </c>
      <c r="O32">
        <v>360</v>
      </c>
      <c r="P32">
        <v>261</v>
      </c>
      <c r="Q32">
        <v>0</v>
      </c>
      <c r="R32">
        <v>240560263</v>
      </c>
      <c r="S32">
        <v>8140311.9299999997</v>
      </c>
      <c r="T32">
        <v>232283088.24000001</v>
      </c>
      <c r="U32">
        <v>232419951.06999999</v>
      </c>
      <c r="V32">
        <v>6.8060000000000004E-3</v>
      </c>
      <c r="W32">
        <v>0</v>
      </c>
    </row>
    <row r="33" spans="1:23" x14ac:dyDescent="0.35">
      <c r="A33" t="s">
        <v>0</v>
      </c>
      <c r="B33">
        <v>5000</v>
      </c>
      <c r="C33">
        <v>240</v>
      </c>
      <c r="D33">
        <v>255</v>
      </c>
      <c r="E33">
        <v>0</v>
      </c>
      <c r="F33">
        <v>1718888003</v>
      </c>
      <c r="G33">
        <v>9593063.9199999999</v>
      </c>
      <c r="H33">
        <v>1708647437.26</v>
      </c>
      <c r="I33">
        <v>1709294939.0799999</v>
      </c>
      <c r="J33">
        <v>4.5110000000000003E-3</v>
      </c>
      <c r="K33">
        <v>0</v>
      </c>
      <c r="M33" t="s">
        <v>0</v>
      </c>
      <c r="N33">
        <v>7750</v>
      </c>
      <c r="O33">
        <v>360</v>
      </c>
      <c r="P33">
        <v>589</v>
      </c>
      <c r="Q33">
        <v>0</v>
      </c>
      <c r="R33">
        <v>486990546</v>
      </c>
      <c r="S33">
        <v>18040158.670000002</v>
      </c>
      <c r="T33">
        <v>464578578.61000001</v>
      </c>
      <c r="U33">
        <v>468683081.20999998</v>
      </c>
      <c r="V33">
        <v>0.102563</v>
      </c>
      <c r="W33">
        <v>6.5669999999999999E-3</v>
      </c>
    </row>
    <row r="34" spans="1:23" x14ac:dyDescent="0.35">
      <c r="A34" t="s">
        <v>0</v>
      </c>
      <c r="B34">
        <v>6000</v>
      </c>
      <c r="C34">
        <v>240</v>
      </c>
      <c r="D34">
        <v>6405</v>
      </c>
      <c r="E34">
        <v>0</v>
      </c>
      <c r="F34">
        <v>39634110560</v>
      </c>
      <c r="G34">
        <v>205264833.94999999</v>
      </c>
      <c r="H34">
        <v>39118528308.800003</v>
      </c>
      <c r="I34">
        <v>39362281322.32</v>
      </c>
      <c r="J34">
        <v>9.0011999999999995E-2</v>
      </c>
      <c r="K34">
        <v>1.9969000000000001E-2</v>
      </c>
      <c r="M34" t="s">
        <v>1</v>
      </c>
      <c r="N34">
        <v>6500</v>
      </c>
      <c r="O34">
        <v>360</v>
      </c>
      <c r="P34">
        <v>861</v>
      </c>
      <c r="Q34">
        <v>0</v>
      </c>
      <c r="R34">
        <v>1182605343</v>
      </c>
      <c r="S34">
        <v>33488000.809999999</v>
      </c>
      <c r="T34">
        <v>1143814876.8099999</v>
      </c>
      <c r="U34">
        <v>1149117342.1900001</v>
      </c>
      <c r="V34">
        <v>5.2497000000000002E-2</v>
      </c>
      <c r="W34">
        <v>0</v>
      </c>
    </row>
    <row r="35" spans="1:23" x14ac:dyDescent="0.35">
      <c r="A35" t="s">
        <v>1</v>
      </c>
      <c r="B35">
        <v>6500</v>
      </c>
      <c r="C35">
        <v>240</v>
      </c>
      <c r="D35">
        <v>900</v>
      </c>
      <c r="E35">
        <v>0</v>
      </c>
      <c r="F35">
        <v>5956790766</v>
      </c>
      <c r="G35">
        <v>31909903.079999998</v>
      </c>
      <c r="H35">
        <v>5875112105.7799997</v>
      </c>
      <c r="I35">
        <v>5920184028.6300001</v>
      </c>
      <c r="J35">
        <v>9.5778000000000002E-2</v>
      </c>
      <c r="K35">
        <v>9.4210000000000006E-3</v>
      </c>
      <c r="M35" t="s">
        <v>0</v>
      </c>
      <c r="N35">
        <v>5000</v>
      </c>
      <c r="O35">
        <v>240</v>
      </c>
      <c r="P35">
        <v>249</v>
      </c>
      <c r="Q35">
        <v>0</v>
      </c>
      <c r="R35">
        <v>1557679430</v>
      </c>
      <c r="S35">
        <v>8841939.0700000003</v>
      </c>
      <c r="T35">
        <v>1548837490.9300001</v>
      </c>
      <c r="U35">
        <v>1548837490.9300001</v>
      </c>
      <c r="V35">
        <v>0</v>
      </c>
      <c r="W35">
        <v>0</v>
      </c>
    </row>
    <row r="36" spans="1:23" x14ac:dyDescent="0.35">
      <c r="A36" t="s">
        <v>2</v>
      </c>
      <c r="B36">
        <v>6500</v>
      </c>
      <c r="C36">
        <v>240</v>
      </c>
      <c r="D36">
        <v>1053</v>
      </c>
      <c r="E36">
        <v>0</v>
      </c>
      <c r="F36">
        <v>5316971214</v>
      </c>
      <c r="G36">
        <v>27580353.620000001</v>
      </c>
      <c r="H36">
        <v>5224006429.3400002</v>
      </c>
      <c r="I36">
        <v>5281631727.5799999</v>
      </c>
      <c r="J36">
        <v>0.137985</v>
      </c>
      <c r="K36">
        <v>1.7371999999999999E-2</v>
      </c>
      <c r="M36" t="s">
        <v>0</v>
      </c>
      <c r="N36">
        <v>6000</v>
      </c>
      <c r="O36">
        <v>240</v>
      </c>
      <c r="P36">
        <v>5655</v>
      </c>
      <c r="Q36">
        <v>0</v>
      </c>
      <c r="R36">
        <v>34302804796</v>
      </c>
      <c r="S36">
        <v>180409213.55000001</v>
      </c>
      <c r="T36">
        <v>33925151428.450001</v>
      </c>
      <c r="U36">
        <v>34099782919.900002</v>
      </c>
      <c r="V36">
        <v>6.6860000000000003E-2</v>
      </c>
      <c r="W36">
        <v>7.8820000000000001E-3</v>
      </c>
    </row>
    <row r="37" spans="1:23" x14ac:dyDescent="0.35">
      <c r="A37" t="s">
        <v>0</v>
      </c>
      <c r="B37">
        <v>4500</v>
      </c>
      <c r="C37">
        <v>144</v>
      </c>
      <c r="D37">
        <v>56363</v>
      </c>
      <c r="E37">
        <v>0</v>
      </c>
      <c r="F37">
        <v>554132109009</v>
      </c>
      <c r="G37">
        <v>1555881837.05</v>
      </c>
      <c r="H37">
        <v>549165111500.51001</v>
      </c>
      <c r="I37">
        <v>552109361136.79004</v>
      </c>
      <c r="J37">
        <v>7.1418999999999996E-2</v>
      </c>
      <c r="K37">
        <v>1.0063000000000001E-2</v>
      </c>
      <c r="M37" t="s">
        <v>1</v>
      </c>
      <c r="N37">
        <v>6500</v>
      </c>
      <c r="O37">
        <v>240</v>
      </c>
      <c r="P37">
        <v>919</v>
      </c>
      <c r="Q37">
        <v>0</v>
      </c>
      <c r="R37">
        <v>6110124613</v>
      </c>
      <c r="S37">
        <v>32590634.850000001</v>
      </c>
      <c r="T37">
        <v>6050014211.2700005</v>
      </c>
      <c r="U37">
        <v>6072768442.3199997</v>
      </c>
      <c r="V37">
        <v>5.2728999999999998E-2</v>
      </c>
      <c r="W37">
        <v>9.3189999999999992E-3</v>
      </c>
    </row>
    <row r="38" spans="1:23" x14ac:dyDescent="0.35">
      <c r="A38" t="s">
        <v>1</v>
      </c>
      <c r="B38">
        <v>8000</v>
      </c>
      <c r="C38">
        <v>360</v>
      </c>
      <c r="D38">
        <v>268</v>
      </c>
      <c r="E38">
        <v>0</v>
      </c>
      <c r="F38">
        <v>177046122</v>
      </c>
      <c r="G38">
        <v>10364998.710000001</v>
      </c>
      <c r="H38">
        <v>165787814.34</v>
      </c>
      <c r="I38">
        <v>166681123.28999999</v>
      </c>
      <c r="J38">
        <v>5.8895000000000003E-2</v>
      </c>
      <c r="K38">
        <v>0</v>
      </c>
      <c r="M38" t="s">
        <v>2</v>
      </c>
      <c r="N38">
        <v>6500</v>
      </c>
      <c r="O38">
        <v>240</v>
      </c>
      <c r="P38">
        <v>1027</v>
      </c>
      <c r="Q38">
        <v>0</v>
      </c>
      <c r="R38">
        <v>5188773524</v>
      </c>
      <c r="S38">
        <v>27002943.73</v>
      </c>
      <c r="T38">
        <v>5144153832.6000004</v>
      </c>
      <c r="U38">
        <v>5161770580.2700005</v>
      </c>
      <c r="V38">
        <v>3.9989999999999998E-2</v>
      </c>
      <c r="W38">
        <v>0</v>
      </c>
    </row>
    <row r="39" spans="1:23" x14ac:dyDescent="0.35">
      <c r="A39" t="s">
        <v>1</v>
      </c>
      <c r="B39">
        <v>9000</v>
      </c>
      <c r="C39">
        <v>360</v>
      </c>
      <c r="D39">
        <v>23</v>
      </c>
      <c r="E39">
        <v>0</v>
      </c>
      <c r="F39">
        <v>5502156</v>
      </c>
      <c r="G39">
        <v>767508.68</v>
      </c>
      <c r="H39">
        <v>4704871.3099999996</v>
      </c>
      <c r="I39">
        <v>4734647.32</v>
      </c>
      <c r="J39">
        <v>6.3042000000000001E-2</v>
      </c>
      <c r="K39">
        <v>0</v>
      </c>
      <c r="M39" t="s">
        <v>0</v>
      </c>
      <c r="N39">
        <v>4500</v>
      </c>
      <c r="O39">
        <v>144</v>
      </c>
      <c r="P39">
        <v>57546</v>
      </c>
      <c r="Q39">
        <v>0</v>
      </c>
      <c r="R39">
        <v>563723595088</v>
      </c>
      <c r="S39">
        <v>1581834718.4400001</v>
      </c>
      <c r="T39">
        <v>559286889364.31006</v>
      </c>
      <c r="U39">
        <v>561733189553.65002</v>
      </c>
      <c r="V39">
        <v>5.9107E-2</v>
      </c>
      <c r="W39">
        <v>8.6630000000000006E-3</v>
      </c>
    </row>
    <row r="40" spans="1:23" x14ac:dyDescent="0.35">
      <c r="A40" t="s">
        <v>2</v>
      </c>
      <c r="B40">
        <v>4500</v>
      </c>
      <c r="C40">
        <v>192</v>
      </c>
      <c r="D40">
        <v>8498</v>
      </c>
      <c r="E40">
        <v>0</v>
      </c>
      <c r="F40">
        <v>63058357640</v>
      </c>
      <c r="G40">
        <v>247140350.78</v>
      </c>
      <c r="H40">
        <v>62504027740.699997</v>
      </c>
      <c r="I40">
        <v>62753687260.919998</v>
      </c>
      <c r="J40">
        <v>5.6917000000000002E-2</v>
      </c>
      <c r="K40">
        <v>1.0893E-2</v>
      </c>
      <c r="M40" t="s">
        <v>1</v>
      </c>
      <c r="N40">
        <v>8000</v>
      </c>
      <c r="O40">
        <v>360</v>
      </c>
      <c r="P40">
        <v>262</v>
      </c>
      <c r="Q40">
        <v>0</v>
      </c>
      <c r="R40">
        <v>166880393</v>
      </c>
      <c r="S40">
        <v>10370941.15</v>
      </c>
      <c r="T40">
        <v>156015217.83000001</v>
      </c>
      <c r="U40">
        <v>156509451.84999999</v>
      </c>
      <c r="V40">
        <v>3.4965999999999997E-2</v>
      </c>
      <c r="W40">
        <v>0</v>
      </c>
    </row>
    <row r="41" spans="1:23" x14ac:dyDescent="0.35">
      <c r="A41" t="s">
        <v>0</v>
      </c>
      <c r="B41">
        <v>5000</v>
      </c>
      <c r="C41">
        <v>192</v>
      </c>
      <c r="D41">
        <v>47157</v>
      </c>
      <c r="E41">
        <v>0</v>
      </c>
      <c r="F41">
        <v>386202425471</v>
      </c>
      <c r="G41">
        <v>1519970499.6900001</v>
      </c>
      <c r="H41">
        <v>382761436252.13</v>
      </c>
      <c r="I41">
        <v>384475755271.70001</v>
      </c>
      <c r="J41">
        <v>5.8083000000000003E-2</v>
      </c>
      <c r="K41">
        <v>6.404E-3</v>
      </c>
      <c r="M41" t="s">
        <v>1</v>
      </c>
      <c r="N41">
        <v>9000</v>
      </c>
      <c r="O41">
        <v>360</v>
      </c>
      <c r="P41">
        <v>24</v>
      </c>
      <c r="Q41">
        <v>0</v>
      </c>
      <c r="R41">
        <v>6644180</v>
      </c>
      <c r="S41">
        <v>805096.24</v>
      </c>
      <c r="T41">
        <v>5791762.6900000004</v>
      </c>
      <c r="U41">
        <v>5839083.7599999998</v>
      </c>
      <c r="V41">
        <v>8.2197000000000006E-2</v>
      </c>
      <c r="W41">
        <v>0</v>
      </c>
    </row>
    <row r="42" spans="1:23" x14ac:dyDescent="0.35">
      <c r="A42" t="s">
        <v>2</v>
      </c>
      <c r="B42">
        <v>5000</v>
      </c>
      <c r="C42">
        <v>192</v>
      </c>
      <c r="D42">
        <v>5783</v>
      </c>
      <c r="E42">
        <v>0</v>
      </c>
      <c r="F42">
        <v>41509751543</v>
      </c>
      <c r="G42">
        <v>160098505.65000001</v>
      </c>
      <c r="H42">
        <v>41120651510.300003</v>
      </c>
      <c r="I42">
        <v>41330871468.459999</v>
      </c>
      <c r="J42">
        <v>6.4229999999999995E-2</v>
      </c>
      <c r="K42">
        <v>5.4159999999999998E-3</v>
      </c>
      <c r="M42" t="s">
        <v>2</v>
      </c>
      <c r="N42">
        <v>4500</v>
      </c>
      <c r="O42">
        <v>192</v>
      </c>
      <c r="P42">
        <v>8579</v>
      </c>
      <c r="Q42">
        <v>0</v>
      </c>
      <c r="R42">
        <v>63939912482</v>
      </c>
      <c r="S42">
        <v>248915777.63</v>
      </c>
      <c r="T42">
        <v>63405040198.150002</v>
      </c>
      <c r="U42">
        <v>63666102031.830002</v>
      </c>
      <c r="V42">
        <v>5.2366999999999997E-2</v>
      </c>
      <c r="W42">
        <v>4.6620000000000003E-3</v>
      </c>
    </row>
    <row r="43" spans="1:23" x14ac:dyDescent="0.35">
      <c r="A43" t="s">
        <v>1</v>
      </c>
      <c r="B43">
        <v>5000</v>
      </c>
      <c r="C43">
        <v>192</v>
      </c>
      <c r="D43">
        <v>3528</v>
      </c>
      <c r="E43">
        <v>0</v>
      </c>
      <c r="F43">
        <v>31349839215</v>
      </c>
      <c r="G43">
        <v>123150071.42</v>
      </c>
      <c r="H43">
        <v>31058265768</v>
      </c>
      <c r="I43">
        <v>31199350200.349998</v>
      </c>
      <c r="J43">
        <v>6.2597E-2</v>
      </c>
      <c r="K43">
        <v>1.0415000000000001E-2</v>
      </c>
      <c r="M43" t="s">
        <v>0</v>
      </c>
      <c r="N43">
        <v>5000</v>
      </c>
      <c r="O43">
        <v>192</v>
      </c>
      <c r="P43">
        <v>51232</v>
      </c>
      <c r="Q43">
        <v>0</v>
      </c>
      <c r="R43">
        <v>423598616253</v>
      </c>
      <c r="S43">
        <v>1661767732.3199999</v>
      </c>
      <c r="T43">
        <v>419822914878.60999</v>
      </c>
      <c r="U43">
        <v>421659557390.03003</v>
      </c>
      <c r="V43">
        <v>5.8268E-2</v>
      </c>
      <c r="W43">
        <v>7.8270000000000006E-3</v>
      </c>
    </row>
    <row r="44" spans="1:23" x14ac:dyDescent="0.35">
      <c r="A44" t="s">
        <v>0</v>
      </c>
      <c r="B44">
        <v>5500</v>
      </c>
      <c r="C44">
        <v>192</v>
      </c>
      <c r="D44">
        <v>11511</v>
      </c>
      <c r="E44">
        <v>0</v>
      </c>
      <c r="F44">
        <v>77664315855</v>
      </c>
      <c r="G44">
        <v>301163614.54000002</v>
      </c>
      <c r="H44">
        <v>76899606480.130005</v>
      </c>
      <c r="I44">
        <v>77296191871.889999</v>
      </c>
      <c r="J44">
        <v>6.9318000000000005E-2</v>
      </c>
      <c r="K44">
        <v>1.0297000000000001E-2</v>
      </c>
      <c r="M44" t="s">
        <v>2</v>
      </c>
      <c r="N44">
        <v>5000</v>
      </c>
      <c r="O44">
        <v>192</v>
      </c>
      <c r="P44">
        <v>6291</v>
      </c>
      <c r="Q44">
        <v>0</v>
      </c>
      <c r="R44">
        <v>45550484491</v>
      </c>
      <c r="S44">
        <v>175391711.19</v>
      </c>
      <c r="T44">
        <v>45129337113.43</v>
      </c>
      <c r="U44">
        <v>45370989078.309998</v>
      </c>
      <c r="V44">
        <v>6.2855999999999995E-2</v>
      </c>
      <c r="W44">
        <v>1.0809999999999999E-3</v>
      </c>
    </row>
    <row r="45" spans="1:23" x14ac:dyDescent="0.35">
      <c r="A45" t="s">
        <v>2</v>
      </c>
      <c r="B45">
        <v>5500</v>
      </c>
      <c r="C45">
        <v>192</v>
      </c>
      <c r="D45">
        <v>2392</v>
      </c>
      <c r="E45">
        <v>0</v>
      </c>
      <c r="F45">
        <v>14922174123</v>
      </c>
      <c r="G45">
        <v>58110792.939999998</v>
      </c>
      <c r="H45">
        <v>14767035820.15</v>
      </c>
      <c r="I45">
        <v>14846794577.51</v>
      </c>
      <c r="J45">
        <v>7.5296000000000002E-2</v>
      </c>
      <c r="K45">
        <v>1.3799000000000001E-2</v>
      </c>
      <c r="M45" t="s">
        <v>1</v>
      </c>
      <c r="N45">
        <v>5000</v>
      </c>
      <c r="O45">
        <v>192</v>
      </c>
      <c r="P45">
        <v>3845</v>
      </c>
      <c r="Q45">
        <v>0</v>
      </c>
      <c r="R45">
        <v>34580832645</v>
      </c>
      <c r="S45">
        <v>135503375.06999999</v>
      </c>
      <c r="T45">
        <v>34211674473.880001</v>
      </c>
      <c r="U45">
        <v>34432253310.239998</v>
      </c>
      <c r="V45">
        <v>7.8134999999999996E-2</v>
      </c>
      <c r="W45">
        <v>4.5279999999999999E-3</v>
      </c>
    </row>
    <row r="46" spans="1:23" x14ac:dyDescent="0.35">
      <c r="A46" t="s">
        <v>1</v>
      </c>
      <c r="B46">
        <v>4500</v>
      </c>
      <c r="C46">
        <v>192</v>
      </c>
      <c r="D46">
        <v>7989</v>
      </c>
      <c r="E46">
        <v>0</v>
      </c>
      <c r="F46">
        <v>79275067382</v>
      </c>
      <c r="G46">
        <v>314252091.56999999</v>
      </c>
      <c r="H46">
        <v>78477685065.229996</v>
      </c>
      <c r="I46">
        <v>78940321475.690002</v>
      </c>
      <c r="J46">
        <v>7.0730000000000001E-2</v>
      </c>
      <c r="K46">
        <v>3.0980000000000001E-3</v>
      </c>
      <c r="M46" t="s">
        <v>0</v>
      </c>
      <c r="N46">
        <v>5500</v>
      </c>
      <c r="O46">
        <v>192</v>
      </c>
      <c r="P46">
        <v>14025</v>
      </c>
      <c r="Q46">
        <v>0</v>
      </c>
      <c r="R46">
        <v>95676885244</v>
      </c>
      <c r="S46">
        <v>370298669.80000001</v>
      </c>
      <c r="T46">
        <v>94830242604.520004</v>
      </c>
      <c r="U46">
        <v>95261975149.970001</v>
      </c>
      <c r="V46">
        <v>5.8134999999999999E-2</v>
      </c>
      <c r="W46">
        <v>5.581E-3</v>
      </c>
    </row>
    <row r="47" spans="1:23" x14ac:dyDescent="0.35">
      <c r="A47" t="s">
        <v>1</v>
      </c>
      <c r="B47">
        <v>5500</v>
      </c>
      <c r="C47">
        <v>192</v>
      </c>
      <c r="D47">
        <v>405</v>
      </c>
      <c r="E47">
        <v>0</v>
      </c>
      <c r="F47">
        <v>2959313165</v>
      </c>
      <c r="G47">
        <v>11383600.470000001</v>
      </c>
      <c r="H47">
        <v>2917732726.02</v>
      </c>
      <c r="I47">
        <v>2937587818</v>
      </c>
      <c r="J47">
        <v>0.115804</v>
      </c>
      <c r="K47">
        <v>4.1139000000000002E-2</v>
      </c>
      <c r="M47" t="s">
        <v>2</v>
      </c>
      <c r="N47">
        <v>5500</v>
      </c>
      <c r="O47">
        <v>192</v>
      </c>
      <c r="P47">
        <v>3136</v>
      </c>
      <c r="Q47">
        <v>0</v>
      </c>
      <c r="R47">
        <v>19758855069</v>
      </c>
      <c r="S47">
        <v>76846675.040000007</v>
      </c>
      <c r="T47">
        <v>19570052029.220001</v>
      </c>
      <c r="U47">
        <v>19669961904.049999</v>
      </c>
      <c r="V47">
        <v>6.5914E-2</v>
      </c>
      <c r="W47">
        <v>7.2919999999999999E-3</v>
      </c>
    </row>
    <row r="48" spans="1:23" x14ac:dyDescent="0.35">
      <c r="A48" t="s">
        <v>1</v>
      </c>
      <c r="B48">
        <v>5000</v>
      </c>
      <c r="C48">
        <v>216</v>
      </c>
      <c r="D48">
        <v>5120</v>
      </c>
      <c r="E48">
        <v>0</v>
      </c>
      <c r="F48">
        <v>47856227227</v>
      </c>
      <c r="G48">
        <v>213364144.03999999</v>
      </c>
      <c r="H48">
        <v>47395650038.279999</v>
      </c>
      <c r="I48">
        <v>47593283831.410004</v>
      </c>
      <c r="J48">
        <v>6.0257999999999999E-2</v>
      </c>
      <c r="K48">
        <v>1.2361E-2</v>
      </c>
      <c r="M48" t="s">
        <v>1</v>
      </c>
      <c r="N48">
        <v>4500</v>
      </c>
      <c r="O48">
        <v>192</v>
      </c>
      <c r="P48">
        <v>8014</v>
      </c>
      <c r="Q48">
        <v>0</v>
      </c>
      <c r="R48">
        <v>79875201910</v>
      </c>
      <c r="S48">
        <v>314589609.94999999</v>
      </c>
      <c r="T48">
        <v>79010365157.630005</v>
      </c>
      <c r="U48">
        <v>79481226976.880005</v>
      </c>
      <c r="V48">
        <v>7.9604999999999995E-2</v>
      </c>
      <c r="W48">
        <v>1.1861E-2</v>
      </c>
    </row>
    <row r="49" spans="1:23" x14ac:dyDescent="0.35">
      <c r="A49" t="s">
        <v>0</v>
      </c>
      <c r="B49">
        <v>9000</v>
      </c>
      <c r="C49">
        <v>360</v>
      </c>
      <c r="D49">
        <v>176</v>
      </c>
      <c r="E49">
        <v>0</v>
      </c>
      <c r="F49">
        <v>72067836</v>
      </c>
      <c r="G49">
        <v>5628309.8700000001</v>
      </c>
      <c r="H49">
        <v>65473260.420000002</v>
      </c>
      <c r="I49">
        <v>66439526.130000003</v>
      </c>
      <c r="J49">
        <v>0.14954300000000001</v>
      </c>
      <c r="K49">
        <v>0</v>
      </c>
      <c r="M49" t="s">
        <v>1</v>
      </c>
      <c r="N49">
        <v>5500</v>
      </c>
      <c r="O49">
        <v>192</v>
      </c>
      <c r="P49">
        <v>479</v>
      </c>
      <c r="Q49">
        <v>0</v>
      </c>
      <c r="R49">
        <v>3487760750</v>
      </c>
      <c r="S49">
        <v>13387987.189999999</v>
      </c>
      <c r="T49">
        <v>3459037305.0100002</v>
      </c>
      <c r="U49">
        <v>3474372762.8099999</v>
      </c>
      <c r="V49">
        <v>5.1506000000000003E-2</v>
      </c>
      <c r="W49">
        <v>0</v>
      </c>
    </row>
    <row r="50" spans="1:23" x14ac:dyDescent="0.35">
      <c r="A50" t="s">
        <v>1</v>
      </c>
      <c r="B50">
        <v>6000</v>
      </c>
      <c r="C50">
        <v>360</v>
      </c>
      <c r="D50">
        <v>55</v>
      </c>
      <c r="E50">
        <v>0</v>
      </c>
      <c r="F50">
        <v>70361210</v>
      </c>
      <c r="G50">
        <v>2095350.63</v>
      </c>
      <c r="H50">
        <v>66481705</v>
      </c>
      <c r="I50">
        <v>68265859.370000005</v>
      </c>
      <c r="J50">
        <v>0.26523799999999997</v>
      </c>
      <c r="K50">
        <v>0</v>
      </c>
      <c r="M50" t="s">
        <v>1</v>
      </c>
      <c r="N50">
        <v>5000</v>
      </c>
      <c r="O50">
        <v>216</v>
      </c>
      <c r="P50">
        <v>4859</v>
      </c>
      <c r="Q50">
        <v>0</v>
      </c>
      <c r="R50">
        <v>45464364452</v>
      </c>
      <c r="S50">
        <v>201819207.27000001</v>
      </c>
      <c r="T50">
        <v>45098875768.040001</v>
      </c>
      <c r="U50">
        <v>45220309557.970001</v>
      </c>
      <c r="V50">
        <v>4.2354000000000003E-2</v>
      </c>
      <c r="W50">
        <v>1.1091E-2</v>
      </c>
    </row>
    <row r="51" spans="1:23" x14ac:dyDescent="0.35">
      <c r="A51" t="s">
        <v>0</v>
      </c>
      <c r="B51">
        <v>6000</v>
      </c>
      <c r="C51">
        <v>360</v>
      </c>
      <c r="D51">
        <v>478</v>
      </c>
      <c r="E51">
        <v>0</v>
      </c>
      <c r="F51">
        <v>476235806</v>
      </c>
      <c r="G51">
        <v>13909828.24</v>
      </c>
      <c r="H51">
        <v>455656418.81999999</v>
      </c>
      <c r="I51">
        <v>459841689.42000002</v>
      </c>
      <c r="J51">
        <v>0.155698</v>
      </c>
      <c r="K51">
        <v>6.0832999999999998E-2</v>
      </c>
      <c r="M51" t="s">
        <v>0</v>
      </c>
      <c r="N51">
        <v>9000</v>
      </c>
      <c r="O51">
        <v>360</v>
      </c>
      <c r="P51">
        <v>183</v>
      </c>
      <c r="Q51">
        <v>0</v>
      </c>
      <c r="R51">
        <v>76195801</v>
      </c>
      <c r="S51">
        <v>6044257.3700000001</v>
      </c>
      <c r="T51">
        <v>68786790.700000003</v>
      </c>
      <c r="U51">
        <v>69040363.760000005</v>
      </c>
      <c r="V51">
        <v>0.19497500000000001</v>
      </c>
      <c r="W51">
        <v>0.16162299999999999</v>
      </c>
    </row>
    <row r="52" spans="1:23" x14ac:dyDescent="0.35">
      <c r="A52" t="s">
        <v>0</v>
      </c>
      <c r="B52">
        <v>4750</v>
      </c>
      <c r="C52">
        <v>192</v>
      </c>
      <c r="D52">
        <v>47618</v>
      </c>
      <c r="E52">
        <v>0</v>
      </c>
      <c r="F52">
        <v>407965256021</v>
      </c>
      <c r="G52">
        <v>1595759617.6800001</v>
      </c>
      <c r="H52">
        <v>404248073897.75</v>
      </c>
      <c r="I52">
        <v>406125366852.28998</v>
      </c>
      <c r="J52">
        <v>6.0645999999999999E-2</v>
      </c>
      <c r="K52">
        <v>7.1570000000000002E-3</v>
      </c>
      <c r="M52" t="s">
        <v>1</v>
      </c>
      <c r="N52">
        <v>6000</v>
      </c>
      <c r="O52">
        <v>360</v>
      </c>
      <c r="P52">
        <v>54</v>
      </c>
      <c r="Q52">
        <v>0</v>
      </c>
      <c r="R52">
        <v>70049307</v>
      </c>
      <c r="S52">
        <v>2042439.88</v>
      </c>
      <c r="T52">
        <v>66700979.600000001</v>
      </c>
      <c r="U52">
        <v>68006867.120000005</v>
      </c>
      <c r="V52">
        <v>0.20213900000000001</v>
      </c>
      <c r="W52">
        <v>0</v>
      </c>
    </row>
    <row r="53" spans="1:23" x14ac:dyDescent="0.35">
      <c r="A53" t="s">
        <v>0</v>
      </c>
      <c r="B53">
        <v>3750</v>
      </c>
      <c r="C53">
        <v>192</v>
      </c>
      <c r="D53">
        <v>18922</v>
      </c>
      <c r="E53">
        <v>0</v>
      </c>
      <c r="F53">
        <v>195347168530</v>
      </c>
      <c r="G53">
        <v>761298896.51999998</v>
      </c>
      <c r="H53">
        <v>193507218509.06</v>
      </c>
      <c r="I53">
        <v>194530471906.20001</v>
      </c>
      <c r="J53">
        <v>6.4284999999999995E-2</v>
      </c>
      <c r="K53">
        <v>3.398E-3</v>
      </c>
      <c r="M53" t="s">
        <v>0</v>
      </c>
      <c r="N53">
        <v>6000</v>
      </c>
      <c r="O53">
        <v>360</v>
      </c>
      <c r="P53">
        <v>456</v>
      </c>
      <c r="Q53">
        <v>0</v>
      </c>
      <c r="R53">
        <v>461845896</v>
      </c>
      <c r="S53">
        <v>13265128.83</v>
      </c>
      <c r="T53">
        <v>444798152.98000002</v>
      </c>
      <c r="U53">
        <v>448580767.17000002</v>
      </c>
      <c r="V53">
        <v>9.3974000000000002E-2</v>
      </c>
      <c r="W53">
        <v>0</v>
      </c>
    </row>
    <row r="54" spans="1:23" x14ac:dyDescent="0.35">
      <c r="A54" t="s">
        <v>1</v>
      </c>
      <c r="B54">
        <v>4750</v>
      </c>
      <c r="C54">
        <v>192</v>
      </c>
      <c r="D54">
        <v>5774</v>
      </c>
      <c r="E54">
        <v>0</v>
      </c>
      <c r="F54">
        <v>54632899598</v>
      </c>
      <c r="G54">
        <v>213023033.84</v>
      </c>
      <c r="H54">
        <v>54085987480.690002</v>
      </c>
      <c r="I54">
        <v>54381694277.029999</v>
      </c>
      <c r="J54">
        <v>7.0921999999999999E-2</v>
      </c>
      <c r="K54">
        <v>8.3540000000000003E-3</v>
      </c>
      <c r="M54" t="s">
        <v>0</v>
      </c>
      <c r="N54">
        <v>4750</v>
      </c>
      <c r="O54">
        <v>192</v>
      </c>
      <c r="P54">
        <v>48273</v>
      </c>
      <c r="Q54">
        <v>0</v>
      </c>
      <c r="R54">
        <v>416072874421</v>
      </c>
      <c r="S54">
        <v>1616889321.8699999</v>
      </c>
      <c r="T54">
        <v>412560398037.01001</v>
      </c>
      <c r="U54">
        <v>414300212619.77002</v>
      </c>
      <c r="V54">
        <v>5.3321E-2</v>
      </c>
      <c r="W54">
        <v>4.483E-3</v>
      </c>
    </row>
    <row r="55" spans="1:23" x14ac:dyDescent="0.35">
      <c r="A55" t="s">
        <v>0</v>
      </c>
      <c r="B55">
        <v>20000</v>
      </c>
      <c r="C55">
        <v>360</v>
      </c>
      <c r="D55">
        <v>22</v>
      </c>
      <c r="E55">
        <v>0</v>
      </c>
      <c r="F55">
        <v>8703325</v>
      </c>
      <c r="G55">
        <v>871033.45</v>
      </c>
      <c r="H55">
        <v>7666283.8200000003</v>
      </c>
      <c r="I55">
        <v>7789965.5499999998</v>
      </c>
      <c r="J55">
        <v>0.20634</v>
      </c>
      <c r="K55">
        <v>5.6821999999999998E-2</v>
      </c>
      <c r="M55" t="s">
        <v>0</v>
      </c>
      <c r="N55">
        <v>3750</v>
      </c>
      <c r="O55">
        <v>192</v>
      </c>
      <c r="P55">
        <v>13467</v>
      </c>
      <c r="Q55">
        <v>0</v>
      </c>
      <c r="R55">
        <v>139056377656</v>
      </c>
      <c r="S55">
        <v>541629044.63</v>
      </c>
      <c r="T55">
        <v>138008745585.23001</v>
      </c>
      <c r="U55">
        <v>138480495654.57001</v>
      </c>
      <c r="V55">
        <v>4.2803000000000001E-2</v>
      </c>
      <c r="W55">
        <v>2.9520000000000002E-3</v>
      </c>
    </row>
    <row r="56" spans="1:23" x14ac:dyDescent="0.35">
      <c r="A56" t="s">
        <v>2</v>
      </c>
      <c r="B56">
        <v>4250</v>
      </c>
      <c r="C56">
        <v>192</v>
      </c>
      <c r="D56">
        <v>5994</v>
      </c>
      <c r="E56">
        <v>0</v>
      </c>
      <c r="F56">
        <v>45332676919</v>
      </c>
      <c r="G56">
        <v>173645752.30000001</v>
      </c>
      <c r="H56">
        <v>44956347691.010002</v>
      </c>
      <c r="I56">
        <v>45159031166.699997</v>
      </c>
      <c r="J56">
        <v>5.2352000000000003E-2</v>
      </c>
      <c r="K56">
        <v>0</v>
      </c>
      <c r="M56" t="s">
        <v>1</v>
      </c>
      <c r="N56">
        <v>4750</v>
      </c>
      <c r="O56">
        <v>192</v>
      </c>
      <c r="P56">
        <v>5920</v>
      </c>
      <c r="Q56">
        <v>0</v>
      </c>
      <c r="R56">
        <v>56198387693</v>
      </c>
      <c r="S56">
        <v>217769521.06</v>
      </c>
      <c r="T56">
        <v>55713829070.919998</v>
      </c>
      <c r="U56">
        <v>55947701862.379997</v>
      </c>
      <c r="V56">
        <v>5.5502999999999997E-2</v>
      </c>
      <c r="W56">
        <v>7.0060000000000001E-3</v>
      </c>
    </row>
    <row r="57" spans="1:23" x14ac:dyDescent="0.35">
      <c r="A57" t="s">
        <v>2</v>
      </c>
      <c r="B57">
        <v>4500</v>
      </c>
      <c r="C57">
        <v>144</v>
      </c>
      <c r="D57">
        <v>9721</v>
      </c>
      <c r="E57">
        <v>0</v>
      </c>
      <c r="F57">
        <v>76911039825</v>
      </c>
      <c r="G57">
        <v>219300203.78999999</v>
      </c>
      <c r="H57">
        <v>76123601509.389999</v>
      </c>
      <c r="I57">
        <v>76650794814.259995</v>
      </c>
      <c r="J57">
        <v>8.5128999999999996E-2</v>
      </c>
      <c r="K57">
        <v>6.3699999999999998E-3</v>
      </c>
      <c r="M57" t="s">
        <v>0</v>
      </c>
      <c r="N57">
        <v>20000</v>
      </c>
      <c r="O57">
        <v>360</v>
      </c>
      <c r="P57">
        <v>22</v>
      </c>
      <c r="Q57">
        <v>0</v>
      </c>
      <c r="R57">
        <v>9822163</v>
      </c>
      <c r="S57">
        <v>882599.64</v>
      </c>
      <c r="T57">
        <v>8939563.3599999994</v>
      </c>
      <c r="U57">
        <v>8939563.3599999994</v>
      </c>
      <c r="V57">
        <v>0</v>
      </c>
      <c r="W57">
        <v>0</v>
      </c>
    </row>
    <row r="58" spans="1:23" x14ac:dyDescent="0.35">
      <c r="A58" t="s">
        <v>1</v>
      </c>
      <c r="B58">
        <v>5500</v>
      </c>
      <c r="C58">
        <v>240</v>
      </c>
      <c r="D58">
        <v>332</v>
      </c>
      <c r="E58">
        <v>0</v>
      </c>
      <c r="F58">
        <v>2725513336</v>
      </c>
      <c r="G58">
        <v>14295980.880000001</v>
      </c>
      <c r="H58">
        <v>2703146191.96</v>
      </c>
      <c r="I58">
        <v>2711217355.1199999</v>
      </c>
      <c r="J58">
        <v>3.4963000000000001E-2</v>
      </c>
      <c r="K58">
        <v>0</v>
      </c>
      <c r="M58" t="s">
        <v>2</v>
      </c>
      <c r="N58">
        <v>4250</v>
      </c>
      <c r="O58">
        <v>192</v>
      </c>
      <c r="P58">
        <v>5578</v>
      </c>
      <c r="Q58">
        <v>0</v>
      </c>
      <c r="R58">
        <v>42748211412</v>
      </c>
      <c r="S58">
        <v>163037660.52000001</v>
      </c>
      <c r="T58">
        <v>42297530262.849998</v>
      </c>
      <c r="U58">
        <v>42564201169.75</v>
      </c>
      <c r="V58">
        <v>7.7823000000000003E-2</v>
      </c>
      <c r="W58">
        <v>5.8710000000000004E-3</v>
      </c>
    </row>
    <row r="59" spans="1:23" x14ac:dyDescent="0.35">
      <c r="A59" t="s">
        <v>1</v>
      </c>
      <c r="B59">
        <v>6500</v>
      </c>
      <c r="C59">
        <v>320</v>
      </c>
      <c r="D59">
        <v>2592</v>
      </c>
      <c r="E59">
        <v>0</v>
      </c>
      <c r="F59">
        <v>9329902543</v>
      </c>
      <c r="G59">
        <v>89673918.5</v>
      </c>
      <c r="H59">
        <v>9195003440.5900002</v>
      </c>
      <c r="I59">
        <v>9236383949.6900005</v>
      </c>
      <c r="J59">
        <v>5.6641999999999998E-2</v>
      </c>
      <c r="K59">
        <v>4.934E-3</v>
      </c>
      <c r="M59" t="s">
        <v>2</v>
      </c>
      <c r="N59">
        <v>4500</v>
      </c>
      <c r="O59">
        <v>144</v>
      </c>
      <c r="P59">
        <v>10157</v>
      </c>
      <c r="Q59">
        <v>0</v>
      </c>
      <c r="R59">
        <v>80735307876</v>
      </c>
      <c r="S59">
        <v>229879377.53999999</v>
      </c>
      <c r="T59">
        <v>79962088176.25</v>
      </c>
      <c r="U59">
        <v>80451995256.350006</v>
      </c>
      <c r="V59">
        <v>7.7836000000000002E-2</v>
      </c>
      <c r="W59">
        <v>7.9129999999999999E-3</v>
      </c>
    </row>
    <row r="60" spans="1:23" x14ac:dyDescent="0.35">
      <c r="A60" t="s">
        <v>0</v>
      </c>
      <c r="B60">
        <v>5500</v>
      </c>
      <c r="C60">
        <v>240</v>
      </c>
      <c r="D60">
        <v>1989</v>
      </c>
      <c r="E60">
        <v>0</v>
      </c>
      <c r="F60">
        <v>13419872399</v>
      </c>
      <c r="G60">
        <v>70345892.409999996</v>
      </c>
      <c r="H60">
        <v>13245674296.389999</v>
      </c>
      <c r="I60">
        <v>13335533976.780001</v>
      </c>
      <c r="J60">
        <v>8.9011999999999994E-2</v>
      </c>
      <c r="K60">
        <v>1.2441000000000001E-2</v>
      </c>
      <c r="M60" t="s">
        <v>1</v>
      </c>
      <c r="N60">
        <v>5500</v>
      </c>
      <c r="O60">
        <v>240</v>
      </c>
      <c r="P60">
        <v>280</v>
      </c>
      <c r="Q60">
        <v>0</v>
      </c>
      <c r="R60">
        <v>2208442816</v>
      </c>
      <c r="S60">
        <v>11770249.539999999</v>
      </c>
      <c r="T60">
        <v>2196672566.46</v>
      </c>
      <c r="U60">
        <v>2196672566.46</v>
      </c>
      <c r="V60">
        <v>0</v>
      </c>
      <c r="W60">
        <v>0</v>
      </c>
    </row>
    <row r="61" spans="1:23" x14ac:dyDescent="0.35">
      <c r="A61" t="s">
        <v>2</v>
      </c>
      <c r="B61">
        <v>8000</v>
      </c>
      <c r="C61">
        <v>360</v>
      </c>
      <c r="D61">
        <v>83</v>
      </c>
      <c r="E61">
        <v>0</v>
      </c>
      <c r="F61">
        <v>56006064</v>
      </c>
      <c r="G61">
        <v>2492341.29</v>
      </c>
      <c r="H61">
        <v>52832033.420000002</v>
      </c>
      <c r="I61">
        <v>53513722.710000001</v>
      </c>
      <c r="J61">
        <v>0.13666900000000001</v>
      </c>
      <c r="K61">
        <v>0</v>
      </c>
      <c r="M61" t="s">
        <v>0</v>
      </c>
      <c r="N61">
        <v>5500</v>
      </c>
      <c r="O61">
        <v>240</v>
      </c>
      <c r="P61">
        <v>1676</v>
      </c>
      <c r="Q61">
        <v>0</v>
      </c>
      <c r="R61">
        <v>10905909560</v>
      </c>
      <c r="S61">
        <v>58089028.359999999</v>
      </c>
      <c r="T61">
        <v>10821916000.85</v>
      </c>
      <c r="U61">
        <v>10847820531.639999</v>
      </c>
      <c r="V61">
        <v>2.8133999999999999E-2</v>
      </c>
      <c r="W61">
        <v>0</v>
      </c>
    </row>
    <row r="62" spans="1:23" x14ac:dyDescent="0.35">
      <c r="A62" t="s">
        <v>0</v>
      </c>
      <c r="B62">
        <v>6500</v>
      </c>
      <c r="C62">
        <v>240</v>
      </c>
      <c r="D62">
        <v>9653</v>
      </c>
      <c r="E62">
        <v>0</v>
      </c>
      <c r="F62">
        <v>55580426703</v>
      </c>
      <c r="G62">
        <v>288847983.44</v>
      </c>
      <c r="H62">
        <v>54890943898.349998</v>
      </c>
      <c r="I62">
        <v>55221621153.330002</v>
      </c>
      <c r="J62">
        <v>8.3150000000000002E-2</v>
      </c>
      <c r="K62">
        <v>1.4999999999999999E-2</v>
      </c>
      <c r="M62" t="s">
        <v>0</v>
      </c>
      <c r="N62">
        <v>6500</v>
      </c>
      <c r="O62">
        <v>240</v>
      </c>
      <c r="P62">
        <v>9579</v>
      </c>
      <c r="Q62">
        <v>0</v>
      </c>
      <c r="R62">
        <v>54772331619</v>
      </c>
      <c r="S62">
        <v>285556195.66000003</v>
      </c>
      <c r="T62">
        <v>54178937389.150002</v>
      </c>
      <c r="U62">
        <v>54438262908.57</v>
      </c>
      <c r="V62">
        <v>6.5397999999999998E-2</v>
      </c>
      <c r="W62">
        <v>1.0577E-2</v>
      </c>
    </row>
    <row r="63" spans="1:23" x14ac:dyDescent="0.35">
      <c r="A63" t="s">
        <v>0</v>
      </c>
      <c r="B63">
        <v>7000</v>
      </c>
      <c r="C63">
        <v>240</v>
      </c>
      <c r="D63">
        <v>5211</v>
      </c>
      <c r="E63">
        <v>0</v>
      </c>
      <c r="F63">
        <v>26561052879</v>
      </c>
      <c r="G63">
        <v>135119009.38999999</v>
      </c>
      <c r="H63">
        <v>26278426470.419998</v>
      </c>
      <c r="I63">
        <v>26392212724.25</v>
      </c>
      <c r="J63">
        <v>6.4643999999999993E-2</v>
      </c>
      <c r="K63">
        <v>1.5129E-2</v>
      </c>
      <c r="M63" t="s">
        <v>0</v>
      </c>
      <c r="N63">
        <v>7000</v>
      </c>
      <c r="O63">
        <v>240</v>
      </c>
      <c r="P63">
        <v>5144</v>
      </c>
      <c r="Q63">
        <v>0</v>
      </c>
      <c r="R63">
        <v>26166012505</v>
      </c>
      <c r="S63">
        <v>132595920.06999999</v>
      </c>
      <c r="T63">
        <v>25887479683.700001</v>
      </c>
      <c r="U63">
        <v>25994546434.66</v>
      </c>
      <c r="V63">
        <v>6.4912999999999998E-2</v>
      </c>
      <c r="W63">
        <v>1.7680999999999999E-2</v>
      </c>
    </row>
    <row r="64" spans="1:23" x14ac:dyDescent="0.35">
      <c r="A64" t="s">
        <v>0</v>
      </c>
      <c r="B64">
        <v>5250</v>
      </c>
      <c r="C64">
        <v>192</v>
      </c>
      <c r="D64">
        <v>23432</v>
      </c>
      <c r="E64">
        <v>0</v>
      </c>
      <c r="F64">
        <v>174851135857</v>
      </c>
      <c r="G64">
        <v>682455060.63</v>
      </c>
      <c r="H64">
        <v>173059960266.75</v>
      </c>
      <c r="I64">
        <v>174023523597.22</v>
      </c>
      <c r="J64">
        <v>7.3493000000000003E-2</v>
      </c>
      <c r="K64">
        <v>9.9170000000000005E-3</v>
      </c>
      <c r="M64" t="s">
        <v>0</v>
      </c>
      <c r="N64">
        <v>5250</v>
      </c>
      <c r="O64">
        <v>192</v>
      </c>
      <c r="P64">
        <v>27060</v>
      </c>
      <c r="Q64">
        <v>0</v>
      </c>
      <c r="R64">
        <v>204227445150</v>
      </c>
      <c r="S64">
        <v>795560142.41999996</v>
      </c>
      <c r="T64">
        <v>202364714039.35999</v>
      </c>
      <c r="U64">
        <v>203214273866.45001</v>
      </c>
      <c r="V64">
        <v>6.0934000000000002E-2</v>
      </c>
      <c r="W64">
        <v>1.2711999999999999E-2</v>
      </c>
    </row>
    <row r="65" spans="1:23" x14ac:dyDescent="0.35">
      <c r="A65" t="s">
        <v>1</v>
      </c>
      <c r="B65">
        <v>6000</v>
      </c>
      <c r="C65">
        <v>240</v>
      </c>
      <c r="D65">
        <v>695</v>
      </c>
      <c r="E65">
        <v>0</v>
      </c>
      <c r="F65">
        <v>5376406637</v>
      </c>
      <c r="G65">
        <v>28471944.550000001</v>
      </c>
      <c r="H65">
        <v>5314583035.4200001</v>
      </c>
      <c r="I65">
        <v>5347934692.4499998</v>
      </c>
      <c r="J65">
        <v>7.1952000000000002E-2</v>
      </c>
      <c r="K65">
        <v>0</v>
      </c>
      <c r="M65" t="s">
        <v>1</v>
      </c>
      <c r="N65">
        <v>6000</v>
      </c>
      <c r="O65">
        <v>240</v>
      </c>
      <c r="P65">
        <v>707</v>
      </c>
      <c r="Q65">
        <v>0</v>
      </c>
      <c r="R65">
        <v>5317415255</v>
      </c>
      <c r="S65">
        <v>28646516.68</v>
      </c>
      <c r="T65">
        <v>5247246186.25</v>
      </c>
      <c r="U65">
        <v>5288768738.3199997</v>
      </c>
      <c r="V65">
        <v>8.9784000000000003E-2</v>
      </c>
      <c r="W65">
        <v>0</v>
      </c>
    </row>
    <row r="66" spans="1:23" x14ac:dyDescent="0.35">
      <c r="A66" t="s">
        <v>1</v>
      </c>
      <c r="B66">
        <v>7000</v>
      </c>
      <c r="C66">
        <v>240</v>
      </c>
      <c r="D66">
        <v>267</v>
      </c>
      <c r="E66">
        <v>0</v>
      </c>
      <c r="F66">
        <v>1540840738</v>
      </c>
      <c r="G66">
        <v>7976411.4000000004</v>
      </c>
      <c r="H66">
        <v>1513772760.46</v>
      </c>
      <c r="I66">
        <v>1532864326.5999999</v>
      </c>
      <c r="J66">
        <v>0.138959</v>
      </c>
      <c r="K66">
        <v>0</v>
      </c>
      <c r="M66" t="s">
        <v>1</v>
      </c>
      <c r="N66">
        <v>7000</v>
      </c>
      <c r="O66">
        <v>240</v>
      </c>
      <c r="P66">
        <v>272</v>
      </c>
      <c r="Q66">
        <v>0</v>
      </c>
      <c r="R66">
        <v>1568749986</v>
      </c>
      <c r="S66">
        <v>8045641.7199999997</v>
      </c>
      <c r="T66">
        <v>1536065680.5</v>
      </c>
      <c r="U66">
        <v>1555952665.54</v>
      </c>
      <c r="V66">
        <v>0.173013</v>
      </c>
      <c r="W66">
        <v>3.5748000000000002E-2</v>
      </c>
    </row>
    <row r="67" spans="1:23" x14ac:dyDescent="0.35">
      <c r="A67" t="s">
        <v>1</v>
      </c>
      <c r="B67">
        <v>7000</v>
      </c>
      <c r="C67">
        <v>320</v>
      </c>
      <c r="D67">
        <v>928</v>
      </c>
      <c r="E67">
        <v>0</v>
      </c>
      <c r="F67">
        <v>2840552413</v>
      </c>
      <c r="G67">
        <v>34002676.560000002</v>
      </c>
      <c r="H67">
        <v>2777519679.54</v>
      </c>
      <c r="I67">
        <v>2806549736.4400001</v>
      </c>
      <c r="J67">
        <v>0.11597399999999999</v>
      </c>
      <c r="K67">
        <v>0</v>
      </c>
      <c r="M67" t="s">
        <v>1</v>
      </c>
      <c r="N67">
        <v>7000</v>
      </c>
      <c r="O67">
        <v>320</v>
      </c>
      <c r="P67">
        <v>943</v>
      </c>
      <c r="Q67">
        <v>0</v>
      </c>
      <c r="R67">
        <v>2912615209</v>
      </c>
      <c r="S67">
        <v>34494695.359999999</v>
      </c>
      <c r="T67">
        <v>2866910548.5700002</v>
      </c>
      <c r="U67">
        <v>2875500308.4699998</v>
      </c>
      <c r="V67">
        <v>4.5220000000000003E-2</v>
      </c>
      <c r="W67">
        <v>1.0742E-2</v>
      </c>
    </row>
    <row r="68" spans="1:23" x14ac:dyDescent="0.35">
      <c r="A68" t="s">
        <v>1</v>
      </c>
      <c r="B68">
        <v>5500</v>
      </c>
      <c r="C68">
        <v>320</v>
      </c>
      <c r="D68">
        <v>4824</v>
      </c>
      <c r="E68">
        <v>0</v>
      </c>
      <c r="F68">
        <v>20518719872</v>
      </c>
      <c r="G68">
        <v>177996301.59</v>
      </c>
      <c r="H68">
        <v>20195804351.240002</v>
      </c>
      <c r="I68">
        <v>20330119658.32</v>
      </c>
      <c r="J68">
        <v>8.1536999999999998E-2</v>
      </c>
      <c r="K68">
        <v>6.1840000000000003E-3</v>
      </c>
      <c r="M68" t="s">
        <v>1</v>
      </c>
      <c r="N68">
        <v>5500</v>
      </c>
      <c r="O68">
        <v>320</v>
      </c>
      <c r="P68">
        <v>4861</v>
      </c>
      <c r="Q68">
        <v>0</v>
      </c>
      <c r="R68">
        <v>20810602326</v>
      </c>
      <c r="S68">
        <v>178411497.31999999</v>
      </c>
      <c r="T68">
        <v>20479255499.450001</v>
      </c>
      <c r="U68">
        <v>20626282537.310001</v>
      </c>
      <c r="V68">
        <v>8.4708000000000006E-2</v>
      </c>
      <c r="W68">
        <v>3.4020000000000001E-3</v>
      </c>
    </row>
    <row r="69" spans="1:23" x14ac:dyDescent="0.35">
      <c r="A69" t="s">
        <v>1</v>
      </c>
      <c r="B69">
        <v>5000</v>
      </c>
      <c r="C69">
        <v>240</v>
      </c>
      <c r="D69">
        <v>44</v>
      </c>
      <c r="E69">
        <v>0</v>
      </c>
      <c r="F69">
        <v>374226700</v>
      </c>
      <c r="G69">
        <v>2074074.85</v>
      </c>
      <c r="H69">
        <v>372152625.14999998</v>
      </c>
      <c r="I69">
        <v>372152625.14999998</v>
      </c>
      <c r="J69">
        <v>0</v>
      </c>
      <c r="K69">
        <v>0</v>
      </c>
      <c r="M69" t="s">
        <v>1</v>
      </c>
      <c r="N69">
        <v>5000</v>
      </c>
      <c r="O69">
        <v>240</v>
      </c>
      <c r="P69">
        <v>45</v>
      </c>
      <c r="Q69">
        <v>0</v>
      </c>
      <c r="R69">
        <v>372742862</v>
      </c>
      <c r="S69">
        <v>2095206.12</v>
      </c>
      <c r="T69">
        <v>367276774.44</v>
      </c>
      <c r="U69">
        <v>370647655.88</v>
      </c>
      <c r="V69">
        <v>0.103283</v>
      </c>
      <c r="W69">
        <v>0</v>
      </c>
    </row>
    <row r="70" spans="1:23" x14ac:dyDescent="0.35">
      <c r="A70" t="s">
        <v>0</v>
      </c>
      <c r="B70">
        <v>5500</v>
      </c>
      <c r="C70">
        <v>216</v>
      </c>
      <c r="D70">
        <v>53389</v>
      </c>
      <c r="E70">
        <v>0</v>
      </c>
      <c r="F70">
        <v>401501613498</v>
      </c>
      <c r="G70">
        <v>1726008713.76</v>
      </c>
      <c r="H70">
        <v>397485416251.90997</v>
      </c>
      <c r="I70">
        <v>399493782203.92999</v>
      </c>
      <c r="J70">
        <v>6.6341999999999998E-2</v>
      </c>
      <c r="K70">
        <v>8.3909999999999992E-3</v>
      </c>
      <c r="M70" t="s">
        <v>0</v>
      </c>
      <c r="N70">
        <v>5500</v>
      </c>
      <c r="O70">
        <v>216</v>
      </c>
      <c r="P70">
        <v>51675</v>
      </c>
      <c r="Q70">
        <v>0</v>
      </c>
      <c r="R70">
        <v>391745142050</v>
      </c>
      <c r="S70">
        <v>1676234312.9100001</v>
      </c>
      <c r="T70">
        <v>388124108837.16998</v>
      </c>
      <c r="U70">
        <v>389835485645.01001</v>
      </c>
      <c r="V70">
        <v>5.7972999999999997E-2</v>
      </c>
      <c r="W70">
        <v>7.1269999999999997E-3</v>
      </c>
    </row>
    <row r="71" spans="1:23" x14ac:dyDescent="0.35">
      <c r="A71" t="s">
        <v>0</v>
      </c>
      <c r="B71">
        <v>6000</v>
      </c>
      <c r="C71">
        <v>216</v>
      </c>
      <c r="D71">
        <v>15845</v>
      </c>
      <c r="E71">
        <v>0</v>
      </c>
      <c r="F71">
        <v>106769470738</v>
      </c>
      <c r="G71">
        <v>472570993.04000002</v>
      </c>
      <c r="H71">
        <v>105676632148.98</v>
      </c>
      <c r="I71">
        <v>106175125784.50999</v>
      </c>
      <c r="J71">
        <v>6.7528000000000005E-2</v>
      </c>
      <c r="K71">
        <v>1.3601E-2</v>
      </c>
      <c r="M71" t="s">
        <v>0</v>
      </c>
      <c r="N71">
        <v>6000</v>
      </c>
      <c r="O71">
        <v>216</v>
      </c>
      <c r="P71">
        <v>17010</v>
      </c>
      <c r="Q71">
        <v>0</v>
      </c>
      <c r="R71">
        <v>115178060063</v>
      </c>
      <c r="S71">
        <v>508214392.91000003</v>
      </c>
      <c r="T71">
        <v>114095106658.96001</v>
      </c>
      <c r="U71">
        <v>114546968759.36</v>
      </c>
      <c r="V71">
        <v>5.8264000000000003E-2</v>
      </c>
      <c r="W71">
        <v>1.2727E-2</v>
      </c>
    </row>
    <row r="72" spans="1:23" x14ac:dyDescent="0.35">
      <c r="A72" t="s">
        <v>1</v>
      </c>
      <c r="B72">
        <v>20000</v>
      </c>
      <c r="C72">
        <v>360</v>
      </c>
      <c r="D72">
        <v>3</v>
      </c>
      <c r="E72">
        <v>0</v>
      </c>
      <c r="F72">
        <v>1716559</v>
      </c>
      <c r="G72">
        <v>183301.74</v>
      </c>
      <c r="H72">
        <v>1533257.26</v>
      </c>
      <c r="I72">
        <v>1533257.26</v>
      </c>
      <c r="J72">
        <v>0</v>
      </c>
      <c r="K72">
        <v>0</v>
      </c>
      <c r="M72" t="s">
        <v>1</v>
      </c>
      <c r="N72">
        <v>20000</v>
      </c>
      <c r="O72">
        <v>360</v>
      </c>
      <c r="P72">
        <v>4</v>
      </c>
      <c r="Q72">
        <v>0</v>
      </c>
      <c r="R72">
        <v>3549378</v>
      </c>
      <c r="S72">
        <v>283189.64</v>
      </c>
      <c r="T72">
        <v>1604708.23</v>
      </c>
      <c r="U72">
        <v>3266188.36</v>
      </c>
      <c r="V72">
        <v>0.99948700000000001</v>
      </c>
      <c r="W72">
        <v>0</v>
      </c>
    </row>
    <row r="73" spans="1:23" x14ac:dyDescent="0.35">
      <c r="A73" t="s">
        <v>0</v>
      </c>
      <c r="B73">
        <v>9000</v>
      </c>
      <c r="C73">
        <v>320</v>
      </c>
      <c r="D73">
        <v>607</v>
      </c>
      <c r="E73">
        <v>0</v>
      </c>
      <c r="F73">
        <v>981686224</v>
      </c>
      <c r="G73">
        <v>16681313.68</v>
      </c>
      <c r="H73">
        <v>961345538.09000003</v>
      </c>
      <c r="I73">
        <v>965004910.32000005</v>
      </c>
      <c r="J73">
        <v>4.3825999999999997E-2</v>
      </c>
      <c r="K73">
        <v>0</v>
      </c>
      <c r="M73" t="s">
        <v>0</v>
      </c>
      <c r="N73">
        <v>9000</v>
      </c>
      <c r="O73">
        <v>320</v>
      </c>
      <c r="P73">
        <v>617</v>
      </c>
      <c r="Q73">
        <v>0</v>
      </c>
      <c r="R73">
        <v>1016593013</v>
      </c>
      <c r="S73">
        <v>16908434.780000001</v>
      </c>
      <c r="T73">
        <v>996741201.66999996</v>
      </c>
      <c r="U73">
        <v>999684578.22000003</v>
      </c>
      <c r="V73">
        <v>3.4195999999999997E-2</v>
      </c>
      <c r="W73">
        <v>0</v>
      </c>
    </row>
    <row r="74" spans="1:23" x14ac:dyDescent="0.35">
      <c r="A74" t="s">
        <v>2</v>
      </c>
      <c r="B74">
        <v>8500</v>
      </c>
      <c r="C74">
        <v>320</v>
      </c>
      <c r="D74">
        <v>67</v>
      </c>
      <c r="E74">
        <v>0</v>
      </c>
      <c r="F74">
        <v>118628116</v>
      </c>
      <c r="G74">
        <v>2073988.59</v>
      </c>
      <c r="H74">
        <v>116485581.92</v>
      </c>
      <c r="I74">
        <v>116554127.41</v>
      </c>
      <c r="J74">
        <v>6.9119999999999997E-3</v>
      </c>
      <c r="K74">
        <v>0</v>
      </c>
      <c r="M74" t="s">
        <v>2</v>
      </c>
      <c r="N74">
        <v>8500</v>
      </c>
      <c r="O74">
        <v>320</v>
      </c>
      <c r="P74">
        <v>70</v>
      </c>
      <c r="Q74">
        <v>0</v>
      </c>
      <c r="R74">
        <v>123361103</v>
      </c>
      <c r="S74">
        <v>2115306.12</v>
      </c>
      <c r="T74">
        <v>121245796.88</v>
      </c>
      <c r="U74">
        <v>121245796.88</v>
      </c>
      <c r="V74">
        <v>0</v>
      </c>
      <c r="W74">
        <v>0</v>
      </c>
    </row>
    <row r="75" spans="1:23" x14ac:dyDescent="0.35">
      <c r="A75" t="s">
        <v>2</v>
      </c>
      <c r="B75">
        <v>9000</v>
      </c>
      <c r="C75">
        <v>320</v>
      </c>
      <c r="D75">
        <v>38</v>
      </c>
      <c r="E75">
        <v>0</v>
      </c>
      <c r="F75">
        <v>56646680</v>
      </c>
      <c r="G75">
        <v>953157.52</v>
      </c>
      <c r="H75">
        <v>55693522.479999997</v>
      </c>
      <c r="I75">
        <v>55693522.479999997</v>
      </c>
      <c r="J75">
        <v>0</v>
      </c>
      <c r="K75">
        <v>0</v>
      </c>
      <c r="M75" t="s">
        <v>2</v>
      </c>
      <c r="N75">
        <v>9000</v>
      </c>
      <c r="O75">
        <v>320</v>
      </c>
      <c r="P75">
        <v>38</v>
      </c>
      <c r="Q75">
        <v>0</v>
      </c>
      <c r="R75">
        <v>58084766</v>
      </c>
      <c r="S75">
        <v>954733.85</v>
      </c>
      <c r="T75">
        <v>57130032.149999999</v>
      </c>
      <c r="U75">
        <v>57130032.149999999</v>
      </c>
      <c r="V75">
        <v>0</v>
      </c>
      <c r="W75">
        <v>0</v>
      </c>
    </row>
    <row r="76" spans="1:23" x14ac:dyDescent="0.35">
      <c r="A76" t="s">
        <v>0</v>
      </c>
      <c r="B76">
        <v>20000</v>
      </c>
      <c r="C76">
        <v>320</v>
      </c>
      <c r="D76">
        <v>88</v>
      </c>
      <c r="E76">
        <v>0</v>
      </c>
      <c r="F76">
        <v>145283663</v>
      </c>
      <c r="G76">
        <v>2375744.59</v>
      </c>
      <c r="H76">
        <v>142811858.90000001</v>
      </c>
      <c r="I76">
        <v>142907918.41</v>
      </c>
      <c r="J76">
        <v>7.9050000000000006E-3</v>
      </c>
      <c r="K76">
        <v>0</v>
      </c>
      <c r="M76" t="s">
        <v>0</v>
      </c>
      <c r="N76">
        <v>20000</v>
      </c>
      <c r="O76">
        <v>320</v>
      </c>
      <c r="P76">
        <v>92</v>
      </c>
      <c r="Q76">
        <v>0</v>
      </c>
      <c r="R76">
        <v>152058176</v>
      </c>
      <c r="S76">
        <v>2427387.11</v>
      </c>
      <c r="T76">
        <v>146260611.71000001</v>
      </c>
      <c r="U76">
        <v>149630788.88999999</v>
      </c>
      <c r="V76">
        <v>0.23582400000000001</v>
      </c>
      <c r="W76">
        <v>0</v>
      </c>
    </row>
    <row r="77" spans="1:23" x14ac:dyDescent="0.35">
      <c r="A77" t="s">
        <v>0</v>
      </c>
      <c r="B77">
        <v>6500</v>
      </c>
      <c r="C77">
        <v>216</v>
      </c>
      <c r="D77">
        <v>9746</v>
      </c>
      <c r="E77">
        <v>0</v>
      </c>
      <c r="F77">
        <v>62835516430</v>
      </c>
      <c r="G77">
        <v>276219454.75999999</v>
      </c>
      <c r="H77">
        <v>62175460920</v>
      </c>
      <c r="I77">
        <v>62524393502.43</v>
      </c>
      <c r="J77">
        <v>7.0889999999999995E-2</v>
      </c>
      <c r="K77">
        <v>6.6449999999999999E-3</v>
      </c>
      <c r="M77" t="s">
        <v>0</v>
      </c>
      <c r="N77">
        <v>6500</v>
      </c>
      <c r="O77">
        <v>216</v>
      </c>
      <c r="P77">
        <v>10430</v>
      </c>
      <c r="Q77">
        <v>0</v>
      </c>
      <c r="R77">
        <v>67325115090</v>
      </c>
      <c r="S77">
        <v>294125948.75</v>
      </c>
      <c r="T77">
        <v>66604240674.470001</v>
      </c>
      <c r="U77">
        <v>66992916972.82</v>
      </c>
      <c r="V77">
        <v>7.3467000000000005E-2</v>
      </c>
      <c r="W77">
        <v>6.7650000000000002E-3</v>
      </c>
    </row>
    <row r="78" spans="1:23" x14ac:dyDescent="0.35">
      <c r="A78" t="s">
        <v>0</v>
      </c>
      <c r="B78">
        <v>5000</v>
      </c>
      <c r="C78">
        <v>216</v>
      </c>
      <c r="D78">
        <v>57363</v>
      </c>
      <c r="E78">
        <v>0</v>
      </c>
      <c r="F78">
        <v>502861488967</v>
      </c>
      <c r="G78">
        <v>2227240107.6599998</v>
      </c>
      <c r="H78">
        <v>498070525519.34998</v>
      </c>
      <c r="I78">
        <v>500441595289.06</v>
      </c>
      <c r="J78">
        <v>5.9492999999999997E-2</v>
      </c>
      <c r="K78">
        <v>4.5880000000000001E-3</v>
      </c>
      <c r="M78" t="s">
        <v>0</v>
      </c>
      <c r="N78">
        <v>7000</v>
      </c>
      <c r="O78">
        <v>216</v>
      </c>
      <c r="P78">
        <v>3909</v>
      </c>
      <c r="Q78">
        <v>0</v>
      </c>
      <c r="R78">
        <v>21689167986</v>
      </c>
      <c r="S78">
        <v>92012969.219999999</v>
      </c>
      <c r="T78">
        <v>21445007517.279999</v>
      </c>
      <c r="U78">
        <v>21516751802.450001</v>
      </c>
      <c r="V78">
        <v>8.1005999999999995E-2</v>
      </c>
      <c r="W78">
        <v>4.3589000000000003E-2</v>
      </c>
    </row>
    <row r="79" spans="1:23" x14ac:dyDescent="0.35">
      <c r="A79" t="s">
        <v>1</v>
      </c>
      <c r="B79">
        <v>6000</v>
      </c>
      <c r="C79">
        <v>216</v>
      </c>
      <c r="D79">
        <v>740</v>
      </c>
      <c r="E79">
        <v>0</v>
      </c>
      <c r="F79">
        <v>5577999655</v>
      </c>
      <c r="G79">
        <v>25045543.960000001</v>
      </c>
      <c r="H79">
        <v>5524464131.1599998</v>
      </c>
      <c r="I79">
        <v>5548966631.46</v>
      </c>
      <c r="J79">
        <v>5.9597999999999998E-2</v>
      </c>
      <c r="K79">
        <v>8.5450000000000005E-3</v>
      </c>
      <c r="M79" t="s">
        <v>0</v>
      </c>
      <c r="N79">
        <v>5000</v>
      </c>
      <c r="O79">
        <v>216</v>
      </c>
      <c r="P79">
        <v>53898</v>
      </c>
      <c r="Q79">
        <v>0</v>
      </c>
      <c r="R79">
        <v>475080381047</v>
      </c>
      <c r="S79">
        <v>2095285316.3499999</v>
      </c>
      <c r="T79">
        <v>470335971990.03998</v>
      </c>
      <c r="U79">
        <v>472730518376.96002</v>
      </c>
      <c r="V79">
        <v>6.4898999999999998E-2</v>
      </c>
      <c r="W79">
        <v>6.411E-3</v>
      </c>
    </row>
    <row r="80" spans="1:23" x14ac:dyDescent="0.35">
      <c r="A80" t="s">
        <v>0</v>
      </c>
      <c r="B80">
        <v>4250</v>
      </c>
      <c r="C80">
        <v>192</v>
      </c>
      <c r="D80">
        <v>43739</v>
      </c>
      <c r="E80">
        <v>0</v>
      </c>
      <c r="F80">
        <v>404503622324</v>
      </c>
      <c r="G80">
        <v>1587859499.1900001</v>
      </c>
      <c r="H80">
        <v>400571796106.82001</v>
      </c>
      <c r="I80">
        <v>402725065567.21997</v>
      </c>
      <c r="J80">
        <v>6.7362000000000005E-2</v>
      </c>
      <c r="K80">
        <v>5.6429999999999996E-3</v>
      </c>
      <c r="M80" t="s">
        <v>1</v>
      </c>
      <c r="N80">
        <v>5500</v>
      </c>
      <c r="O80">
        <v>216</v>
      </c>
      <c r="P80">
        <v>2480</v>
      </c>
      <c r="Q80">
        <v>0</v>
      </c>
      <c r="R80">
        <v>20447731075</v>
      </c>
      <c r="S80">
        <v>88584770.349999994</v>
      </c>
      <c r="T80">
        <v>20205893834.669998</v>
      </c>
      <c r="U80">
        <v>20343572899.93</v>
      </c>
      <c r="V80">
        <v>8.6321999999999996E-2</v>
      </c>
      <c r="W80">
        <v>9.1009999999999997E-3</v>
      </c>
    </row>
    <row r="81" spans="1:23" x14ac:dyDescent="0.35">
      <c r="A81" t="s">
        <v>1</v>
      </c>
      <c r="B81">
        <v>6500</v>
      </c>
      <c r="C81">
        <v>216</v>
      </c>
      <c r="D81">
        <v>362</v>
      </c>
      <c r="E81">
        <v>0</v>
      </c>
      <c r="F81">
        <v>2579576094</v>
      </c>
      <c r="G81">
        <v>11318274.27</v>
      </c>
      <c r="H81">
        <v>2564552184.8899999</v>
      </c>
      <c r="I81">
        <v>2568257819.73</v>
      </c>
      <c r="J81">
        <v>1.7103E-2</v>
      </c>
      <c r="K81">
        <v>0</v>
      </c>
      <c r="M81" t="s">
        <v>1</v>
      </c>
      <c r="N81">
        <v>6000</v>
      </c>
      <c r="O81">
        <v>216</v>
      </c>
      <c r="P81">
        <v>817</v>
      </c>
      <c r="Q81">
        <v>0</v>
      </c>
      <c r="R81">
        <v>6295413339</v>
      </c>
      <c r="S81">
        <v>28212870.149999999</v>
      </c>
      <c r="T81">
        <v>6212031044.7799997</v>
      </c>
      <c r="U81">
        <v>6253429001.8599997</v>
      </c>
      <c r="V81">
        <v>0.10023799999999999</v>
      </c>
      <c r="W81">
        <v>2.5937000000000002E-2</v>
      </c>
    </row>
    <row r="82" spans="1:23" x14ac:dyDescent="0.35">
      <c r="A82" t="s">
        <v>1</v>
      </c>
      <c r="B82">
        <v>5500</v>
      </c>
      <c r="C82">
        <v>216</v>
      </c>
      <c r="D82">
        <v>2464</v>
      </c>
      <c r="E82">
        <v>0</v>
      </c>
      <c r="F82">
        <v>20020563666</v>
      </c>
      <c r="G82">
        <v>86931594.840000004</v>
      </c>
      <c r="H82">
        <v>19819079733.93</v>
      </c>
      <c r="I82">
        <v>19900120508.950001</v>
      </c>
      <c r="J82">
        <v>6.6541000000000003E-2</v>
      </c>
      <c r="K82">
        <v>1.9902E-2</v>
      </c>
      <c r="M82" t="s">
        <v>0</v>
      </c>
      <c r="N82">
        <v>4250</v>
      </c>
      <c r="O82">
        <v>192</v>
      </c>
      <c r="P82">
        <v>41075</v>
      </c>
      <c r="Q82">
        <v>0</v>
      </c>
      <c r="R82">
        <v>383495577630</v>
      </c>
      <c r="S82">
        <v>1500602187.97</v>
      </c>
      <c r="T82">
        <v>380285516825.72998</v>
      </c>
      <c r="U82">
        <v>381871651079.82001</v>
      </c>
      <c r="V82">
        <v>5.2199000000000002E-2</v>
      </c>
      <c r="W82">
        <v>3.852E-3</v>
      </c>
    </row>
    <row r="83" spans="1:23" x14ac:dyDescent="0.35">
      <c r="A83" t="s">
        <v>2</v>
      </c>
      <c r="B83">
        <v>5500</v>
      </c>
      <c r="C83">
        <v>216</v>
      </c>
      <c r="D83">
        <v>8583</v>
      </c>
      <c r="E83">
        <v>0</v>
      </c>
      <c r="F83">
        <v>54319944306</v>
      </c>
      <c r="G83">
        <v>230794726.03999999</v>
      </c>
      <c r="H83">
        <v>53764952296.830002</v>
      </c>
      <c r="I83">
        <v>54021090423.32</v>
      </c>
      <c r="J83">
        <v>6.9315000000000002E-2</v>
      </c>
      <c r="K83">
        <v>1.4932000000000001E-2</v>
      </c>
      <c r="M83" t="s">
        <v>1</v>
      </c>
      <c r="N83">
        <v>6500</v>
      </c>
      <c r="O83">
        <v>216</v>
      </c>
      <c r="P83">
        <v>382</v>
      </c>
      <c r="Q83">
        <v>0</v>
      </c>
      <c r="R83">
        <v>2714180912</v>
      </c>
      <c r="S83">
        <v>11834079.59</v>
      </c>
      <c r="T83">
        <v>2690004266.6700001</v>
      </c>
      <c r="U83">
        <v>2702346832.4099998</v>
      </c>
      <c r="V83">
        <v>5.3225000000000001E-2</v>
      </c>
      <c r="W83">
        <v>0</v>
      </c>
    </row>
    <row r="84" spans="1:23" x14ac:dyDescent="0.35">
      <c r="A84" t="s">
        <v>2</v>
      </c>
      <c r="B84">
        <v>5000</v>
      </c>
      <c r="C84">
        <v>216</v>
      </c>
      <c r="D84">
        <v>5670</v>
      </c>
      <c r="E84">
        <v>0</v>
      </c>
      <c r="F84">
        <v>41234152556</v>
      </c>
      <c r="G84">
        <v>181497170.53</v>
      </c>
      <c r="H84">
        <v>40836726557.029999</v>
      </c>
      <c r="I84">
        <v>41029289434.43</v>
      </c>
      <c r="J84">
        <v>6.1060999999999997E-2</v>
      </c>
      <c r="K84">
        <v>6.7790000000000003E-3</v>
      </c>
      <c r="M84" t="s">
        <v>2</v>
      </c>
      <c r="N84">
        <v>5500</v>
      </c>
      <c r="O84">
        <v>216</v>
      </c>
      <c r="P84">
        <v>7966</v>
      </c>
      <c r="Q84">
        <v>0</v>
      </c>
      <c r="R84">
        <v>50605969200</v>
      </c>
      <c r="S84">
        <v>214490978.66</v>
      </c>
      <c r="T84">
        <v>50121150261.379997</v>
      </c>
      <c r="U84">
        <v>50348360573.139999</v>
      </c>
      <c r="V84">
        <v>6.2252000000000002E-2</v>
      </c>
      <c r="W84">
        <v>1.0177E-2</v>
      </c>
    </row>
    <row r="85" spans="1:23" x14ac:dyDescent="0.35">
      <c r="A85" t="s">
        <v>0</v>
      </c>
      <c r="B85">
        <v>7000</v>
      </c>
      <c r="C85">
        <v>216</v>
      </c>
      <c r="D85">
        <v>3681</v>
      </c>
      <c r="E85">
        <v>0</v>
      </c>
      <c r="F85">
        <v>20333361972</v>
      </c>
      <c r="G85">
        <v>86873428.269999996</v>
      </c>
      <c r="H85">
        <v>20127708948.93</v>
      </c>
      <c r="I85">
        <v>20213571899.139999</v>
      </c>
      <c r="J85">
        <v>6.7890000000000006E-2</v>
      </c>
      <c r="K85">
        <v>1.9254E-2</v>
      </c>
      <c r="M85" t="s">
        <v>2</v>
      </c>
      <c r="N85">
        <v>5000</v>
      </c>
      <c r="O85">
        <v>216</v>
      </c>
      <c r="P85">
        <v>5233</v>
      </c>
      <c r="Q85">
        <v>0</v>
      </c>
      <c r="R85">
        <v>38080199573</v>
      </c>
      <c r="S85">
        <v>167047034.97999999</v>
      </c>
      <c r="T85">
        <v>37707532815.620003</v>
      </c>
      <c r="U85">
        <v>37907298626.010002</v>
      </c>
      <c r="V85">
        <v>6.2906000000000004E-2</v>
      </c>
      <c r="W85">
        <v>1.843E-3</v>
      </c>
    </row>
    <row r="86" spans="1:23" x14ac:dyDescent="0.35">
      <c r="A86" t="s">
        <v>1</v>
      </c>
      <c r="B86">
        <v>7000</v>
      </c>
      <c r="C86">
        <v>216</v>
      </c>
      <c r="D86">
        <v>90</v>
      </c>
      <c r="E86">
        <v>0</v>
      </c>
      <c r="F86">
        <v>549896046</v>
      </c>
      <c r="G86">
        <v>2362004.39</v>
      </c>
      <c r="H86">
        <v>547534041.61000001</v>
      </c>
      <c r="I86">
        <v>547534041.61000001</v>
      </c>
      <c r="J86">
        <v>0</v>
      </c>
      <c r="K86">
        <v>0</v>
      </c>
      <c r="M86" t="s">
        <v>1</v>
      </c>
      <c r="N86">
        <v>7000</v>
      </c>
      <c r="O86">
        <v>216</v>
      </c>
      <c r="P86">
        <v>93</v>
      </c>
      <c r="Q86">
        <v>0</v>
      </c>
      <c r="R86">
        <v>570960813</v>
      </c>
      <c r="S86">
        <v>2432228.63</v>
      </c>
      <c r="T86">
        <v>568480605.95000005</v>
      </c>
      <c r="U86">
        <v>568528584.37</v>
      </c>
      <c r="V86">
        <v>1.008E-3</v>
      </c>
      <c r="W86">
        <v>0</v>
      </c>
    </row>
    <row r="87" spans="1:23" x14ac:dyDescent="0.35">
      <c r="A87" t="s">
        <v>1</v>
      </c>
      <c r="B87">
        <v>8500</v>
      </c>
      <c r="C87">
        <v>320</v>
      </c>
      <c r="D87">
        <v>106</v>
      </c>
      <c r="E87">
        <v>0</v>
      </c>
      <c r="F87">
        <v>190635325</v>
      </c>
      <c r="G87">
        <v>3291573.13</v>
      </c>
      <c r="H87">
        <v>186119583.81999999</v>
      </c>
      <c r="I87">
        <v>187343751.87</v>
      </c>
      <c r="J87">
        <v>7.4394000000000002E-2</v>
      </c>
      <c r="K87">
        <v>0</v>
      </c>
      <c r="M87" t="s">
        <v>1</v>
      </c>
      <c r="N87">
        <v>8500</v>
      </c>
      <c r="O87">
        <v>320</v>
      </c>
      <c r="P87">
        <v>110</v>
      </c>
      <c r="Q87">
        <v>0</v>
      </c>
      <c r="R87">
        <v>197243651</v>
      </c>
      <c r="S87">
        <v>3335589.65</v>
      </c>
      <c r="T87">
        <v>193792699.69999999</v>
      </c>
      <c r="U87">
        <v>193908061.34999999</v>
      </c>
      <c r="V87">
        <v>6.9959999999999996E-3</v>
      </c>
      <c r="W87">
        <v>0</v>
      </c>
    </row>
    <row r="88" spans="1:23" x14ac:dyDescent="0.35">
      <c r="A88" t="s">
        <v>1</v>
      </c>
      <c r="B88">
        <v>6750</v>
      </c>
      <c r="C88">
        <v>360</v>
      </c>
      <c r="D88">
        <v>101</v>
      </c>
      <c r="E88">
        <v>0</v>
      </c>
      <c r="F88">
        <v>136820679</v>
      </c>
      <c r="G88">
        <v>4251536.96</v>
      </c>
      <c r="H88">
        <v>132569142.04000001</v>
      </c>
      <c r="I88">
        <v>132569142.04000001</v>
      </c>
      <c r="J88">
        <v>0</v>
      </c>
      <c r="K88">
        <v>0</v>
      </c>
      <c r="M88" t="s">
        <v>1</v>
      </c>
      <c r="N88">
        <v>6750</v>
      </c>
      <c r="O88">
        <v>360</v>
      </c>
      <c r="P88">
        <v>103</v>
      </c>
      <c r="Q88">
        <v>0</v>
      </c>
      <c r="R88">
        <v>139657525</v>
      </c>
      <c r="S88">
        <v>4261106.66</v>
      </c>
      <c r="T88">
        <v>134772191.06</v>
      </c>
      <c r="U88">
        <v>135396418.34</v>
      </c>
      <c r="V88">
        <v>5.2337000000000002E-2</v>
      </c>
      <c r="W88">
        <v>0</v>
      </c>
    </row>
    <row r="89" spans="1:23" x14ac:dyDescent="0.35">
      <c r="A89" t="s">
        <v>0</v>
      </c>
      <c r="B89">
        <v>6750</v>
      </c>
      <c r="C89">
        <v>320</v>
      </c>
      <c r="D89">
        <v>4687</v>
      </c>
      <c r="E89">
        <v>0</v>
      </c>
      <c r="F89">
        <v>15259821082</v>
      </c>
      <c r="G89">
        <v>137532745.55000001</v>
      </c>
      <c r="H89">
        <v>14993786745.92</v>
      </c>
      <c r="I89">
        <v>15104554796.75</v>
      </c>
      <c r="J89">
        <v>9.6500000000000002E-2</v>
      </c>
      <c r="K89">
        <v>1.3856E-2</v>
      </c>
      <c r="M89" t="s">
        <v>0</v>
      </c>
      <c r="N89">
        <v>6750</v>
      </c>
      <c r="O89">
        <v>320</v>
      </c>
      <c r="P89">
        <v>4642</v>
      </c>
      <c r="Q89">
        <v>0</v>
      </c>
      <c r="R89">
        <v>15000153253</v>
      </c>
      <c r="S89">
        <v>135505786.59</v>
      </c>
      <c r="T89">
        <v>14769642487.290001</v>
      </c>
      <c r="U89">
        <v>14857891940.889999</v>
      </c>
      <c r="V89">
        <v>7.3411000000000004E-2</v>
      </c>
      <c r="W89">
        <v>5.391E-3</v>
      </c>
    </row>
    <row r="90" spans="1:23" x14ac:dyDescent="0.35">
      <c r="A90" t="s">
        <v>2</v>
      </c>
      <c r="B90">
        <v>8000</v>
      </c>
      <c r="C90">
        <v>320</v>
      </c>
      <c r="D90">
        <v>67</v>
      </c>
      <c r="E90">
        <v>0</v>
      </c>
      <c r="F90">
        <v>115363058</v>
      </c>
      <c r="G90">
        <v>1879747.23</v>
      </c>
      <c r="H90">
        <v>113483310.77</v>
      </c>
      <c r="I90">
        <v>113483310.77</v>
      </c>
      <c r="J90">
        <v>0</v>
      </c>
      <c r="K90">
        <v>0</v>
      </c>
      <c r="M90" t="s">
        <v>2</v>
      </c>
      <c r="N90">
        <v>8000</v>
      </c>
      <c r="O90">
        <v>320</v>
      </c>
      <c r="P90">
        <v>77</v>
      </c>
      <c r="Q90">
        <v>0</v>
      </c>
      <c r="R90">
        <v>130783517</v>
      </c>
      <c r="S90">
        <v>2127708.83</v>
      </c>
      <c r="T90">
        <v>125179539.56999999</v>
      </c>
      <c r="U90">
        <v>128655808.17</v>
      </c>
      <c r="V90">
        <v>0.276229</v>
      </c>
      <c r="W90">
        <v>0</v>
      </c>
    </row>
    <row r="91" spans="1:23" x14ac:dyDescent="0.35">
      <c r="A91" t="s">
        <v>2</v>
      </c>
      <c r="B91">
        <v>9000</v>
      </c>
      <c r="C91">
        <v>360</v>
      </c>
      <c r="D91">
        <v>13</v>
      </c>
      <c r="E91">
        <v>0</v>
      </c>
      <c r="F91">
        <v>4734503</v>
      </c>
      <c r="G91">
        <v>475748.09</v>
      </c>
      <c r="H91">
        <v>4220195.3899999997</v>
      </c>
      <c r="I91">
        <v>4258754.91</v>
      </c>
      <c r="J91">
        <v>9.3470999999999999E-2</v>
      </c>
      <c r="K91">
        <v>0</v>
      </c>
      <c r="M91" t="s">
        <v>2</v>
      </c>
      <c r="N91">
        <v>9000</v>
      </c>
      <c r="O91">
        <v>360</v>
      </c>
      <c r="P91">
        <v>13</v>
      </c>
      <c r="Q91">
        <v>0</v>
      </c>
      <c r="R91">
        <v>5197724</v>
      </c>
      <c r="S91">
        <v>473382.89</v>
      </c>
      <c r="T91">
        <v>4724341.1100000003</v>
      </c>
      <c r="U91">
        <v>4724341.1100000003</v>
      </c>
      <c r="V91">
        <v>0</v>
      </c>
      <c r="W91">
        <v>0</v>
      </c>
    </row>
    <row r="92" spans="1:23" x14ac:dyDescent="0.35">
      <c r="A92" t="s">
        <v>1</v>
      </c>
      <c r="B92">
        <v>7250</v>
      </c>
      <c r="C92">
        <v>360</v>
      </c>
      <c r="D92">
        <v>179</v>
      </c>
      <c r="E92">
        <v>0</v>
      </c>
      <c r="F92">
        <v>216957594</v>
      </c>
      <c r="G92">
        <v>7277744.9500000002</v>
      </c>
      <c r="H92">
        <v>207630476.22999999</v>
      </c>
      <c r="I92">
        <v>209610137.37</v>
      </c>
      <c r="J92">
        <v>0.107644</v>
      </c>
      <c r="K92">
        <v>3.849E-3</v>
      </c>
      <c r="M92" t="s">
        <v>1</v>
      </c>
      <c r="N92">
        <v>7250</v>
      </c>
      <c r="O92">
        <v>360</v>
      </c>
      <c r="P92">
        <v>185</v>
      </c>
      <c r="Q92">
        <v>0</v>
      </c>
      <c r="R92">
        <v>228100420</v>
      </c>
      <c r="S92">
        <v>7431850.79</v>
      </c>
      <c r="T92">
        <v>217915444.00999999</v>
      </c>
      <c r="U92">
        <v>220668569.21000001</v>
      </c>
      <c r="V92">
        <v>0.135599</v>
      </c>
      <c r="W92">
        <v>0</v>
      </c>
    </row>
    <row r="93" spans="1:23" x14ac:dyDescent="0.35">
      <c r="A93" t="s">
        <v>2</v>
      </c>
      <c r="B93">
        <v>7250</v>
      </c>
      <c r="C93">
        <v>360</v>
      </c>
      <c r="D93">
        <v>49</v>
      </c>
      <c r="E93">
        <v>0</v>
      </c>
      <c r="F93">
        <v>39950910</v>
      </c>
      <c r="G93">
        <v>1219215.55</v>
      </c>
      <c r="H93">
        <v>38352896.229999997</v>
      </c>
      <c r="I93">
        <v>38731694.450000003</v>
      </c>
      <c r="J93">
        <v>0.108029</v>
      </c>
      <c r="K93">
        <v>0</v>
      </c>
      <c r="M93" t="s">
        <v>2</v>
      </c>
      <c r="N93">
        <v>7250</v>
      </c>
      <c r="O93">
        <v>360</v>
      </c>
      <c r="P93">
        <v>53</v>
      </c>
      <c r="Q93">
        <v>0</v>
      </c>
      <c r="R93">
        <v>43734134</v>
      </c>
      <c r="S93">
        <v>1351812.81</v>
      </c>
      <c r="T93">
        <v>41033956.039999999</v>
      </c>
      <c r="U93">
        <v>42382321.189999998</v>
      </c>
      <c r="V93">
        <v>0.31325700000000001</v>
      </c>
      <c r="W93">
        <v>0</v>
      </c>
    </row>
    <row r="94" spans="1:23" x14ac:dyDescent="0.35">
      <c r="A94" t="s">
        <v>2</v>
      </c>
      <c r="B94">
        <v>6000</v>
      </c>
      <c r="C94">
        <v>360</v>
      </c>
      <c r="D94">
        <v>39</v>
      </c>
      <c r="E94">
        <v>0</v>
      </c>
      <c r="F94">
        <v>41516860</v>
      </c>
      <c r="G94">
        <v>1170723.1299999999</v>
      </c>
      <c r="H94">
        <v>40346136.869999997</v>
      </c>
      <c r="I94">
        <v>40346136.869999997</v>
      </c>
      <c r="J94">
        <v>0</v>
      </c>
      <c r="K94">
        <v>0</v>
      </c>
      <c r="M94" t="s">
        <v>2</v>
      </c>
      <c r="N94">
        <v>6000</v>
      </c>
      <c r="O94">
        <v>360</v>
      </c>
      <c r="P94">
        <v>38</v>
      </c>
      <c r="Q94">
        <v>0</v>
      </c>
      <c r="R94">
        <v>38716358</v>
      </c>
      <c r="S94">
        <v>1082493.96</v>
      </c>
      <c r="T94">
        <v>36546349.670000002</v>
      </c>
      <c r="U94">
        <v>37633864.039999999</v>
      </c>
      <c r="V94">
        <v>0.289578</v>
      </c>
      <c r="W94">
        <v>0</v>
      </c>
    </row>
    <row r="95" spans="1:23" x14ac:dyDescent="0.35">
      <c r="A95" t="s">
        <v>0</v>
      </c>
      <c r="B95">
        <v>5750</v>
      </c>
      <c r="C95">
        <v>360</v>
      </c>
      <c r="D95">
        <v>161</v>
      </c>
      <c r="E95">
        <v>0</v>
      </c>
      <c r="F95">
        <v>170995975</v>
      </c>
      <c r="G95">
        <v>5048409.99</v>
      </c>
      <c r="H95">
        <v>162333062.96000001</v>
      </c>
      <c r="I95">
        <v>165947565.00999999</v>
      </c>
      <c r="J95">
        <v>0.22614799999999999</v>
      </c>
      <c r="K95">
        <v>0</v>
      </c>
      <c r="M95" t="s">
        <v>0</v>
      </c>
      <c r="N95">
        <v>6250</v>
      </c>
      <c r="O95">
        <v>360</v>
      </c>
      <c r="P95">
        <v>165</v>
      </c>
      <c r="Q95">
        <v>0</v>
      </c>
      <c r="R95">
        <v>168170784</v>
      </c>
      <c r="S95">
        <v>5282469.59</v>
      </c>
      <c r="T95">
        <v>160105206.02000001</v>
      </c>
      <c r="U95">
        <v>161687348.19999999</v>
      </c>
      <c r="V95">
        <v>0.181477</v>
      </c>
      <c r="W95">
        <v>8.2408999999999996E-2</v>
      </c>
    </row>
    <row r="96" spans="1:23" x14ac:dyDescent="0.35">
      <c r="A96" t="s">
        <v>2</v>
      </c>
      <c r="B96">
        <v>6500</v>
      </c>
      <c r="C96">
        <v>216</v>
      </c>
      <c r="D96">
        <v>1174</v>
      </c>
      <c r="E96">
        <v>0</v>
      </c>
      <c r="F96">
        <v>6419318794</v>
      </c>
      <c r="G96">
        <v>28420902.16</v>
      </c>
      <c r="H96">
        <v>6346037954.3100004</v>
      </c>
      <c r="I96">
        <v>6386787698.6499996</v>
      </c>
      <c r="J96">
        <v>8.0710000000000004E-2</v>
      </c>
      <c r="K96">
        <v>7.6559999999999996E-3</v>
      </c>
      <c r="M96" t="s">
        <v>0</v>
      </c>
      <c r="N96">
        <v>5750</v>
      </c>
      <c r="O96">
        <v>360</v>
      </c>
      <c r="P96">
        <v>146</v>
      </c>
      <c r="Q96">
        <v>0</v>
      </c>
      <c r="R96">
        <v>154932362</v>
      </c>
      <c r="S96">
        <v>4559782.07</v>
      </c>
      <c r="T96">
        <v>149114593.33000001</v>
      </c>
      <c r="U96">
        <v>150372579.93000001</v>
      </c>
      <c r="V96">
        <v>9.3199000000000004E-2</v>
      </c>
      <c r="W96">
        <v>0</v>
      </c>
    </row>
    <row r="97" spans="1:23" x14ac:dyDescent="0.35">
      <c r="A97" t="s">
        <v>2</v>
      </c>
      <c r="B97">
        <v>6000</v>
      </c>
      <c r="C97">
        <v>216</v>
      </c>
      <c r="D97">
        <v>1551</v>
      </c>
      <c r="E97">
        <v>0</v>
      </c>
      <c r="F97">
        <v>8958149884</v>
      </c>
      <c r="G97">
        <v>39426722.460000001</v>
      </c>
      <c r="H97">
        <v>8860471860.4099998</v>
      </c>
      <c r="I97">
        <v>8910173183.9799995</v>
      </c>
      <c r="J97">
        <v>7.5300000000000006E-2</v>
      </c>
      <c r="K97">
        <v>1.1393E-2</v>
      </c>
      <c r="M97" t="s">
        <v>2</v>
      </c>
      <c r="N97">
        <v>6500</v>
      </c>
      <c r="O97">
        <v>216</v>
      </c>
      <c r="P97">
        <v>1264</v>
      </c>
      <c r="Q97">
        <v>0</v>
      </c>
      <c r="R97">
        <v>6910301271</v>
      </c>
      <c r="S97">
        <v>30393622.690000001</v>
      </c>
      <c r="T97">
        <v>6812359046.1199999</v>
      </c>
      <c r="U97">
        <v>6875549837.8400002</v>
      </c>
      <c r="V97">
        <v>0.111195</v>
      </c>
      <c r="W97">
        <v>7.541E-3</v>
      </c>
    </row>
    <row r="98" spans="1:23" x14ac:dyDescent="0.35">
      <c r="A98" t="s">
        <v>2</v>
      </c>
      <c r="B98">
        <v>7500</v>
      </c>
      <c r="C98">
        <v>320</v>
      </c>
      <c r="D98">
        <v>283</v>
      </c>
      <c r="E98">
        <v>0</v>
      </c>
      <c r="F98">
        <v>585922304</v>
      </c>
      <c r="G98">
        <v>7573923.8200000003</v>
      </c>
      <c r="H98">
        <v>573655537.96000004</v>
      </c>
      <c r="I98">
        <v>578348380.17999995</v>
      </c>
      <c r="J98">
        <v>9.1989000000000001E-2</v>
      </c>
      <c r="K98">
        <v>0</v>
      </c>
      <c r="M98" t="s">
        <v>2</v>
      </c>
      <c r="N98">
        <v>6000</v>
      </c>
      <c r="O98">
        <v>216</v>
      </c>
      <c r="P98">
        <v>1682</v>
      </c>
      <c r="Q98">
        <v>0</v>
      </c>
      <c r="R98">
        <v>9742420950</v>
      </c>
      <c r="S98">
        <v>42765495.060000002</v>
      </c>
      <c r="T98">
        <v>9623639152.2700005</v>
      </c>
      <c r="U98">
        <v>9680691064.1700001</v>
      </c>
      <c r="V98">
        <v>8.9716000000000004E-2</v>
      </c>
      <c r="W98">
        <v>2.3109999999999999E-2</v>
      </c>
    </row>
    <row r="99" spans="1:23" x14ac:dyDescent="0.35">
      <c r="A99" t="s">
        <v>2</v>
      </c>
      <c r="B99">
        <v>6000</v>
      </c>
      <c r="C99">
        <v>320</v>
      </c>
      <c r="D99">
        <v>1636</v>
      </c>
      <c r="E99">
        <v>0</v>
      </c>
      <c r="F99">
        <v>5985294750</v>
      </c>
      <c r="G99">
        <v>48007486.990000002</v>
      </c>
      <c r="H99">
        <v>5927438730.9499998</v>
      </c>
      <c r="I99">
        <v>5937287263.0100002</v>
      </c>
      <c r="J99">
        <v>1.9567999999999999E-2</v>
      </c>
      <c r="K99">
        <v>0</v>
      </c>
      <c r="M99" t="s">
        <v>2</v>
      </c>
      <c r="N99">
        <v>8500</v>
      </c>
      <c r="O99">
        <v>360</v>
      </c>
      <c r="P99">
        <v>38</v>
      </c>
      <c r="Q99">
        <v>0</v>
      </c>
      <c r="R99">
        <v>15802037</v>
      </c>
      <c r="S99">
        <v>1036827.93</v>
      </c>
      <c r="T99">
        <v>13687373.02</v>
      </c>
      <c r="U99">
        <v>14765209.07</v>
      </c>
      <c r="V99">
        <v>0.57162500000000005</v>
      </c>
      <c r="W99">
        <v>0</v>
      </c>
    </row>
    <row r="100" spans="1:23" x14ac:dyDescent="0.35">
      <c r="A100" t="s">
        <v>2</v>
      </c>
      <c r="B100">
        <v>8500</v>
      </c>
      <c r="C100">
        <v>360</v>
      </c>
      <c r="D100">
        <v>34</v>
      </c>
      <c r="E100">
        <v>0</v>
      </c>
      <c r="F100">
        <v>14826199</v>
      </c>
      <c r="G100">
        <v>910342.37</v>
      </c>
      <c r="H100">
        <v>13915856.630000001</v>
      </c>
      <c r="I100">
        <v>13915856.630000001</v>
      </c>
      <c r="J100">
        <v>0</v>
      </c>
      <c r="K100">
        <v>0</v>
      </c>
      <c r="M100" t="s">
        <v>2</v>
      </c>
      <c r="N100">
        <v>7500</v>
      </c>
      <c r="O100">
        <v>320</v>
      </c>
      <c r="P100">
        <v>293</v>
      </c>
      <c r="Q100">
        <v>0</v>
      </c>
      <c r="R100">
        <v>610549477</v>
      </c>
      <c r="S100">
        <v>7901301.2800000003</v>
      </c>
      <c r="T100">
        <v>602648175.72000003</v>
      </c>
      <c r="U100">
        <v>602648175.72000003</v>
      </c>
      <c r="V100">
        <v>0</v>
      </c>
      <c r="W100">
        <v>0</v>
      </c>
    </row>
    <row r="101" spans="1:23" x14ac:dyDescent="0.35">
      <c r="A101" t="s">
        <v>2</v>
      </c>
      <c r="B101">
        <v>7000</v>
      </c>
      <c r="C101">
        <v>360</v>
      </c>
      <c r="D101">
        <v>212</v>
      </c>
      <c r="E101">
        <v>0</v>
      </c>
      <c r="F101">
        <v>217924522</v>
      </c>
      <c r="G101">
        <v>7080846.8399999999</v>
      </c>
      <c r="H101">
        <v>209922677.87</v>
      </c>
      <c r="I101">
        <v>210843675.16</v>
      </c>
      <c r="J101">
        <v>4.9551999999999999E-2</v>
      </c>
      <c r="K101">
        <v>0</v>
      </c>
      <c r="M101" t="s">
        <v>2</v>
      </c>
      <c r="N101">
        <v>6500</v>
      </c>
      <c r="O101">
        <v>320</v>
      </c>
      <c r="P101">
        <v>1276</v>
      </c>
      <c r="Q101">
        <v>0</v>
      </c>
      <c r="R101">
        <v>3989673792</v>
      </c>
      <c r="S101">
        <v>33826031.549999997</v>
      </c>
      <c r="T101">
        <v>3941554455.8200002</v>
      </c>
      <c r="U101">
        <v>3955847760.4499998</v>
      </c>
      <c r="V101">
        <v>4.2153999999999997E-2</v>
      </c>
      <c r="W101">
        <v>0</v>
      </c>
    </row>
    <row r="102" spans="1:23" x14ac:dyDescent="0.35">
      <c r="A102" t="s">
        <v>2</v>
      </c>
      <c r="B102">
        <v>8250</v>
      </c>
      <c r="C102">
        <v>360</v>
      </c>
      <c r="D102">
        <v>23</v>
      </c>
      <c r="E102">
        <v>0</v>
      </c>
      <c r="F102">
        <v>16631323</v>
      </c>
      <c r="G102">
        <v>669206.13</v>
      </c>
      <c r="H102">
        <v>15962116.869999999</v>
      </c>
      <c r="I102">
        <v>15962116.869999999</v>
      </c>
      <c r="J102">
        <v>0</v>
      </c>
      <c r="K102">
        <v>0</v>
      </c>
      <c r="M102" t="s">
        <v>2</v>
      </c>
      <c r="N102">
        <v>6000</v>
      </c>
      <c r="O102">
        <v>320</v>
      </c>
      <c r="P102">
        <v>1630</v>
      </c>
      <c r="Q102">
        <v>0</v>
      </c>
      <c r="R102">
        <v>5990210584</v>
      </c>
      <c r="S102">
        <v>47693060.759999998</v>
      </c>
      <c r="T102">
        <v>5904003268.96</v>
      </c>
      <c r="U102">
        <v>5932009076.8299999</v>
      </c>
      <c r="V102">
        <v>7.4483999999999995E-2</v>
      </c>
      <c r="W102">
        <v>2.0848999999999999E-2</v>
      </c>
    </row>
    <row r="103" spans="1:23" x14ac:dyDescent="0.35">
      <c r="A103" t="s">
        <v>0</v>
      </c>
      <c r="B103">
        <v>8250</v>
      </c>
      <c r="C103">
        <v>360</v>
      </c>
      <c r="D103">
        <v>206</v>
      </c>
      <c r="E103">
        <v>0</v>
      </c>
      <c r="F103">
        <v>152692505</v>
      </c>
      <c r="G103">
        <v>6387501.6799999997</v>
      </c>
      <c r="H103">
        <v>145746633.37</v>
      </c>
      <c r="I103">
        <v>146238686.66999999</v>
      </c>
      <c r="J103">
        <v>4.301E-2</v>
      </c>
      <c r="K103">
        <v>5.1989999999999996E-3</v>
      </c>
      <c r="M103" t="s">
        <v>2</v>
      </c>
      <c r="N103">
        <v>7000</v>
      </c>
      <c r="O103">
        <v>360</v>
      </c>
      <c r="P103">
        <v>213</v>
      </c>
      <c r="Q103">
        <v>0</v>
      </c>
      <c r="R103">
        <v>227938035</v>
      </c>
      <c r="S103">
        <v>7144910.2199999997</v>
      </c>
      <c r="T103">
        <v>216029559.83000001</v>
      </c>
      <c r="U103">
        <v>218630442.13999999</v>
      </c>
      <c r="V103">
        <v>0.22387299999999999</v>
      </c>
      <c r="W103">
        <v>0.108099</v>
      </c>
    </row>
    <row r="104" spans="1:23" x14ac:dyDescent="0.35">
      <c r="A104" t="s">
        <v>0</v>
      </c>
      <c r="B104">
        <v>4500</v>
      </c>
      <c r="C104">
        <v>320</v>
      </c>
      <c r="D104">
        <v>186</v>
      </c>
      <c r="E104">
        <v>0</v>
      </c>
      <c r="F104">
        <v>822243086</v>
      </c>
      <c r="G104">
        <v>7013751.3099999996</v>
      </c>
      <c r="H104">
        <v>815229334.69000006</v>
      </c>
      <c r="I104">
        <v>815229334.69000006</v>
      </c>
      <c r="J104">
        <v>0</v>
      </c>
      <c r="K104">
        <v>0</v>
      </c>
      <c r="M104" t="s">
        <v>2</v>
      </c>
      <c r="N104">
        <v>8250</v>
      </c>
      <c r="O104">
        <v>360</v>
      </c>
      <c r="P104">
        <v>18</v>
      </c>
      <c r="Q104">
        <v>0</v>
      </c>
      <c r="R104">
        <v>11707794</v>
      </c>
      <c r="S104">
        <v>550389.56000000006</v>
      </c>
      <c r="T104">
        <v>11157404.439999999</v>
      </c>
      <c r="U104">
        <v>11157404.439999999</v>
      </c>
      <c r="V104">
        <v>0</v>
      </c>
      <c r="W104">
        <v>0</v>
      </c>
    </row>
    <row r="105" spans="1:23" x14ac:dyDescent="0.35">
      <c r="A105" t="s">
        <v>2</v>
      </c>
      <c r="B105">
        <v>4000</v>
      </c>
      <c r="C105">
        <v>192</v>
      </c>
      <c r="D105">
        <v>5641</v>
      </c>
      <c r="E105">
        <v>0</v>
      </c>
      <c r="F105">
        <v>45151709346</v>
      </c>
      <c r="G105">
        <v>175125132.68000001</v>
      </c>
      <c r="H105">
        <v>44827003608.150002</v>
      </c>
      <c r="I105">
        <v>44976584213.32</v>
      </c>
      <c r="J105">
        <v>3.9038000000000003E-2</v>
      </c>
      <c r="K105">
        <v>0</v>
      </c>
      <c r="M105" t="s">
        <v>0</v>
      </c>
      <c r="N105">
        <v>8250</v>
      </c>
      <c r="O105">
        <v>360</v>
      </c>
      <c r="P105">
        <v>185</v>
      </c>
      <c r="Q105">
        <v>0</v>
      </c>
      <c r="R105">
        <v>114197627</v>
      </c>
      <c r="S105">
        <v>5495363.7199999997</v>
      </c>
      <c r="T105">
        <v>106307383.45</v>
      </c>
      <c r="U105">
        <v>108702263.28</v>
      </c>
      <c r="V105">
        <v>0.22456599999999999</v>
      </c>
      <c r="W105">
        <v>0</v>
      </c>
    </row>
    <row r="106" spans="1:23" x14ac:dyDescent="0.35">
      <c r="A106" t="s">
        <v>1</v>
      </c>
      <c r="B106">
        <v>7750</v>
      </c>
      <c r="C106">
        <v>360</v>
      </c>
      <c r="D106">
        <v>81</v>
      </c>
      <c r="E106">
        <v>0</v>
      </c>
      <c r="F106">
        <v>78867462</v>
      </c>
      <c r="G106">
        <v>3248254.15</v>
      </c>
      <c r="H106">
        <v>75031786.219999999</v>
      </c>
      <c r="I106">
        <v>75619207.849999994</v>
      </c>
      <c r="J106">
        <v>8.5806999999999994E-2</v>
      </c>
      <c r="K106">
        <v>0</v>
      </c>
      <c r="M106" t="s">
        <v>0</v>
      </c>
      <c r="N106">
        <v>4500</v>
      </c>
      <c r="O106">
        <v>320</v>
      </c>
      <c r="P106">
        <v>188</v>
      </c>
      <c r="Q106">
        <v>0</v>
      </c>
      <c r="R106">
        <v>831722431</v>
      </c>
      <c r="S106">
        <v>7014420.79</v>
      </c>
      <c r="T106">
        <v>811920735.49000001</v>
      </c>
      <c r="U106">
        <v>824708010.21000004</v>
      </c>
      <c r="V106">
        <v>0.16966500000000001</v>
      </c>
      <c r="W106">
        <v>0</v>
      </c>
    </row>
    <row r="107" spans="1:23" x14ac:dyDescent="0.35">
      <c r="A107" t="s">
        <v>2</v>
      </c>
      <c r="B107">
        <v>7750</v>
      </c>
      <c r="C107">
        <v>360</v>
      </c>
      <c r="D107">
        <v>51</v>
      </c>
      <c r="E107">
        <v>0</v>
      </c>
      <c r="F107">
        <v>44002229</v>
      </c>
      <c r="G107">
        <v>1516753.72</v>
      </c>
      <c r="H107">
        <v>42485475.280000001</v>
      </c>
      <c r="I107">
        <v>42485475.280000001</v>
      </c>
      <c r="J107">
        <v>0</v>
      </c>
      <c r="K107">
        <v>0</v>
      </c>
      <c r="M107" t="s">
        <v>2</v>
      </c>
      <c r="N107">
        <v>4000</v>
      </c>
      <c r="O107">
        <v>192</v>
      </c>
      <c r="P107">
        <v>4731</v>
      </c>
      <c r="Q107">
        <v>0</v>
      </c>
      <c r="R107">
        <v>38371922562</v>
      </c>
      <c r="S107">
        <v>148469847.13999999</v>
      </c>
      <c r="T107">
        <v>38045531871.199997</v>
      </c>
      <c r="U107">
        <v>38210838943.660004</v>
      </c>
      <c r="V107">
        <v>5.4244000000000001E-2</v>
      </c>
      <c r="W107">
        <v>3.9379999999999997E-3</v>
      </c>
    </row>
    <row r="108" spans="1:23" x14ac:dyDescent="0.35">
      <c r="A108" t="s">
        <v>1</v>
      </c>
      <c r="B108">
        <v>8000</v>
      </c>
      <c r="C108">
        <v>320</v>
      </c>
      <c r="D108">
        <v>162</v>
      </c>
      <c r="E108">
        <v>0</v>
      </c>
      <c r="F108">
        <v>326609232</v>
      </c>
      <c r="G108">
        <v>5532818.9900000002</v>
      </c>
      <c r="H108">
        <v>319307904</v>
      </c>
      <c r="I108">
        <v>321076413.00999999</v>
      </c>
      <c r="J108">
        <v>6.3075999999999993E-2</v>
      </c>
      <c r="K108">
        <v>0</v>
      </c>
      <c r="M108" t="s">
        <v>1</v>
      </c>
      <c r="N108">
        <v>7750</v>
      </c>
      <c r="O108">
        <v>360</v>
      </c>
      <c r="P108">
        <v>73</v>
      </c>
      <c r="Q108">
        <v>0</v>
      </c>
      <c r="R108">
        <v>69095624</v>
      </c>
      <c r="S108">
        <v>2977351.17</v>
      </c>
      <c r="T108">
        <v>63701734.07</v>
      </c>
      <c r="U108">
        <v>66118272.829999998</v>
      </c>
      <c r="V108">
        <v>0.347667</v>
      </c>
      <c r="W108">
        <v>0</v>
      </c>
    </row>
    <row r="109" spans="1:23" x14ac:dyDescent="0.35">
      <c r="A109" t="s">
        <v>1</v>
      </c>
      <c r="B109">
        <v>7500</v>
      </c>
      <c r="C109">
        <v>320</v>
      </c>
      <c r="D109">
        <v>330</v>
      </c>
      <c r="E109">
        <v>0</v>
      </c>
      <c r="F109">
        <v>828959268</v>
      </c>
      <c r="G109">
        <v>11149856.42</v>
      </c>
      <c r="H109">
        <v>812817009.90999997</v>
      </c>
      <c r="I109">
        <v>817809411.58000004</v>
      </c>
      <c r="J109">
        <v>6.9922999999999999E-2</v>
      </c>
      <c r="K109">
        <v>0</v>
      </c>
      <c r="M109" t="s">
        <v>2</v>
      </c>
      <c r="N109">
        <v>7750</v>
      </c>
      <c r="O109">
        <v>360</v>
      </c>
      <c r="P109">
        <v>52</v>
      </c>
      <c r="Q109">
        <v>0</v>
      </c>
      <c r="R109">
        <v>44144873</v>
      </c>
      <c r="S109">
        <v>1479963.22</v>
      </c>
      <c r="T109">
        <v>42325464.090000004</v>
      </c>
      <c r="U109">
        <v>42664909.780000001</v>
      </c>
      <c r="V109">
        <v>8.8468000000000005E-2</v>
      </c>
      <c r="W109">
        <v>0</v>
      </c>
    </row>
    <row r="110" spans="1:23" x14ac:dyDescent="0.35">
      <c r="A110" t="s">
        <v>1</v>
      </c>
      <c r="B110">
        <v>5500</v>
      </c>
      <c r="C110">
        <v>360</v>
      </c>
      <c r="D110">
        <v>1</v>
      </c>
      <c r="E110">
        <v>0</v>
      </c>
      <c r="F110">
        <v>233353</v>
      </c>
      <c r="G110">
        <v>11782.84</v>
      </c>
      <c r="H110">
        <v>221570.16</v>
      </c>
      <c r="I110">
        <v>221570.16</v>
      </c>
      <c r="J110">
        <v>0</v>
      </c>
      <c r="K110">
        <v>0</v>
      </c>
      <c r="M110" t="s">
        <v>1</v>
      </c>
      <c r="N110">
        <v>7500</v>
      </c>
      <c r="O110">
        <v>320</v>
      </c>
      <c r="P110">
        <v>357</v>
      </c>
      <c r="Q110">
        <v>0</v>
      </c>
      <c r="R110">
        <v>886340030</v>
      </c>
      <c r="S110">
        <v>12011178.85</v>
      </c>
      <c r="T110">
        <v>868387577.61000001</v>
      </c>
      <c r="U110">
        <v>871512610.88999999</v>
      </c>
      <c r="V110">
        <v>7.7537999999999996E-2</v>
      </c>
      <c r="W110">
        <v>3.7469000000000002E-2</v>
      </c>
    </row>
    <row r="111" spans="1:23" x14ac:dyDescent="0.35">
      <c r="A111" t="s">
        <v>2</v>
      </c>
      <c r="B111">
        <v>6750</v>
      </c>
      <c r="C111">
        <v>360</v>
      </c>
      <c r="D111">
        <v>27</v>
      </c>
      <c r="E111">
        <v>0</v>
      </c>
      <c r="F111">
        <v>17201091</v>
      </c>
      <c r="G111">
        <v>678789.56</v>
      </c>
      <c r="H111">
        <v>16522301.439999999</v>
      </c>
      <c r="I111">
        <v>16522301.439999999</v>
      </c>
      <c r="J111">
        <v>0</v>
      </c>
      <c r="K111">
        <v>0</v>
      </c>
      <c r="M111" t="s">
        <v>1</v>
      </c>
      <c r="N111">
        <v>8000</v>
      </c>
      <c r="O111">
        <v>320</v>
      </c>
      <c r="P111">
        <v>183</v>
      </c>
      <c r="Q111">
        <v>0</v>
      </c>
      <c r="R111">
        <v>363318815</v>
      </c>
      <c r="S111">
        <v>6161118.9400000004</v>
      </c>
      <c r="T111">
        <v>352832365.07999998</v>
      </c>
      <c r="U111">
        <v>356062547.63</v>
      </c>
      <c r="V111">
        <v>0.13386799999999999</v>
      </c>
      <c r="W111">
        <v>3.5577999999999999E-2</v>
      </c>
    </row>
    <row r="112" spans="1:23" x14ac:dyDescent="0.35">
      <c r="A112" t="s">
        <v>0</v>
      </c>
      <c r="B112">
        <v>5500</v>
      </c>
      <c r="C112">
        <v>360</v>
      </c>
      <c r="D112">
        <v>50</v>
      </c>
      <c r="E112">
        <v>0</v>
      </c>
      <c r="F112">
        <v>49340123</v>
      </c>
      <c r="G112">
        <v>1581790.15</v>
      </c>
      <c r="H112">
        <v>46733794.329999998</v>
      </c>
      <c r="I112">
        <v>46955681.030000001</v>
      </c>
      <c r="J112">
        <v>0.22260099999999999</v>
      </c>
      <c r="K112">
        <v>0.17866000000000001</v>
      </c>
      <c r="M112" t="s">
        <v>2</v>
      </c>
      <c r="N112">
        <v>6250</v>
      </c>
      <c r="O112">
        <v>360</v>
      </c>
      <c r="P112">
        <v>20</v>
      </c>
      <c r="Q112">
        <v>0</v>
      </c>
      <c r="R112">
        <v>15428207</v>
      </c>
      <c r="S112">
        <v>460282.69</v>
      </c>
      <c r="T112">
        <v>14893424.84</v>
      </c>
      <c r="U112">
        <v>14967924.310000001</v>
      </c>
      <c r="V112">
        <v>5.6431000000000002E-2</v>
      </c>
      <c r="W112">
        <v>0</v>
      </c>
    </row>
    <row r="113" spans="1:23" x14ac:dyDescent="0.35">
      <c r="A113" t="s">
        <v>0</v>
      </c>
      <c r="B113">
        <v>5250</v>
      </c>
      <c r="C113">
        <v>320</v>
      </c>
      <c r="D113">
        <v>2012</v>
      </c>
      <c r="E113">
        <v>0</v>
      </c>
      <c r="F113">
        <v>7987779435</v>
      </c>
      <c r="G113">
        <v>68188534.219999999</v>
      </c>
      <c r="H113">
        <v>7894997997.1800003</v>
      </c>
      <c r="I113">
        <v>7919590900.7799997</v>
      </c>
      <c r="J113">
        <v>3.6326999999999998E-2</v>
      </c>
      <c r="K113">
        <v>0</v>
      </c>
      <c r="M113" t="s">
        <v>1</v>
      </c>
      <c r="N113">
        <v>5500</v>
      </c>
      <c r="O113">
        <v>360</v>
      </c>
      <c r="P113">
        <v>1</v>
      </c>
      <c r="Q113">
        <v>0</v>
      </c>
      <c r="R113">
        <v>233353</v>
      </c>
      <c r="S113">
        <v>11167.75</v>
      </c>
      <c r="T113">
        <v>222185.25</v>
      </c>
      <c r="U113">
        <v>222185.25</v>
      </c>
      <c r="V113">
        <v>0</v>
      </c>
      <c r="W113">
        <v>0</v>
      </c>
    </row>
    <row r="114" spans="1:23" x14ac:dyDescent="0.35">
      <c r="A114" t="s">
        <v>2</v>
      </c>
      <c r="B114">
        <v>5250</v>
      </c>
      <c r="C114">
        <v>320</v>
      </c>
      <c r="D114">
        <v>169</v>
      </c>
      <c r="E114">
        <v>0</v>
      </c>
      <c r="F114">
        <v>494892752</v>
      </c>
      <c r="G114">
        <v>4073779.39</v>
      </c>
      <c r="H114">
        <v>481521649.02999997</v>
      </c>
      <c r="I114">
        <v>490818972.61000001</v>
      </c>
      <c r="J114">
        <v>0.203544</v>
      </c>
      <c r="K114">
        <v>0</v>
      </c>
      <c r="M114" t="s">
        <v>0</v>
      </c>
      <c r="N114">
        <v>4000</v>
      </c>
      <c r="O114">
        <v>168</v>
      </c>
      <c r="P114">
        <v>88027</v>
      </c>
      <c r="Q114">
        <v>0</v>
      </c>
      <c r="R114">
        <v>814931585339</v>
      </c>
      <c r="S114">
        <v>2876032770.1999998</v>
      </c>
      <c r="T114">
        <v>808393515916.26001</v>
      </c>
      <c r="U114">
        <v>811698388637.05005</v>
      </c>
      <c r="V114">
        <v>5.2610999999999998E-2</v>
      </c>
      <c r="W114">
        <v>5.2469999999999999E-3</v>
      </c>
    </row>
    <row r="115" spans="1:23" x14ac:dyDescent="0.35">
      <c r="A115" t="s">
        <v>2</v>
      </c>
      <c r="B115">
        <v>6500</v>
      </c>
      <c r="C115">
        <v>360</v>
      </c>
      <c r="D115">
        <v>76</v>
      </c>
      <c r="E115">
        <v>0</v>
      </c>
      <c r="F115">
        <v>85030749</v>
      </c>
      <c r="G115">
        <v>2522273.21</v>
      </c>
      <c r="H115">
        <v>82270281.760000005</v>
      </c>
      <c r="I115">
        <v>82508475.790000007</v>
      </c>
      <c r="J115">
        <v>3.3101999999999999E-2</v>
      </c>
      <c r="K115">
        <v>0</v>
      </c>
      <c r="M115" t="s">
        <v>2</v>
      </c>
      <c r="N115">
        <v>6750</v>
      </c>
      <c r="O115">
        <v>360</v>
      </c>
      <c r="P115">
        <v>24</v>
      </c>
      <c r="Q115">
        <v>0</v>
      </c>
      <c r="R115">
        <v>16634027</v>
      </c>
      <c r="S115">
        <v>649605.93999999994</v>
      </c>
      <c r="T115">
        <v>15984421.060000001</v>
      </c>
      <c r="U115">
        <v>15984421.060000001</v>
      </c>
      <c r="V115">
        <v>0</v>
      </c>
      <c r="W115">
        <v>0</v>
      </c>
    </row>
    <row r="116" spans="1:23" x14ac:dyDescent="0.35">
      <c r="A116" t="s">
        <v>0</v>
      </c>
      <c r="B116">
        <v>6250</v>
      </c>
      <c r="C116">
        <v>320</v>
      </c>
      <c r="D116">
        <v>10572</v>
      </c>
      <c r="E116">
        <v>0</v>
      </c>
      <c r="F116">
        <v>40653088696</v>
      </c>
      <c r="G116">
        <v>326236805.00999999</v>
      </c>
      <c r="H116">
        <v>40044080470.769997</v>
      </c>
      <c r="I116">
        <v>40281631697.980003</v>
      </c>
      <c r="J116">
        <v>8.0348000000000003E-2</v>
      </c>
      <c r="K116">
        <v>1.3266999999999999E-2</v>
      </c>
      <c r="M116" t="s">
        <v>0</v>
      </c>
      <c r="N116">
        <v>5500</v>
      </c>
      <c r="O116">
        <v>360</v>
      </c>
      <c r="P116">
        <v>52</v>
      </c>
      <c r="Q116">
        <v>0</v>
      </c>
      <c r="R116">
        <v>52914869</v>
      </c>
      <c r="S116">
        <v>1637737.32</v>
      </c>
      <c r="T116">
        <v>49551718.630000003</v>
      </c>
      <c r="U116">
        <v>51277131.68</v>
      </c>
      <c r="V116">
        <v>0.32821</v>
      </c>
      <c r="W116">
        <v>0</v>
      </c>
    </row>
    <row r="117" spans="1:23" x14ac:dyDescent="0.35">
      <c r="A117" t="s">
        <v>2</v>
      </c>
      <c r="B117">
        <v>6250</v>
      </c>
      <c r="C117">
        <v>320</v>
      </c>
      <c r="D117">
        <v>1371</v>
      </c>
      <c r="E117">
        <v>0</v>
      </c>
      <c r="F117">
        <v>4402567509</v>
      </c>
      <c r="G117">
        <v>33808798.990000002</v>
      </c>
      <c r="H117">
        <v>4348282368.3999996</v>
      </c>
      <c r="I117">
        <v>4366393004.04</v>
      </c>
      <c r="J117">
        <v>5.4406000000000003E-2</v>
      </c>
      <c r="K117">
        <v>6.4289999999999998E-3</v>
      </c>
      <c r="M117" t="s">
        <v>0</v>
      </c>
      <c r="N117">
        <v>5250</v>
      </c>
      <c r="O117">
        <v>320</v>
      </c>
      <c r="P117">
        <v>2003</v>
      </c>
      <c r="Q117">
        <v>0</v>
      </c>
      <c r="R117">
        <v>7977785090</v>
      </c>
      <c r="S117">
        <v>67509236.079999998</v>
      </c>
      <c r="T117">
        <v>7875256870.9200001</v>
      </c>
      <c r="U117">
        <v>7905670898.96</v>
      </c>
      <c r="V117">
        <v>5.1421000000000001E-2</v>
      </c>
      <c r="W117">
        <v>6.9049999999999997E-3</v>
      </c>
    </row>
    <row r="118" spans="1:23" x14ac:dyDescent="0.35">
      <c r="A118" t="s">
        <v>0</v>
      </c>
      <c r="B118">
        <v>7250</v>
      </c>
      <c r="C118">
        <v>320</v>
      </c>
      <c r="D118">
        <v>1980</v>
      </c>
      <c r="E118">
        <v>0</v>
      </c>
      <c r="F118">
        <v>5145646285</v>
      </c>
      <c r="G118">
        <v>62210736.560000002</v>
      </c>
      <c r="H118">
        <v>5063523037.96</v>
      </c>
      <c r="I118">
        <v>5077726020.3500004</v>
      </c>
      <c r="J118">
        <v>4.5462000000000002E-2</v>
      </c>
      <c r="K118">
        <v>1.3233999999999999E-2</v>
      </c>
      <c r="M118" t="s">
        <v>2</v>
      </c>
      <c r="N118">
        <v>5250</v>
      </c>
      <c r="O118">
        <v>320</v>
      </c>
      <c r="P118">
        <v>160</v>
      </c>
      <c r="Q118">
        <v>0</v>
      </c>
      <c r="R118">
        <v>465197750</v>
      </c>
      <c r="S118">
        <v>3846026.99</v>
      </c>
      <c r="T118">
        <v>461351723.00999999</v>
      </c>
      <c r="U118">
        <v>461351723.00999999</v>
      </c>
      <c r="V118">
        <v>0</v>
      </c>
      <c r="W118">
        <v>0</v>
      </c>
    </row>
    <row r="119" spans="1:23" x14ac:dyDescent="0.35">
      <c r="A119" t="s">
        <v>1</v>
      </c>
      <c r="B119">
        <v>6250</v>
      </c>
      <c r="C119">
        <v>320</v>
      </c>
      <c r="D119">
        <v>1275</v>
      </c>
      <c r="E119">
        <v>0</v>
      </c>
      <c r="F119">
        <v>5615526242</v>
      </c>
      <c r="G119">
        <v>45265496.759999998</v>
      </c>
      <c r="H119">
        <v>5523723979.0500002</v>
      </c>
      <c r="I119">
        <v>5566355877.3699999</v>
      </c>
      <c r="J119">
        <v>9.5035999999999995E-2</v>
      </c>
      <c r="K119">
        <v>8.3129999999999992E-3</v>
      </c>
      <c r="M119" t="s">
        <v>2</v>
      </c>
      <c r="N119">
        <v>6500</v>
      </c>
      <c r="O119">
        <v>360</v>
      </c>
      <c r="P119">
        <v>70</v>
      </c>
      <c r="Q119">
        <v>0</v>
      </c>
      <c r="R119">
        <v>78605250</v>
      </c>
      <c r="S119">
        <v>2310529.63</v>
      </c>
      <c r="T119">
        <v>76229685.959999993</v>
      </c>
      <c r="U119">
        <v>76294720.370000005</v>
      </c>
      <c r="V119">
        <v>9.8829999999999994E-3</v>
      </c>
      <c r="W119">
        <v>0</v>
      </c>
    </row>
    <row r="120" spans="1:23" x14ac:dyDescent="0.35">
      <c r="A120" t="s">
        <v>0</v>
      </c>
      <c r="B120">
        <v>4000</v>
      </c>
      <c r="C120">
        <v>360</v>
      </c>
      <c r="D120">
        <v>42</v>
      </c>
      <c r="E120">
        <v>0</v>
      </c>
      <c r="F120">
        <v>23475503</v>
      </c>
      <c r="G120">
        <v>1033698.97</v>
      </c>
      <c r="H120">
        <v>22029868.859999999</v>
      </c>
      <c r="I120">
        <v>22029868.859999999</v>
      </c>
      <c r="J120">
        <v>0.19139</v>
      </c>
      <c r="K120">
        <v>0.19139</v>
      </c>
      <c r="M120" t="s">
        <v>2</v>
      </c>
      <c r="N120">
        <v>6250</v>
      </c>
      <c r="O120">
        <v>320</v>
      </c>
      <c r="P120">
        <v>1362</v>
      </c>
      <c r="Q120">
        <v>0</v>
      </c>
      <c r="R120">
        <v>4381899887</v>
      </c>
      <c r="S120">
        <v>33395280.73</v>
      </c>
      <c r="T120">
        <v>4315304086.9499998</v>
      </c>
      <c r="U120">
        <v>4339200208.4499998</v>
      </c>
      <c r="V120">
        <v>8.7225999999999998E-2</v>
      </c>
      <c r="W120">
        <v>2.5184999999999999E-2</v>
      </c>
    </row>
    <row r="121" spans="1:23" x14ac:dyDescent="0.35">
      <c r="A121" t="s">
        <v>0</v>
      </c>
      <c r="B121">
        <v>5000</v>
      </c>
      <c r="C121">
        <v>360</v>
      </c>
      <c r="D121">
        <v>64</v>
      </c>
      <c r="E121">
        <v>0</v>
      </c>
      <c r="F121">
        <v>45305850</v>
      </c>
      <c r="G121">
        <v>1691551.52</v>
      </c>
      <c r="H121">
        <v>43614298.479999997</v>
      </c>
      <c r="I121">
        <v>43614298.479999997</v>
      </c>
      <c r="J121">
        <v>0</v>
      </c>
      <c r="K121">
        <v>0</v>
      </c>
      <c r="M121" t="s">
        <v>0</v>
      </c>
      <c r="N121">
        <v>7250</v>
      </c>
      <c r="O121">
        <v>320</v>
      </c>
      <c r="P121">
        <v>1999</v>
      </c>
      <c r="Q121">
        <v>0</v>
      </c>
      <c r="R121">
        <v>5254934301</v>
      </c>
      <c r="S121">
        <v>62695330.359999999</v>
      </c>
      <c r="T121">
        <v>5177778894.9200001</v>
      </c>
      <c r="U121">
        <v>5189785483.9399996</v>
      </c>
      <c r="V121">
        <v>3.2524999999999998E-2</v>
      </c>
      <c r="W121">
        <v>5.5880000000000001E-3</v>
      </c>
    </row>
    <row r="122" spans="1:23" x14ac:dyDescent="0.35">
      <c r="A122" t="s">
        <v>0</v>
      </c>
      <c r="B122">
        <v>5250</v>
      </c>
      <c r="C122">
        <v>360</v>
      </c>
      <c r="D122">
        <v>6</v>
      </c>
      <c r="E122">
        <v>0</v>
      </c>
      <c r="F122">
        <v>3611369</v>
      </c>
      <c r="G122">
        <v>149828</v>
      </c>
      <c r="H122">
        <v>2679322.69</v>
      </c>
      <c r="I122">
        <v>2679322.69</v>
      </c>
      <c r="J122">
        <v>0.94656700000000005</v>
      </c>
      <c r="K122">
        <v>0.94656700000000005</v>
      </c>
      <c r="M122" t="s">
        <v>1</v>
      </c>
      <c r="N122">
        <v>6250</v>
      </c>
      <c r="O122">
        <v>320</v>
      </c>
      <c r="P122">
        <v>1234</v>
      </c>
      <c r="Q122">
        <v>0</v>
      </c>
      <c r="R122">
        <v>5378220423</v>
      </c>
      <c r="S122">
        <v>43415972.109999999</v>
      </c>
      <c r="T122">
        <v>5313226166.5100002</v>
      </c>
      <c r="U122">
        <v>5334804450.8900003</v>
      </c>
      <c r="V122">
        <v>4.7098000000000001E-2</v>
      </c>
      <c r="W122">
        <v>0</v>
      </c>
    </row>
    <row r="123" spans="1:23" x14ac:dyDescent="0.35">
      <c r="A123" t="s">
        <v>0</v>
      </c>
      <c r="B123">
        <v>4500</v>
      </c>
      <c r="C123">
        <v>240</v>
      </c>
      <c r="D123">
        <v>40</v>
      </c>
      <c r="E123">
        <v>0</v>
      </c>
      <c r="F123">
        <v>298413971</v>
      </c>
      <c r="G123">
        <v>1793017.7</v>
      </c>
      <c r="H123">
        <v>287322011.5</v>
      </c>
      <c r="I123">
        <v>296620953.30000001</v>
      </c>
      <c r="J123">
        <v>0.31606000000000001</v>
      </c>
      <c r="K123">
        <v>0</v>
      </c>
      <c r="M123" t="s">
        <v>0</v>
      </c>
      <c r="N123">
        <v>4000</v>
      </c>
      <c r="O123">
        <v>360</v>
      </c>
      <c r="P123">
        <v>42</v>
      </c>
      <c r="Q123">
        <v>0</v>
      </c>
      <c r="R123">
        <v>24567926</v>
      </c>
      <c r="S123">
        <v>1035450.07</v>
      </c>
      <c r="T123">
        <v>23532475.93</v>
      </c>
      <c r="U123">
        <v>23532475.93</v>
      </c>
      <c r="V123">
        <v>0</v>
      </c>
      <c r="W123">
        <v>0</v>
      </c>
    </row>
    <row r="124" spans="1:23" x14ac:dyDescent="0.35">
      <c r="A124" t="s">
        <v>1</v>
      </c>
      <c r="B124">
        <v>5000</v>
      </c>
      <c r="C124">
        <v>360</v>
      </c>
      <c r="D124">
        <v>7</v>
      </c>
      <c r="E124">
        <v>0</v>
      </c>
      <c r="F124">
        <v>8593773</v>
      </c>
      <c r="G124">
        <v>260711.76</v>
      </c>
      <c r="H124">
        <v>8301376.8899999997</v>
      </c>
      <c r="I124">
        <v>8333061.2400000002</v>
      </c>
      <c r="J124">
        <v>4.3357E-2</v>
      </c>
      <c r="K124">
        <v>0</v>
      </c>
      <c r="M124" t="s">
        <v>0</v>
      </c>
      <c r="N124">
        <v>5000</v>
      </c>
      <c r="O124">
        <v>360</v>
      </c>
      <c r="P124">
        <v>63</v>
      </c>
      <c r="Q124">
        <v>0</v>
      </c>
      <c r="R124">
        <v>46042624</v>
      </c>
      <c r="S124">
        <v>1674887.36</v>
      </c>
      <c r="T124">
        <v>44367736.640000001</v>
      </c>
      <c r="U124">
        <v>44367736.640000001</v>
      </c>
      <c r="V124">
        <v>0</v>
      </c>
      <c r="W124">
        <v>0</v>
      </c>
    </row>
    <row r="125" spans="1:23" x14ac:dyDescent="0.35">
      <c r="A125" t="s">
        <v>1</v>
      </c>
      <c r="B125">
        <v>9000</v>
      </c>
      <c r="C125">
        <v>320</v>
      </c>
      <c r="D125">
        <v>36</v>
      </c>
      <c r="E125">
        <v>0</v>
      </c>
      <c r="F125">
        <v>56206565</v>
      </c>
      <c r="G125">
        <v>976789.84</v>
      </c>
      <c r="H125">
        <v>55229775.159999996</v>
      </c>
      <c r="I125">
        <v>55229775.159999996</v>
      </c>
      <c r="J125">
        <v>0</v>
      </c>
      <c r="K125">
        <v>0</v>
      </c>
      <c r="M125" t="s">
        <v>0</v>
      </c>
      <c r="N125">
        <v>5250</v>
      </c>
      <c r="O125">
        <v>360</v>
      </c>
      <c r="P125">
        <v>6</v>
      </c>
      <c r="Q125">
        <v>0</v>
      </c>
      <c r="R125">
        <v>3761449</v>
      </c>
      <c r="S125">
        <v>148991.46</v>
      </c>
      <c r="T125">
        <v>3612457.54</v>
      </c>
      <c r="U125">
        <v>3612457.54</v>
      </c>
      <c r="V125">
        <v>0</v>
      </c>
      <c r="W125">
        <v>0</v>
      </c>
    </row>
    <row r="126" spans="1:23" x14ac:dyDescent="0.35">
      <c r="A126" t="s">
        <v>2</v>
      </c>
      <c r="B126">
        <v>6500</v>
      </c>
      <c r="C126">
        <v>320</v>
      </c>
      <c r="D126">
        <v>1312</v>
      </c>
      <c r="E126">
        <v>0</v>
      </c>
      <c r="F126">
        <v>4134938716</v>
      </c>
      <c r="G126">
        <v>34856077.600000001</v>
      </c>
      <c r="H126">
        <v>4084308795.0999999</v>
      </c>
      <c r="I126">
        <v>4097692710.3699999</v>
      </c>
      <c r="J126">
        <v>4.4829000000000001E-2</v>
      </c>
      <c r="K126">
        <v>6.914E-3</v>
      </c>
      <c r="M126" t="s">
        <v>0</v>
      </c>
      <c r="N126">
        <v>4500</v>
      </c>
      <c r="O126">
        <v>240</v>
      </c>
      <c r="P126">
        <v>42</v>
      </c>
      <c r="Q126">
        <v>0</v>
      </c>
      <c r="R126">
        <v>313416461</v>
      </c>
      <c r="S126">
        <v>1873049.86</v>
      </c>
      <c r="T126">
        <v>311543411.13999999</v>
      </c>
      <c r="U126">
        <v>311543411.13999999</v>
      </c>
      <c r="V126">
        <v>0</v>
      </c>
      <c r="W126">
        <v>0</v>
      </c>
    </row>
    <row r="127" spans="1:23" x14ac:dyDescent="0.35">
      <c r="A127" t="s">
        <v>2</v>
      </c>
      <c r="B127">
        <v>7000</v>
      </c>
      <c r="C127">
        <v>320</v>
      </c>
      <c r="D127">
        <v>427</v>
      </c>
      <c r="E127">
        <v>0</v>
      </c>
      <c r="F127">
        <v>1059821978</v>
      </c>
      <c r="G127">
        <v>12407505.77</v>
      </c>
      <c r="H127">
        <v>1039181633.17</v>
      </c>
      <c r="I127">
        <v>1047414472.23</v>
      </c>
      <c r="J127">
        <v>8.9335999999999999E-2</v>
      </c>
      <c r="K127">
        <v>0</v>
      </c>
      <c r="M127" t="s">
        <v>1</v>
      </c>
      <c r="N127">
        <v>5000</v>
      </c>
      <c r="O127">
        <v>360</v>
      </c>
      <c r="P127">
        <v>7</v>
      </c>
      <c r="Q127">
        <v>0</v>
      </c>
      <c r="R127">
        <v>9027182</v>
      </c>
      <c r="S127">
        <v>274221.77</v>
      </c>
      <c r="T127">
        <v>8752960.2300000004</v>
      </c>
      <c r="U127">
        <v>8752960.2300000004</v>
      </c>
      <c r="V127">
        <v>0</v>
      </c>
      <c r="W127">
        <v>0</v>
      </c>
    </row>
    <row r="128" spans="1:23" x14ac:dyDescent="0.35">
      <c r="A128" t="s">
        <v>2</v>
      </c>
      <c r="B128">
        <v>4000</v>
      </c>
      <c r="C128">
        <v>360</v>
      </c>
      <c r="D128">
        <v>4</v>
      </c>
      <c r="E128">
        <v>0</v>
      </c>
      <c r="F128">
        <v>850197</v>
      </c>
      <c r="G128">
        <v>93010.21</v>
      </c>
      <c r="H128">
        <v>757186.79</v>
      </c>
      <c r="I128">
        <v>757186.79</v>
      </c>
      <c r="J128">
        <v>0</v>
      </c>
      <c r="K128">
        <v>0</v>
      </c>
      <c r="M128" t="s">
        <v>1</v>
      </c>
      <c r="N128">
        <v>9000</v>
      </c>
      <c r="O128">
        <v>320</v>
      </c>
      <c r="P128">
        <v>38</v>
      </c>
      <c r="Q128">
        <v>0</v>
      </c>
      <c r="R128">
        <v>60415647</v>
      </c>
      <c r="S128">
        <v>1019854.15</v>
      </c>
      <c r="T128">
        <v>56458239.649999999</v>
      </c>
      <c r="U128">
        <v>59395792.850000001</v>
      </c>
      <c r="V128">
        <v>0.45016200000000001</v>
      </c>
      <c r="W128">
        <v>0</v>
      </c>
    </row>
    <row r="129" spans="1:23" x14ac:dyDescent="0.35">
      <c r="A129" t="s">
        <v>1</v>
      </c>
      <c r="B129">
        <v>5750</v>
      </c>
      <c r="C129">
        <v>360</v>
      </c>
      <c r="D129">
        <v>12</v>
      </c>
      <c r="E129">
        <v>0</v>
      </c>
      <c r="F129">
        <v>17825347</v>
      </c>
      <c r="G129">
        <v>489958.65</v>
      </c>
      <c r="H129">
        <v>17335388.350000001</v>
      </c>
      <c r="I129">
        <v>17335388.350000001</v>
      </c>
      <c r="J129">
        <v>0</v>
      </c>
      <c r="K129">
        <v>0</v>
      </c>
      <c r="M129" t="s">
        <v>2</v>
      </c>
      <c r="N129">
        <v>7000</v>
      </c>
      <c r="O129">
        <v>320</v>
      </c>
      <c r="P129">
        <v>423</v>
      </c>
      <c r="Q129">
        <v>0</v>
      </c>
      <c r="R129">
        <v>1053638611</v>
      </c>
      <c r="S129">
        <v>12337619.59</v>
      </c>
      <c r="T129">
        <v>1036346727.51</v>
      </c>
      <c r="U129">
        <v>1041300991.41</v>
      </c>
      <c r="V129">
        <v>5.4988000000000002E-2</v>
      </c>
      <c r="W129">
        <v>0</v>
      </c>
    </row>
    <row r="130" spans="1:23" x14ac:dyDescent="0.35">
      <c r="A130" t="s">
        <v>1</v>
      </c>
      <c r="B130">
        <v>6250</v>
      </c>
      <c r="C130">
        <v>360</v>
      </c>
      <c r="D130">
        <v>14</v>
      </c>
      <c r="E130">
        <v>0</v>
      </c>
      <c r="F130">
        <v>18161245</v>
      </c>
      <c r="G130">
        <v>585498.76</v>
      </c>
      <c r="H130">
        <v>17411977.440000001</v>
      </c>
      <c r="I130">
        <v>17575746.239999998</v>
      </c>
      <c r="J130">
        <v>0.103001</v>
      </c>
      <c r="K130">
        <v>0</v>
      </c>
      <c r="M130" t="s">
        <v>2</v>
      </c>
      <c r="N130">
        <v>4000</v>
      </c>
      <c r="O130">
        <v>360</v>
      </c>
      <c r="P130">
        <v>4</v>
      </c>
      <c r="Q130">
        <v>0</v>
      </c>
      <c r="R130">
        <v>949556</v>
      </c>
      <c r="S130">
        <v>93431.42</v>
      </c>
      <c r="T130">
        <v>856124.58</v>
      </c>
      <c r="U130">
        <v>856124.58</v>
      </c>
      <c r="V130">
        <v>0</v>
      </c>
      <c r="W130">
        <v>0</v>
      </c>
    </row>
    <row r="131" spans="1:23" x14ac:dyDescent="0.35">
      <c r="A131" t="s">
        <v>2</v>
      </c>
      <c r="B131">
        <v>5500</v>
      </c>
      <c r="C131">
        <v>240</v>
      </c>
      <c r="D131">
        <v>485</v>
      </c>
      <c r="E131">
        <v>0</v>
      </c>
      <c r="F131">
        <v>2917532061</v>
      </c>
      <c r="G131">
        <v>15728929.550000001</v>
      </c>
      <c r="H131">
        <v>2884254733.7600002</v>
      </c>
      <c r="I131">
        <v>2896972646.2600002</v>
      </c>
      <c r="J131">
        <v>6.9836999999999996E-2</v>
      </c>
      <c r="K131">
        <v>1.9688000000000001E-2</v>
      </c>
      <c r="M131" t="s">
        <v>1</v>
      </c>
      <c r="N131">
        <v>5750</v>
      </c>
      <c r="O131">
        <v>360</v>
      </c>
      <c r="P131">
        <v>11</v>
      </c>
      <c r="Q131">
        <v>0</v>
      </c>
      <c r="R131">
        <v>17553273</v>
      </c>
      <c r="S131">
        <v>470638.91</v>
      </c>
      <c r="T131">
        <v>17082634.09</v>
      </c>
      <c r="U131">
        <v>17082634.09</v>
      </c>
      <c r="V131">
        <v>0</v>
      </c>
      <c r="W131">
        <v>0</v>
      </c>
    </row>
    <row r="132" spans="1:23" x14ac:dyDescent="0.35">
      <c r="A132" t="s">
        <v>2</v>
      </c>
      <c r="B132">
        <v>6000</v>
      </c>
      <c r="C132">
        <v>240</v>
      </c>
      <c r="D132">
        <v>740</v>
      </c>
      <c r="E132">
        <v>0</v>
      </c>
      <c r="F132">
        <v>4204689501</v>
      </c>
      <c r="G132">
        <v>21856521.219999999</v>
      </c>
      <c r="H132">
        <v>4157726521.8499999</v>
      </c>
      <c r="I132">
        <v>4179648710.0900002</v>
      </c>
      <c r="J132">
        <v>6.9346000000000005E-2</v>
      </c>
      <c r="K132">
        <v>9.0500000000000008E-3</v>
      </c>
      <c r="M132" t="s">
        <v>1</v>
      </c>
      <c r="N132">
        <v>6250</v>
      </c>
      <c r="O132">
        <v>360</v>
      </c>
      <c r="P132">
        <v>14</v>
      </c>
      <c r="Q132">
        <v>0</v>
      </c>
      <c r="R132">
        <v>21407526</v>
      </c>
      <c r="S132">
        <v>646106.56000000006</v>
      </c>
      <c r="T132">
        <v>18118980.68</v>
      </c>
      <c r="U132">
        <v>20761419.440000001</v>
      </c>
      <c r="V132">
        <v>0.79421699999999995</v>
      </c>
      <c r="W132">
        <v>0</v>
      </c>
    </row>
    <row r="133" spans="1:23" x14ac:dyDescent="0.35">
      <c r="A133" t="s">
        <v>2</v>
      </c>
      <c r="B133">
        <v>5500</v>
      </c>
      <c r="C133">
        <v>320</v>
      </c>
      <c r="D133">
        <v>734</v>
      </c>
      <c r="E133">
        <v>0</v>
      </c>
      <c r="F133">
        <v>2748528909</v>
      </c>
      <c r="G133">
        <v>22085734.609999999</v>
      </c>
      <c r="H133">
        <v>2721679822.21</v>
      </c>
      <c r="I133">
        <v>2726443174.3899999</v>
      </c>
      <c r="J133">
        <v>2.06E-2</v>
      </c>
      <c r="K133">
        <v>0</v>
      </c>
      <c r="M133" t="s">
        <v>2</v>
      </c>
      <c r="N133">
        <v>5500</v>
      </c>
      <c r="O133">
        <v>240</v>
      </c>
      <c r="P133">
        <v>451</v>
      </c>
      <c r="Q133">
        <v>0</v>
      </c>
      <c r="R133">
        <v>2664772800</v>
      </c>
      <c r="S133">
        <v>14480466.210000001</v>
      </c>
      <c r="T133">
        <v>2637347233.46</v>
      </c>
      <c r="U133">
        <v>2650292333.79</v>
      </c>
      <c r="V133">
        <v>5.6762E-2</v>
      </c>
      <c r="W133">
        <v>0</v>
      </c>
    </row>
    <row r="134" spans="1:23" x14ac:dyDescent="0.35">
      <c r="A134" t="s">
        <v>2</v>
      </c>
      <c r="B134">
        <v>6250</v>
      </c>
      <c r="C134">
        <v>360</v>
      </c>
      <c r="D134">
        <v>20</v>
      </c>
      <c r="E134">
        <v>0</v>
      </c>
      <c r="F134">
        <v>15857251</v>
      </c>
      <c r="G134">
        <v>456525.18</v>
      </c>
      <c r="H134">
        <v>14173946.630000001</v>
      </c>
      <c r="I134">
        <v>15400725.82</v>
      </c>
      <c r="J134">
        <v>0.61949100000000001</v>
      </c>
      <c r="K134">
        <v>0</v>
      </c>
      <c r="M134" t="s">
        <v>2</v>
      </c>
      <c r="N134">
        <v>6000</v>
      </c>
      <c r="O134">
        <v>240</v>
      </c>
      <c r="P134">
        <v>643</v>
      </c>
      <c r="Q134">
        <v>0</v>
      </c>
      <c r="R134">
        <v>3681927911</v>
      </c>
      <c r="S134">
        <v>19297247.120000001</v>
      </c>
      <c r="T134">
        <v>3644023727.8699999</v>
      </c>
      <c r="U134">
        <v>3662630663.8800001</v>
      </c>
      <c r="V134">
        <v>5.8985999999999997E-2</v>
      </c>
      <c r="W134">
        <v>0</v>
      </c>
    </row>
    <row r="135" spans="1:23" x14ac:dyDescent="0.35">
      <c r="A135" t="s">
        <v>0</v>
      </c>
      <c r="B135">
        <v>7500</v>
      </c>
      <c r="C135">
        <v>216</v>
      </c>
      <c r="D135">
        <v>606</v>
      </c>
      <c r="E135">
        <v>0</v>
      </c>
      <c r="F135">
        <v>2816860142</v>
      </c>
      <c r="G135">
        <v>11535594.140000001</v>
      </c>
      <c r="H135">
        <v>2790199700.6900001</v>
      </c>
      <c r="I135">
        <v>2793533316.6399999</v>
      </c>
      <c r="J135">
        <v>6.2563999999999995E-2</v>
      </c>
      <c r="K135">
        <v>4.9091000000000003E-2</v>
      </c>
      <c r="M135" t="s">
        <v>2</v>
      </c>
      <c r="N135">
        <v>5500</v>
      </c>
      <c r="O135">
        <v>320</v>
      </c>
      <c r="P135">
        <v>719</v>
      </c>
      <c r="Q135">
        <v>0</v>
      </c>
      <c r="R135">
        <v>2700920541</v>
      </c>
      <c r="S135">
        <v>21559689.43</v>
      </c>
      <c r="T135">
        <v>2666249470.3800001</v>
      </c>
      <c r="U135">
        <v>2679360851.5700002</v>
      </c>
      <c r="V135">
        <v>5.6723000000000003E-2</v>
      </c>
      <c r="W135">
        <v>0</v>
      </c>
    </row>
    <row r="136" spans="1:23" x14ac:dyDescent="0.35">
      <c r="A136" t="s">
        <v>3</v>
      </c>
      <c r="B136">
        <v>4500</v>
      </c>
      <c r="C136">
        <v>216</v>
      </c>
      <c r="D136">
        <v>3</v>
      </c>
      <c r="E136">
        <v>0</v>
      </c>
      <c r="F136">
        <v>23547504</v>
      </c>
      <c r="G136">
        <v>108905.1</v>
      </c>
      <c r="H136">
        <v>23438598.899999999</v>
      </c>
      <c r="I136">
        <v>23438598.899999999</v>
      </c>
      <c r="J136">
        <v>0</v>
      </c>
      <c r="K136">
        <v>0</v>
      </c>
      <c r="M136" t="s">
        <v>0</v>
      </c>
      <c r="N136">
        <v>7500</v>
      </c>
      <c r="O136">
        <v>216</v>
      </c>
      <c r="P136">
        <v>629</v>
      </c>
      <c r="Q136">
        <v>0</v>
      </c>
      <c r="R136">
        <v>2935738547</v>
      </c>
      <c r="S136">
        <v>11916992.84</v>
      </c>
      <c r="T136">
        <v>2891374075.2600002</v>
      </c>
      <c r="U136">
        <v>2919340877.52</v>
      </c>
      <c r="V136">
        <v>0.124858</v>
      </c>
      <c r="W136">
        <v>1.8162000000000001E-2</v>
      </c>
    </row>
    <row r="137" spans="1:23" x14ac:dyDescent="0.35">
      <c r="A137" t="s">
        <v>0</v>
      </c>
      <c r="B137">
        <v>4500</v>
      </c>
      <c r="C137">
        <v>216</v>
      </c>
      <c r="D137">
        <v>6693</v>
      </c>
      <c r="E137">
        <v>0</v>
      </c>
      <c r="F137">
        <v>62267440040</v>
      </c>
      <c r="G137">
        <v>288574769.24000001</v>
      </c>
      <c r="H137">
        <v>61741827739.410004</v>
      </c>
      <c r="I137">
        <v>61953214316</v>
      </c>
      <c r="J137">
        <v>4.4736999999999999E-2</v>
      </c>
      <c r="K137">
        <v>4.9319999999999998E-3</v>
      </c>
      <c r="M137" t="s">
        <v>3</v>
      </c>
      <c r="N137">
        <v>4500</v>
      </c>
      <c r="O137">
        <v>216</v>
      </c>
      <c r="P137">
        <v>3</v>
      </c>
      <c r="Q137">
        <v>0</v>
      </c>
      <c r="R137">
        <v>23762354</v>
      </c>
      <c r="S137">
        <v>108977.71</v>
      </c>
      <c r="T137">
        <v>23653376.289999999</v>
      </c>
      <c r="U137">
        <v>23653376.289999999</v>
      </c>
      <c r="V137">
        <v>0</v>
      </c>
      <c r="W137">
        <v>0</v>
      </c>
    </row>
    <row r="138" spans="1:23" x14ac:dyDescent="0.35">
      <c r="A138" t="s">
        <v>1</v>
      </c>
      <c r="B138">
        <v>4500</v>
      </c>
      <c r="C138">
        <v>216</v>
      </c>
      <c r="D138">
        <v>1624</v>
      </c>
      <c r="E138">
        <v>0</v>
      </c>
      <c r="F138">
        <v>14964825658</v>
      </c>
      <c r="G138">
        <v>69758310.540000007</v>
      </c>
      <c r="H138">
        <v>14746930266.9</v>
      </c>
      <c r="I138">
        <v>14880205028.309999</v>
      </c>
      <c r="J138">
        <v>0.11253000000000001</v>
      </c>
      <c r="K138">
        <v>1.1853000000000001E-2</v>
      </c>
      <c r="M138" t="s">
        <v>0</v>
      </c>
      <c r="N138">
        <v>4500</v>
      </c>
      <c r="O138">
        <v>216</v>
      </c>
      <c r="P138">
        <v>6543</v>
      </c>
      <c r="Q138">
        <v>0</v>
      </c>
      <c r="R138">
        <v>61314207544</v>
      </c>
      <c r="S138">
        <v>282284083.56999999</v>
      </c>
      <c r="T138">
        <v>60771381947.059998</v>
      </c>
      <c r="U138">
        <v>61022769709.080002</v>
      </c>
      <c r="V138">
        <v>4.9815999999999999E-2</v>
      </c>
      <c r="W138">
        <v>1.7899999999999999E-3</v>
      </c>
    </row>
    <row r="139" spans="1:23" x14ac:dyDescent="0.35">
      <c r="A139" t="s">
        <v>2</v>
      </c>
      <c r="B139">
        <v>4500</v>
      </c>
      <c r="C139">
        <v>216</v>
      </c>
      <c r="D139">
        <v>715</v>
      </c>
      <c r="E139">
        <v>0</v>
      </c>
      <c r="F139">
        <v>5355847769</v>
      </c>
      <c r="G139">
        <v>24582150.550000001</v>
      </c>
      <c r="H139">
        <v>5281468433.7600002</v>
      </c>
      <c r="I139">
        <v>5331265618.4499998</v>
      </c>
      <c r="J139">
        <v>0.10604</v>
      </c>
      <c r="K139">
        <v>0</v>
      </c>
      <c r="M139" t="s">
        <v>1</v>
      </c>
      <c r="N139">
        <v>4500</v>
      </c>
      <c r="O139">
        <v>216</v>
      </c>
      <c r="P139">
        <v>1587</v>
      </c>
      <c r="Q139">
        <v>0</v>
      </c>
      <c r="R139">
        <v>14749050799</v>
      </c>
      <c r="S139">
        <v>68287321.480000004</v>
      </c>
      <c r="T139">
        <v>14649982961.309999</v>
      </c>
      <c r="U139">
        <v>14670565136.42</v>
      </c>
      <c r="V139">
        <v>2.4757999999999999E-2</v>
      </c>
      <c r="W139">
        <v>8.2660000000000008E-3</v>
      </c>
    </row>
    <row r="140" spans="1:23" x14ac:dyDescent="0.35">
      <c r="A140" t="s">
        <v>3</v>
      </c>
      <c r="B140">
        <v>5000</v>
      </c>
      <c r="C140">
        <v>216</v>
      </c>
      <c r="D140">
        <v>128</v>
      </c>
      <c r="E140">
        <v>0</v>
      </c>
      <c r="F140">
        <v>1304105016</v>
      </c>
      <c r="G140">
        <v>5762529.0899999999</v>
      </c>
      <c r="H140">
        <v>1277364039.3299999</v>
      </c>
      <c r="I140">
        <v>1286046095.0699999</v>
      </c>
      <c r="J140">
        <v>0.176842</v>
      </c>
      <c r="K140">
        <v>0.107461</v>
      </c>
      <c r="M140" t="s">
        <v>2</v>
      </c>
      <c r="N140">
        <v>4500</v>
      </c>
      <c r="O140">
        <v>216</v>
      </c>
      <c r="P140">
        <v>661</v>
      </c>
      <c r="Q140">
        <v>0</v>
      </c>
      <c r="R140">
        <v>4984406332</v>
      </c>
      <c r="S140">
        <v>22802818.219999999</v>
      </c>
      <c r="T140">
        <v>4947727908.1099997</v>
      </c>
      <c r="U140">
        <v>4961603513.7799997</v>
      </c>
      <c r="V140">
        <v>3.2898999999999998E-2</v>
      </c>
      <c r="W140">
        <v>0</v>
      </c>
    </row>
    <row r="141" spans="1:23" x14ac:dyDescent="0.35">
      <c r="A141" t="s">
        <v>3</v>
      </c>
      <c r="B141">
        <v>5500</v>
      </c>
      <c r="C141">
        <v>216</v>
      </c>
      <c r="D141">
        <v>169</v>
      </c>
      <c r="E141">
        <v>0</v>
      </c>
      <c r="F141">
        <v>1438702911</v>
      </c>
      <c r="G141">
        <v>6152720.6600000001</v>
      </c>
      <c r="H141">
        <v>1432550190.3399999</v>
      </c>
      <c r="I141">
        <v>1432550190.3399999</v>
      </c>
      <c r="J141">
        <v>0</v>
      </c>
      <c r="K141">
        <v>0</v>
      </c>
      <c r="M141" t="s">
        <v>3</v>
      </c>
      <c r="N141">
        <v>5000</v>
      </c>
      <c r="O141">
        <v>216</v>
      </c>
      <c r="P141">
        <v>125</v>
      </c>
      <c r="Q141">
        <v>0</v>
      </c>
      <c r="R141">
        <v>1271353979</v>
      </c>
      <c r="S141">
        <v>5588159.7999999998</v>
      </c>
      <c r="T141">
        <v>1245636574.28</v>
      </c>
      <c r="U141">
        <v>1250463819.8199999</v>
      </c>
      <c r="V141">
        <v>0.174293</v>
      </c>
      <c r="W141">
        <v>0.135244</v>
      </c>
    </row>
    <row r="142" spans="1:23" x14ac:dyDescent="0.35">
      <c r="A142" t="s">
        <v>0</v>
      </c>
      <c r="B142">
        <v>4000</v>
      </c>
      <c r="C142">
        <v>216</v>
      </c>
      <c r="D142">
        <v>128</v>
      </c>
      <c r="E142">
        <v>0</v>
      </c>
      <c r="F142">
        <v>1099209504</v>
      </c>
      <c r="G142">
        <v>5271599.2</v>
      </c>
      <c r="H142">
        <v>1093937904.8</v>
      </c>
      <c r="I142">
        <v>1093937904.8</v>
      </c>
      <c r="J142">
        <v>0</v>
      </c>
      <c r="K142">
        <v>0</v>
      </c>
      <c r="M142" t="s">
        <v>3</v>
      </c>
      <c r="N142">
        <v>5500</v>
      </c>
      <c r="O142">
        <v>216</v>
      </c>
      <c r="P142">
        <v>164</v>
      </c>
      <c r="Q142">
        <v>0</v>
      </c>
      <c r="R142">
        <v>1403434909</v>
      </c>
      <c r="S142">
        <v>5960610.1900000004</v>
      </c>
      <c r="T142">
        <v>1396180995.98</v>
      </c>
      <c r="U142">
        <v>1397474298.8099999</v>
      </c>
      <c r="V142">
        <v>1.1002E-2</v>
      </c>
      <c r="W142">
        <v>0</v>
      </c>
    </row>
    <row r="143" spans="1:23" x14ac:dyDescent="0.35">
      <c r="A143" t="s">
        <v>0</v>
      </c>
      <c r="B143">
        <v>7500</v>
      </c>
      <c r="C143">
        <v>240</v>
      </c>
      <c r="D143">
        <v>964</v>
      </c>
      <c r="E143">
        <v>0</v>
      </c>
      <c r="F143">
        <v>4269173451</v>
      </c>
      <c r="G143">
        <v>20862678.829999998</v>
      </c>
      <c r="H143">
        <v>4207983644.3499999</v>
      </c>
      <c r="I143">
        <v>4242417657.8699999</v>
      </c>
      <c r="J143">
        <v>0.10764600000000001</v>
      </c>
      <c r="K143">
        <v>1.6438999999999999E-2</v>
      </c>
      <c r="M143" t="s">
        <v>0</v>
      </c>
      <c r="N143">
        <v>4000</v>
      </c>
      <c r="O143">
        <v>216</v>
      </c>
      <c r="P143">
        <v>125</v>
      </c>
      <c r="Q143">
        <v>0</v>
      </c>
      <c r="R143">
        <v>1080783101</v>
      </c>
      <c r="S143">
        <v>5148412.9400000004</v>
      </c>
      <c r="T143">
        <v>1075634688.0599999</v>
      </c>
      <c r="U143">
        <v>1075634688.0599999</v>
      </c>
      <c r="V143">
        <v>0</v>
      </c>
      <c r="W143">
        <v>0</v>
      </c>
    </row>
    <row r="144" spans="1:23" x14ac:dyDescent="0.35">
      <c r="A144" t="s">
        <v>0</v>
      </c>
      <c r="B144">
        <v>5750</v>
      </c>
      <c r="C144">
        <v>320</v>
      </c>
      <c r="D144">
        <v>9104</v>
      </c>
      <c r="E144">
        <v>0</v>
      </c>
      <c r="F144">
        <v>37552853654</v>
      </c>
      <c r="G144">
        <v>304271480.88999999</v>
      </c>
      <c r="H144">
        <v>36990263144.25</v>
      </c>
      <c r="I144">
        <v>37228278043.580002</v>
      </c>
      <c r="J144">
        <v>7.9492999999999994E-2</v>
      </c>
      <c r="K144">
        <v>6.4689999999999999E-3</v>
      </c>
      <c r="M144" t="s">
        <v>0</v>
      </c>
      <c r="N144">
        <v>7500</v>
      </c>
      <c r="O144">
        <v>240</v>
      </c>
      <c r="P144">
        <v>958</v>
      </c>
      <c r="Q144">
        <v>0</v>
      </c>
      <c r="R144">
        <v>4277435693</v>
      </c>
      <c r="S144">
        <v>20721263.59</v>
      </c>
      <c r="T144">
        <v>4224785767.8899999</v>
      </c>
      <c r="U144">
        <v>4251584443.9699998</v>
      </c>
      <c r="V144">
        <v>8.5986000000000007E-2</v>
      </c>
      <c r="W144">
        <v>1.4297000000000001E-2</v>
      </c>
    </row>
    <row r="145" spans="1:23" x14ac:dyDescent="0.35">
      <c r="A145" t="s">
        <v>0</v>
      </c>
      <c r="B145">
        <v>4750</v>
      </c>
      <c r="C145">
        <v>360</v>
      </c>
      <c r="D145">
        <v>4</v>
      </c>
      <c r="E145">
        <v>0</v>
      </c>
      <c r="F145">
        <v>2737126</v>
      </c>
      <c r="G145">
        <v>74771.67</v>
      </c>
      <c r="H145">
        <v>2662354.33</v>
      </c>
      <c r="I145">
        <v>2662354.33</v>
      </c>
      <c r="J145">
        <v>0</v>
      </c>
      <c r="K145">
        <v>0</v>
      </c>
      <c r="M145" t="s">
        <v>0</v>
      </c>
      <c r="N145">
        <v>5750</v>
      </c>
      <c r="O145">
        <v>320</v>
      </c>
      <c r="P145">
        <v>9082</v>
      </c>
      <c r="Q145">
        <v>0</v>
      </c>
      <c r="R145">
        <v>37690126167</v>
      </c>
      <c r="S145">
        <v>302843869.08999997</v>
      </c>
      <c r="T145">
        <v>37172667987.900002</v>
      </c>
      <c r="U145">
        <v>37367303615.489998</v>
      </c>
      <c r="V145">
        <v>6.6229999999999997E-2</v>
      </c>
      <c r="W145">
        <v>6.3420000000000004E-3</v>
      </c>
    </row>
    <row r="146" spans="1:23" x14ac:dyDescent="0.35">
      <c r="A146" t="s">
        <v>2</v>
      </c>
      <c r="B146">
        <v>3000</v>
      </c>
      <c r="C146">
        <v>320</v>
      </c>
      <c r="D146">
        <v>56</v>
      </c>
      <c r="E146">
        <v>0</v>
      </c>
      <c r="F146">
        <v>117675677</v>
      </c>
      <c r="G146">
        <v>1143922.46</v>
      </c>
      <c r="H146">
        <v>116164323.16</v>
      </c>
      <c r="I146">
        <v>116531754.54000001</v>
      </c>
      <c r="J146">
        <v>3.6831999999999997E-2</v>
      </c>
      <c r="K146">
        <v>0</v>
      </c>
      <c r="M146" t="s">
        <v>2</v>
      </c>
      <c r="N146">
        <v>6750</v>
      </c>
      <c r="O146">
        <v>320</v>
      </c>
      <c r="P146">
        <v>399</v>
      </c>
      <c r="Q146">
        <v>0</v>
      </c>
      <c r="R146">
        <v>1154345552</v>
      </c>
      <c r="S146">
        <v>9059089.0099999998</v>
      </c>
      <c r="T146">
        <v>1131978246.53</v>
      </c>
      <c r="U146">
        <v>1141946786.1400001</v>
      </c>
      <c r="V146">
        <v>0.12990199999999999</v>
      </c>
      <c r="W146">
        <v>3.4169999999999999E-2</v>
      </c>
    </row>
    <row r="147" spans="1:23" x14ac:dyDescent="0.35">
      <c r="A147" t="s">
        <v>2</v>
      </c>
      <c r="B147">
        <v>3000</v>
      </c>
      <c r="C147">
        <v>360</v>
      </c>
      <c r="D147">
        <v>4</v>
      </c>
      <c r="E147">
        <v>0</v>
      </c>
      <c r="F147">
        <v>2377097</v>
      </c>
      <c r="G147">
        <v>61082.43</v>
      </c>
      <c r="H147">
        <v>2316014.5699999998</v>
      </c>
      <c r="I147">
        <v>2316014.5699999998</v>
      </c>
      <c r="J147">
        <v>0</v>
      </c>
      <c r="K147">
        <v>0</v>
      </c>
      <c r="M147" t="s">
        <v>0</v>
      </c>
      <c r="N147">
        <v>4750</v>
      </c>
      <c r="O147">
        <v>360</v>
      </c>
      <c r="P147">
        <v>4</v>
      </c>
      <c r="Q147">
        <v>0</v>
      </c>
      <c r="R147">
        <v>2842823</v>
      </c>
      <c r="S147">
        <v>75290.13</v>
      </c>
      <c r="T147">
        <v>2767532.87</v>
      </c>
      <c r="U147">
        <v>2767532.87</v>
      </c>
      <c r="V147">
        <v>0</v>
      </c>
      <c r="W147">
        <v>0</v>
      </c>
    </row>
    <row r="148" spans="1:23" x14ac:dyDescent="0.35">
      <c r="A148" t="s">
        <v>0</v>
      </c>
      <c r="B148">
        <v>3000</v>
      </c>
      <c r="C148">
        <v>320</v>
      </c>
      <c r="D148">
        <v>36</v>
      </c>
      <c r="E148">
        <v>0</v>
      </c>
      <c r="F148">
        <v>95409974</v>
      </c>
      <c r="G148">
        <v>916072.27</v>
      </c>
      <c r="H148">
        <v>94493901.730000004</v>
      </c>
      <c r="I148">
        <v>94493901.730000004</v>
      </c>
      <c r="J148">
        <v>0</v>
      </c>
      <c r="K148">
        <v>0</v>
      </c>
      <c r="M148" t="s">
        <v>2</v>
      </c>
      <c r="N148">
        <v>3000</v>
      </c>
      <c r="O148">
        <v>320</v>
      </c>
      <c r="P148">
        <v>59</v>
      </c>
      <c r="Q148">
        <v>0</v>
      </c>
      <c r="R148">
        <v>120494501</v>
      </c>
      <c r="S148">
        <v>1175907.06</v>
      </c>
      <c r="T148">
        <v>118649129.22</v>
      </c>
      <c r="U148">
        <v>119318593.94</v>
      </c>
      <c r="V148">
        <v>6.4671999999999993E-2</v>
      </c>
      <c r="W148">
        <v>0</v>
      </c>
    </row>
    <row r="149" spans="1:23" x14ac:dyDescent="0.35">
      <c r="A149" t="s">
        <v>0</v>
      </c>
      <c r="B149">
        <v>7750</v>
      </c>
      <c r="C149">
        <v>320</v>
      </c>
      <c r="D149">
        <v>905</v>
      </c>
      <c r="E149">
        <v>0</v>
      </c>
      <c r="F149">
        <v>1974907372</v>
      </c>
      <c r="G149">
        <v>27132055.460000001</v>
      </c>
      <c r="H149">
        <v>1933495194.7</v>
      </c>
      <c r="I149">
        <v>1946155578.3399999</v>
      </c>
      <c r="J149">
        <v>8.3400000000000002E-2</v>
      </c>
      <c r="K149">
        <v>9.7979999999999994E-3</v>
      </c>
      <c r="M149" t="s">
        <v>2</v>
      </c>
      <c r="N149">
        <v>3000</v>
      </c>
      <c r="O149">
        <v>360</v>
      </c>
      <c r="P149">
        <v>2</v>
      </c>
      <c r="Q149">
        <v>0</v>
      </c>
      <c r="R149">
        <v>1802545</v>
      </c>
      <c r="S149">
        <v>45811.93</v>
      </c>
      <c r="T149">
        <v>1756733.07</v>
      </c>
      <c r="U149">
        <v>1756733.07</v>
      </c>
      <c r="V149">
        <v>0</v>
      </c>
      <c r="W149">
        <v>0</v>
      </c>
    </row>
    <row r="150" spans="1:23" x14ac:dyDescent="0.35">
      <c r="A150" t="s">
        <v>0</v>
      </c>
      <c r="B150">
        <v>3000</v>
      </c>
      <c r="C150">
        <v>360</v>
      </c>
      <c r="D150">
        <v>4</v>
      </c>
      <c r="E150">
        <v>0</v>
      </c>
      <c r="F150">
        <v>3928350</v>
      </c>
      <c r="G150">
        <v>101997.6</v>
      </c>
      <c r="H150">
        <v>3826352.4</v>
      </c>
      <c r="I150">
        <v>3826352.4</v>
      </c>
      <c r="J150">
        <v>0</v>
      </c>
      <c r="K150">
        <v>0</v>
      </c>
      <c r="M150" t="s">
        <v>0</v>
      </c>
      <c r="N150">
        <v>3000</v>
      </c>
      <c r="O150">
        <v>320</v>
      </c>
      <c r="P150">
        <v>36</v>
      </c>
      <c r="Q150">
        <v>0</v>
      </c>
      <c r="R150">
        <v>96688295</v>
      </c>
      <c r="S150">
        <v>917683.33</v>
      </c>
      <c r="T150">
        <v>95770611.670000002</v>
      </c>
      <c r="U150">
        <v>95770611.670000002</v>
      </c>
      <c r="V150">
        <v>0</v>
      </c>
      <c r="W150">
        <v>0</v>
      </c>
    </row>
    <row r="151" spans="1:23" x14ac:dyDescent="0.35">
      <c r="A151" t="s">
        <v>2</v>
      </c>
      <c r="B151">
        <v>7250</v>
      </c>
      <c r="C151">
        <v>320</v>
      </c>
      <c r="D151">
        <v>106</v>
      </c>
      <c r="E151">
        <v>0</v>
      </c>
      <c r="F151">
        <v>211897852</v>
      </c>
      <c r="G151">
        <v>2715560.9</v>
      </c>
      <c r="H151">
        <v>209182291.09999999</v>
      </c>
      <c r="I151">
        <v>209182291.09999999</v>
      </c>
      <c r="J151">
        <v>0</v>
      </c>
      <c r="K151">
        <v>0</v>
      </c>
      <c r="M151" t="s">
        <v>0</v>
      </c>
      <c r="N151">
        <v>7750</v>
      </c>
      <c r="O151">
        <v>320</v>
      </c>
      <c r="P151">
        <v>940</v>
      </c>
      <c r="Q151">
        <v>0</v>
      </c>
      <c r="R151">
        <v>2068360002</v>
      </c>
      <c r="S151">
        <v>28266438.030000001</v>
      </c>
      <c r="T151">
        <v>2032027424.1500001</v>
      </c>
      <c r="U151">
        <v>2036747846.1199999</v>
      </c>
      <c r="V151">
        <v>4.5805999999999999E-2</v>
      </c>
      <c r="W151">
        <v>1.9238999999999999E-2</v>
      </c>
    </row>
    <row r="152" spans="1:23" x14ac:dyDescent="0.35">
      <c r="A152" t="s">
        <v>1</v>
      </c>
      <c r="B152">
        <v>7250</v>
      </c>
      <c r="C152">
        <v>320</v>
      </c>
      <c r="D152">
        <v>192</v>
      </c>
      <c r="E152">
        <v>0</v>
      </c>
      <c r="F152">
        <v>543048429</v>
      </c>
      <c r="G152">
        <v>6864840.0199999996</v>
      </c>
      <c r="H152">
        <v>528672220.77999997</v>
      </c>
      <c r="I152">
        <v>536183588.98000002</v>
      </c>
      <c r="J152">
        <v>0.15392</v>
      </c>
      <c r="K152">
        <v>0</v>
      </c>
      <c r="M152" t="s">
        <v>0</v>
      </c>
      <c r="N152">
        <v>3000</v>
      </c>
      <c r="O152">
        <v>360</v>
      </c>
      <c r="P152">
        <v>4</v>
      </c>
      <c r="Q152">
        <v>0</v>
      </c>
      <c r="R152">
        <v>4048785</v>
      </c>
      <c r="S152">
        <v>102218.03</v>
      </c>
      <c r="T152">
        <v>3946566.97</v>
      </c>
      <c r="U152">
        <v>3946566.97</v>
      </c>
      <c r="V152">
        <v>0</v>
      </c>
      <c r="W152">
        <v>0</v>
      </c>
    </row>
    <row r="153" spans="1:23" x14ac:dyDescent="0.35">
      <c r="A153" t="s">
        <v>1</v>
      </c>
      <c r="B153">
        <v>5750</v>
      </c>
      <c r="C153">
        <v>320</v>
      </c>
      <c r="D153">
        <v>1886</v>
      </c>
      <c r="E153">
        <v>0</v>
      </c>
      <c r="F153">
        <v>9085320936</v>
      </c>
      <c r="G153">
        <v>72310672.950000003</v>
      </c>
      <c r="H153">
        <v>8962325852.2600002</v>
      </c>
      <c r="I153">
        <v>9013010263.0499992</v>
      </c>
      <c r="J153">
        <v>6.4928E-2</v>
      </c>
      <c r="K153">
        <v>0</v>
      </c>
      <c r="M153" t="s">
        <v>2</v>
      </c>
      <c r="N153">
        <v>7250</v>
      </c>
      <c r="O153">
        <v>320</v>
      </c>
      <c r="P153">
        <v>107</v>
      </c>
      <c r="Q153">
        <v>0</v>
      </c>
      <c r="R153">
        <v>215391317</v>
      </c>
      <c r="S153">
        <v>2709447.62</v>
      </c>
      <c r="T153">
        <v>212651314.84</v>
      </c>
      <c r="U153">
        <v>212681869.38</v>
      </c>
      <c r="V153">
        <v>1.701E-3</v>
      </c>
      <c r="W153">
        <v>0</v>
      </c>
    </row>
    <row r="154" spans="1:23" x14ac:dyDescent="0.35">
      <c r="A154" t="s">
        <v>3</v>
      </c>
      <c r="B154">
        <v>6000</v>
      </c>
      <c r="C154">
        <v>320</v>
      </c>
      <c r="D154">
        <v>46</v>
      </c>
      <c r="E154">
        <v>0</v>
      </c>
      <c r="F154">
        <v>231653041</v>
      </c>
      <c r="G154">
        <v>1663238.1</v>
      </c>
      <c r="H154">
        <v>211085244.68000001</v>
      </c>
      <c r="I154">
        <v>229989802.90000001</v>
      </c>
      <c r="J154">
        <v>0.63996799999999998</v>
      </c>
      <c r="K154">
        <v>0</v>
      </c>
      <c r="M154" t="s">
        <v>1</v>
      </c>
      <c r="N154">
        <v>7250</v>
      </c>
      <c r="O154">
        <v>320</v>
      </c>
      <c r="P154">
        <v>194</v>
      </c>
      <c r="Q154">
        <v>0</v>
      </c>
      <c r="R154">
        <v>553920650</v>
      </c>
      <c r="S154">
        <v>6886191.5599999996</v>
      </c>
      <c r="T154">
        <v>546154157.29999995</v>
      </c>
      <c r="U154">
        <v>547034458.44000006</v>
      </c>
      <c r="V154">
        <v>1.8905000000000002E-2</v>
      </c>
      <c r="W154">
        <v>0</v>
      </c>
    </row>
    <row r="155" spans="1:23" x14ac:dyDescent="0.35">
      <c r="A155" t="s">
        <v>3</v>
      </c>
      <c r="B155">
        <v>5000</v>
      </c>
      <c r="C155">
        <v>320</v>
      </c>
      <c r="D155">
        <v>4</v>
      </c>
      <c r="E155">
        <v>0</v>
      </c>
      <c r="F155">
        <v>6707266</v>
      </c>
      <c r="G155">
        <v>56355.64</v>
      </c>
      <c r="H155">
        <v>6650910.3600000003</v>
      </c>
      <c r="I155">
        <v>6650910.3600000003</v>
      </c>
      <c r="J155">
        <v>0</v>
      </c>
      <c r="K155">
        <v>0</v>
      </c>
      <c r="M155" t="s">
        <v>1</v>
      </c>
      <c r="N155">
        <v>5750</v>
      </c>
      <c r="O155">
        <v>320</v>
      </c>
      <c r="P155">
        <v>1884</v>
      </c>
      <c r="Q155">
        <v>0</v>
      </c>
      <c r="R155">
        <v>9108742518</v>
      </c>
      <c r="S155">
        <v>71864611.489999995</v>
      </c>
      <c r="T155">
        <v>8990361138.7299995</v>
      </c>
      <c r="U155">
        <v>9036877906.5100002</v>
      </c>
      <c r="V155">
        <v>5.9589999999999997E-2</v>
      </c>
      <c r="W155">
        <v>0</v>
      </c>
    </row>
    <row r="156" spans="1:23" x14ac:dyDescent="0.35">
      <c r="A156" t="s">
        <v>0</v>
      </c>
      <c r="B156">
        <v>8250</v>
      </c>
      <c r="C156">
        <v>320</v>
      </c>
      <c r="D156">
        <v>409</v>
      </c>
      <c r="E156">
        <v>0</v>
      </c>
      <c r="F156">
        <v>720019237</v>
      </c>
      <c r="G156">
        <v>12022528.08</v>
      </c>
      <c r="H156">
        <v>705790831.66999996</v>
      </c>
      <c r="I156">
        <v>707996708.91999996</v>
      </c>
      <c r="J156">
        <v>3.6150000000000002E-2</v>
      </c>
      <c r="K156">
        <v>0</v>
      </c>
      <c r="M156" t="s">
        <v>3</v>
      </c>
      <c r="N156">
        <v>6000</v>
      </c>
      <c r="O156">
        <v>320</v>
      </c>
      <c r="P156">
        <v>45</v>
      </c>
      <c r="Q156">
        <v>0</v>
      </c>
      <c r="R156">
        <v>228081887</v>
      </c>
      <c r="S156">
        <v>1624442.87</v>
      </c>
      <c r="T156">
        <v>226457444.13</v>
      </c>
      <c r="U156">
        <v>226457444.13</v>
      </c>
      <c r="V156">
        <v>0</v>
      </c>
      <c r="W156">
        <v>0</v>
      </c>
    </row>
    <row r="157" spans="1:23" x14ac:dyDescent="0.35">
      <c r="A157" t="s">
        <v>2</v>
      </c>
      <c r="B157">
        <v>5750</v>
      </c>
      <c r="C157">
        <v>360</v>
      </c>
      <c r="D157">
        <v>6</v>
      </c>
      <c r="E157">
        <v>0</v>
      </c>
      <c r="F157">
        <v>7059042</v>
      </c>
      <c r="G157">
        <v>174271.44</v>
      </c>
      <c r="H157">
        <v>6884770.5599999996</v>
      </c>
      <c r="I157">
        <v>6884770.5599999996</v>
      </c>
      <c r="J157">
        <v>0</v>
      </c>
      <c r="K157">
        <v>0</v>
      </c>
      <c r="M157" t="s">
        <v>3</v>
      </c>
      <c r="N157">
        <v>5000</v>
      </c>
      <c r="O157">
        <v>320</v>
      </c>
      <c r="P157">
        <v>4</v>
      </c>
      <c r="Q157">
        <v>0</v>
      </c>
      <c r="R157">
        <v>6822205</v>
      </c>
      <c r="S157">
        <v>56602.17</v>
      </c>
      <c r="T157">
        <v>6765602.8300000001</v>
      </c>
      <c r="U157">
        <v>6765602.8300000001</v>
      </c>
      <c r="V157">
        <v>0</v>
      </c>
      <c r="W157">
        <v>0</v>
      </c>
    </row>
    <row r="158" spans="1:23" x14ac:dyDescent="0.35">
      <c r="A158" t="s">
        <v>2</v>
      </c>
      <c r="B158">
        <v>5750</v>
      </c>
      <c r="C158">
        <v>320</v>
      </c>
      <c r="D158">
        <v>553</v>
      </c>
      <c r="E158">
        <v>0</v>
      </c>
      <c r="F158">
        <v>1989456107</v>
      </c>
      <c r="G158">
        <v>15895195.300000001</v>
      </c>
      <c r="H158">
        <v>1958004835.2</v>
      </c>
      <c r="I158">
        <v>1972249880.1600001</v>
      </c>
      <c r="J158">
        <v>8.9899000000000007E-2</v>
      </c>
      <c r="K158">
        <v>7.8790000000000006E-3</v>
      </c>
      <c r="M158" t="s">
        <v>0</v>
      </c>
      <c r="N158">
        <v>8250</v>
      </c>
      <c r="O158">
        <v>320</v>
      </c>
      <c r="P158">
        <v>444</v>
      </c>
      <c r="Q158">
        <v>0</v>
      </c>
      <c r="R158">
        <v>800580628</v>
      </c>
      <c r="S158">
        <v>13304219.210000001</v>
      </c>
      <c r="T158">
        <v>776935542.42999995</v>
      </c>
      <c r="U158">
        <v>787276408.78999996</v>
      </c>
      <c r="V158">
        <v>0.14445</v>
      </c>
      <c r="W158">
        <v>0</v>
      </c>
    </row>
    <row r="159" spans="1:23" x14ac:dyDescent="0.35">
      <c r="A159" t="s">
        <v>0</v>
      </c>
      <c r="B159">
        <v>3500</v>
      </c>
      <c r="C159">
        <v>192</v>
      </c>
      <c r="D159">
        <v>1031</v>
      </c>
      <c r="E159">
        <v>0</v>
      </c>
      <c r="F159">
        <v>8812309048</v>
      </c>
      <c r="G159">
        <v>35237115.869999997</v>
      </c>
      <c r="H159">
        <v>8747291811.1000004</v>
      </c>
      <c r="I159">
        <v>8770052900.6399994</v>
      </c>
      <c r="J159">
        <v>3.9807000000000002E-2</v>
      </c>
      <c r="K159">
        <v>9.5160000000000002E-3</v>
      </c>
      <c r="M159" t="s">
        <v>2</v>
      </c>
      <c r="N159">
        <v>5750</v>
      </c>
      <c r="O159">
        <v>360</v>
      </c>
      <c r="P159">
        <v>4</v>
      </c>
      <c r="Q159">
        <v>0</v>
      </c>
      <c r="R159">
        <v>4713887</v>
      </c>
      <c r="S159">
        <v>116110</v>
      </c>
      <c r="T159">
        <v>4597777</v>
      </c>
      <c r="U159">
        <v>4597777</v>
      </c>
      <c r="V159">
        <v>0</v>
      </c>
      <c r="W159">
        <v>0</v>
      </c>
    </row>
    <row r="160" spans="1:23" x14ac:dyDescent="0.35">
      <c r="A160" t="s">
        <v>2</v>
      </c>
      <c r="B160">
        <v>3500</v>
      </c>
      <c r="C160">
        <v>192</v>
      </c>
      <c r="D160">
        <v>190</v>
      </c>
      <c r="E160">
        <v>0</v>
      </c>
      <c r="F160">
        <v>1581047042</v>
      </c>
      <c r="G160">
        <v>6315771.8300000001</v>
      </c>
      <c r="H160">
        <v>1570383842.8399999</v>
      </c>
      <c r="I160">
        <v>1574731270.1700001</v>
      </c>
      <c r="J160">
        <v>3.2502000000000003E-2</v>
      </c>
      <c r="K160">
        <v>0</v>
      </c>
      <c r="M160" t="s">
        <v>2</v>
      </c>
      <c r="N160">
        <v>5750</v>
      </c>
      <c r="O160">
        <v>320</v>
      </c>
      <c r="P160">
        <v>553</v>
      </c>
      <c r="Q160">
        <v>0</v>
      </c>
      <c r="R160">
        <v>1991139516</v>
      </c>
      <c r="S160">
        <v>15805986.83</v>
      </c>
      <c r="T160">
        <v>1964237910.9100001</v>
      </c>
      <c r="U160">
        <v>1975333529.1700001</v>
      </c>
      <c r="V160">
        <v>6.4857999999999999E-2</v>
      </c>
      <c r="W160">
        <v>0</v>
      </c>
    </row>
    <row r="161" spans="1:23" x14ac:dyDescent="0.35">
      <c r="A161" t="s">
        <v>2</v>
      </c>
      <c r="B161">
        <v>6750</v>
      </c>
      <c r="C161">
        <v>320</v>
      </c>
      <c r="D161">
        <v>421</v>
      </c>
      <c r="E161">
        <v>0</v>
      </c>
      <c r="F161">
        <v>1242828620</v>
      </c>
      <c r="G161">
        <v>9620445.4600000009</v>
      </c>
      <c r="H161">
        <v>1203407310.03</v>
      </c>
      <c r="I161">
        <v>1233208174.54</v>
      </c>
      <c r="J161">
        <v>0.25266699999999997</v>
      </c>
      <c r="K161">
        <v>0</v>
      </c>
      <c r="M161" t="s">
        <v>0</v>
      </c>
      <c r="N161">
        <v>3500</v>
      </c>
      <c r="O161">
        <v>192</v>
      </c>
      <c r="P161">
        <v>732</v>
      </c>
      <c r="Q161">
        <v>0</v>
      </c>
      <c r="R161">
        <v>6087956280</v>
      </c>
      <c r="S161">
        <v>24385409.170000002</v>
      </c>
      <c r="T161">
        <v>6042689147.6800003</v>
      </c>
      <c r="U161">
        <v>6063570870.8299999</v>
      </c>
      <c r="V161">
        <v>4.0391999999999997E-2</v>
      </c>
      <c r="W161">
        <v>0</v>
      </c>
    </row>
    <row r="162" spans="1:23" x14ac:dyDescent="0.35">
      <c r="A162" t="s">
        <v>0</v>
      </c>
      <c r="B162">
        <v>3500</v>
      </c>
      <c r="C162">
        <v>320</v>
      </c>
      <c r="D162">
        <v>5</v>
      </c>
      <c r="E162">
        <v>0</v>
      </c>
      <c r="F162">
        <v>6321943</v>
      </c>
      <c r="G162">
        <v>125839.76</v>
      </c>
      <c r="H162">
        <v>6196103.2400000002</v>
      </c>
      <c r="I162">
        <v>6196103.2400000002</v>
      </c>
      <c r="J162">
        <v>0</v>
      </c>
      <c r="K162">
        <v>0</v>
      </c>
      <c r="M162" t="s">
        <v>2</v>
      </c>
      <c r="N162">
        <v>3500</v>
      </c>
      <c r="O162">
        <v>192</v>
      </c>
      <c r="P162">
        <v>119</v>
      </c>
      <c r="Q162">
        <v>0</v>
      </c>
      <c r="R162">
        <v>1026841396</v>
      </c>
      <c r="S162">
        <v>4110443.1</v>
      </c>
      <c r="T162">
        <v>1015775390.89</v>
      </c>
      <c r="U162">
        <v>1022730952.9</v>
      </c>
      <c r="V162">
        <v>7.8324000000000005E-2</v>
      </c>
      <c r="W162">
        <v>0</v>
      </c>
    </row>
    <row r="163" spans="1:23" x14ac:dyDescent="0.35">
      <c r="A163" t="s">
        <v>0</v>
      </c>
      <c r="B163">
        <v>4750</v>
      </c>
      <c r="C163">
        <v>320</v>
      </c>
      <c r="D163">
        <v>289</v>
      </c>
      <c r="E163">
        <v>0</v>
      </c>
      <c r="F163">
        <v>1305850061</v>
      </c>
      <c r="G163">
        <v>11181608.970000001</v>
      </c>
      <c r="H163">
        <v>1294668452.03</v>
      </c>
      <c r="I163">
        <v>1294668452.03</v>
      </c>
      <c r="J163">
        <v>0</v>
      </c>
      <c r="K163">
        <v>0</v>
      </c>
      <c r="M163" t="s">
        <v>0</v>
      </c>
      <c r="N163">
        <v>3500</v>
      </c>
      <c r="O163">
        <v>320</v>
      </c>
      <c r="P163">
        <v>6</v>
      </c>
      <c r="Q163">
        <v>0</v>
      </c>
      <c r="R163">
        <v>6740979</v>
      </c>
      <c r="S163">
        <v>131604.22</v>
      </c>
      <c r="T163">
        <v>6342217.5300000003</v>
      </c>
      <c r="U163">
        <v>6609374.7800000003</v>
      </c>
      <c r="V163">
        <v>0.38446399999999997</v>
      </c>
      <c r="W163">
        <v>0</v>
      </c>
    </row>
    <row r="164" spans="1:23" x14ac:dyDescent="0.35">
      <c r="A164" t="s">
        <v>1</v>
      </c>
      <c r="B164">
        <v>6750</v>
      </c>
      <c r="C164">
        <v>320</v>
      </c>
      <c r="D164">
        <v>431</v>
      </c>
      <c r="E164">
        <v>0</v>
      </c>
      <c r="F164">
        <v>1464435850</v>
      </c>
      <c r="G164">
        <v>14939866.640000001</v>
      </c>
      <c r="H164">
        <v>1439441063.9200001</v>
      </c>
      <c r="I164">
        <v>1449495983.3599999</v>
      </c>
      <c r="J164">
        <v>7.9352000000000006E-2</v>
      </c>
      <c r="K164">
        <v>0</v>
      </c>
      <c r="M164" t="s">
        <v>0</v>
      </c>
      <c r="N164">
        <v>4750</v>
      </c>
      <c r="O164">
        <v>320</v>
      </c>
      <c r="P164">
        <v>286</v>
      </c>
      <c r="Q164">
        <v>0</v>
      </c>
      <c r="R164">
        <v>1307154137</v>
      </c>
      <c r="S164">
        <v>11078957.77</v>
      </c>
      <c r="T164">
        <v>1296075179.23</v>
      </c>
      <c r="U164">
        <v>1296075179.23</v>
      </c>
      <c r="V164">
        <v>0</v>
      </c>
      <c r="W164">
        <v>0</v>
      </c>
    </row>
    <row r="165" spans="1:23" x14ac:dyDescent="0.35">
      <c r="A165" t="s">
        <v>2</v>
      </c>
      <c r="B165">
        <v>7750</v>
      </c>
      <c r="C165">
        <v>320</v>
      </c>
      <c r="D165">
        <v>70</v>
      </c>
      <c r="E165">
        <v>0</v>
      </c>
      <c r="F165">
        <v>130159050</v>
      </c>
      <c r="G165">
        <v>1714974.77</v>
      </c>
      <c r="H165">
        <v>126498791.27</v>
      </c>
      <c r="I165">
        <v>128444075.23</v>
      </c>
      <c r="J165">
        <v>0.16531299999999999</v>
      </c>
      <c r="K165">
        <v>0</v>
      </c>
      <c r="M165" t="s">
        <v>1</v>
      </c>
      <c r="N165">
        <v>6750</v>
      </c>
      <c r="O165">
        <v>320</v>
      </c>
      <c r="P165">
        <v>437</v>
      </c>
      <c r="Q165">
        <v>0</v>
      </c>
      <c r="R165">
        <v>1502343739</v>
      </c>
      <c r="S165">
        <v>15211703.08</v>
      </c>
      <c r="T165">
        <v>1465911828.0699999</v>
      </c>
      <c r="U165">
        <v>1487132035.9200001</v>
      </c>
      <c r="V165">
        <v>0.15692999999999999</v>
      </c>
      <c r="W165">
        <v>0</v>
      </c>
    </row>
    <row r="166" spans="1:23" x14ac:dyDescent="0.35">
      <c r="A166" t="s">
        <v>2</v>
      </c>
      <c r="B166">
        <v>20000</v>
      </c>
      <c r="C166">
        <v>320</v>
      </c>
      <c r="D166">
        <v>7</v>
      </c>
      <c r="E166">
        <v>0</v>
      </c>
      <c r="F166">
        <v>9552316</v>
      </c>
      <c r="G166">
        <v>161982.78</v>
      </c>
      <c r="H166">
        <v>9341132.5600000005</v>
      </c>
      <c r="I166">
        <v>9390333.2200000007</v>
      </c>
      <c r="J166">
        <v>6.0087000000000002E-2</v>
      </c>
      <c r="K166">
        <v>0</v>
      </c>
      <c r="M166" t="s">
        <v>2</v>
      </c>
      <c r="N166">
        <v>7750</v>
      </c>
      <c r="O166">
        <v>320</v>
      </c>
      <c r="P166">
        <v>72</v>
      </c>
      <c r="Q166">
        <v>0</v>
      </c>
      <c r="R166">
        <v>134099319</v>
      </c>
      <c r="S166">
        <v>1750870.43</v>
      </c>
      <c r="T166">
        <v>132348448.56999999</v>
      </c>
      <c r="U166">
        <v>132348448.56999999</v>
      </c>
      <c r="V166">
        <v>0</v>
      </c>
      <c r="W166">
        <v>0</v>
      </c>
    </row>
    <row r="167" spans="1:23" x14ac:dyDescent="0.35">
      <c r="A167" t="s">
        <v>1</v>
      </c>
      <c r="B167">
        <v>8250</v>
      </c>
      <c r="C167">
        <v>320</v>
      </c>
      <c r="D167">
        <v>42</v>
      </c>
      <c r="E167">
        <v>0</v>
      </c>
      <c r="F167">
        <v>86671760</v>
      </c>
      <c r="G167">
        <v>1495425.19</v>
      </c>
      <c r="H167">
        <v>85176334.810000002</v>
      </c>
      <c r="I167">
        <v>85176334.810000002</v>
      </c>
      <c r="J167">
        <v>0</v>
      </c>
      <c r="K167">
        <v>0</v>
      </c>
      <c r="M167" t="s">
        <v>2</v>
      </c>
      <c r="N167">
        <v>20000</v>
      </c>
      <c r="O167">
        <v>320</v>
      </c>
      <c r="P167">
        <v>7</v>
      </c>
      <c r="Q167">
        <v>0</v>
      </c>
      <c r="R167">
        <v>9796259</v>
      </c>
      <c r="S167">
        <v>162070.84</v>
      </c>
      <c r="T167">
        <v>9634188.1600000001</v>
      </c>
      <c r="U167">
        <v>9634188.1600000001</v>
      </c>
      <c r="V167">
        <v>0</v>
      </c>
      <c r="W167">
        <v>0</v>
      </c>
    </row>
    <row r="168" spans="1:23" x14ac:dyDescent="0.35">
      <c r="A168" t="s">
        <v>2</v>
      </c>
      <c r="B168">
        <v>8250</v>
      </c>
      <c r="C168">
        <v>320</v>
      </c>
      <c r="D168">
        <v>16</v>
      </c>
      <c r="E168">
        <v>0</v>
      </c>
      <c r="F168">
        <v>26579035</v>
      </c>
      <c r="G168">
        <v>453453.82</v>
      </c>
      <c r="H168">
        <v>26125581.18</v>
      </c>
      <c r="I168">
        <v>26125581.18</v>
      </c>
      <c r="J168">
        <v>0</v>
      </c>
      <c r="K168">
        <v>0</v>
      </c>
      <c r="M168" t="s">
        <v>1</v>
      </c>
      <c r="N168">
        <v>8250</v>
      </c>
      <c r="O168">
        <v>320</v>
      </c>
      <c r="P168">
        <v>45</v>
      </c>
      <c r="Q168">
        <v>0</v>
      </c>
      <c r="R168">
        <v>94079956</v>
      </c>
      <c r="S168">
        <v>1610780.22</v>
      </c>
      <c r="T168">
        <v>91149918.420000002</v>
      </c>
      <c r="U168">
        <v>92469175.780000001</v>
      </c>
      <c r="V168">
        <v>0.15588299999999999</v>
      </c>
      <c r="W168">
        <v>0</v>
      </c>
    </row>
    <row r="169" spans="1:23" x14ac:dyDescent="0.35">
      <c r="A169" t="s">
        <v>1</v>
      </c>
      <c r="B169">
        <v>7750</v>
      </c>
      <c r="C169">
        <v>320</v>
      </c>
      <c r="D169">
        <v>49</v>
      </c>
      <c r="E169">
        <v>0</v>
      </c>
      <c r="F169">
        <v>118512072</v>
      </c>
      <c r="G169">
        <v>1685684.49</v>
      </c>
      <c r="H169">
        <v>116826387.51000001</v>
      </c>
      <c r="I169">
        <v>116826387.51000001</v>
      </c>
      <c r="J169">
        <v>0</v>
      </c>
      <c r="K169">
        <v>0</v>
      </c>
      <c r="M169" t="s">
        <v>2</v>
      </c>
      <c r="N169">
        <v>8250</v>
      </c>
      <c r="O169">
        <v>320</v>
      </c>
      <c r="P169">
        <v>21</v>
      </c>
      <c r="Q169">
        <v>0</v>
      </c>
      <c r="R169">
        <v>32959009</v>
      </c>
      <c r="S169">
        <v>579198.11</v>
      </c>
      <c r="T169">
        <v>32379810.890000001</v>
      </c>
      <c r="U169">
        <v>32379810.890000001</v>
      </c>
      <c r="V169">
        <v>0</v>
      </c>
      <c r="W169">
        <v>0</v>
      </c>
    </row>
    <row r="170" spans="1:23" x14ac:dyDescent="0.35">
      <c r="A170" t="s">
        <v>1</v>
      </c>
      <c r="B170">
        <v>3500</v>
      </c>
      <c r="C170">
        <v>192</v>
      </c>
      <c r="D170">
        <v>281</v>
      </c>
      <c r="E170">
        <v>0</v>
      </c>
      <c r="F170">
        <v>3429601736</v>
      </c>
      <c r="G170">
        <v>13739387.619999999</v>
      </c>
      <c r="H170">
        <v>3405379325.3499999</v>
      </c>
      <c r="I170">
        <v>3415862348.3800001</v>
      </c>
      <c r="J170">
        <v>3.6068999999999997E-2</v>
      </c>
      <c r="K170">
        <v>0</v>
      </c>
      <c r="M170" t="s">
        <v>1</v>
      </c>
      <c r="N170">
        <v>7750</v>
      </c>
      <c r="O170">
        <v>320</v>
      </c>
      <c r="P170">
        <v>60</v>
      </c>
      <c r="Q170">
        <v>0</v>
      </c>
      <c r="R170">
        <v>137417970</v>
      </c>
      <c r="S170">
        <v>2049241.51</v>
      </c>
      <c r="T170">
        <v>135161273.34999999</v>
      </c>
      <c r="U170">
        <v>135368728.49000001</v>
      </c>
      <c r="V170">
        <v>1.7965999999999999E-2</v>
      </c>
      <c r="W170">
        <v>0</v>
      </c>
    </row>
    <row r="171" spans="1:23" x14ac:dyDescent="0.35">
      <c r="A171" t="s">
        <v>0</v>
      </c>
      <c r="B171">
        <v>4000</v>
      </c>
      <c r="C171">
        <v>168</v>
      </c>
      <c r="D171">
        <v>83005</v>
      </c>
      <c r="E171">
        <v>0</v>
      </c>
      <c r="F171">
        <v>764693051508</v>
      </c>
      <c r="G171">
        <v>2701011544.96</v>
      </c>
      <c r="H171">
        <v>758109755420.54004</v>
      </c>
      <c r="I171">
        <v>761591362144.48999</v>
      </c>
      <c r="J171">
        <v>5.9249999999999997E-2</v>
      </c>
      <c r="K171">
        <v>6.2700000000000004E-3</v>
      </c>
      <c r="M171" t="s">
        <v>1</v>
      </c>
      <c r="N171">
        <v>4000</v>
      </c>
      <c r="O171">
        <v>168</v>
      </c>
      <c r="P171">
        <v>16378</v>
      </c>
      <c r="Q171">
        <v>0</v>
      </c>
      <c r="R171">
        <v>191871898230</v>
      </c>
      <c r="S171">
        <v>676839685.72000003</v>
      </c>
      <c r="T171">
        <v>190170809476.53</v>
      </c>
      <c r="U171">
        <v>191136671653.59</v>
      </c>
      <c r="V171">
        <v>6.2211000000000002E-2</v>
      </c>
      <c r="W171">
        <v>3.6459999999999999E-3</v>
      </c>
    </row>
    <row r="172" spans="1:23" x14ac:dyDescent="0.35">
      <c r="A172" t="s">
        <v>1</v>
      </c>
      <c r="B172">
        <v>4000</v>
      </c>
      <c r="C172">
        <v>168</v>
      </c>
      <c r="D172">
        <v>15218</v>
      </c>
      <c r="E172">
        <v>0</v>
      </c>
      <c r="F172">
        <v>179735949026</v>
      </c>
      <c r="G172">
        <v>630760483.22000003</v>
      </c>
      <c r="H172">
        <v>178009946646.84</v>
      </c>
      <c r="I172">
        <v>179068315828.60001</v>
      </c>
      <c r="J172">
        <v>7.0721999999999993E-2</v>
      </c>
      <c r="K172">
        <v>2.4589999999999998E-3</v>
      </c>
      <c r="M172" t="s">
        <v>1</v>
      </c>
      <c r="N172">
        <v>3500</v>
      </c>
      <c r="O172">
        <v>168</v>
      </c>
      <c r="P172">
        <v>26713</v>
      </c>
      <c r="Q172">
        <v>0</v>
      </c>
      <c r="R172">
        <v>350279814885</v>
      </c>
      <c r="S172">
        <v>1285000448.9300001</v>
      </c>
      <c r="T172">
        <v>347430033960.42999</v>
      </c>
      <c r="U172">
        <v>348946672240.07001</v>
      </c>
      <c r="V172">
        <v>5.2309000000000001E-2</v>
      </c>
      <c r="W172">
        <v>1.6479999999999999E-3</v>
      </c>
    </row>
    <row r="173" spans="1:23" x14ac:dyDescent="0.35">
      <c r="A173" t="s">
        <v>0</v>
      </c>
      <c r="B173">
        <v>4500</v>
      </c>
      <c r="C173">
        <v>168</v>
      </c>
      <c r="D173">
        <v>30381</v>
      </c>
      <c r="E173">
        <v>0</v>
      </c>
      <c r="F173">
        <v>259825856126</v>
      </c>
      <c r="G173">
        <v>835251236.02999997</v>
      </c>
      <c r="H173">
        <v>257276309212.48001</v>
      </c>
      <c r="I173">
        <v>258745191166.59</v>
      </c>
      <c r="J173">
        <v>7.6364000000000001E-2</v>
      </c>
      <c r="K173">
        <v>1.1276E-2</v>
      </c>
      <c r="M173" t="s">
        <v>0</v>
      </c>
      <c r="N173">
        <v>4500</v>
      </c>
      <c r="O173">
        <v>168</v>
      </c>
      <c r="P173">
        <v>29270</v>
      </c>
      <c r="Q173">
        <v>0</v>
      </c>
      <c r="R173">
        <v>248870086593</v>
      </c>
      <c r="S173">
        <v>802478479.38999999</v>
      </c>
      <c r="T173">
        <v>246879520568.98001</v>
      </c>
      <c r="U173">
        <v>247950032001.73001</v>
      </c>
      <c r="V173">
        <v>5.5807000000000002E-2</v>
      </c>
      <c r="W173">
        <v>5.6550000000000003E-3</v>
      </c>
    </row>
    <row r="174" spans="1:23" x14ac:dyDescent="0.35">
      <c r="A174" t="s">
        <v>3</v>
      </c>
      <c r="B174">
        <v>7000</v>
      </c>
      <c r="C174">
        <v>320</v>
      </c>
      <c r="D174">
        <v>4</v>
      </c>
      <c r="E174">
        <v>0</v>
      </c>
      <c r="F174">
        <v>12415346</v>
      </c>
      <c r="G174">
        <v>114349.75999999999</v>
      </c>
      <c r="H174">
        <v>12300996.24</v>
      </c>
      <c r="I174">
        <v>12300996.24</v>
      </c>
      <c r="J174">
        <v>0</v>
      </c>
      <c r="K174">
        <v>0</v>
      </c>
      <c r="M174" t="s">
        <v>3</v>
      </c>
      <c r="N174">
        <v>7000</v>
      </c>
      <c r="O174">
        <v>320</v>
      </c>
      <c r="P174">
        <v>4</v>
      </c>
      <c r="Q174">
        <v>0</v>
      </c>
      <c r="R174">
        <v>12571762</v>
      </c>
      <c r="S174">
        <v>114187.32</v>
      </c>
      <c r="T174">
        <v>12457574.68</v>
      </c>
      <c r="U174">
        <v>12457574.68</v>
      </c>
      <c r="V174">
        <v>0</v>
      </c>
      <c r="W174">
        <v>0</v>
      </c>
    </row>
    <row r="175" spans="1:23" x14ac:dyDescent="0.35">
      <c r="A175" t="s">
        <v>0</v>
      </c>
      <c r="B175">
        <v>4000</v>
      </c>
      <c r="C175">
        <v>320</v>
      </c>
      <c r="D175">
        <v>41</v>
      </c>
      <c r="E175">
        <v>0</v>
      </c>
      <c r="F175">
        <v>124510803</v>
      </c>
      <c r="G175">
        <v>1211595.95</v>
      </c>
      <c r="H175">
        <v>123299207.05</v>
      </c>
      <c r="I175">
        <v>123299207.05</v>
      </c>
      <c r="J175">
        <v>0</v>
      </c>
      <c r="K175">
        <v>0</v>
      </c>
      <c r="M175" t="s">
        <v>0</v>
      </c>
      <c r="N175">
        <v>4000</v>
      </c>
      <c r="O175">
        <v>320</v>
      </c>
      <c r="P175">
        <v>39</v>
      </c>
      <c r="Q175">
        <v>0</v>
      </c>
      <c r="R175">
        <v>118967953</v>
      </c>
      <c r="S175">
        <v>1163402.43</v>
      </c>
      <c r="T175">
        <v>117804550.56999999</v>
      </c>
      <c r="U175">
        <v>117804550.56999999</v>
      </c>
      <c r="V175">
        <v>0</v>
      </c>
      <c r="W175">
        <v>0</v>
      </c>
    </row>
    <row r="176" spans="1:23" x14ac:dyDescent="0.35">
      <c r="A176" t="s">
        <v>1</v>
      </c>
      <c r="B176">
        <v>4500</v>
      </c>
      <c r="C176">
        <v>320</v>
      </c>
      <c r="D176">
        <v>100</v>
      </c>
      <c r="E176">
        <v>0</v>
      </c>
      <c r="F176">
        <v>458710127</v>
      </c>
      <c r="G176">
        <v>4023049.72</v>
      </c>
      <c r="H176">
        <v>454687077.27999997</v>
      </c>
      <c r="I176">
        <v>454687077.27999997</v>
      </c>
      <c r="J176">
        <v>0</v>
      </c>
      <c r="K176">
        <v>0</v>
      </c>
      <c r="M176" t="s">
        <v>1</v>
      </c>
      <c r="N176">
        <v>4500</v>
      </c>
      <c r="O176">
        <v>320</v>
      </c>
      <c r="P176">
        <v>100</v>
      </c>
      <c r="Q176">
        <v>0</v>
      </c>
      <c r="R176">
        <v>460833729</v>
      </c>
      <c r="S176">
        <v>4004945.44</v>
      </c>
      <c r="T176">
        <v>453827530.24000001</v>
      </c>
      <c r="U176">
        <v>456828783.56</v>
      </c>
      <c r="V176">
        <v>7.5412000000000007E-2</v>
      </c>
      <c r="W176">
        <v>0</v>
      </c>
    </row>
    <row r="177" spans="1:23" x14ac:dyDescent="0.35">
      <c r="A177" t="s">
        <v>0</v>
      </c>
      <c r="B177">
        <v>5750</v>
      </c>
      <c r="C177">
        <v>192</v>
      </c>
      <c r="D177">
        <v>1185</v>
      </c>
      <c r="E177">
        <v>0</v>
      </c>
      <c r="F177">
        <v>6912069645</v>
      </c>
      <c r="G177">
        <v>25956174.690000001</v>
      </c>
      <c r="H177">
        <v>6853266937.8500004</v>
      </c>
      <c r="I177">
        <v>6874245374.6800003</v>
      </c>
      <c r="J177">
        <v>5.5558000000000003E-2</v>
      </c>
      <c r="K177">
        <v>2.0410999999999999E-2</v>
      </c>
      <c r="M177" t="s">
        <v>0</v>
      </c>
      <c r="N177">
        <v>5750</v>
      </c>
      <c r="O177">
        <v>192</v>
      </c>
      <c r="P177">
        <v>1446</v>
      </c>
      <c r="Q177">
        <v>0</v>
      </c>
      <c r="R177">
        <v>8556880299</v>
      </c>
      <c r="S177">
        <v>32170583.940000001</v>
      </c>
      <c r="T177">
        <v>8469437021.6000004</v>
      </c>
      <c r="U177">
        <v>8518661870.1300001</v>
      </c>
      <c r="V177">
        <v>7.4817999999999996E-2</v>
      </c>
      <c r="W177">
        <v>8.4480000000000006E-3</v>
      </c>
    </row>
    <row r="178" spans="1:23" x14ac:dyDescent="0.35">
      <c r="A178" t="s">
        <v>0</v>
      </c>
      <c r="B178">
        <v>3000</v>
      </c>
      <c r="C178">
        <v>192</v>
      </c>
      <c r="D178">
        <v>185</v>
      </c>
      <c r="E178">
        <v>0</v>
      </c>
      <c r="F178">
        <v>1272848131</v>
      </c>
      <c r="G178">
        <v>5436305.5499999998</v>
      </c>
      <c r="H178">
        <v>1258708092.8299999</v>
      </c>
      <c r="I178">
        <v>1267411825.45</v>
      </c>
      <c r="J178">
        <v>7.9038999999999998E-2</v>
      </c>
      <c r="K178">
        <v>0</v>
      </c>
      <c r="M178" t="s">
        <v>0</v>
      </c>
      <c r="N178">
        <v>3000</v>
      </c>
      <c r="O178">
        <v>192</v>
      </c>
      <c r="P178">
        <v>162</v>
      </c>
      <c r="Q178">
        <v>0</v>
      </c>
      <c r="R178">
        <v>1118809500</v>
      </c>
      <c r="S178">
        <v>4775619.8600000003</v>
      </c>
      <c r="T178">
        <v>1104992922.49</v>
      </c>
      <c r="U178">
        <v>1114033880.1400001</v>
      </c>
      <c r="V178">
        <v>9.2774999999999996E-2</v>
      </c>
      <c r="W178">
        <v>0</v>
      </c>
    </row>
    <row r="179" spans="1:23" x14ac:dyDescent="0.35">
      <c r="A179" t="s">
        <v>2</v>
      </c>
      <c r="B179">
        <v>3000</v>
      </c>
      <c r="C179">
        <v>192</v>
      </c>
      <c r="D179">
        <v>20</v>
      </c>
      <c r="E179">
        <v>0</v>
      </c>
      <c r="F179">
        <v>134007161</v>
      </c>
      <c r="G179">
        <v>631339.65</v>
      </c>
      <c r="H179">
        <v>133375821.34999999</v>
      </c>
      <c r="I179">
        <v>133375821.34999999</v>
      </c>
      <c r="J179">
        <v>0</v>
      </c>
      <c r="K179">
        <v>0</v>
      </c>
      <c r="M179" t="s">
        <v>2</v>
      </c>
      <c r="N179">
        <v>3000</v>
      </c>
      <c r="O179">
        <v>192</v>
      </c>
      <c r="P179">
        <v>20</v>
      </c>
      <c r="Q179">
        <v>0</v>
      </c>
      <c r="R179">
        <v>134729911</v>
      </c>
      <c r="S179">
        <v>630171.44999999995</v>
      </c>
      <c r="T179">
        <v>134099739.55</v>
      </c>
      <c r="U179">
        <v>134099739.55</v>
      </c>
      <c r="V179">
        <v>0</v>
      </c>
      <c r="W179">
        <v>0</v>
      </c>
    </row>
    <row r="180" spans="1:23" x14ac:dyDescent="0.35">
      <c r="A180" t="s">
        <v>0</v>
      </c>
      <c r="B180">
        <v>3250</v>
      </c>
      <c r="C180">
        <v>192</v>
      </c>
      <c r="D180">
        <v>176</v>
      </c>
      <c r="E180">
        <v>0</v>
      </c>
      <c r="F180">
        <v>1340844610</v>
      </c>
      <c r="G180">
        <v>5527870.0899999999</v>
      </c>
      <c r="H180">
        <v>1324389039.6600001</v>
      </c>
      <c r="I180">
        <v>1335316739.9100001</v>
      </c>
      <c r="J180">
        <v>9.3532000000000004E-2</v>
      </c>
      <c r="K180">
        <v>0</v>
      </c>
      <c r="M180" t="s">
        <v>0</v>
      </c>
      <c r="N180">
        <v>3250</v>
      </c>
      <c r="O180">
        <v>192</v>
      </c>
      <c r="P180">
        <v>161</v>
      </c>
      <c r="Q180">
        <v>0</v>
      </c>
      <c r="R180">
        <v>1207824991</v>
      </c>
      <c r="S180">
        <v>4962900.01</v>
      </c>
      <c r="T180">
        <v>1183812617.5899999</v>
      </c>
      <c r="U180">
        <v>1202862090.99</v>
      </c>
      <c r="V180">
        <v>0.173677</v>
      </c>
      <c r="W180">
        <v>0</v>
      </c>
    </row>
    <row r="181" spans="1:23" x14ac:dyDescent="0.35">
      <c r="A181" t="s">
        <v>1</v>
      </c>
      <c r="B181">
        <v>3500</v>
      </c>
      <c r="C181">
        <v>168</v>
      </c>
      <c r="D181">
        <v>26433</v>
      </c>
      <c r="E181">
        <v>0</v>
      </c>
      <c r="F181">
        <v>345396452855</v>
      </c>
      <c r="G181">
        <v>1274980031.0999999</v>
      </c>
      <c r="H181">
        <v>342266528214.89001</v>
      </c>
      <c r="I181">
        <v>344049136482.38</v>
      </c>
      <c r="J181">
        <v>6.2576000000000007E-2</v>
      </c>
      <c r="K181">
        <v>2.5100000000000001E-3</v>
      </c>
      <c r="M181" t="s">
        <v>2</v>
      </c>
      <c r="N181">
        <v>4750</v>
      </c>
      <c r="O181">
        <v>320</v>
      </c>
      <c r="P181">
        <v>9</v>
      </c>
      <c r="Q181">
        <v>0</v>
      </c>
      <c r="R181">
        <v>21369640</v>
      </c>
      <c r="S181">
        <v>215106.57</v>
      </c>
      <c r="T181">
        <v>21154533.43</v>
      </c>
      <c r="U181">
        <v>21154533.43</v>
      </c>
      <c r="V181">
        <v>0</v>
      </c>
      <c r="W181">
        <v>0</v>
      </c>
    </row>
    <row r="182" spans="1:23" x14ac:dyDescent="0.35">
      <c r="A182" t="s">
        <v>2</v>
      </c>
      <c r="B182">
        <v>4750</v>
      </c>
      <c r="C182">
        <v>320</v>
      </c>
      <c r="D182">
        <v>9</v>
      </c>
      <c r="E182">
        <v>0</v>
      </c>
      <c r="F182">
        <v>21083269</v>
      </c>
      <c r="G182">
        <v>215405.98</v>
      </c>
      <c r="H182">
        <v>20867863.02</v>
      </c>
      <c r="I182">
        <v>20867863.02</v>
      </c>
      <c r="J182">
        <v>0</v>
      </c>
      <c r="K182">
        <v>0</v>
      </c>
      <c r="M182" t="s">
        <v>2</v>
      </c>
      <c r="N182">
        <v>7000</v>
      </c>
      <c r="O182">
        <v>240</v>
      </c>
      <c r="P182">
        <v>753</v>
      </c>
      <c r="Q182">
        <v>0</v>
      </c>
      <c r="R182">
        <v>3222704378</v>
      </c>
      <c r="S182">
        <v>16259752.710000001</v>
      </c>
      <c r="T182">
        <v>3175686690.0500002</v>
      </c>
      <c r="U182">
        <v>3201654827.7600002</v>
      </c>
      <c r="V182">
        <v>0.108705</v>
      </c>
      <c r="W182">
        <v>1.7690000000000001E-2</v>
      </c>
    </row>
    <row r="183" spans="1:23" x14ac:dyDescent="0.35">
      <c r="A183" t="s">
        <v>2</v>
      </c>
      <c r="B183">
        <v>7000</v>
      </c>
      <c r="C183">
        <v>240</v>
      </c>
      <c r="D183">
        <v>745</v>
      </c>
      <c r="E183">
        <v>0</v>
      </c>
      <c r="F183">
        <v>3180430768</v>
      </c>
      <c r="G183">
        <v>16173656.609999999</v>
      </c>
      <c r="H183">
        <v>3136611894</v>
      </c>
      <c r="I183">
        <v>3162576749.29</v>
      </c>
      <c r="J183">
        <v>9.9461999999999995E-2</v>
      </c>
      <c r="K183">
        <v>6.3220000000000004E-3</v>
      </c>
      <c r="M183" t="s">
        <v>0</v>
      </c>
      <c r="N183">
        <v>8000</v>
      </c>
      <c r="O183">
        <v>240</v>
      </c>
      <c r="P183">
        <v>33</v>
      </c>
      <c r="Q183">
        <v>0</v>
      </c>
      <c r="R183">
        <v>176711940</v>
      </c>
      <c r="S183">
        <v>842113.82</v>
      </c>
      <c r="T183">
        <v>175869826.18000001</v>
      </c>
      <c r="U183">
        <v>175869826.18000001</v>
      </c>
      <c r="V183">
        <v>0</v>
      </c>
      <c r="W183">
        <v>0</v>
      </c>
    </row>
    <row r="184" spans="1:23" x14ac:dyDescent="0.35">
      <c r="A184" t="s">
        <v>0</v>
      </c>
      <c r="B184">
        <v>8000</v>
      </c>
      <c r="C184">
        <v>240</v>
      </c>
      <c r="D184">
        <v>34</v>
      </c>
      <c r="E184">
        <v>0</v>
      </c>
      <c r="F184">
        <v>180426372</v>
      </c>
      <c r="G184">
        <v>866876.49</v>
      </c>
      <c r="H184">
        <v>179559495.50999999</v>
      </c>
      <c r="I184">
        <v>179559495.50999999</v>
      </c>
      <c r="J184">
        <v>0</v>
      </c>
      <c r="K184">
        <v>0</v>
      </c>
      <c r="M184" t="s">
        <v>1</v>
      </c>
      <c r="N184">
        <v>7500</v>
      </c>
      <c r="O184">
        <v>240</v>
      </c>
      <c r="P184">
        <v>35</v>
      </c>
      <c r="Q184">
        <v>0</v>
      </c>
      <c r="R184">
        <v>167237615</v>
      </c>
      <c r="S184">
        <v>833137.47</v>
      </c>
      <c r="T184">
        <v>166404477.53</v>
      </c>
      <c r="U184">
        <v>166404477.53</v>
      </c>
      <c r="V184">
        <v>0</v>
      </c>
      <c r="W184">
        <v>0</v>
      </c>
    </row>
    <row r="185" spans="1:23" x14ac:dyDescent="0.35">
      <c r="A185" t="s">
        <v>1</v>
      </c>
      <c r="B185">
        <v>7500</v>
      </c>
      <c r="C185">
        <v>240</v>
      </c>
      <c r="D185">
        <v>35</v>
      </c>
      <c r="E185">
        <v>0</v>
      </c>
      <c r="F185">
        <v>166208559</v>
      </c>
      <c r="G185">
        <v>837264.53</v>
      </c>
      <c r="H185">
        <v>165371294.47</v>
      </c>
      <c r="I185">
        <v>165371294.47</v>
      </c>
      <c r="J185">
        <v>0</v>
      </c>
      <c r="K185">
        <v>0</v>
      </c>
      <c r="M185" t="s">
        <v>2</v>
      </c>
      <c r="N185">
        <v>7500</v>
      </c>
      <c r="O185">
        <v>240</v>
      </c>
      <c r="P185">
        <v>64</v>
      </c>
      <c r="Q185">
        <v>0</v>
      </c>
      <c r="R185">
        <v>232572006</v>
      </c>
      <c r="S185">
        <v>1124606</v>
      </c>
      <c r="T185">
        <v>231447400</v>
      </c>
      <c r="U185">
        <v>231447400</v>
      </c>
      <c r="V185">
        <v>0</v>
      </c>
      <c r="W185">
        <v>0</v>
      </c>
    </row>
    <row r="186" spans="1:23" x14ac:dyDescent="0.35">
      <c r="A186" t="s">
        <v>2</v>
      </c>
      <c r="B186">
        <v>7500</v>
      </c>
      <c r="C186">
        <v>240</v>
      </c>
      <c r="D186">
        <v>64</v>
      </c>
      <c r="E186">
        <v>0</v>
      </c>
      <c r="F186">
        <v>230999192</v>
      </c>
      <c r="G186">
        <v>1129505.23</v>
      </c>
      <c r="H186">
        <v>226376327.40000001</v>
      </c>
      <c r="I186">
        <v>229869686.77000001</v>
      </c>
      <c r="J186">
        <v>0.16711500000000001</v>
      </c>
      <c r="K186">
        <v>0</v>
      </c>
      <c r="M186" t="s">
        <v>2</v>
      </c>
      <c r="N186">
        <v>5000</v>
      </c>
      <c r="O186">
        <v>320</v>
      </c>
      <c r="P186">
        <v>70</v>
      </c>
      <c r="Q186">
        <v>0</v>
      </c>
      <c r="R186">
        <v>265132868</v>
      </c>
      <c r="S186">
        <v>2163811.34</v>
      </c>
      <c r="T186">
        <v>262969056.66</v>
      </c>
      <c r="U186">
        <v>262969056.66</v>
      </c>
      <c r="V186">
        <v>0</v>
      </c>
      <c r="W186">
        <v>0</v>
      </c>
    </row>
    <row r="187" spans="1:23" x14ac:dyDescent="0.35">
      <c r="A187" t="s">
        <v>2</v>
      </c>
      <c r="B187">
        <v>5000</v>
      </c>
      <c r="C187">
        <v>320</v>
      </c>
      <c r="D187">
        <v>70</v>
      </c>
      <c r="E187">
        <v>0</v>
      </c>
      <c r="F187">
        <v>262211821</v>
      </c>
      <c r="G187">
        <v>2166087.65</v>
      </c>
      <c r="H187">
        <v>254264503.78999999</v>
      </c>
      <c r="I187">
        <v>260045733.34999999</v>
      </c>
      <c r="J187">
        <v>0.234737</v>
      </c>
      <c r="K187">
        <v>0</v>
      </c>
      <c r="M187" t="s">
        <v>2</v>
      </c>
      <c r="N187">
        <v>4500</v>
      </c>
      <c r="O187">
        <v>320</v>
      </c>
      <c r="P187">
        <v>5</v>
      </c>
      <c r="Q187">
        <v>0</v>
      </c>
      <c r="R187">
        <v>19626910</v>
      </c>
      <c r="S187">
        <v>161398.57999999999</v>
      </c>
      <c r="T187">
        <v>19465511.420000002</v>
      </c>
      <c r="U187">
        <v>19465511.420000002</v>
      </c>
      <c r="V187">
        <v>0</v>
      </c>
      <c r="W187">
        <v>0</v>
      </c>
    </row>
    <row r="188" spans="1:23" x14ac:dyDescent="0.35">
      <c r="A188" t="s">
        <v>2</v>
      </c>
      <c r="B188">
        <v>4500</v>
      </c>
      <c r="C188">
        <v>320</v>
      </c>
      <c r="D188">
        <v>5</v>
      </c>
      <c r="E188">
        <v>0</v>
      </c>
      <c r="F188">
        <v>19467913</v>
      </c>
      <c r="G188">
        <v>161932</v>
      </c>
      <c r="H188">
        <v>19305981</v>
      </c>
      <c r="I188">
        <v>19305981</v>
      </c>
      <c r="J188">
        <v>0</v>
      </c>
      <c r="K188">
        <v>0</v>
      </c>
      <c r="M188" t="s">
        <v>1</v>
      </c>
      <c r="N188">
        <v>5250</v>
      </c>
      <c r="O188">
        <v>320</v>
      </c>
      <c r="P188">
        <v>626</v>
      </c>
      <c r="Q188">
        <v>0</v>
      </c>
      <c r="R188">
        <v>2850561117</v>
      </c>
      <c r="S188">
        <v>24570487.719999999</v>
      </c>
      <c r="T188">
        <v>2808870625.3099999</v>
      </c>
      <c r="U188">
        <v>2820296249.6900001</v>
      </c>
      <c r="V188">
        <v>6.9736000000000006E-2</v>
      </c>
      <c r="W188">
        <v>2.3709999999999998E-2</v>
      </c>
    </row>
    <row r="189" spans="1:23" x14ac:dyDescent="0.35">
      <c r="A189" t="s">
        <v>1</v>
      </c>
      <c r="B189">
        <v>5250</v>
      </c>
      <c r="C189">
        <v>320</v>
      </c>
      <c r="D189">
        <v>621</v>
      </c>
      <c r="E189">
        <v>0</v>
      </c>
      <c r="F189">
        <v>2793510385</v>
      </c>
      <c r="G189">
        <v>24301701.059999999</v>
      </c>
      <c r="H189">
        <v>2748109498.4699998</v>
      </c>
      <c r="I189">
        <v>2769208683.9400001</v>
      </c>
      <c r="J189">
        <v>8.6962999999999999E-2</v>
      </c>
      <c r="K189">
        <v>0</v>
      </c>
      <c r="M189" t="s">
        <v>0</v>
      </c>
      <c r="N189">
        <v>6250</v>
      </c>
      <c r="O189">
        <v>240</v>
      </c>
      <c r="P189">
        <v>3774</v>
      </c>
      <c r="Q189">
        <v>0</v>
      </c>
      <c r="R189">
        <v>21804028912</v>
      </c>
      <c r="S189">
        <v>115759724.94</v>
      </c>
      <c r="T189">
        <v>21504014742.630001</v>
      </c>
      <c r="U189">
        <v>21667343717.98</v>
      </c>
      <c r="V189">
        <v>9.6823000000000006E-2</v>
      </c>
      <c r="W189">
        <v>1.1455999999999999E-2</v>
      </c>
    </row>
    <row r="190" spans="1:23" x14ac:dyDescent="0.35">
      <c r="A190" t="s">
        <v>0</v>
      </c>
      <c r="B190">
        <v>6250</v>
      </c>
      <c r="C190">
        <v>240</v>
      </c>
      <c r="D190">
        <v>3759</v>
      </c>
      <c r="E190">
        <v>0</v>
      </c>
      <c r="F190">
        <v>21989385520</v>
      </c>
      <c r="G190">
        <v>115711386.98999999</v>
      </c>
      <c r="H190">
        <v>21747348810.849998</v>
      </c>
      <c r="I190">
        <v>21839544223</v>
      </c>
      <c r="J190">
        <v>6.6800999999999999E-2</v>
      </c>
      <c r="K190">
        <v>1.8467000000000001E-2</v>
      </c>
      <c r="M190" t="s">
        <v>0</v>
      </c>
      <c r="N190">
        <v>3750</v>
      </c>
      <c r="O190">
        <v>320</v>
      </c>
      <c r="P190">
        <v>11</v>
      </c>
      <c r="Q190">
        <v>0</v>
      </c>
      <c r="R190">
        <v>43901072</v>
      </c>
      <c r="S190">
        <v>428822.95</v>
      </c>
      <c r="T190">
        <v>43472249.049999997</v>
      </c>
      <c r="U190">
        <v>43472249.049999997</v>
      </c>
      <c r="V190">
        <v>0</v>
      </c>
      <c r="W190">
        <v>0</v>
      </c>
    </row>
    <row r="191" spans="1:23" x14ac:dyDescent="0.35">
      <c r="A191" t="s">
        <v>0</v>
      </c>
      <c r="B191">
        <v>3750</v>
      </c>
      <c r="C191">
        <v>320</v>
      </c>
      <c r="D191">
        <v>11</v>
      </c>
      <c r="E191">
        <v>0</v>
      </c>
      <c r="F191">
        <v>43339772</v>
      </c>
      <c r="G191">
        <v>428660.71</v>
      </c>
      <c r="H191">
        <v>42911111.289999999</v>
      </c>
      <c r="I191">
        <v>42911111.289999999</v>
      </c>
      <c r="J191">
        <v>0</v>
      </c>
      <c r="K191">
        <v>0</v>
      </c>
      <c r="M191" t="s">
        <v>0</v>
      </c>
      <c r="N191">
        <v>4000</v>
      </c>
      <c r="O191">
        <v>144</v>
      </c>
      <c r="P191">
        <v>93421</v>
      </c>
      <c r="Q191">
        <v>0</v>
      </c>
      <c r="R191">
        <v>1093895228623</v>
      </c>
      <c r="S191">
        <v>3185979646.71</v>
      </c>
      <c r="T191">
        <v>1084613194217.99</v>
      </c>
      <c r="U191">
        <v>1089997357683.36</v>
      </c>
      <c r="V191">
        <v>6.4861000000000002E-2</v>
      </c>
      <c r="W191">
        <v>7.7819999999999999E-3</v>
      </c>
    </row>
    <row r="192" spans="1:23" x14ac:dyDescent="0.35">
      <c r="A192" t="s">
        <v>0</v>
      </c>
      <c r="B192">
        <v>4000</v>
      </c>
      <c r="C192">
        <v>144</v>
      </c>
      <c r="D192">
        <v>97619</v>
      </c>
      <c r="E192">
        <v>0</v>
      </c>
      <c r="F192">
        <v>1145348910808</v>
      </c>
      <c r="G192">
        <v>3341578732.0900002</v>
      </c>
      <c r="H192">
        <v>1135347853091.47</v>
      </c>
      <c r="I192">
        <v>1141374812783.04</v>
      </c>
      <c r="J192">
        <v>6.7584000000000005E-2</v>
      </c>
      <c r="K192">
        <v>6.607E-3</v>
      </c>
      <c r="M192" t="s">
        <v>1</v>
      </c>
      <c r="N192">
        <v>4000</v>
      </c>
      <c r="O192">
        <v>144</v>
      </c>
      <c r="P192">
        <v>28044</v>
      </c>
      <c r="Q192">
        <v>0</v>
      </c>
      <c r="R192">
        <v>382508589664</v>
      </c>
      <c r="S192">
        <v>1133454966.96</v>
      </c>
      <c r="T192">
        <v>378735876909.76001</v>
      </c>
      <c r="U192">
        <v>381168777883.34003</v>
      </c>
      <c r="V192">
        <v>7.9727000000000006E-2</v>
      </c>
      <c r="W192">
        <v>6.4549999999999998E-3</v>
      </c>
    </row>
    <row r="193" spans="1:23" x14ac:dyDescent="0.35">
      <c r="A193" t="s">
        <v>1</v>
      </c>
      <c r="B193">
        <v>4000</v>
      </c>
      <c r="C193">
        <v>144</v>
      </c>
      <c r="D193">
        <v>28264</v>
      </c>
      <c r="E193">
        <v>0</v>
      </c>
      <c r="F193">
        <v>383921487911</v>
      </c>
      <c r="G193">
        <v>1139609801.3199999</v>
      </c>
      <c r="H193">
        <v>380169881606.69</v>
      </c>
      <c r="I193">
        <v>382608620138.07001</v>
      </c>
      <c r="J193">
        <v>7.8655000000000003E-2</v>
      </c>
      <c r="K193">
        <v>5.4019999999999997E-3</v>
      </c>
      <c r="M193" t="s">
        <v>1</v>
      </c>
      <c r="N193">
        <v>4500</v>
      </c>
      <c r="O193">
        <v>144</v>
      </c>
      <c r="P193">
        <v>5786</v>
      </c>
      <c r="Q193">
        <v>0</v>
      </c>
      <c r="R193">
        <v>61006441840</v>
      </c>
      <c r="S193">
        <v>173038479.69</v>
      </c>
      <c r="T193">
        <v>60291236064.169998</v>
      </c>
      <c r="U193">
        <v>60775080960.110001</v>
      </c>
      <c r="V193">
        <v>0.10158300000000001</v>
      </c>
      <c r="W193">
        <v>1.1412E-2</v>
      </c>
    </row>
    <row r="194" spans="1:23" x14ac:dyDescent="0.35">
      <c r="A194" t="s">
        <v>1</v>
      </c>
      <c r="B194">
        <v>4500</v>
      </c>
      <c r="C194">
        <v>144</v>
      </c>
      <c r="D194">
        <v>5521</v>
      </c>
      <c r="E194">
        <v>0</v>
      </c>
      <c r="F194">
        <v>58501474827</v>
      </c>
      <c r="G194">
        <v>165924248.36000001</v>
      </c>
      <c r="H194">
        <v>57779264553.959999</v>
      </c>
      <c r="I194">
        <v>58245412058.620003</v>
      </c>
      <c r="J194">
        <v>0.108325</v>
      </c>
      <c r="K194">
        <v>1.8334E-2</v>
      </c>
      <c r="M194" t="s">
        <v>0</v>
      </c>
      <c r="N194">
        <v>5750</v>
      </c>
      <c r="O194">
        <v>240</v>
      </c>
      <c r="P194">
        <v>1320</v>
      </c>
      <c r="Q194">
        <v>0</v>
      </c>
      <c r="R194">
        <v>8025250362</v>
      </c>
      <c r="S194">
        <v>43233483.810000002</v>
      </c>
      <c r="T194">
        <v>7969081979.2799997</v>
      </c>
      <c r="U194">
        <v>7982016878.1899996</v>
      </c>
      <c r="V194">
        <v>1.9171000000000001E-2</v>
      </c>
      <c r="W194">
        <v>0</v>
      </c>
    </row>
    <row r="195" spans="1:23" x14ac:dyDescent="0.35">
      <c r="A195" t="s">
        <v>0</v>
      </c>
      <c r="B195">
        <v>5750</v>
      </c>
      <c r="C195">
        <v>240</v>
      </c>
      <c r="D195">
        <v>1515</v>
      </c>
      <c r="E195">
        <v>0</v>
      </c>
      <c r="F195">
        <v>9571884904</v>
      </c>
      <c r="G195">
        <v>50485429.799999997</v>
      </c>
      <c r="H195">
        <v>9481318259.3899994</v>
      </c>
      <c r="I195">
        <v>9517353290.8700008</v>
      </c>
      <c r="J195">
        <v>4.9106999999999998E-2</v>
      </c>
      <c r="K195">
        <v>5.0610000000000004E-3</v>
      </c>
      <c r="M195" t="s">
        <v>3</v>
      </c>
      <c r="N195">
        <v>6500</v>
      </c>
      <c r="O195">
        <v>320</v>
      </c>
      <c r="P195">
        <v>26</v>
      </c>
      <c r="Q195">
        <v>0</v>
      </c>
      <c r="R195">
        <v>136638210</v>
      </c>
      <c r="S195">
        <v>948328.51</v>
      </c>
      <c r="T195">
        <v>135689881.49000001</v>
      </c>
      <c r="U195">
        <v>135689881.49000001</v>
      </c>
      <c r="V195">
        <v>0</v>
      </c>
      <c r="W195">
        <v>0</v>
      </c>
    </row>
    <row r="196" spans="1:23" x14ac:dyDescent="0.35">
      <c r="A196" t="s">
        <v>3</v>
      </c>
      <c r="B196">
        <v>6500</v>
      </c>
      <c r="C196">
        <v>320</v>
      </c>
      <c r="D196">
        <v>30</v>
      </c>
      <c r="E196">
        <v>0</v>
      </c>
      <c r="F196">
        <v>161131991</v>
      </c>
      <c r="G196">
        <v>1106080.3500000001</v>
      </c>
      <c r="H196">
        <v>160025910.65000001</v>
      </c>
      <c r="I196">
        <v>160025910.65000001</v>
      </c>
      <c r="J196">
        <v>0</v>
      </c>
      <c r="K196">
        <v>0</v>
      </c>
      <c r="M196" t="s">
        <v>0</v>
      </c>
      <c r="N196">
        <v>8000</v>
      </c>
      <c r="O196">
        <v>216</v>
      </c>
      <c r="P196">
        <v>16</v>
      </c>
      <c r="Q196">
        <v>0</v>
      </c>
      <c r="R196">
        <v>86111273</v>
      </c>
      <c r="S196">
        <v>341120.18</v>
      </c>
      <c r="T196">
        <v>85770152.819999993</v>
      </c>
      <c r="U196">
        <v>85770152.819999993</v>
      </c>
      <c r="V196">
        <v>0</v>
      </c>
      <c r="W196">
        <v>0</v>
      </c>
    </row>
    <row r="197" spans="1:23" x14ac:dyDescent="0.35">
      <c r="A197" t="s">
        <v>0</v>
      </c>
      <c r="B197">
        <v>8000</v>
      </c>
      <c r="C197">
        <v>216</v>
      </c>
      <c r="D197">
        <v>15</v>
      </c>
      <c r="E197">
        <v>0</v>
      </c>
      <c r="F197">
        <v>81061097</v>
      </c>
      <c r="G197">
        <v>323615.84000000003</v>
      </c>
      <c r="H197">
        <v>80737481.159999996</v>
      </c>
      <c r="I197">
        <v>80737481.159999996</v>
      </c>
      <c r="J197">
        <v>0</v>
      </c>
      <c r="K197">
        <v>0</v>
      </c>
      <c r="M197" t="s">
        <v>2</v>
      </c>
      <c r="N197">
        <v>4000</v>
      </c>
      <c r="O197">
        <v>168</v>
      </c>
      <c r="P197">
        <v>9395</v>
      </c>
      <c r="Q197">
        <v>0</v>
      </c>
      <c r="R197">
        <v>75019730864</v>
      </c>
      <c r="S197">
        <v>264752776.96000001</v>
      </c>
      <c r="T197">
        <v>74363846832.490005</v>
      </c>
      <c r="U197">
        <v>74715070717.059998</v>
      </c>
      <c r="V197">
        <v>6.0801000000000001E-2</v>
      </c>
      <c r="W197">
        <v>6.365E-3</v>
      </c>
    </row>
    <row r="198" spans="1:23" x14ac:dyDescent="0.35">
      <c r="A198" t="s">
        <v>2</v>
      </c>
      <c r="B198">
        <v>4000</v>
      </c>
      <c r="C198">
        <v>168</v>
      </c>
      <c r="D198">
        <v>8739</v>
      </c>
      <c r="E198">
        <v>0</v>
      </c>
      <c r="F198">
        <v>70320628917</v>
      </c>
      <c r="G198">
        <v>247159976.19999999</v>
      </c>
      <c r="H198">
        <v>69708839670.860001</v>
      </c>
      <c r="I198">
        <v>70058907421.240005</v>
      </c>
      <c r="J198">
        <v>6.0478999999999998E-2</v>
      </c>
      <c r="K198">
        <v>2.4819999999999998E-3</v>
      </c>
      <c r="M198" t="s">
        <v>2</v>
      </c>
      <c r="N198">
        <v>4500</v>
      </c>
      <c r="O198">
        <v>168</v>
      </c>
      <c r="P198">
        <v>4285</v>
      </c>
      <c r="Q198">
        <v>0</v>
      </c>
      <c r="R198">
        <v>35686912983</v>
      </c>
      <c r="S198">
        <v>111997428.77</v>
      </c>
      <c r="T198">
        <v>35412287938.849998</v>
      </c>
      <c r="U198">
        <v>35569755726.260002</v>
      </c>
      <c r="V198">
        <v>5.3335E-2</v>
      </c>
      <c r="W198">
        <v>1.7340000000000001E-3</v>
      </c>
    </row>
    <row r="199" spans="1:23" x14ac:dyDescent="0.35">
      <c r="A199" t="s">
        <v>2</v>
      </c>
      <c r="B199">
        <v>4500</v>
      </c>
      <c r="C199">
        <v>168</v>
      </c>
      <c r="D199">
        <v>4763</v>
      </c>
      <c r="E199">
        <v>0</v>
      </c>
      <c r="F199">
        <v>39539348513</v>
      </c>
      <c r="G199">
        <v>124435101.73999999</v>
      </c>
      <c r="H199">
        <v>39203744773.800003</v>
      </c>
      <c r="I199">
        <v>39402967192.900002</v>
      </c>
      <c r="J199">
        <v>6.2239000000000003E-2</v>
      </c>
      <c r="K199">
        <v>3.62E-3</v>
      </c>
      <c r="M199" t="s">
        <v>1</v>
      </c>
      <c r="N199">
        <v>4500</v>
      </c>
      <c r="O199">
        <v>168</v>
      </c>
      <c r="P199">
        <v>3871</v>
      </c>
      <c r="Q199">
        <v>0</v>
      </c>
      <c r="R199">
        <v>41689375957</v>
      </c>
      <c r="S199">
        <v>132405122.67</v>
      </c>
      <c r="T199">
        <v>41302836911.739998</v>
      </c>
      <c r="U199">
        <v>41545873607.290001</v>
      </c>
      <c r="V199">
        <v>7.0747000000000004E-2</v>
      </c>
      <c r="W199">
        <v>3.1900000000000001E-3</v>
      </c>
    </row>
    <row r="200" spans="1:23" x14ac:dyDescent="0.35">
      <c r="A200" t="s">
        <v>1</v>
      </c>
      <c r="B200">
        <v>4500</v>
      </c>
      <c r="C200">
        <v>168</v>
      </c>
      <c r="D200">
        <v>4118</v>
      </c>
      <c r="E200">
        <v>0</v>
      </c>
      <c r="F200">
        <v>43943269967</v>
      </c>
      <c r="G200">
        <v>139708140.16999999</v>
      </c>
      <c r="H200">
        <v>43544235463.209999</v>
      </c>
      <c r="I200">
        <v>43796742452.629997</v>
      </c>
      <c r="J200">
        <v>6.8562999999999999E-2</v>
      </c>
      <c r="K200">
        <v>1.861E-3</v>
      </c>
      <c r="M200" t="s">
        <v>0</v>
      </c>
      <c r="N200">
        <v>5000</v>
      </c>
      <c r="O200">
        <v>168</v>
      </c>
      <c r="P200">
        <v>5422</v>
      </c>
      <c r="Q200">
        <v>0</v>
      </c>
      <c r="R200">
        <v>42849358521</v>
      </c>
      <c r="S200">
        <v>128881346.8</v>
      </c>
      <c r="T200">
        <v>42448037173.68</v>
      </c>
      <c r="U200">
        <v>42691853656.080002</v>
      </c>
      <c r="V200">
        <v>7.3685E-2</v>
      </c>
      <c r="W200">
        <v>7.9869999999999993E-3</v>
      </c>
    </row>
    <row r="201" spans="1:23" x14ac:dyDescent="0.35">
      <c r="A201" t="s">
        <v>0</v>
      </c>
      <c r="B201">
        <v>5000</v>
      </c>
      <c r="C201">
        <v>168</v>
      </c>
      <c r="D201">
        <v>5733</v>
      </c>
      <c r="E201">
        <v>0</v>
      </c>
      <c r="F201">
        <v>45036299732</v>
      </c>
      <c r="G201">
        <v>135880508.08000001</v>
      </c>
      <c r="H201">
        <v>44660976284.349998</v>
      </c>
      <c r="I201">
        <v>44849249600.839996</v>
      </c>
      <c r="J201">
        <v>6.1967000000000001E-2</v>
      </c>
      <c r="K201">
        <v>1.3549E-2</v>
      </c>
      <c r="M201" t="s">
        <v>2</v>
      </c>
      <c r="N201">
        <v>5000</v>
      </c>
      <c r="O201">
        <v>168</v>
      </c>
      <c r="P201">
        <v>716</v>
      </c>
      <c r="Q201">
        <v>0</v>
      </c>
      <c r="R201">
        <v>5136966090</v>
      </c>
      <c r="S201">
        <v>15376917.689999999</v>
      </c>
      <c r="T201">
        <v>5103124514.6499996</v>
      </c>
      <c r="U201">
        <v>5121589172.3100004</v>
      </c>
      <c r="V201">
        <v>4.2291000000000002E-2</v>
      </c>
      <c r="W201">
        <v>0</v>
      </c>
    </row>
    <row r="202" spans="1:23" x14ac:dyDescent="0.35">
      <c r="A202" t="s">
        <v>2</v>
      </c>
      <c r="B202">
        <v>5000</v>
      </c>
      <c r="C202">
        <v>168</v>
      </c>
      <c r="D202">
        <v>725</v>
      </c>
      <c r="E202">
        <v>0</v>
      </c>
      <c r="F202">
        <v>5194821376</v>
      </c>
      <c r="G202">
        <v>15649551.720000001</v>
      </c>
      <c r="H202">
        <v>5141141081.5699997</v>
      </c>
      <c r="I202">
        <v>5179171824.2799997</v>
      </c>
      <c r="J202">
        <v>8.4398000000000001E-2</v>
      </c>
      <c r="K202">
        <v>0</v>
      </c>
      <c r="M202" t="s">
        <v>1</v>
      </c>
      <c r="N202">
        <v>5000</v>
      </c>
      <c r="O202">
        <v>168</v>
      </c>
      <c r="P202">
        <v>518</v>
      </c>
      <c r="Q202">
        <v>0</v>
      </c>
      <c r="R202">
        <v>4808014326</v>
      </c>
      <c r="S202">
        <v>14679052.73</v>
      </c>
      <c r="T202">
        <v>4755355702.7399998</v>
      </c>
      <c r="U202">
        <v>4793335273.2700005</v>
      </c>
      <c r="V202">
        <v>9.0778999999999999E-2</v>
      </c>
      <c r="W202">
        <v>0</v>
      </c>
    </row>
    <row r="203" spans="1:23" x14ac:dyDescent="0.35">
      <c r="A203" t="s">
        <v>1</v>
      </c>
      <c r="B203">
        <v>5000</v>
      </c>
      <c r="C203">
        <v>168</v>
      </c>
      <c r="D203">
        <v>546</v>
      </c>
      <c r="E203">
        <v>0</v>
      </c>
      <c r="F203">
        <v>4972118349</v>
      </c>
      <c r="G203">
        <v>15213402.4</v>
      </c>
      <c r="H203">
        <v>4900199603.4099998</v>
      </c>
      <c r="I203">
        <v>4956904946.6000004</v>
      </c>
      <c r="J203">
        <v>0.12859000000000001</v>
      </c>
      <c r="K203">
        <v>0</v>
      </c>
      <c r="M203" t="s">
        <v>1</v>
      </c>
      <c r="N203">
        <v>5500</v>
      </c>
      <c r="O203">
        <v>168</v>
      </c>
      <c r="P203">
        <v>14</v>
      </c>
      <c r="Q203">
        <v>0</v>
      </c>
      <c r="R203">
        <v>148721160</v>
      </c>
      <c r="S203">
        <v>431820.25</v>
      </c>
      <c r="T203">
        <v>133213943.67</v>
      </c>
      <c r="U203">
        <v>148289339.75</v>
      </c>
      <c r="V203">
        <v>0.72267499999999996</v>
      </c>
      <c r="W203">
        <v>0</v>
      </c>
    </row>
    <row r="204" spans="1:23" x14ac:dyDescent="0.35">
      <c r="A204" t="s">
        <v>1</v>
      </c>
      <c r="B204">
        <v>5500</v>
      </c>
      <c r="C204">
        <v>168</v>
      </c>
      <c r="D204">
        <v>13</v>
      </c>
      <c r="E204">
        <v>0</v>
      </c>
      <c r="F204">
        <v>133060972</v>
      </c>
      <c r="G204">
        <v>390491.88</v>
      </c>
      <c r="H204">
        <v>132670480.12</v>
      </c>
      <c r="I204">
        <v>132670480.12</v>
      </c>
      <c r="J204">
        <v>0</v>
      </c>
      <c r="K204">
        <v>0</v>
      </c>
      <c r="M204" t="s">
        <v>0</v>
      </c>
      <c r="N204">
        <v>5500</v>
      </c>
      <c r="O204">
        <v>168</v>
      </c>
      <c r="P204">
        <v>499</v>
      </c>
      <c r="Q204">
        <v>0</v>
      </c>
      <c r="R204">
        <v>3291004176</v>
      </c>
      <c r="S204">
        <v>9509171.0099999998</v>
      </c>
      <c r="T204">
        <v>3274349440.4899998</v>
      </c>
      <c r="U204">
        <v>3274349440.4899998</v>
      </c>
      <c r="V204">
        <v>2.5746000000000002E-2</v>
      </c>
      <c r="W204">
        <v>2.5746000000000002E-2</v>
      </c>
    </row>
    <row r="205" spans="1:23" x14ac:dyDescent="0.35">
      <c r="A205" t="s">
        <v>0</v>
      </c>
      <c r="B205">
        <v>5500</v>
      </c>
      <c r="C205">
        <v>168</v>
      </c>
      <c r="D205">
        <v>504</v>
      </c>
      <c r="E205">
        <v>0</v>
      </c>
      <c r="F205">
        <v>3351904947</v>
      </c>
      <c r="G205">
        <v>9719015.3000000007</v>
      </c>
      <c r="H205">
        <v>3336300135.4000001</v>
      </c>
      <c r="I205">
        <v>3342185931.6999998</v>
      </c>
      <c r="J205">
        <v>2.0868999999999999E-2</v>
      </c>
      <c r="K205">
        <v>0</v>
      </c>
      <c r="M205" t="s">
        <v>2</v>
      </c>
      <c r="N205">
        <v>4000</v>
      </c>
      <c r="O205">
        <v>144</v>
      </c>
      <c r="P205">
        <v>18149</v>
      </c>
      <c r="Q205">
        <v>0</v>
      </c>
      <c r="R205">
        <v>175410905371</v>
      </c>
      <c r="S205">
        <v>517693020.00999999</v>
      </c>
      <c r="T205">
        <v>174037384485.53</v>
      </c>
      <c r="U205">
        <v>174848427579.73001</v>
      </c>
      <c r="V205">
        <v>5.7001999999999997E-2</v>
      </c>
      <c r="W205">
        <v>3.0590000000000001E-3</v>
      </c>
    </row>
    <row r="206" spans="1:23" x14ac:dyDescent="0.35">
      <c r="A206" t="s">
        <v>2</v>
      </c>
      <c r="B206">
        <v>4000</v>
      </c>
      <c r="C206">
        <v>144</v>
      </c>
      <c r="D206">
        <v>18418</v>
      </c>
      <c r="E206">
        <v>0</v>
      </c>
      <c r="F206">
        <v>177559674061</v>
      </c>
      <c r="G206">
        <v>525239663.99000001</v>
      </c>
      <c r="H206">
        <v>176055539773.98999</v>
      </c>
      <c r="I206">
        <v>176942133745.35001</v>
      </c>
      <c r="J206">
        <v>6.4186999999999994E-2</v>
      </c>
      <c r="K206">
        <v>6.2199999999999998E-3</v>
      </c>
      <c r="M206" t="s">
        <v>0</v>
      </c>
      <c r="N206">
        <v>5000</v>
      </c>
      <c r="O206">
        <v>144</v>
      </c>
      <c r="P206">
        <v>8352</v>
      </c>
      <c r="Q206">
        <v>0</v>
      </c>
      <c r="R206">
        <v>70743121415</v>
      </c>
      <c r="S206">
        <v>187290512.84</v>
      </c>
      <c r="T206">
        <v>70174764394.600006</v>
      </c>
      <c r="U206">
        <v>70511052702.449997</v>
      </c>
      <c r="V206">
        <v>6.2757999999999994E-2</v>
      </c>
      <c r="W206">
        <v>7.5690000000000002E-3</v>
      </c>
    </row>
    <row r="207" spans="1:23" x14ac:dyDescent="0.35">
      <c r="A207" t="s">
        <v>0</v>
      </c>
      <c r="B207">
        <v>5000</v>
      </c>
      <c r="C207">
        <v>144</v>
      </c>
      <c r="D207">
        <v>8180</v>
      </c>
      <c r="E207">
        <v>0</v>
      </c>
      <c r="F207">
        <v>69706894036</v>
      </c>
      <c r="G207">
        <v>184497223.72999999</v>
      </c>
      <c r="H207">
        <v>69112317172.949997</v>
      </c>
      <c r="I207">
        <v>69458023919.300003</v>
      </c>
      <c r="J207">
        <v>6.8354999999999999E-2</v>
      </c>
      <c r="K207">
        <v>1.1025999999999999E-2</v>
      </c>
      <c r="M207" t="s">
        <v>2</v>
      </c>
      <c r="N207">
        <v>5000</v>
      </c>
      <c r="O207">
        <v>144</v>
      </c>
      <c r="P207">
        <v>111</v>
      </c>
      <c r="Q207">
        <v>0</v>
      </c>
      <c r="R207">
        <v>799560614</v>
      </c>
      <c r="S207">
        <v>2219925.15</v>
      </c>
      <c r="T207">
        <v>793586191.79999995</v>
      </c>
      <c r="U207">
        <v>797340688.85000002</v>
      </c>
      <c r="V207">
        <v>5.4916E-2</v>
      </c>
      <c r="W207">
        <v>0</v>
      </c>
    </row>
    <row r="208" spans="1:23" x14ac:dyDescent="0.35">
      <c r="A208" t="s">
        <v>2</v>
      </c>
      <c r="B208">
        <v>5000</v>
      </c>
      <c r="C208">
        <v>144</v>
      </c>
      <c r="D208">
        <v>99</v>
      </c>
      <c r="E208">
        <v>0</v>
      </c>
      <c r="F208">
        <v>702005135</v>
      </c>
      <c r="G208">
        <v>1951076.8</v>
      </c>
      <c r="H208">
        <v>694237760.05999994</v>
      </c>
      <c r="I208">
        <v>700054058.20000005</v>
      </c>
      <c r="J208">
        <v>9.5015000000000002E-2</v>
      </c>
      <c r="K208">
        <v>0</v>
      </c>
      <c r="M208" t="s">
        <v>2</v>
      </c>
      <c r="N208">
        <v>3500</v>
      </c>
      <c r="O208">
        <v>144</v>
      </c>
      <c r="P208">
        <v>5147</v>
      </c>
      <c r="Q208">
        <v>0</v>
      </c>
      <c r="R208">
        <v>53128077509</v>
      </c>
      <c r="S208">
        <v>163139684.90000001</v>
      </c>
      <c r="T208">
        <v>52698012545.919998</v>
      </c>
      <c r="U208">
        <v>52958472987.730003</v>
      </c>
      <c r="V208">
        <v>5.8652000000000003E-2</v>
      </c>
      <c r="W208">
        <v>1.459E-3</v>
      </c>
    </row>
    <row r="209" spans="1:23" x14ac:dyDescent="0.35">
      <c r="A209" t="s">
        <v>2</v>
      </c>
      <c r="B209">
        <v>3500</v>
      </c>
      <c r="C209">
        <v>144</v>
      </c>
      <c r="D209">
        <v>5704</v>
      </c>
      <c r="E209">
        <v>0</v>
      </c>
      <c r="F209">
        <v>59120107494</v>
      </c>
      <c r="G209">
        <v>181502218.68000001</v>
      </c>
      <c r="H209">
        <v>58588804638.800003</v>
      </c>
      <c r="I209">
        <v>58938605275.32</v>
      </c>
      <c r="J209">
        <v>6.8736000000000005E-2</v>
      </c>
      <c r="K209">
        <v>0</v>
      </c>
      <c r="M209" t="s">
        <v>0</v>
      </c>
      <c r="N209">
        <v>3500</v>
      </c>
      <c r="O209">
        <v>144</v>
      </c>
      <c r="P209">
        <v>23656</v>
      </c>
      <c r="Q209">
        <v>0</v>
      </c>
      <c r="R209">
        <v>298563497614</v>
      </c>
      <c r="S209">
        <v>913474104.90999997</v>
      </c>
      <c r="T209">
        <v>296243944257.47998</v>
      </c>
      <c r="U209">
        <v>297548386403.77002</v>
      </c>
      <c r="V209">
        <v>5.5072999999999997E-2</v>
      </c>
      <c r="W209">
        <v>4.0769999999999999E-3</v>
      </c>
    </row>
    <row r="210" spans="1:23" x14ac:dyDescent="0.35">
      <c r="A210" t="s">
        <v>0</v>
      </c>
      <c r="B210">
        <v>3500</v>
      </c>
      <c r="C210">
        <v>144</v>
      </c>
      <c r="D210">
        <v>26877</v>
      </c>
      <c r="E210">
        <v>0</v>
      </c>
      <c r="F210">
        <v>341756220059</v>
      </c>
      <c r="G210">
        <v>1044241546.46</v>
      </c>
      <c r="H210">
        <v>338978212527.34003</v>
      </c>
      <c r="I210">
        <v>340629591406.53998</v>
      </c>
      <c r="J210">
        <v>5.9207000000000003E-2</v>
      </c>
      <c r="K210">
        <v>2.8890000000000001E-3</v>
      </c>
      <c r="M210" t="s">
        <v>1</v>
      </c>
      <c r="N210">
        <v>3500</v>
      </c>
      <c r="O210">
        <v>144</v>
      </c>
      <c r="P210">
        <v>16778</v>
      </c>
      <c r="Q210">
        <v>0</v>
      </c>
      <c r="R210">
        <v>278686292922</v>
      </c>
      <c r="S210">
        <v>855936090.46000004</v>
      </c>
      <c r="T210">
        <v>276330220642.52002</v>
      </c>
      <c r="U210">
        <v>277764686316.56</v>
      </c>
      <c r="V210">
        <v>6.2715999999999994E-2</v>
      </c>
      <c r="W210">
        <v>2.8240000000000001E-3</v>
      </c>
    </row>
    <row r="211" spans="1:23" x14ac:dyDescent="0.35">
      <c r="A211" t="s">
        <v>1</v>
      </c>
      <c r="B211">
        <v>3500</v>
      </c>
      <c r="C211">
        <v>144</v>
      </c>
      <c r="D211">
        <v>18896</v>
      </c>
      <c r="E211">
        <v>0</v>
      </c>
      <c r="F211">
        <v>313975673624</v>
      </c>
      <c r="G211">
        <v>963674242.02999997</v>
      </c>
      <c r="H211">
        <v>311125185310.77002</v>
      </c>
      <c r="I211">
        <v>312969693318.26001</v>
      </c>
      <c r="J211">
        <v>6.9777000000000006E-2</v>
      </c>
      <c r="K211">
        <v>1.616E-3</v>
      </c>
      <c r="M211" t="s">
        <v>1</v>
      </c>
      <c r="N211">
        <v>5000</v>
      </c>
      <c r="O211">
        <v>144</v>
      </c>
      <c r="P211">
        <v>476</v>
      </c>
      <c r="Q211">
        <v>0</v>
      </c>
      <c r="R211">
        <v>4124620647</v>
      </c>
      <c r="S211">
        <v>11114912.85</v>
      </c>
      <c r="T211">
        <v>4095169491.8600001</v>
      </c>
      <c r="U211">
        <v>4113505734.1500001</v>
      </c>
      <c r="V211">
        <v>5.2061000000000003E-2</v>
      </c>
      <c r="W211">
        <v>0</v>
      </c>
    </row>
    <row r="212" spans="1:23" x14ac:dyDescent="0.35">
      <c r="A212" t="s">
        <v>1</v>
      </c>
      <c r="B212">
        <v>5000</v>
      </c>
      <c r="C212">
        <v>144</v>
      </c>
      <c r="D212">
        <v>451</v>
      </c>
      <c r="E212">
        <v>0</v>
      </c>
      <c r="F212">
        <v>3933215806</v>
      </c>
      <c r="G212">
        <v>10580353.98</v>
      </c>
      <c r="H212">
        <v>3904650322.2600002</v>
      </c>
      <c r="I212">
        <v>3922635452.02</v>
      </c>
      <c r="J212">
        <v>5.3511999999999997E-2</v>
      </c>
      <c r="K212">
        <v>0</v>
      </c>
      <c r="M212" t="s">
        <v>0</v>
      </c>
      <c r="N212">
        <v>5500</v>
      </c>
      <c r="O212">
        <v>144</v>
      </c>
      <c r="P212">
        <v>605</v>
      </c>
      <c r="Q212">
        <v>0</v>
      </c>
      <c r="R212">
        <v>3952911493</v>
      </c>
      <c r="S212">
        <v>9699788.4900000002</v>
      </c>
      <c r="T212">
        <v>3916182944.6399999</v>
      </c>
      <c r="U212">
        <v>3943211704.5100002</v>
      </c>
      <c r="V212">
        <v>7.9035999999999995E-2</v>
      </c>
      <c r="W212">
        <v>0</v>
      </c>
    </row>
    <row r="213" spans="1:23" x14ac:dyDescent="0.35">
      <c r="A213" t="s">
        <v>0</v>
      </c>
      <c r="B213">
        <v>5500</v>
      </c>
      <c r="C213">
        <v>144</v>
      </c>
      <c r="D213">
        <v>605</v>
      </c>
      <c r="E213">
        <v>0</v>
      </c>
      <c r="F213">
        <v>3959105613</v>
      </c>
      <c r="G213">
        <v>9720380.8000000007</v>
      </c>
      <c r="H213">
        <v>3912510728.2399998</v>
      </c>
      <c r="I213">
        <v>3938505916.8400002</v>
      </c>
      <c r="J213">
        <v>0.106215</v>
      </c>
      <c r="K213">
        <v>3.2481000000000003E-2</v>
      </c>
      <c r="M213" t="s">
        <v>1</v>
      </c>
      <c r="N213">
        <v>3000</v>
      </c>
      <c r="O213">
        <v>168</v>
      </c>
      <c r="P213">
        <v>2720</v>
      </c>
      <c r="Q213">
        <v>0</v>
      </c>
      <c r="R213">
        <v>38343234279</v>
      </c>
      <c r="S213">
        <v>146271309.69999999</v>
      </c>
      <c r="T213">
        <v>38015795087.470001</v>
      </c>
      <c r="U213">
        <v>38196962969.300003</v>
      </c>
      <c r="V213">
        <v>5.5247999999999998E-2</v>
      </c>
      <c r="W213">
        <v>0</v>
      </c>
    </row>
    <row r="214" spans="1:23" x14ac:dyDescent="0.35">
      <c r="A214" t="s">
        <v>1</v>
      </c>
      <c r="B214">
        <v>3000</v>
      </c>
      <c r="C214">
        <v>168</v>
      </c>
      <c r="D214">
        <v>2705</v>
      </c>
      <c r="E214">
        <v>0</v>
      </c>
      <c r="F214">
        <v>37935366368</v>
      </c>
      <c r="G214">
        <v>145622416.83000001</v>
      </c>
      <c r="H214">
        <v>37616497526.480003</v>
      </c>
      <c r="I214">
        <v>37789743951.169998</v>
      </c>
      <c r="J214">
        <v>5.3447000000000001E-2</v>
      </c>
      <c r="K214">
        <v>0</v>
      </c>
      <c r="M214" t="s">
        <v>2</v>
      </c>
      <c r="N214">
        <v>3000</v>
      </c>
      <c r="O214">
        <v>168</v>
      </c>
      <c r="P214">
        <v>822</v>
      </c>
      <c r="Q214">
        <v>0</v>
      </c>
      <c r="R214">
        <v>7177964623</v>
      </c>
      <c r="S214">
        <v>27455903.91</v>
      </c>
      <c r="T214">
        <v>7127529297.6199999</v>
      </c>
      <c r="U214">
        <v>7150508719.0900002</v>
      </c>
      <c r="V214">
        <v>3.7747000000000003E-2</v>
      </c>
      <c r="W214">
        <v>0</v>
      </c>
    </row>
    <row r="215" spans="1:23" x14ac:dyDescent="0.35">
      <c r="A215" t="s">
        <v>2</v>
      </c>
      <c r="B215">
        <v>3000</v>
      </c>
      <c r="C215">
        <v>168</v>
      </c>
      <c r="D215">
        <v>819</v>
      </c>
      <c r="E215">
        <v>0</v>
      </c>
      <c r="F215">
        <v>7119638496</v>
      </c>
      <c r="G215">
        <v>27404617.23</v>
      </c>
      <c r="H215">
        <v>7058450326.8400002</v>
      </c>
      <c r="I215">
        <v>7092233878.7700005</v>
      </c>
      <c r="J215">
        <v>5.5479000000000001E-2</v>
      </c>
      <c r="K215">
        <v>0</v>
      </c>
      <c r="M215" t="s">
        <v>0</v>
      </c>
      <c r="N215">
        <v>3000</v>
      </c>
      <c r="O215">
        <v>168</v>
      </c>
      <c r="P215">
        <v>3209</v>
      </c>
      <c r="Q215">
        <v>0</v>
      </c>
      <c r="R215">
        <v>31809437535</v>
      </c>
      <c r="S215">
        <v>121786770.51000001</v>
      </c>
      <c r="T215">
        <v>31553056550.110001</v>
      </c>
      <c r="U215">
        <v>31687650764.490002</v>
      </c>
      <c r="V215">
        <v>4.9610000000000001E-2</v>
      </c>
      <c r="W215">
        <v>0</v>
      </c>
    </row>
    <row r="216" spans="1:23" x14ac:dyDescent="0.35">
      <c r="A216" t="s">
        <v>0</v>
      </c>
      <c r="B216">
        <v>3000</v>
      </c>
      <c r="C216">
        <v>168</v>
      </c>
      <c r="D216">
        <v>3175</v>
      </c>
      <c r="E216">
        <v>0</v>
      </c>
      <c r="F216">
        <v>31391239822</v>
      </c>
      <c r="G216">
        <v>120892190.44</v>
      </c>
      <c r="H216">
        <v>31215846155.52</v>
      </c>
      <c r="I216">
        <v>31270347631.560001</v>
      </c>
      <c r="J216">
        <v>2.0636999999999999E-2</v>
      </c>
      <c r="K216">
        <v>0</v>
      </c>
      <c r="M216" t="s">
        <v>0</v>
      </c>
      <c r="N216">
        <v>3000</v>
      </c>
      <c r="O216">
        <v>144</v>
      </c>
      <c r="P216">
        <v>367</v>
      </c>
      <c r="Q216">
        <v>0</v>
      </c>
      <c r="R216">
        <v>3784408717</v>
      </c>
      <c r="S216">
        <v>12148664.5</v>
      </c>
      <c r="T216">
        <v>3747672424.9000001</v>
      </c>
      <c r="U216">
        <v>3772260052.5</v>
      </c>
      <c r="V216">
        <v>7.5237999999999999E-2</v>
      </c>
      <c r="W216">
        <v>0</v>
      </c>
    </row>
    <row r="217" spans="1:23" x14ac:dyDescent="0.35">
      <c r="A217" t="s">
        <v>0</v>
      </c>
      <c r="B217">
        <v>3000</v>
      </c>
      <c r="C217">
        <v>144</v>
      </c>
      <c r="D217">
        <v>414</v>
      </c>
      <c r="E217">
        <v>0</v>
      </c>
      <c r="F217">
        <v>4287404396</v>
      </c>
      <c r="G217">
        <v>13741209.039999999</v>
      </c>
      <c r="H217">
        <v>4264097862.52</v>
      </c>
      <c r="I217">
        <v>4273663186.96</v>
      </c>
      <c r="J217">
        <v>2.6446000000000001E-2</v>
      </c>
      <c r="K217">
        <v>0</v>
      </c>
      <c r="M217" t="s">
        <v>1</v>
      </c>
      <c r="N217">
        <v>3000</v>
      </c>
      <c r="O217">
        <v>144</v>
      </c>
      <c r="P217">
        <v>233</v>
      </c>
      <c r="Q217">
        <v>0</v>
      </c>
      <c r="R217">
        <v>3397385591</v>
      </c>
      <c r="S217">
        <v>11068211.960000001</v>
      </c>
      <c r="T217">
        <v>3386317379.04</v>
      </c>
      <c r="U217">
        <v>3386317379.04</v>
      </c>
      <c r="V217">
        <v>0</v>
      </c>
      <c r="W217">
        <v>0</v>
      </c>
    </row>
    <row r="218" spans="1:23" x14ac:dyDescent="0.35">
      <c r="A218" t="s">
        <v>1</v>
      </c>
      <c r="B218">
        <v>3000</v>
      </c>
      <c r="C218">
        <v>144</v>
      </c>
      <c r="D218">
        <v>311</v>
      </c>
      <c r="E218">
        <v>0</v>
      </c>
      <c r="F218">
        <v>4697454515</v>
      </c>
      <c r="G218">
        <v>15117596.08</v>
      </c>
      <c r="H218">
        <v>4646545507.1099997</v>
      </c>
      <c r="I218">
        <v>4682336918.9200001</v>
      </c>
      <c r="J218">
        <v>8.7695999999999996E-2</v>
      </c>
      <c r="K218">
        <v>0</v>
      </c>
      <c r="M218" t="s">
        <v>3</v>
      </c>
      <c r="N218">
        <v>5500</v>
      </c>
      <c r="O218">
        <v>320</v>
      </c>
      <c r="P218">
        <v>6</v>
      </c>
      <c r="Q218">
        <v>0</v>
      </c>
      <c r="R218">
        <v>32300872</v>
      </c>
      <c r="S218">
        <v>248415.43</v>
      </c>
      <c r="T218">
        <v>32052456.57</v>
      </c>
      <c r="U218">
        <v>32052456.57</v>
      </c>
      <c r="V218">
        <v>0</v>
      </c>
      <c r="W218">
        <v>0</v>
      </c>
    </row>
    <row r="219" spans="1:23" x14ac:dyDescent="0.35">
      <c r="A219" t="s">
        <v>3</v>
      </c>
      <c r="B219">
        <v>5500</v>
      </c>
      <c r="C219">
        <v>320</v>
      </c>
      <c r="D219">
        <v>7</v>
      </c>
      <c r="E219">
        <v>0</v>
      </c>
      <c r="F219">
        <v>35255783</v>
      </c>
      <c r="G219">
        <v>269622.28000000003</v>
      </c>
      <c r="H219">
        <v>34986160.719999999</v>
      </c>
      <c r="I219">
        <v>34986160.719999999</v>
      </c>
      <c r="J219">
        <v>0</v>
      </c>
      <c r="K219">
        <v>0</v>
      </c>
      <c r="M219" t="s">
        <v>2</v>
      </c>
      <c r="N219">
        <v>4000</v>
      </c>
      <c r="O219">
        <v>320</v>
      </c>
      <c r="P219">
        <v>3</v>
      </c>
      <c r="Q219">
        <v>0</v>
      </c>
      <c r="R219">
        <v>12085466</v>
      </c>
      <c r="S219">
        <v>96340.85</v>
      </c>
      <c r="T219">
        <v>11989125.15</v>
      </c>
      <c r="U219">
        <v>11989125.15</v>
      </c>
      <c r="V219">
        <v>0</v>
      </c>
      <c r="W219">
        <v>0</v>
      </c>
    </row>
    <row r="220" spans="1:23" x14ac:dyDescent="0.35">
      <c r="A220" t="s">
        <v>2</v>
      </c>
      <c r="B220">
        <v>4000</v>
      </c>
      <c r="C220">
        <v>320</v>
      </c>
      <c r="D220">
        <v>3</v>
      </c>
      <c r="E220">
        <v>0</v>
      </c>
      <c r="F220">
        <v>11916431</v>
      </c>
      <c r="G220">
        <v>96124.87</v>
      </c>
      <c r="H220">
        <v>11820306.130000001</v>
      </c>
      <c r="I220">
        <v>11820306.130000001</v>
      </c>
      <c r="J220">
        <v>0</v>
      </c>
      <c r="K220">
        <v>0</v>
      </c>
      <c r="M220" t="s">
        <v>3</v>
      </c>
      <c r="N220">
        <v>6000</v>
      </c>
      <c r="O220">
        <v>240</v>
      </c>
      <c r="P220">
        <v>20</v>
      </c>
      <c r="Q220">
        <v>0</v>
      </c>
      <c r="R220">
        <v>210382097</v>
      </c>
      <c r="S220">
        <v>1083277.8899999999</v>
      </c>
      <c r="T220">
        <v>209298819.11000001</v>
      </c>
      <c r="U220">
        <v>209298819.11000001</v>
      </c>
      <c r="V220">
        <v>0</v>
      </c>
      <c r="W220">
        <v>0</v>
      </c>
    </row>
    <row r="221" spans="1:23" x14ac:dyDescent="0.35">
      <c r="A221" t="s">
        <v>3</v>
      </c>
      <c r="B221">
        <v>6000</v>
      </c>
      <c r="C221">
        <v>240</v>
      </c>
      <c r="D221">
        <v>23</v>
      </c>
      <c r="E221">
        <v>0</v>
      </c>
      <c r="F221">
        <v>227292348</v>
      </c>
      <c r="G221">
        <v>1167262.05</v>
      </c>
      <c r="H221">
        <v>226125085.94999999</v>
      </c>
      <c r="I221">
        <v>226125085.94999999</v>
      </c>
      <c r="J221">
        <v>0</v>
      </c>
      <c r="K221">
        <v>0</v>
      </c>
      <c r="M221" t="s">
        <v>3</v>
      </c>
      <c r="N221">
        <v>6000</v>
      </c>
      <c r="O221">
        <v>216</v>
      </c>
      <c r="P221">
        <v>60</v>
      </c>
      <c r="Q221">
        <v>0</v>
      </c>
      <c r="R221">
        <v>397238715</v>
      </c>
      <c r="S221">
        <v>1737243.93</v>
      </c>
      <c r="T221">
        <v>395501471.06999999</v>
      </c>
      <c r="U221">
        <v>395501471.06999999</v>
      </c>
      <c r="V221">
        <v>0</v>
      </c>
      <c r="W221">
        <v>0</v>
      </c>
    </row>
    <row r="222" spans="1:23" x14ac:dyDescent="0.35">
      <c r="A222" t="s">
        <v>3</v>
      </c>
      <c r="B222">
        <v>6000</v>
      </c>
      <c r="C222">
        <v>216</v>
      </c>
      <c r="D222">
        <v>56</v>
      </c>
      <c r="E222">
        <v>0</v>
      </c>
      <c r="F222">
        <v>371416202</v>
      </c>
      <c r="G222">
        <v>1629860.1</v>
      </c>
      <c r="H222">
        <v>369786341.89999998</v>
      </c>
      <c r="I222">
        <v>369786341.89999998</v>
      </c>
      <c r="J222">
        <v>0</v>
      </c>
      <c r="K222">
        <v>0</v>
      </c>
      <c r="M222" t="s">
        <v>2</v>
      </c>
      <c r="N222">
        <v>3000</v>
      </c>
      <c r="O222">
        <v>144</v>
      </c>
      <c r="P222">
        <v>107</v>
      </c>
      <c r="Q222">
        <v>0</v>
      </c>
      <c r="R222">
        <v>875900278</v>
      </c>
      <c r="S222">
        <v>2793556.47</v>
      </c>
      <c r="T222">
        <v>873106721.52999997</v>
      </c>
      <c r="U222">
        <v>873106721.52999997</v>
      </c>
      <c r="V222">
        <v>0</v>
      </c>
      <c r="W222">
        <v>0</v>
      </c>
    </row>
    <row r="223" spans="1:23" x14ac:dyDescent="0.35">
      <c r="A223" t="s">
        <v>2</v>
      </c>
      <c r="B223">
        <v>3000</v>
      </c>
      <c r="C223">
        <v>144</v>
      </c>
      <c r="D223">
        <v>118</v>
      </c>
      <c r="E223">
        <v>0</v>
      </c>
      <c r="F223">
        <v>993754138</v>
      </c>
      <c r="G223">
        <v>3174073.99</v>
      </c>
      <c r="H223">
        <v>973503405.14999998</v>
      </c>
      <c r="I223">
        <v>990580064.00999999</v>
      </c>
      <c r="J223">
        <v>0.18779299999999999</v>
      </c>
      <c r="K223">
        <v>0</v>
      </c>
      <c r="M223" t="s">
        <v>0</v>
      </c>
      <c r="N223">
        <v>6750</v>
      </c>
      <c r="O223">
        <v>240</v>
      </c>
      <c r="P223">
        <v>4631</v>
      </c>
      <c r="Q223">
        <v>0</v>
      </c>
      <c r="R223">
        <v>25559785296</v>
      </c>
      <c r="S223">
        <v>130846474.52</v>
      </c>
      <c r="T223">
        <v>25311595457.16</v>
      </c>
      <c r="U223">
        <v>25414607713.93</v>
      </c>
      <c r="V223">
        <v>5.3720999999999998E-2</v>
      </c>
      <c r="W223">
        <v>6.7080000000000004E-3</v>
      </c>
    </row>
    <row r="224" spans="1:23" x14ac:dyDescent="0.35">
      <c r="A224" t="s">
        <v>0</v>
      </c>
      <c r="B224">
        <v>6750</v>
      </c>
      <c r="C224">
        <v>240</v>
      </c>
      <c r="D224">
        <v>4637</v>
      </c>
      <c r="E224">
        <v>0</v>
      </c>
      <c r="F224">
        <v>25569428546</v>
      </c>
      <c r="G224">
        <v>131346056.76000001</v>
      </c>
      <c r="H224">
        <v>25242337156.860001</v>
      </c>
      <c r="I224">
        <v>25383742888.700001</v>
      </c>
      <c r="J224">
        <v>8.8094000000000006E-2</v>
      </c>
      <c r="K224">
        <v>2.5205999999999999E-2</v>
      </c>
      <c r="M224" t="s">
        <v>1</v>
      </c>
      <c r="N224">
        <v>3000</v>
      </c>
      <c r="O224">
        <v>120</v>
      </c>
      <c r="P224">
        <v>3511</v>
      </c>
      <c r="Q224">
        <v>0</v>
      </c>
      <c r="R224">
        <v>64565372733</v>
      </c>
      <c r="S224">
        <v>191752055.06</v>
      </c>
      <c r="T224">
        <v>63989269039.550003</v>
      </c>
      <c r="U224">
        <v>64340361847.529999</v>
      </c>
      <c r="V224">
        <v>6.9141999999999995E-2</v>
      </c>
      <c r="W224">
        <v>6.1640000000000002E-3</v>
      </c>
    </row>
    <row r="225" spans="1:23" x14ac:dyDescent="0.35">
      <c r="A225" t="s">
        <v>0</v>
      </c>
      <c r="B225">
        <v>3000</v>
      </c>
      <c r="C225">
        <v>120</v>
      </c>
      <c r="D225">
        <v>2461</v>
      </c>
      <c r="E225">
        <v>0</v>
      </c>
      <c r="F225">
        <v>33285811919</v>
      </c>
      <c r="G225">
        <v>98992703.170000002</v>
      </c>
      <c r="H225">
        <v>33036415351.959999</v>
      </c>
      <c r="I225">
        <v>33186819215.830002</v>
      </c>
      <c r="J225">
        <v>5.2894999999999998E-2</v>
      </c>
      <c r="K225">
        <v>0</v>
      </c>
      <c r="M225" t="s">
        <v>0</v>
      </c>
      <c r="N225">
        <v>3000</v>
      </c>
      <c r="O225">
        <v>120</v>
      </c>
      <c r="P225">
        <v>2522</v>
      </c>
      <c r="Q225">
        <v>0</v>
      </c>
      <c r="R225">
        <v>34053299540</v>
      </c>
      <c r="S225">
        <v>100792525.75</v>
      </c>
      <c r="T225">
        <v>33783985177.82</v>
      </c>
      <c r="U225">
        <v>33947808920.82</v>
      </c>
      <c r="V225">
        <v>5.7794999999999999E-2</v>
      </c>
      <c r="W225">
        <v>1.6540000000000001E-3</v>
      </c>
    </row>
    <row r="226" spans="1:23" x14ac:dyDescent="0.35">
      <c r="A226" t="s">
        <v>2</v>
      </c>
      <c r="B226">
        <v>3000</v>
      </c>
      <c r="C226">
        <v>120</v>
      </c>
      <c r="D226">
        <v>634</v>
      </c>
      <c r="E226">
        <v>0</v>
      </c>
      <c r="F226">
        <v>6657502976</v>
      </c>
      <c r="G226">
        <v>19734625.48</v>
      </c>
      <c r="H226">
        <v>6621360342.25</v>
      </c>
      <c r="I226">
        <v>6637768350.5200005</v>
      </c>
      <c r="J226">
        <v>2.9177000000000002E-2</v>
      </c>
      <c r="K226">
        <v>0</v>
      </c>
      <c r="M226" t="s">
        <v>2</v>
      </c>
      <c r="N226">
        <v>3000</v>
      </c>
      <c r="O226">
        <v>120</v>
      </c>
      <c r="P226">
        <v>644</v>
      </c>
      <c r="Q226">
        <v>0</v>
      </c>
      <c r="R226">
        <v>6794597293</v>
      </c>
      <c r="S226">
        <v>20048438.77</v>
      </c>
      <c r="T226">
        <v>6774548854.2299995</v>
      </c>
      <c r="U226">
        <v>6774548854.2299995</v>
      </c>
      <c r="V226">
        <v>0</v>
      </c>
      <c r="W226">
        <v>0</v>
      </c>
    </row>
    <row r="227" spans="1:23" x14ac:dyDescent="0.35">
      <c r="A227" t="s">
        <v>1</v>
      </c>
      <c r="B227">
        <v>3000</v>
      </c>
      <c r="C227">
        <v>120</v>
      </c>
      <c r="D227">
        <v>3418</v>
      </c>
      <c r="E227">
        <v>0</v>
      </c>
      <c r="F227">
        <v>62683355181</v>
      </c>
      <c r="G227">
        <v>187060777.83000001</v>
      </c>
      <c r="H227">
        <v>62141696383.309998</v>
      </c>
      <c r="I227">
        <v>62466165231.43</v>
      </c>
      <c r="J227">
        <v>6.5810999999999995E-2</v>
      </c>
      <c r="K227">
        <v>5.7530000000000003E-3</v>
      </c>
      <c r="M227" t="s">
        <v>2</v>
      </c>
      <c r="N227">
        <v>3500</v>
      </c>
      <c r="O227">
        <v>120</v>
      </c>
      <c r="P227">
        <v>10808</v>
      </c>
      <c r="Q227">
        <v>0</v>
      </c>
      <c r="R227">
        <v>118720768753</v>
      </c>
      <c r="S227">
        <v>334588385.19999999</v>
      </c>
      <c r="T227">
        <v>117741983107.78999</v>
      </c>
      <c r="U227">
        <v>118358731622.46001</v>
      </c>
      <c r="V227">
        <v>6.3204999999999997E-2</v>
      </c>
      <c r="W227">
        <v>2.771E-3</v>
      </c>
    </row>
    <row r="228" spans="1:23" x14ac:dyDescent="0.35">
      <c r="A228" t="s">
        <v>2</v>
      </c>
      <c r="B228">
        <v>3500</v>
      </c>
      <c r="C228">
        <v>120</v>
      </c>
      <c r="D228">
        <v>10252</v>
      </c>
      <c r="E228">
        <v>0</v>
      </c>
      <c r="F228">
        <v>112251165744</v>
      </c>
      <c r="G228">
        <v>317488900.81999999</v>
      </c>
      <c r="H228">
        <v>111362562356.22</v>
      </c>
      <c r="I228">
        <v>111926846583.52</v>
      </c>
      <c r="J228">
        <v>5.9374000000000003E-2</v>
      </c>
      <c r="K228">
        <v>7.2999999999999996E-4</v>
      </c>
      <c r="M228" t="s">
        <v>0</v>
      </c>
      <c r="N228">
        <v>3500</v>
      </c>
      <c r="O228">
        <v>120</v>
      </c>
      <c r="P228">
        <v>61736</v>
      </c>
      <c r="Q228">
        <v>0</v>
      </c>
      <c r="R228">
        <v>866891502865</v>
      </c>
      <c r="S228">
        <v>2446285299.3400002</v>
      </c>
      <c r="T228">
        <v>859747489995.5</v>
      </c>
      <c r="U228">
        <v>864017906537.81006</v>
      </c>
      <c r="V228">
        <v>6.3125000000000001E-2</v>
      </c>
      <c r="W228">
        <v>5.8989999999999997E-3</v>
      </c>
    </row>
    <row r="229" spans="1:23" x14ac:dyDescent="0.35">
      <c r="A229" t="s">
        <v>0</v>
      </c>
      <c r="B229">
        <v>3500</v>
      </c>
      <c r="C229">
        <v>120</v>
      </c>
      <c r="D229">
        <v>58415</v>
      </c>
      <c r="E229">
        <v>0</v>
      </c>
      <c r="F229">
        <v>819084227846</v>
      </c>
      <c r="G229">
        <v>2320332073.73</v>
      </c>
      <c r="H229">
        <v>811773917050.68005</v>
      </c>
      <c r="I229">
        <v>816486020474.59998</v>
      </c>
      <c r="J229">
        <v>7.0705000000000004E-2</v>
      </c>
      <c r="K229">
        <v>4.0629999999999998E-3</v>
      </c>
      <c r="M229" t="s">
        <v>1</v>
      </c>
      <c r="N229">
        <v>3500</v>
      </c>
      <c r="O229">
        <v>120</v>
      </c>
      <c r="P229">
        <v>33979</v>
      </c>
      <c r="Q229">
        <v>0</v>
      </c>
      <c r="R229">
        <v>581633321852</v>
      </c>
      <c r="S229">
        <v>1646937940.1400001</v>
      </c>
      <c r="T229">
        <v>576698347871.88</v>
      </c>
      <c r="U229">
        <v>579768995920.27002</v>
      </c>
      <c r="V229">
        <v>6.5767000000000006E-2</v>
      </c>
      <c r="W229">
        <v>4.4759999999999999E-3</v>
      </c>
    </row>
    <row r="230" spans="1:23" x14ac:dyDescent="0.35">
      <c r="A230" t="s">
        <v>1</v>
      </c>
      <c r="B230">
        <v>3500</v>
      </c>
      <c r="C230">
        <v>120</v>
      </c>
      <c r="D230">
        <v>31961</v>
      </c>
      <c r="E230">
        <v>0</v>
      </c>
      <c r="F230">
        <v>546018753540</v>
      </c>
      <c r="G230">
        <v>1551105475.2</v>
      </c>
      <c r="H230">
        <v>541052081560.28998</v>
      </c>
      <c r="I230">
        <v>544299714060.03998</v>
      </c>
      <c r="J230">
        <v>7.2535000000000002E-2</v>
      </c>
      <c r="K230">
        <v>3.6840000000000002E-3</v>
      </c>
      <c r="M230" t="s">
        <v>0</v>
      </c>
      <c r="N230">
        <v>4000</v>
      </c>
      <c r="O230">
        <v>120</v>
      </c>
      <c r="P230">
        <v>68745</v>
      </c>
      <c r="Q230">
        <v>0</v>
      </c>
      <c r="R230">
        <v>868981015839</v>
      </c>
      <c r="S230">
        <v>2324005158.6100001</v>
      </c>
      <c r="T230">
        <v>862259045294.90002</v>
      </c>
      <c r="U230">
        <v>866099985944.47998</v>
      </c>
      <c r="V230">
        <v>5.9069999999999998E-2</v>
      </c>
      <c r="W230">
        <v>7.6649999999999999E-3</v>
      </c>
    </row>
    <row r="231" spans="1:23" x14ac:dyDescent="0.35">
      <c r="A231" t="s">
        <v>0</v>
      </c>
      <c r="B231">
        <v>4000</v>
      </c>
      <c r="C231">
        <v>120</v>
      </c>
      <c r="D231">
        <v>67713</v>
      </c>
      <c r="E231">
        <v>0</v>
      </c>
      <c r="F231">
        <v>862013639741</v>
      </c>
      <c r="G231">
        <v>2305249662.8899999</v>
      </c>
      <c r="H231">
        <v>855211551468.76001</v>
      </c>
      <c r="I231">
        <v>859325137591.10999</v>
      </c>
      <c r="J231">
        <v>6.0835E-2</v>
      </c>
      <c r="K231">
        <v>5.3220000000000003E-3</v>
      </c>
      <c r="M231" t="s">
        <v>1</v>
      </c>
      <c r="N231">
        <v>4000</v>
      </c>
      <c r="O231">
        <v>120</v>
      </c>
      <c r="P231">
        <v>11459</v>
      </c>
      <c r="Q231">
        <v>0</v>
      </c>
      <c r="R231">
        <v>164177555869</v>
      </c>
      <c r="S231">
        <v>437305774.47000003</v>
      </c>
      <c r="T231">
        <v>162734132142.76999</v>
      </c>
      <c r="U231">
        <v>163683430202.69</v>
      </c>
      <c r="V231">
        <v>7.1110000000000007E-2</v>
      </c>
      <c r="W231">
        <v>4.1450000000000002E-3</v>
      </c>
    </row>
    <row r="232" spans="1:23" x14ac:dyDescent="0.35">
      <c r="A232" t="s">
        <v>2</v>
      </c>
      <c r="B232">
        <v>4000</v>
      </c>
      <c r="C232">
        <v>120</v>
      </c>
      <c r="D232">
        <v>9390</v>
      </c>
      <c r="E232">
        <v>0</v>
      </c>
      <c r="F232">
        <v>90385434049</v>
      </c>
      <c r="G232">
        <v>240371941.16</v>
      </c>
      <c r="H232">
        <v>89493989223.600006</v>
      </c>
      <c r="I232">
        <v>90098339243.270004</v>
      </c>
      <c r="J232">
        <v>8.3096000000000003E-2</v>
      </c>
      <c r="K232">
        <v>6.1859999999999997E-3</v>
      </c>
      <c r="M232" t="s">
        <v>2</v>
      </c>
      <c r="N232">
        <v>4000</v>
      </c>
      <c r="O232">
        <v>120</v>
      </c>
      <c r="P232">
        <v>9240</v>
      </c>
      <c r="Q232">
        <v>0</v>
      </c>
      <c r="R232">
        <v>87736964882</v>
      </c>
      <c r="S232">
        <v>233604980.75</v>
      </c>
      <c r="T232">
        <v>87082751152.710007</v>
      </c>
      <c r="U232">
        <v>87471701334.759995</v>
      </c>
      <c r="V232">
        <v>5.6035000000000001E-2</v>
      </c>
      <c r="W232">
        <v>4.3210000000000002E-3</v>
      </c>
    </row>
    <row r="233" spans="1:23" x14ac:dyDescent="0.35">
      <c r="A233" t="s">
        <v>0</v>
      </c>
      <c r="B233">
        <v>4500</v>
      </c>
      <c r="C233">
        <v>120</v>
      </c>
      <c r="D233">
        <v>20515</v>
      </c>
      <c r="E233">
        <v>0</v>
      </c>
      <c r="F233">
        <v>240653250365</v>
      </c>
      <c r="G233">
        <v>598383261.40999997</v>
      </c>
      <c r="H233">
        <v>238516096028.07999</v>
      </c>
      <c r="I233">
        <v>239803047812.19</v>
      </c>
      <c r="J233">
        <v>7.4088000000000001E-2</v>
      </c>
      <c r="K233">
        <v>1.2485E-2</v>
      </c>
      <c r="M233" t="s">
        <v>0</v>
      </c>
      <c r="N233">
        <v>4500</v>
      </c>
      <c r="O233">
        <v>120</v>
      </c>
      <c r="P233">
        <v>18279</v>
      </c>
      <c r="Q233">
        <v>0</v>
      </c>
      <c r="R233">
        <v>210433963115</v>
      </c>
      <c r="S233">
        <v>525407339.44999999</v>
      </c>
      <c r="T233">
        <v>208638843354.45001</v>
      </c>
      <c r="U233">
        <v>209805641184.67001</v>
      </c>
      <c r="V233">
        <v>7.0050000000000001E-2</v>
      </c>
      <c r="W233">
        <v>5.8529999999999997E-3</v>
      </c>
    </row>
    <row r="234" spans="1:23" x14ac:dyDescent="0.35">
      <c r="A234" t="s">
        <v>1</v>
      </c>
      <c r="B234">
        <v>4500</v>
      </c>
      <c r="C234">
        <v>120</v>
      </c>
      <c r="D234">
        <v>1907</v>
      </c>
      <c r="E234">
        <v>0</v>
      </c>
      <c r="F234">
        <v>23771485835</v>
      </c>
      <c r="G234">
        <v>58843585.369999997</v>
      </c>
      <c r="H234">
        <v>23506345749.150002</v>
      </c>
      <c r="I234">
        <v>23702540542.830002</v>
      </c>
      <c r="J234">
        <v>9.9309999999999996E-2</v>
      </c>
      <c r="K234">
        <v>5.0879999999999996E-3</v>
      </c>
      <c r="M234" t="s">
        <v>2</v>
      </c>
      <c r="N234">
        <v>4500</v>
      </c>
      <c r="O234">
        <v>120</v>
      </c>
      <c r="P234">
        <v>1366</v>
      </c>
      <c r="Q234">
        <v>0</v>
      </c>
      <c r="R234">
        <v>11656041477</v>
      </c>
      <c r="S234">
        <v>28953753.539999999</v>
      </c>
      <c r="T234">
        <v>11576650512.77</v>
      </c>
      <c r="U234">
        <v>11627087723.459999</v>
      </c>
      <c r="V234">
        <v>5.0707000000000002E-2</v>
      </c>
      <c r="W234">
        <v>0</v>
      </c>
    </row>
    <row r="235" spans="1:23" x14ac:dyDescent="0.35">
      <c r="A235" t="s">
        <v>2</v>
      </c>
      <c r="B235">
        <v>4500</v>
      </c>
      <c r="C235">
        <v>120</v>
      </c>
      <c r="D235">
        <v>1742</v>
      </c>
      <c r="E235">
        <v>0</v>
      </c>
      <c r="F235">
        <v>15265213367</v>
      </c>
      <c r="G235">
        <v>37648881.310000002</v>
      </c>
      <c r="H235">
        <v>15159366189.51</v>
      </c>
      <c r="I235">
        <v>15227564485.690001</v>
      </c>
      <c r="J235">
        <v>5.2312999999999998E-2</v>
      </c>
      <c r="K235">
        <v>0</v>
      </c>
      <c r="M235" t="s">
        <v>0</v>
      </c>
      <c r="N235">
        <v>5000</v>
      </c>
      <c r="O235">
        <v>120</v>
      </c>
      <c r="P235">
        <v>2937</v>
      </c>
      <c r="Q235">
        <v>0</v>
      </c>
      <c r="R235">
        <v>29416322536</v>
      </c>
      <c r="S235">
        <v>68860020.859999999</v>
      </c>
      <c r="T235">
        <v>29232269063.299999</v>
      </c>
      <c r="U235">
        <v>29329275838.740002</v>
      </c>
      <c r="V235">
        <v>4.5992999999999999E-2</v>
      </c>
      <c r="W235">
        <v>7.3940000000000004E-3</v>
      </c>
    </row>
    <row r="236" spans="1:23" x14ac:dyDescent="0.35">
      <c r="A236" t="s">
        <v>0</v>
      </c>
      <c r="B236">
        <v>5000</v>
      </c>
      <c r="C236">
        <v>120</v>
      </c>
      <c r="D236">
        <v>3646</v>
      </c>
      <c r="E236">
        <v>0</v>
      </c>
      <c r="F236">
        <v>37787769111</v>
      </c>
      <c r="G236">
        <v>87891969.310000002</v>
      </c>
      <c r="H236">
        <v>37412010890.400002</v>
      </c>
      <c r="I236">
        <v>37652563818.220001</v>
      </c>
      <c r="J236">
        <v>8.7680999999999995E-2</v>
      </c>
      <c r="K236">
        <v>1.4922E-2</v>
      </c>
      <c r="M236" t="s">
        <v>2</v>
      </c>
      <c r="N236">
        <v>5000</v>
      </c>
      <c r="O236">
        <v>120</v>
      </c>
      <c r="P236">
        <v>44</v>
      </c>
      <c r="Q236">
        <v>0</v>
      </c>
      <c r="R236">
        <v>342810400</v>
      </c>
      <c r="S236">
        <v>787985.28</v>
      </c>
      <c r="T236">
        <v>342022414.72000003</v>
      </c>
      <c r="U236">
        <v>342022414.72000003</v>
      </c>
      <c r="V236">
        <v>0</v>
      </c>
      <c r="W236">
        <v>0</v>
      </c>
    </row>
    <row r="237" spans="1:23" x14ac:dyDescent="0.35">
      <c r="A237" t="s">
        <v>1</v>
      </c>
      <c r="B237">
        <v>4000</v>
      </c>
      <c r="C237">
        <v>120</v>
      </c>
      <c r="D237">
        <v>12243</v>
      </c>
      <c r="E237">
        <v>0</v>
      </c>
      <c r="F237">
        <v>179648541044</v>
      </c>
      <c r="G237">
        <v>476860317.22000003</v>
      </c>
      <c r="H237">
        <v>178031464204.53</v>
      </c>
      <c r="I237">
        <v>179040584085.28</v>
      </c>
      <c r="J237">
        <v>7.356E-2</v>
      </c>
      <c r="K237">
        <v>8.7220000000000006E-3</v>
      </c>
      <c r="M237" t="s">
        <v>1</v>
      </c>
      <c r="N237">
        <v>4500</v>
      </c>
      <c r="O237">
        <v>120</v>
      </c>
      <c r="P237">
        <v>1563</v>
      </c>
      <c r="Q237">
        <v>0</v>
      </c>
      <c r="R237">
        <v>19076164821</v>
      </c>
      <c r="S237">
        <v>47505221.450000003</v>
      </c>
      <c r="T237">
        <v>18849498878.25</v>
      </c>
      <c r="U237">
        <v>18962429724.119999</v>
      </c>
      <c r="V237">
        <v>0.107059</v>
      </c>
      <c r="W237">
        <v>4.0876000000000003E-2</v>
      </c>
    </row>
    <row r="238" spans="1:23" x14ac:dyDescent="0.35">
      <c r="A238" t="s">
        <v>1</v>
      </c>
      <c r="B238">
        <v>5000</v>
      </c>
      <c r="C238">
        <v>120</v>
      </c>
      <c r="D238">
        <v>209</v>
      </c>
      <c r="E238">
        <v>0</v>
      </c>
      <c r="F238">
        <v>2208879758</v>
      </c>
      <c r="G238">
        <v>5142568.99</v>
      </c>
      <c r="H238">
        <v>2203737189.0100002</v>
      </c>
      <c r="I238">
        <v>2203737189.0100002</v>
      </c>
      <c r="J238">
        <v>0</v>
      </c>
      <c r="K238">
        <v>0</v>
      </c>
      <c r="M238" t="s">
        <v>1</v>
      </c>
      <c r="N238">
        <v>5000</v>
      </c>
      <c r="O238">
        <v>120</v>
      </c>
      <c r="P238">
        <v>172</v>
      </c>
      <c r="Q238">
        <v>0</v>
      </c>
      <c r="R238">
        <v>1682857955</v>
      </c>
      <c r="S238">
        <v>3941566.33</v>
      </c>
      <c r="T238">
        <v>1678916388.6700001</v>
      </c>
      <c r="U238">
        <v>1678916388.6700001</v>
      </c>
      <c r="V238">
        <v>0</v>
      </c>
      <c r="W238">
        <v>0</v>
      </c>
    </row>
    <row r="239" spans="1:23" x14ac:dyDescent="0.35">
      <c r="A239" t="s">
        <v>0</v>
      </c>
      <c r="B239">
        <v>3500</v>
      </c>
      <c r="C239">
        <v>108</v>
      </c>
      <c r="D239">
        <v>8325</v>
      </c>
      <c r="E239">
        <v>0</v>
      </c>
      <c r="F239">
        <v>127235737487</v>
      </c>
      <c r="G239">
        <v>335481977.33999997</v>
      </c>
      <c r="H239">
        <v>126050378361.61</v>
      </c>
      <c r="I239">
        <v>126846298306.12</v>
      </c>
      <c r="J239">
        <v>7.7273999999999995E-2</v>
      </c>
      <c r="K239">
        <v>5.0769999999999999E-3</v>
      </c>
      <c r="M239" t="s">
        <v>0</v>
      </c>
      <c r="N239">
        <v>3500</v>
      </c>
      <c r="O239">
        <v>108</v>
      </c>
      <c r="P239">
        <v>8683</v>
      </c>
      <c r="Q239">
        <v>0</v>
      </c>
      <c r="R239">
        <v>132812435564</v>
      </c>
      <c r="S239">
        <v>348833533.27999997</v>
      </c>
      <c r="T239">
        <v>131911415892.06</v>
      </c>
      <c r="U239">
        <v>132436559731.53999</v>
      </c>
      <c r="V239">
        <v>4.8765999999999997E-2</v>
      </c>
      <c r="W239">
        <v>2.441E-3</v>
      </c>
    </row>
    <row r="240" spans="1:23" x14ac:dyDescent="0.35">
      <c r="A240" t="s">
        <v>2</v>
      </c>
      <c r="B240">
        <v>3500</v>
      </c>
      <c r="C240">
        <v>108</v>
      </c>
      <c r="D240">
        <v>2234</v>
      </c>
      <c r="E240">
        <v>0</v>
      </c>
      <c r="F240">
        <v>26510034251</v>
      </c>
      <c r="G240">
        <v>69879009.519999996</v>
      </c>
      <c r="H240">
        <v>26289962550.240002</v>
      </c>
      <c r="I240">
        <v>26440155241.48</v>
      </c>
      <c r="J240">
        <v>6.5906999999999993E-2</v>
      </c>
      <c r="K240">
        <v>0</v>
      </c>
      <c r="M240" t="s">
        <v>2</v>
      </c>
      <c r="N240">
        <v>3500</v>
      </c>
      <c r="O240">
        <v>108</v>
      </c>
      <c r="P240">
        <v>2299</v>
      </c>
      <c r="Q240">
        <v>0</v>
      </c>
      <c r="R240">
        <v>27313133342</v>
      </c>
      <c r="S240">
        <v>71689624.689999998</v>
      </c>
      <c r="T240">
        <v>27086788571.080002</v>
      </c>
      <c r="U240">
        <v>27215248005.209999</v>
      </c>
      <c r="V240">
        <v>6.5870999999999999E-2</v>
      </c>
      <c r="W240">
        <v>1.1449000000000001E-2</v>
      </c>
    </row>
    <row r="241" spans="1:23" x14ac:dyDescent="0.35">
      <c r="A241" t="s">
        <v>1</v>
      </c>
      <c r="B241">
        <v>3500</v>
      </c>
      <c r="C241">
        <v>108</v>
      </c>
      <c r="D241">
        <v>8874</v>
      </c>
      <c r="E241">
        <v>0</v>
      </c>
      <c r="F241">
        <v>168298031517</v>
      </c>
      <c r="G241">
        <v>443501267.94999999</v>
      </c>
      <c r="H241">
        <v>166702825371.20999</v>
      </c>
      <c r="I241">
        <v>167756010927.17001</v>
      </c>
      <c r="J241">
        <v>7.9098000000000002E-2</v>
      </c>
      <c r="K241">
        <v>7.0020000000000004E-3</v>
      </c>
      <c r="M241" t="s">
        <v>1</v>
      </c>
      <c r="N241">
        <v>3500</v>
      </c>
      <c r="O241">
        <v>108</v>
      </c>
      <c r="P241">
        <v>9211</v>
      </c>
      <c r="Q241">
        <v>0</v>
      </c>
      <c r="R241">
        <v>174864128821</v>
      </c>
      <c r="S241">
        <v>459272727.12</v>
      </c>
      <c r="T241">
        <v>173566584473.25</v>
      </c>
      <c r="U241">
        <v>174385517805.59</v>
      </c>
      <c r="V241">
        <v>5.6032999999999999E-2</v>
      </c>
      <c r="W241">
        <v>1.3259999999999999E-3</v>
      </c>
    </row>
    <row r="242" spans="1:23" x14ac:dyDescent="0.35">
      <c r="A242" t="s">
        <v>0</v>
      </c>
      <c r="B242">
        <v>4000</v>
      </c>
      <c r="C242">
        <v>108</v>
      </c>
      <c r="D242">
        <v>62151</v>
      </c>
      <c r="E242">
        <v>0</v>
      </c>
      <c r="F242">
        <v>902343145768</v>
      </c>
      <c r="G242">
        <v>2246392843.0799999</v>
      </c>
      <c r="H242">
        <v>894660785662.60999</v>
      </c>
      <c r="I242">
        <v>899687724057.72998</v>
      </c>
      <c r="J242">
        <v>6.9944000000000006E-2</v>
      </c>
      <c r="K242">
        <v>5.4260000000000003E-3</v>
      </c>
      <c r="M242" t="s">
        <v>0</v>
      </c>
      <c r="N242">
        <v>4000</v>
      </c>
      <c r="O242">
        <v>108</v>
      </c>
      <c r="P242">
        <v>66219</v>
      </c>
      <c r="Q242">
        <v>0</v>
      </c>
      <c r="R242">
        <v>960435729644</v>
      </c>
      <c r="S242">
        <v>2386017483.73</v>
      </c>
      <c r="T242">
        <v>953115978448.58997</v>
      </c>
      <c r="U242">
        <v>957591094187.42004</v>
      </c>
      <c r="V242">
        <v>5.9931999999999999E-2</v>
      </c>
      <c r="W242">
        <v>5.7149999999999996E-3</v>
      </c>
    </row>
    <row r="243" spans="1:23" x14ac:dyDescent="0.35">
      <c r="A243" t="s">
        <v>2</v>
      </c>
      <c r="B243">
        <v>4000</v>
      </c>
      <c r="C243">
        <v>108</v>
      </c>
      <c r="D243">
        <v>12491</v>
      </c>
      <c r="E243">
        <v>0</v>
      </c>
      <c r="F243">
        <v>140185971051</v>
      </c>
      <c r="G243">
        <v>350034108.92000002</v>
      </c>
      <c r="H243">
        <v>138973281957.09</v>
      </c>
      <c r="I243">
        <v>139807248680</v>
      </c>
      <c r="J243">
        <v>7.1395E-2</v>
      </c>
      <c r="K243">
        <v>2.4529999999999999E-3</v>
      </c>
      <c r="M243" t="s">
        <v>2</v>
      </c>
      <c r="N243">
        <v>4000</v>
      </c>
      <c r="O243">
        <v>108</v>
      </c>
      <c r="P243">
        <v>13089</v>
      </c>
      <c r="Q243">
        <v>0</v>
      </c>
      <c r="R243">
        <v>147140523365</v>
      </c>
      <c r="S243">
        <v>366411407.72000003</v>
      </c>
      <c r="T243">
        <v>146027346269.97</v>
      </c>
      <c r="U243">
        <v>146729788188.03</v>
      </c>
      <c r="V243">
        <v>5.9230999999999999E-2</v>
      </c>
      <c r="W243">
        <v>3.6089999999999998E-3</v>
      </c>
    </row>
    <row r="244" spans="1:23" x14ac:dyDescent="0.35">
      <c r="A244" t="s">
        <v>1</v>
      </c>
      <c r="B244">
        <v>4000</v>
      </c>
      <c r="C244">
        <v>108</v>
      </c>
      <c r="D244">
        <v>22331</v>
      </c>
      <c r="E244">
        <v>0</v>
      </c>
      <c r="F244">
        <v>378765812561</v>
      </c>
      <c r="G244">
        <v>944016293.11000001</v>
      </c>
      <c r="H244">
        <v>374805696667.98999</v>
      </c>
      <c r="I244">
        <v>377599797488.33002</v>
      </c>
      <c r="J244">
        <v>9.1480000000000006E-2</v>
      </c>
      <c r="K244">
        <v>7.0109999999999999E-3</v>
      </c>
      <c r="M244" t="s">
        <v>1</v>
      </c>
      <c r="N244">
        <v>4000</v>
      </c>
      <c r="O244">
        <v>108</v>
      </c>
      <c r="P244">
        <v>23581</v>
      </c>
      <c r="Q244">
        <v>0</v>
      </c>
      <c r="R244">
        <v>398246510640</v>
      </c>
      <c r="S244">
        <v>991179461.44000006</v>
      </c>
      <c r="T244">
        <v>395073967302.88</v>
      </c>
      <c r="U244">
        <v>397106865429.63</v>
      </c>
      <c r="V244">
        <v>6.3784999999999994E-2</v>
      </c>
      <c r="W244">
        <v>4.4640000000000001E-3</v>
      </c>
    </row>
    <row r="245" spans="1:23" x14ac:dyDescent="0.35">
      <c r="A245" t="s">
        <v>0</v>
      </c>
      <c r="B245">
        <v>4500</v>
      </c>
      <c r="C245">
        <v>108</v>
      </c>
      <c r="D245">
        <v>43688</v>
      </c>
      <c r="E245">
        <v>0</v>
      </c>
      <c r="F245">
        <v>579520791448</v>
      </c>
      <c r="G245">
        <v>1355935238.4200001</v>
      </c>
      <c r="H245">
        <v>574194724593.66003</v>
      </c>
      <c r="I245">
        <v>577646368028.37</v>
      </c>
      <c r="J245">
        <v>7.9181000000000001E-2</v>
      </c>
      <c r="K245">
        <v>1.0684000000000001E-2</v>
      </c>
      <c r="M245" t="s">
        <v>0</v>
      </c>
      <c r="N245">
        <v>4500</v>
      </c>
      <c r="O245">
        <v>108</v>
      </c>
      <c r="P245">
        <v>44482</v>
      </c>
      <c r="Q245">
        <v>0</v>
      </c>
      <c r="R245">
        <v>582823935592</v>
      </c>
      <c r="S245">
        <v>1364497737.46</v>
      </c>
      <c r="T245">
        <v>577945361561.79004</v>
      </c>
      <c r="U245">
        <v>580964535015.93994</v>
      </c>
      <c r="V245">
        <v>7.0000999999999994E-2</v>
      </c>
      <c r="W245">
        <v>1.0142E-2</v>
      </c>
    </row>
    <row r="246" spans="1:23" x14ac:dyDescent="0.35">
      <c r="A246" t="s">
        <v>1</v>
      </c>
      <c r="B246">
        <v>4500</v>
      </c>
      <c r="C246">
        <v>108</v>
      </c>
      <c r="D246">
        <v>5861</v>
      </c>
      <c r="E246">
        <v>0</v>
      </c>
      <c r="F246">
        <v>84041488907</v>
      </c>
      <c r="G246">
        <v>195554070.93000001</v>
      </c>
      <c r="H246">
        <v>83238940847.559998</v>
      </c>
      <c r="I246">
        <v>83756722093.990005</v>
      </c>
      <c r="J246">
        <v>8.3308999999999994E-2</v>
      </c>
      <c r="K246">
        <v>1.2664E-2</v>
      </c>
      <c r="M246" t="s">
        <v>2</v>
      </c>
      <c r="N246">
        <v>4500</v>
      </c>
      <c r="O246">
        <v>108</v>
      </c>
      <c r="P246">
        <v>8047</v>
      </c>
      <c r="Q246">
        <v>0</v>
      </c>
      <c r="R246">
        <v>76895421008</v>
      </c>
      <c r="S246">
        <v>179131719</v>
      </c>
      <c r="T246">
        <v>76218158566.289993</v>
      </c>
      <c r="U246">
        <v>76678633038.710007</v>
      </c>
      <c r="V246">
        <v>7.5025999999999995E-2</v>
      </c>
      <c r="W246">
        <v>5.8609999999999999E-3</v>
      </c>
    </row>
    <row r="247" spans="1:23" x14ac:dyDescent="0.35">
      <c r="A247" t="s">
        <v>2</v>
      </c>
      <c r="B247">
        <v>4500</v>
      </c>
      <c r="C247">
        <v>108</v>
      </c>
      <c r="D247">
        <v>8208</v>
      </c>
      <c r="E247">
        <v>0</v>
      </c>
      <c r="F247">
        <v>79769317926</v>
      </c>
      <c r="G247">
        <v>185758345.72</v>
      </c>
      <c r="H247">
        <v>79104729791.550003</v>
      </c>
      <c r="I247">
        <v>79525514627.75</v>
      </c>
      <c r="J247">
        <v>6.9700999999999999E-2</v>
      </c>
      <c r="K247">
        <v>8.6969999999999999E-3</v>
      </c>
      <c r="M247" t="s">
        <v>0</v>
      </c>
      <c r="N247">
        <v>5000</v>
      </c>
      <c r="O247">
        <v>108</v>
      </c>
      <c r="P247">
        <v>11620</v>
      </c>
      <c r="Q247">
        <v>0</v>
      </c>
      <c r="R247">
        <v>140457233337</v>
      </c>
      <c r="S247">
        <v>307539545.91000003</v>
      </c>
      <c r="T247">
        <v>139186772390.82999</v>
      </c>
      <c r="U247">
        <v>139974649897.12</v>
      </c>
      <c r="V247">
        <v>7.9235E-2</v>
      </c>
      <c r="W247">
        <v>1.4853E-2</v>
      </c>
    </row>
    <row r="248" spans="1:23" x14ac:dyDescent="0.35">
      <c r="A248" t="s">
        <v>0</v>
      </c>
      <c r="B248">
        <v>5000</v>
      </c>
      <c r="C248">
        <v>108</v>
      </c>
      <c r="D248">
        <v>12951</v>
      </c>
      <c r="E248">
        <v>0</v>
      </c>
      <c r="F248">
        <v>160606172855</v>
      </c>
      <c r="G248">
        <v>350131489.88999999</v>
      </c>
      <c r="H248">
        <v>159292211351.31</v>
      </c>
      <c r="I248">
        <v>160108968578.10999</v>
      </c>
      <c r="J248">
        <v>6.9683999999999996E-2</v>
      </c>
      <c r="K248">
        <v>1.0933999999999999E-2</v>
      </c>
      <c r="M248" t="s">
        <v>1</v>
      </c>
      <c r="N248">
        <v>4500</v>
      </c>
      <c r="O248">
        <v>108</v>
      </c>
      <c r="P248">
        <v>5441</v>
      </c>
      <c r="Q248">
        <v>0</v>
      </c>
      <c r="R248">
        <v>75938560800</v>
      </c>
      <c r="S248">
        <v>177457852.78999999</v>
      </c>
      <c r="T248">
        <v>75092778722.360001</v>
      </c>
      <c r="U248">
        <v>75632336716.559998</v>
      </c>
      <c r="V248">
        <v>0.100645</v>
      </c>
      <c r="W248">
        <v>2.0159E-2</v>
      </c>
    </row>
    <row r="249" spans="1:23" x14ac:dyDescent="0.35">
      <c r="A249" t="s">
        <v>0</v>
      </c>
      <c r="B249">
        <v>4250</v>
      </c>
      <c r="C249">
        <v>320</v>
      </c>
      <c r="D249">
        <v>37</v>
      </c>
      <c r="E249">
        <v>0</v>
      </c>
      <c r="F249">
        <v>157962940</v>
      </c>
      <c r="G249">
        <v>1340782.23</v>
      </c>
      <c r="H249">
        <v>156622157.77000001</v>
      </c>
      <c r="I249">
        <v>156622157.77000001</v>
      </c>
      <c r="J249">
        <v>0</v>
      </c>
      <c r="K249">
        <v>0</v>
      </c>
      <c r="M249" t="s">
        <v>0</v>
      </c>
      <c r="N249">
        <v>4250</v>
      </c>
      <c r="O249">
        <v>320</v>
      </c>
      <c r="P249">
        <v>37</v>
      </c>
      <c r="Q249">
        <v>0</v>
      </c>
      <c r="R249">
        <v>159649340</v>
      </c>
      <c r="S249">
        <v>1339194.44</v>
      </c>
      <c r="T249">
        <v>158310145.56</v>
      </c>
      <c r="U249">
        <v>158310145.56</v>
      </c>
      <c r="V249">
        <v>0</v>
      </c>
      <c r="W249">
        <v>0</v>
      </c>
    </row>
    <row r="250" spans="1:23" x14ac:dyDescent="0.35">
      <c r="A250" t="s">
        <v>1</v>
      </c>
      <c r="B250">
        <v>6250</v>
      </c>
      <c r="C250">
        <v>240</v>
      </c>
      <c r="D250">
        <v>403</v>
      </c>
      <c r="E250">
        <v>0</v>
      </c>
      <c r="F250">
        <v>2795879300</v>
      </c>
      <c r="G250">
        <v>15078708.710000001</v>
      </c>
      <c r="H250">
        <v>2759384739.7199998</v>
      </c>
      <c r="I250">
        <v>2780800591.29</v>
      </c>
      <c r="J250">
        <v>8.8141999999999998E-2</v>
      </c>
      <c r="K250">
        <v>0</v>
      </c>
      <c r="M250" t="s">
        <v>1</v>
      </c>
      <c r="N250">
        <v>6250</v>
      </c>
      <c r="O250">
        <v>240</v>
      </c>
      <c r="P250">
        <v>444</v>
      </c>
      <c r="Q250">
        <v>0</v>
      </c>
      <c r="R250">
        <v>3079526982</v>
      </c>
      <c r="S250">
        <v>16699791.52</v>
      </c>
      <c r="T250">
        <v>3055317845.8200002</v>
      </c>
      <c r="U250">
        <v>3062827190.48</v>
      </c>
      <c r="V250">
        <v>2.8871999999999998E-2</v>
      </c>
      <c r="W250">
        <v>0</v>
      </c>
    </row>
    <row r="251" spans="1:23" x14ac:dyDescent="0.35">
      <c r="A251" t="s">
        <v>3</v>
      </c>
      <c r="B251">
        <v>6500</v>
      </c>
      <c r="C251">
        <v>240</v>
      </c>
      <c r="D251">
        <v>70</v>
      </c>
      <c r="E251">
        <v>0</v>
      </c>
      <c r="F251">
        <v>439502987</v>
      </c>
      <c r="G251">
        <v>2345442.79</v>
      </c>
      <c r="H251">
        <v>437157544.20999998</v>
      </c>
      <c r="I251">
        <v>437157544.20999998</v>
      </c>
      <c r="J251">
        <v>0</v>
      </c>
      <c r="K251">
        <v>0</v>
      </c>
      <c r="M251" t="s">
        <v>3</v>
      </c>
      <c r="N251">
        <v>6500</v>
      </c>
      <c r="O251">
        <v>240</v>
      </c>
      <c r="P251">
        <v>72</v>
      </c>
      <c r="Q251">
        <v>0</v>
      </c>
      <c r="R251">
        <v>464775433</v>
      </c>
      <c r="S251">
        <v>2473349.5699999998</v>
      </c>
      <c r="T251">
        <v>462302083.43000001</v>
      </c>
      <c r="U251">
        <v>462302083.43000001</v>
      </c>
      <c r="V251">
        <v>0</v>
      </c>
      <c r="W251">
        <v>0</v>
      </c>
    </row>
    <row r="252" spans="1:23" x14ac:dyDescent="0.35">
      <c r="A252" t="s">
        <v>3</v>
      </c>
      <c r="B252">
        <v>6500</v>
      </c>
      <c r="C252">
        <v>216</v>
      </c>
      <c r="D252">
        <v>26</v>
      </c>
      <c r="E252">
        <v>0</v>
      </c>
      <c r="F252">
        <v>162453073</v>
      </c>
      <c r="G252">
        <v>720506.34</v>
      </c>
      <c r="H252">
        <v>161732566.66</v>
      </c>
      <c r="I252">
        <v>161732566.66</v>
      </c>
      <c r="J252">
        <v>0</v>
      </c>
      <c r="K252">
        <v>0</v>
      </c>
      <c r="M252" t="s">
        <v>3</v>
      </c>
      <c r="N252">
        <v>6500</v>
      </c>
      <c r="O252">
        <v>216</v>
      </c>
      <c r="P252">
        <v>28</v>
      </c>
      <c r="Q252">
        <v>0</v>
      </c>
      <c r="R252">
        <v>167091478</v>
      </c>
      <c r="S252">
        <v>734616.87</v>
      </c>
      <c r="T252">
        <v>166356861.13</v>
      </c>
      <c r="U252">
        <v>166356861.13</v>
      </c>
      <c r="V252">
        <v>0</v>
      </c>
      <c r="W252">
        <v>0</v>
      </c>
    </row>
    <row r="253" spans="1:23" x14ac:dyDescent="0.35">
      <c r="A253" t="s">
        <v>1</v>
      </c>
      <c r="B253">
        <v>3000</v>
      </c>
      <c r="C253">
        <v>320</v>
      </c>
      <c r="D253">
        <v>1</v>
      </c>
      <c r="E253">
        <v>0</v>
      </c>
      <c r="F253">
        <v>4733060</v>
      </c>
      <c r="G253">
        <v>38654.07</v>
      </c>
      <c r="H253">
        <v>4694405.93</v>
      </c>
      <c r="I253">
        <v>4694405.93</v>
      </c>
      <c r="J253">
        <v>0</v>
      </c>
      <c r="K253">
        <v>0</v>
      </c>
      <c r="M253" t="s">
        <v>1</v>
      </c>
      <c r="N253">
        <v>3000</v>
      </c>
      <c r="O253">
        <v>320</v>
      </c>
      <c r="P253">
        <v>1</v>
      </c>
      <c r="Q253">
        <v>0</v>
      </c>
      <c r="R253">
        <v>4772937</v>
      </c>
      <c r="S253">
        <v>38568.65</v>
      </c>
      <c r="T253">
        <v>4734368.3499999996</v>
      </c>
      <c r="U253">
        <v>4734368.3499999996</v>
      </c>
      <c r="V253">
        <v>0</v>
      </c>
      <c r="W253">
        <v>0</v>
      </c>
    </row>
    <row r="254" spans="1:23" x14ac:dyDescent="0.35">
      <c r="A254" t="s">
        <v>1</v>
      </c>
      <c r="B254">
        <v>5250</v>
      </c>
      <c r="C254">
        <v>360</v>
      </c>
      <c r="D254">
        <v>3</v>
      </c>
      <c r="E254">
        <v>0</v>
      </c>
      <c r="F254">
        <v>5674646</v>
      </c>
      <c r="G254">
        <v>147921.07</v>
      </c>
      <c r="H254">
        <v>5526724.9299999997</v>
      </c>
      <c r="I254">
        <v>5526724.9299999997</v>
      </c>
      <c r="J254">
        <v>0</v>
      </c>
      <c r="K254">
        <v>0</v>
      </c>
      <c r="M254" t="s">
        <v>1</v>
      </c>
      <c r="N254">
        <v>5250</v>
      </c>
      <c r="O254">
        <v>360</v>
      </c>
      <c r="P254">
        <v>1</v>
      </c>
      <c r="Q254">
        <v>0</v>
      </c>
      <c r="R254">
        <v>827146</v>
      </c>
      <c r="S254">
        <v>32761.96</v>
      </c>
      <c r="T254">
        <v>794384.04</v>
      </c>
      <c r="U254">
        <v>794384.04</v>
      </c>
      <c r="V254">
        <v>0</v>
      </c>
      <c r="W254">
        <v>0</v>
      </c>
    </row>
    <row r="255" spans="1:23" x14ac:dyDescent="0.35">
      <c r="A255" t="s">
        <v>2</v>
      </c>
      <c r="B255">
        <v>5500</v>
      </c>
      <c r="C255">
        <v>360</v>
      </c>
      <c r="D255">
        <v>1</v>
      </c>
      <c r="E255">
        <v>0</v>
      </c>
      <c r="F255">
        <v>311930</v>
      </c>
      <c r="G255">
        <v>25345.39</v>
      </c>
      <c r="H255">
        <v>286584.61</v>
      </c>
      <c r="I255">
        <v>286584.61</v>
      </c>
      <c r="J255">
        <v>0</v>
      </c>
      <c r="K255">
        <v>0</v>
      </c>
      <c r="M255" t="s">
        <v>2</v>
      </c>
      <c r="N255">
        <v>5500</v>
      </c>
      <c r="O255">
        <v>360</v>
      </c>
      <c r="P255">
        <v>1</v>
      </c>
      <c r="Q255">
        <v>0</v>
      </c>
      <c r="R255">
        <v>343486</v>
      </c>
      <c r="S255">
        <v>25703.15</v>
      </c>
      <c r="T255">
        <v>317782.84999999998</v>
      </c>
      <c r="U255">
        <v>317782.84999999998</v>
      </c>
      <c r="V255">
        <v>0</v>
      </c>
      <c r="W255">
        <v>0</v>
      </c>
    </row>
    <row r="256" spans="1:23" x14ac:dyDescent="0.35">
      <c r="A256" t="s">
        <v>1</v>
      </c>
      <c r="B256">
        <v>4750</v>
      </c>
      <c r="C256">
        <v>320</v>
      </c>
      <c r="D256">
        <v>90</v>
      </c>
      <c r="E256">
        <v>0</v>
      </c>
      <c r="F256">
        <v>453730755</v>
      </c>
      <c r="G256">
        <v>3973998.67</v>
      </c>
      <c r="H256">
        <v>446886275.35000002</v>
      </c>
      <c r="I256">
        <v>449756756.32999998</v>
      </c>
      <c r="J256">
        <v>7.3330000000000006E-2</v>
      </c>
      <c r="K256">
        <v>0</v>
      </c>
      <c r="M256" t="s">
        <v>1</v>
      </c>
      <c r="N256">
        <v>4750</v>
      </c>
      <c r="O256">
        <v>320</v>
      </c>
      <c r="P256">
        <v>88</v>
      </c>
      <c r="Q256">
        <v>0</v>
      </c>
      <c r="R256">
        <v>447542089</v>
      </c>
      <c r="S256">
        <v>3894005.13</v>
      </c>
      <c r="T256">
        <v>443648083.87</v>
      </c>
      <c r="U256">
        <v>443648083.87</v>
      </c>
      <c r="V256">
        <v>0</v>
      </c>
      <c r="W256">
        <v>0</v>
      </c>
    </row>
    <row r="257" spans="1:23" x14ac:dyDescent="0.35">
      <c r="A257" t="s">
        <v>0</v>
      </c>
      <c r="B257">
        <v>5250</v>
      </c>
      <c r="C257">
        <v>240</v>
      </c>
      <c r="D257">
        <v>278</v>
      </c>
      <c r="E257">
        <v>0</v>
      </c>
      <c r="F257">
        <v>1754568376</v>
      </c>
      <c r="G257">
        <v>9643861.3000000007</v>
      </c>
      <c r="H257">
        <v>1733816030.45</v>
      </c>
      <c r="I257">
        <v>1744924514.7</v>
      </c>
      <c r="J257">
        <v>7.3384000000000005E-2</v>
      </c>
      <c r="K257">
        <v>0</v>
      </c>
      <c r="M257" t="s">
        <v>0</v>
      </c>
      <c r="N257">
        <v>5250</v>
      </c>
      <c r="O257">
        <v>240</v>
      </c>
      <c r="P257">
        <v>261</v>
      </c>
      <c r="Q257">
        <v>0</v>
      </c>
      <c r="R257">
        <v>1626980790</v>
      </c>
      <c r="S257">
        <v>9105831.2300000004</v>
      </c>
      <c r="T257">
        <v>1609511101.0699999</v>
      </c>
      <c r="U257">
        <v>1617874958.77</v>
      </c>
      <c r="V257">
        <v>5.9974E-2</v>
      </c>
      <c r="W257">
        <v>0</v>
      </c>
    </row>
    <row r="258" spans="1:23" x14ac:dyDescent="0.35">
      <c r="A258" t="s">
        <v>0</v>
      </c>
      <c r="B258">
        <v>8500</v>
      </c>
      <c r="C258">
        <v>240</v>
      </c>
      <c r="D258">
        <v>4</v>
      </c>
      <c r="E258">
        <v>0</v>
      </c>
      <c r="F258">
        <v>18269590</v>
      </c>
      <c r="G258">
        <v>93139.77</v>
      </c>
      <c r="H258">
        <v>18176450.23</v>
      </c>
      <c r="I258">
        <v>18176450.23</v>
      </c>
      <c r="J258">
        <v>0</v>
      </c>
      <c r="K258">
        <v>0</v>
      </c>
      <c r="M258" t="s">
        <v>0</v>
      </c>
      <c r="N258">
        <v>8500</v>
      </c>
      <c r="O258">
        <v>240</v>
      </c>
      <c r="P258">
        <v>4</v>
      </c>
      <c r="Q258">
        <v>0</v>
      </c>
      <c r="R258">
        <v>18393961</v>
      </c>
      <c r="S258">
        <v>92647.98</v>
      </c>
      <c r="T258">
        <v>18301313.02</v>
      </c>
      <c r="U258">
        <v>18301313.02</v>
      </c>
      <c r="V258">
        <v>0</v>
      </c>
      <c r="W258">
        <v>0</v>
      </c>
    </row>
    <row r="259" spans="1:23" x14ac:dyDescent="0.35">
      <c r="A259" t="s">
        <v>0</v>
      </c>
      <c r="B259">
        <v>9000</v>
      </c>
      <c r="C259">
        <v>240</v>
      </c>
      <c r="D259">
        <v>3</v>
      </c>
      <c r="E259">
        <v>0</v>
      </c>
      <c r="F259">
        <v>16360002</v>
      </c>
      <c r="G259">
        <v>75596.31</v>
      </c>
      <c r="H259">
        <v>16284405.689999999</v>
      </c>
      <c r="I259">
        <v>16284405.689999999</v>
      </c>
      <c r="J259">
        <v>0</v>
      </c>
      <c r="K259">
        <v>0</v>
      </c>
      <c r="M259" t="s">
        <v>0</v>
      </c>
      <c r="N259">
        <v>9000</v>
      </c>
      <c r="O259">
        <v>240</v>
      </c>
      <c r="P259">
        <v>3</v>
      </c>
      <c r="Q259">
        <v>0</v>
      </c>
      <c r="R259">
        <v>16451471</v>
      </c>
      <c r="S259">
        <v>75110.37</v>
      </c>
      <c r="T259">
        <v>16376360.630000001</v>
      </c>
      <c r="U259">
        <v>16376360.630000001</v>
      </c>
      <c r="V259">
        <v>0</v>
      </c>
      <c r="W259">
        <v>0</v>
      </c>
    </row>
    <row r="260" spans="1:23" x14ac:dyDescent="0.35">
      <c r="A260" t="s">
        <v>1</v>
      </c>
      <c r="B260">
        <v>4000</v>
      </c>
      <c r="C260">
        <v>320</v>
      </c>
      <c r="D260">
        <v>47</v>
      </c>
      <c r="E260">
        <v>0</v>
      </c>
      <c r="F260">
        <v>185904367</v>
      </c>
      <c r="G260">
        <v>1749669.91</v>
      </c>
      <c r="H260">
        <v>184154697.09</v>
      </c>
      <c r="I260">
        <v>184154697.09</v>
      </c>
      <c r="J260">
        <v>0</v>
      </c>
      <c r="K260">
        <v>0</v>
      </c>
      <c r="M260" t="s">
        <v>1</v>
      </c>
      <c r="N260">
        <v>4000</v>
      </c>
      <c r="O260">
        <v>320</v>
      </c>
      <c r="P260">
        <v>47</v>
      </c>
      <c r="Q260">
        <v>0</v>
      </c>
      <c r="R260">
        <v>188660597</v>
      </c>
      <c r="S260">
        <v>1753224.74</v>
      </c>
      <c r="T260">
        <v>186907372.25999999</v>
      </c>
      <c r="U260">
        <v>186907372.25999999</v>
      </c>
      <c r="V260">
        <v>0</v>
      </c>
      <c r="W260">
        <v>0</v>
      </c>
    </row>
    <row r="261" spans="1:23" x14ac:dyDescent="0.35">
      <c r="A261" t="s">
        <v>2</v>
      </c>
      <c r="B261">
        <v>5750</v>
      </c>
      <c r="C261">
        <v>240</v>
      </c>
      <c r="D261">
        <v>112</v>
      </c>
      <c r="E261">
        <v>0</v>
      </c>
      <c r="F261">
        <v>601403191</v>
      </c>
      <c r="G261">
        <v>3150635.82</v>
      </c>
      <c r="H261">
        <v>598252555.17999995</v>
      </c>
      <c r="I261">
        <v>598252555.17999995</v>
      </c>
      <c r="J261">
        <v>0</v>
      </c>
      <c r="K261">
        <v>0</v>
      </c>
      <c r="M261" t="s">
        <v>3</v>
      </c>
      <c r="N261">
        <v>5500</v>
      </c>
      <c r="O261">
        <v>240</v>
      </c>
      <c r="P261">
        <v>6</v>
      </c>
      <c r="Q261">
        <v>0</v>
      </c>
      <c r="R261">
        <v>39717073</v>
      </c>
      <c r="S261">
        <v>206359.79</v>
      </c>
      <c r="T261">
        <v>39510713.210000001</v>
      </c>
      <c r="U261">
        <v>39510713.210000001</v>
      </c>
      <c r="V261">
        <v>0</v>
      </c>
      <c r="W261">
        <v>0</v>
      </c>
    </row>
    <row r="262" spans="1:23" x14ac:dyDescent="0.35">
      <c r="A262" t="s">
        <v>3</v>
      </c>
      <c r="B262">
        <v>5750</v>
      </c>
      <c r="C262">
        <v>320</v>
      </c>
      <c r="D262">
        <v>16</v>
      </c>
      <c r="E262">
        <v>0</v>
      </c>
      <c r="F262">
        <v>67236435</v>
      </c>
      <c r="G262">
        <v>480372.93</v>
      </c>
      <c r="H262">
        <v>66756062.07</v>
      </c>
      <c r="I262">
        <v>66756062.07</v>
      </c>
      <c r="J262">
        <v>0</v>
      </c>
      <c r="K262">
        <v>0</v>
      </c>
      <c r="M262" t="s">
        <v>2</v>
      </c>
      <c r="N262">
        <v>5750</v>
      </c>
      <c r="O262">
        <v>240</v>
      </c>
      <c r="P262">
        <v>102</v>
      </c>
      <c r="Q262">
        <v>0</v>
      </c>
      <c r="R262">
        <v>513237684</v>
      </c>
      <c r="S262">
        <v>2743769.31</v>
      </c>
      <c r="T262">
        <v>504365797.82999998</v>
      </c>
      <c r="U262">
        <v>510493914.69</v>
      </c>
      <c r="V262">
        <v>0.134237</v>
      </c>
      <c r="W262">
        <v>0</v>
      </c>
    </row>
    <row r="263" spans="1:23" x14ac:dyDescent="0.35">
      <c r="A263" t="s">
        <v>1</v>
      </c>
      <c r="B263">
        <v>6750</v>
      </c>
      <c r="C263">
        <v>216</v>
      </c>
      <c r="D263">
        <v>113</v>
      </c>
      <c r="E263">
        <v>0</v>
      </c>
      <c r="F263">
        <v>789335261</v>
      </c>
      <c r="G263">
        <v>3431483.02</v>
      </c>
      <c r="H263">
        <v>782764386.65999997</v>
      </c>
      <c r="I263">
        <v>785903777.98000002</v>
      </c>
      <c r="J263">
        <v>4.6697000000000002E-2</v>
      </c>
      <c r="K263">
        <v>0</v>
      </c>
      <c r="M263" t="s">
        <v>2</v>
      </c>
      <c r="N263">
        <v>5250</v>
      </c>
      <c r="O263">
        <v>240</v>
      </c>
      <c r="P263">
        <v>34</v>
      </c>
      <c r="Q263">
        <v>0</v>
      </c>
      <c r="R263">
        <v>167244967</v>
      </c>
      <c r="S263">
        <v>960014.7</v>
      </c>
      <c r="T263">
        <v>166284952.30000001</v>
      </c>
      <c r="U263">
        <v>166284952.30000001</v>
      </c>
      <c r="V263">
        <v>0</v>
      </c>
      <c r="W263">
        <v>0</v>
      </c>
    </row>
    <row r="264" spans="1:23" x14ac:dyDescent="0.35">
      <c r="A264" t="s">
        <v>0</v>
      </c>
      <c r="B264">
        <v>6750</v>
      </c>
      <c r="C264">
        <v>216</v>
      </c>
      <c r="D264">
        <v>3097</v>
      </c>
      <c r="E264">
        <v>0</v>
      </c>
      <c r="F264">
        <v>19021969402</v>
      </c>
      <c r="G264">
        <v>82383921.189999998</v>
      </c>
      <c r="H264">
        <v>18838844374.66</v>
      </c>
      <c r="I264">
        <v>18913856901</v>
      </c>
      <c r="J264">
        <v>6.1733999999999997E-2</v>
      </c>
      <c r="K264">
        <v>1.6111E-2</v>
      </c>
      <c r="M264" t="s">
        <v>0</v>
      </c>
      <c r="N264">
        <v>4750</v>
      </c>
      <c r="O264">
        <v>240</v>
      </c>
      <c r="P264">
        <v>34</v>
      </c>
      <c r="Q264">
        <v>0</v>
      </c>
      <c r="R264">
        <v>173870318</v>
      </c>
      <c r="S264">
        <v>1047454.02</v>
      </c>
      <c r="T264">
        <v>172822863.97999999</v>
      </c>
      <c r="U264">
        <v>172822863.97999999</v>
      </c>
      <c r="V264">
        <v>0</v>
      </c>
      <c r="W264">
        <v>0</v>
      </c>
    </row>
    <row r="265" spans="1:23" x14ac:dyDescent="0.35">
      <c r="A265" t="s">
        <v>2</v>
      </c>
      <c r="B265">
        <v>6750</v>
      </c>
      <c r="C265">
        <v>216</v>
      </c>
      <c r="D265">
        <v>646</v>
      </c>
      <c r="E265">
        <v>0</v>
      </c>
      <c r="F265">
        <v>3304967133</v>
      </c>
      <c r="G265">
        <v>14350729.91</v>
      </c>
      <c r="H265">
        <v>3260087846.3499999</v>
      </c>
      <c r="I265">
        <v>3290616403.0900002</v>
      </c>
      <c r="J265">
        <v>0.10538400000000001</v>
      </c>
      <c r="K265">
        <v>0</v>
      </c>
      <c r="M265" t="s">
        <v>2</v>
      </c>
      <c r="N265">
        <v>6250</v>
      </c>
      <c r="O265">
        <v>240</v>
      </c>
      <c r="P265">
        <v>350</v>
      </c>
      <c r="Q265">
        <v>0</v>
      </c>
      <c r="R265">
        <v>1757574247</v>
      </c>
      <c r="S265">
        <v>9244143.0600000005</v>
      </c>
      <c r="T265">
        <v>1740956115.25</v>
      </c>
      <c r="U265">
        <v>1746075731.9000001</v>
      </c>
      <c r="V265">
        <v>4.9201000000000002E-2</v>
      </c>
      <c r="W265">
        <v>1.5284000000000001E-2</v>
      </c>
    </row>
    <row r="266" spans="1:23" x14ac:dyDescent="0.35">
      <c r="A266" t="s">
        <v>1</v>
      </c>
      <c r="B266">
        <v>4250</v>
      </c>
      <c r="C266">
        <v>192</v>
      </c>
      <c r="D266">
        <v>9080</v>
      </c>
      <c r="E266">
        <v>0</v>
      </c>
      <c r="F266">
        <v>94277748237</v>
      </c>
      <c r="G266">
        <v>368366990.5</v>
      </c>
      <c r="H266">
        <v>93248888361.550003</v>
      </c>
      <c r="I266">
        <v>93862679942.720001</v>
      </c>
      <c r="J266">
        <v>8.0905000000000005E-2</v>
      </c>
      <c r="K266">
        <v>5.9280000000000001E-3</v>
      </c>
      <c r="M266" t="s">
        <v>3</v>
      </c>
      <c r="N266">
        <v>5750</v>
      </c>
      <c r="O266">
        <v>320</v>
      </c>
      <c r="P266">
        <v>16</v>
      </c>
      <c r="Q266">
        <v>0</v>
      </c>
      <c r="R266">
        <v>67891035</v>
      </c>
      <c r="S266">
        <v>479606.36</v>
      </c>
      <c r="T266">
        <v>67411428.640000001</v>
      </c>
      <c r="U266">
        <v>67411428.640000001</v>
      </c>
      <c r="V266">
        <v>0</v>
      </c>
      <c r="W266">
        <v>0</v>
      </c>
    </row>
    <row r="267" spans="1:23" x14ac:dyDescent="0.35">
      <c r="A267" t="s">
        <v>2</v>
      </c>
      <c r="B267">
        <v>4750</v>
      </c>
      <c r="C267">
        <v>192</v>
      </c>
      <c r="D267">
        <v>5965</v>
      </c>
      <c r="E267">
        <v>0</v>
      </c>
      <c r="F267">
        <v>43815251522</v>
      </c>
      <c r="G267">
        <v>169330266.38999999</v>
      </c>
      <c r="H267">
        <v>43312346111.849998</v>
      </c>
      <c r="I267">
        <v>43615390091.230003</v>
      </c>
      <c r="J267">
        <v>8.7628999999999999E-2</v>
      </c>
      <c r="K267">
        <v>8.3300000000000006E-3</v>
      </c>
      <c r="M267" t="s">
        <v>1</v>
      </c>
      <c r="N267">
        <v>6750</v>
      </c>
      <c r="O267">
        <v>216</v>
      </c>
      <c r="P267">
        <v>117</v>
      </c>
      <c r="Q267">
        <v>0</v>
      </c>
      <c r="R267">
        <v>811761727</v>
      </c>
      <c r="S267">
        <v>3498693.43</v>
      </c>
      <c r="T267">
        <v>808263033.57000005</v>
      </c>
      <c r="U267">
        <v>808263033.57000005</v>
      </c>
      <c r="V267">
        <v>0</v>
      </c>
      <c r="W267">
        <v>0</v>
      </c>
    </row>
    <row r="268" spans="1:23" x14ac:dyDescent="0.35">
      <c r="A268" t="s">
        <v>0</v>
      </c>
      <c r="B268">
        <v>4750</v>
      </c>
      <c r="C268">
        <v>240</v>
      </c>
      <c r="D268">
        <v>34</v>
      </c>
      <c r="E268">
        <v>0</v>
      </c>
      <c r="F268">
        <v>177190044</v>
      </c>
      <c r="G268">
        <v>1056848.18</v>
      </c>
      <c r="H268">
        <v>174709580.15000001</v>
      </c>
      <c r="I268">
        <v>176133195.81999999</v>
      </c>
      <c r="J268">
        <v>9.2263999999999999E-2</v>
      </c>
      <c r="K268">
        <v>0</v>
      </c>
      <c r="M268" t="s">
        <v>0</v>
      </c>
      <c r="N268">
        <v>6750</v>
      </c>
      <c r="O268">
        <v>216</v>
      </c>
      <c r="P268">
        <v>3291</v>
      </c>
      <c r="Q268">
        <v>0</v>
      </c>
      <c r="R268">
        <v>20147060040</v>
      </c>
      <c r="S268">
        <v>86641374.269999996</v>
      </c>
      <c r="T268">
        <v>19891380422.68</v>
      </c>
      <c r="U268">
        <v>20037372504.689999</v>
      </c>
      <c r="V268">
        <v>9.6163999999999999E-2</v>
      </c>
      <c r="W268">
        <v>1.3641E-2</v>
      </c>
    </row>
    <row r="269" spans="1:23" x14ac:dyDescent="0.35">
      <c r="A269" t="s">
        <v>2</v>
      </c>
      <c r="B269">
        <v>5250</v>
      </c>
      <c r="C269">
        <v>240</v>
      </c>
      <c r="D269">
        <v>33</v>
      </c>
      <c r="E269">
        <v>0</v>
      </c>
      <c r="F269">
        <v>176614405</v>
      </c>
      <c r="G269">
        <v>968023.85</v>
      </c>
      <c r="H269">
        <v>175646381.15000001</v>
      </c>
      <c r="I269">
        <v>175646381.15000001</v>
      </c>
      <c r="J269">
        <v>0</v>
      </c>
      <c r="K269">
        <v>0</v>
      </c>
      <c r="M269" t="s">
        <v>2</v>
      </c>
      <c r="N269">
        <v>6750</v>
      </c>
      <c r="O269">
        <v>216</v>
      </c>
      <c r="P269">
        <v>663</v>
      </c>
      <c r="Q269">
        <v>0</v>
      </c>
      <c r="R269">
        <v>3383635180</v>
      </c>
      <c r="S269">
        <v>14559513.26</v>
      </c>
      <c r="T269">
        <v>3360787988.96</v>
      </c>
      <c r="U269">
        <v>3369075666.7399998</v>
      </c>
      <c r="V269">
        <v>2.8999E-2</v>
      </c>
      <c r="W269">
        <v>0</v>
      </c>
    </row>
    <row r="270" spans="1:23" x14ac:dyDescent="0.35">
      <c r="A270" t="s">
        <v>0</v>
      </c>
      <c r="B270">
        <v>2750</v>
      </c>
      <c r="C270">
        <v>320</v>
      </c>
      <c r="D270">
        <v>1</v>
      </c>
      <c r="E270">
        <v>0</v>
      </c>
      <c r="F270">
        <v>1546351</v>
      </c>
      <c r="G270">
        <v>11364.43</v>
      </c>
      <c r="H270">
        <v>1534986.57</v>
      </c>
      <c r="I270">
        <v>1534986.57</v>
      </c>
      <c r="J270">
        <v>0</v>
      </c>
      <c r="K270">
        <v>0</v>
      </c>
      <c r="M270" t="s">
        <v>1</v>
      </c>
      <c r="N270">
        <v>4250</v>
      </c>
      <c r="O270">
        <v>192</v>
      </c>
      <c r="P270">
        <v>8724</v>
      </c>
      <c r="Q270">
        <v>0</v>
      </c>
      <c r="R270">
        <v>91532994920</v>
      </c>
      <c r="S270">
        <v>355803125.54000002</v>
      </c>
      <c r="T270">
        <v>90623946018.860001</v>
      </c>
      <c r="U270">
        <v>91091907639.490005</v>
      </c>
      <c r="V270">
        <v>7.0166999999999993E-2</v>
      </c>
      <c r="W270">
        <v>1.1124E-2</v>
      </c>
    </row>
    <row r="271" spans="1:23" x14ac:dyDescent="0.35">
      <c r="A271" t="s">
        <v>2</v>
      </c>
      <c r="B271">
        <v>2750</v>
      </c>
      <c r="C271">
        <v>240</v>
      </c>
      <c r="D271">
        <v>8</v>
      </c>
      <c r="E271">
        <v>0</v>
      </c>
      <c r="F271">
        <v>18825580</v>
      </c>
      <c r="G271">
        <v>132956.13</v>
      </c>
      <c r="H271">
        <v>18692623.870000001</v>
      </c>
      <c r="I271">
        <v>18692623.870000001</v>
      </c>
      <c r="J271">
        <v>0</v>
      </c>
      <c r="K271">
        <v>0</v>
      </c>
      <c r="M271" t="s">
        <v>2</v>
      </c>
      <c r="N271">
        <v>4750</v>
      </c>
      <c r="O271">
        <v>192</v>
      </c>
      <c r="P271">
        <v>6031</v>
      </c>
      <c r="Q271">
        <v>0</v>
      </c>
      <c r="R271">
        <v>44541257626</v>
      </c>
      <c r="S271">
        <v>170931693.87</v>
      </c>
      <c r="T271">
        <v>44126093237.459999</v>
      </c>
      <c r="U271">
        <v>44353238856.110001</v>
      </c>
      <c r="V271">
        <v>6.3851000000000005E-2</v>
      </c>
      <c r="W271">
        <v>4.594E-3</v>
      </c>
    </row>
    <row r="272" spans="1:23" x14ac:dyDescent="0.35">
      <c r="A272" t="s">
        <v>0</v>
      </c>
      <c r="B272">
        <v>3750</v>
      </c>
      <c r="C272">
        <v>240</v>
      </c>
      <c r="D272">
        <v>3</v>
      </c>
      <c r="E272">
        <v>0</v>
      </c>
      <c r="F272">
        <v>9783381</v>
      </c>
      <c r="G272">
        <v>66275.86</v>
      </c>
      <c r="H272">
        <v>9717105.1400000006</v>
      </c>
      <c r="I272">
        <v>9717105.1400000006</v>
      </c>
      <c r="J272">
        <v>0</v>
      </c>
      <c r="K272">
        <v>0</v>
      </c>
      <c r="M272" t="s">
        <v>0</v>
      </c>
      <c r="N272">
        <v>2750</v>
      </c>
      <c r="O272">
        <v>240</v>
      </c>
      <c r="P272">
        <v>7</v>
      </c>
      <c r="Q272">
        <v>0</v>
      </c>
      <c r="R272">
        <v>17882003</v>
      </c>
      <c r="S272">
        <v>122849.53</v>
      </c>
      <c r="T272">
        <v>17759153.469999999</v>
      </c>
      <c r="U272">
        <v>17759153.469999999</v>
      </c>
      <c r="V272">
        <v>0</v>
      </c>
      <c r="W272">
        <v>0</v>
      </c>
    </row>
    <row r="273" spans="1:23" x14ac:dyDescent="0.35">
      <c r="A273" t="s">
        <v>3</v>
      </c>
      <c r="B273">
        <v>6250</v>
      </c>
      <c r="C273">
        <v>240</v>
      </c>
      <c r="D273">
        <v>29</v>
      </c>
      <c r="E273">
        <v>0</v>
      </c>
      <c r="F273">
        <v>165351755</v>
      </c>
      <c r="G273">
        <v>865910.15</v>
      </c>
      <c r="H273">
        <v>164485844.84999999</v>
      </c>
      <c r="I273">
        <v>164485844.84999999</v>
      </c>
      <c r="J273">
        <v>0</v>
      </c>
      <c r="K273">
        <v>0</v>
      </c>
      <c r="M273" t="s">
        <v>2</v>
      </c>
      <c r="N273">
        <v>2750</v>
      </c>
      <c r="O273">
        <v>240</v>
      </c>
      <c r="P273">
        <v>8</v>
      </c>
      <c r="Q273">
        <v>0</v>
      </c>
      <c r="R273">
        <v>19039794</v>
      </c>
      <c r="S273">
        <v>133227.32999999999</v>
      </c>
      <c r="T273">
        <v>18906566.670000002</v>
      </c>
      <c r="U273">
        <v>18906566.670000002</v>
      </c>
      <c r="V273">
        <v>0</v>
      </c>
      <c r="W273">
        <v>0</v>
      </c>
    </row>
    <row r="274" spans="1:23" x14ac:dyDescent="0.35">
      <c r="A274" t="s">
        <v>1</v>
      </c>
      <c r="B274">
        <v>5750</v>
      </c>
      <c r="C274">
        <v>240</v>
      </c>
      <c r="D274">
        <v>186</v>
      </c>
      <c r="E274">
        <v>0</v>
      </c>
      <c r="F274">
        <v>1432246243</v>
      </c>
      <c r="G274">
        <v>7685782.25</v>
      </c>
      <c r="H274">
        <v>1417799733.45</v>
      </c>
      <c r="I274">
        <v>1424560460.75</v>
      </c>
      <c r="J274">
        <v>5.5197000000000003E-2</v>
      </c>
      <c r="K274">
        <v>0</v>
      </c>
      <c r="M274" t="s">
        <v>0</v>
      </c>
      <c r="N274">
        <v>3750</v>
      </c>
      <c r="O274">
        <v>240</v>
      </c>
      <c r="P274">
        <v>3</v>
      </c>
      <c r="Q274">
        <v>0</v>
      </c>
      <c r="R274">
        <v>9839075</v>
      </c>
      <c r="S274">
        <v>66000.509999999995</v>
      </c>
      <c r="T274">
        <v>9773074.4900000002</v>
      </c>
      <c r="U274">
        <v>9773074.4900000002</v>
      </c>
      <c r="V274">
        <v>0</v>
      </c>
      <c r="W274">
        <v>0</v>
      </c>
    </row>
    <row r="275" spans="1:23" x14ac:dyDescent="0.35">
      <c r="A275" t="s">
        <v>1</v>
      </c>
      <c r="B275">
        <v>4000</v>
      </c>
      <c r="C275">
        <v>240</v>
      </c>
      <c r="D275">
        <v>2</v>
      </c>
      <c r="E275">
        <v>0</v>
      </c>
      <c r="F275">
        <v>8156164</v>
      </c>
      <c r="G275">
        <v>54863.98</v>
      </c>
      <c r="H275">
        <v>8101300.0199999996</v>
      </c>
      <c r="I275">
        <v>8101300.0199999996</v>
      </c>
      <c r="J275">
        <v>0</v>
      </c>
      <c r="K275">
        <v>0</v>
      </c>
      <c r="M275" t="s">
        <v>3</v>
      </c>
      <c r="N275">
        <v>6250</v>
      </c>
      <c r="O275">
        <v>240</v>
      </c>
      <c r="P275">
        <v>27</v>
      </c>
      <c r="Q275">
        <v>0</v>
      </c>
      <c r="R275">
        <v>147727030</v>
      </c>
      <c r="S275">
        <v>774520.74</v>
      </c>
      <c r="T275">
        <v>146952509.25999999</v>
      </c>
      <c r="U275">
        <v>146952509.25999999</v>
      </c>
      <c r="V275">
        <v>0</v>
      </c>
      <c r="W275">
        <v>0</v>
      </c>
    </row>
    <row r="276" spans="1:23" x14ac:dyDescent="0.35">
      <c r="A276" t="s">
        <v>0</v>
      </c>
      <c r="B276">
        <v>4000</v>
      </c>
      <c r="C276">
        <v>240</v>
      </c>
      <c r="D276">
        <v>13</v>
      </c>
      <c r="E276">
        <v>0</v>
      </c>
      <c r="F276">
        <v>55106954</v>
      </c>
      <c r="G276">
        <v>367881.84</v>
      </c>
      <c r="H276">
        <v>54739072.159999996</v>
      </c>
      <c r="I276">
        <v>54739072.159999996</v>
      </c>
      <c r="J276">
        <v>0</v>
      </c>
      <c r="K276">
        <v>0</v>
      </c>
      <c r="M276" t="s">
        <v>1</v>
      </c>
      <c r="N276">
        <v>5750</v>
      </c>
      <c r="O276">
        <v>240</v>
      </c>
      <c r="P276">
        <v>165</v>
      </c>
      <c r="Q276">
        <v>0</v>
      </c>
      <c r="R276">
        <v>1285327104</v>
      </c>
      <c r="S276">
        <v>7081693.3799999999</v>
      </c>
      <c r="T276">
        <v>1278245410.6199999</v>
      </c>
      <c r="U276">
        <v>1278245410.6199999</v>
      </c>
      <c r="V276">
        <v>0</v>
      </c>
      <c r="W276">
        <v>0</v>
      </c>
    </row>
    <row r="277" spans="1:23" x14ac:dyDescent="0.35">
      <c r="A277" t="s">
        <v>2</v>
      </c>
      <c r="B277">
        <v>3750</v>
      </c>
      <c r="C277">
        <v>240</v>
      </c>
      <c r="D277">
        <v>7</v>
      </c>
      <c r="E277">
        <v>0</v>
      </c>
      <c r="F277">
        <v>27259616</v>
      </c>
      <c r="G277">
        <v>173378.7</v>
      </c>
      <c r="H277">
        <v>27086237.300000001</v>
      </c>
      <c r="I277">
        <v>27086237.300000001</v>
      </c>
      <c r="J277">
        <v>0</v>
      </c>
      <c r="K277">
        <v>0</v>
      </c>
      <c r="M277" t="s">
        <v>1</v>
      </c>
      <c r="N277">
        <v>5250</v>
      </c>
      <c r="O277">
        <v>240</v>
      </c>
      <c r="P277">
        <v>20</v>
      </c>
      <c r="Q277">
        <v>0</v>
      </c>
      <c r="R277">
        <v>179071750</v>
      </c>
      <c r="S277">
        <v>985158.29</v>
      </c>
      <c r="T277">
        <v>178086591.71000001</v>
      </c>
      <c r="U277">
        <v>178086591.71000001</v>
      </c>
      <c r="V277">
        <v>0</v>
      </c>
      <c r="W277">
        <v>0</v>
      </c>
    </row>
    <row r="278" spans="1:23" x14ac:dyDescent="0.35">
      <c r="A278" t="s">
        <v>2</v>
      </c>
      <c r="B278">
        <v>6250</v>
      </c>
      <c r="C278">
        <v>240</v>
      </c>
      <c r="D278">
        <v>364</v>
      </c>
      <c r="E278">
        <v>0</v>
      </c>
      <c r="F278">
        <v>1852121902</v>
      </c>
      <c r="G278">
        <v>9644238.7300000004</v>
      </c>
      <c r="H278">
        <v>1831100952.53</v>
      </c>
      <c r="I278">
        <v>1839629032.6900001</v>
      </c>
      <c r="J278">
        <v>7.127E-2</v>
      </c>
      <c r="K278">
        <v>1.8301000000000001E-2</v>
      </c>
      <c r="M278" t="s">
        <v>1</v>
      </c>
      <c r="N278">
        <v>4000</v>
      </c>
      <c r="O278">
        <v>240</v>
      </c>
      <c r="P278">
        <v>2</v>
      </c>
      <c r="Q278">
        <v>0</v>
      </c>
      <c r="R278">
        <v>8193105</v>
      </c>
      <c r="S278">
        <v>54564.01</v>
      </c>
      <c r="T278">
        <v>8138540.9900000002</v>
      </c>
      <c r="U278">
        <v>8138540.9900000002</v>
      </c>
      <c r="V278">
        <v>0</v>
      </c>
      <c r="W278">
        <v>0</v>
      </c>
    </row>
    <row r="279" spans="1:23" x14ac:dyDescent="0.35">
      <c r="A279" t="s">
        <v>3</v>
      </c>
      <c r="B279">
        <v>5500</v>
      </c>
      <c r="C279">
        <v>240</v>
      </c>
      <c r="D279">
        <v>5</v>
      </c>
      <c r="E279">
        <v>0</v>
      </c>
      <c r="F279">
        <v>35898742</v>
      </c>
      <c r="G279">
        <v>184307.89</v>
      </c>
      <c r="H279">
        <v>35714434.109999999</v>
      </c>
      <c r="I279">
        <v>35714434.109999999</v>
      </c>
      <c r="J279">
        <v>0</v>
      </c>
      <c r="K279">
        <v>0</v>
      </c>
      <c r="M279" t="s">
        <v>0</v>
      </c>
      <c r="N279">
        <v>4000</v>
      </c>
      <c r="O279">
        <v>240</v>
      </c>
      <c r="P279">
        <v>15</v>
      </c>
      <c r="Q279">
        <v>0</v>
      </c>
      <c r="R279">
        <v>62609073</v>
      </c>
      <c r="S279">
        <v>415497.58</v>
      </c>
      <c r="T279">
        <v>62193575.420000002</v>
      </c>
      <c r="U279">
        <v>62193575.420000002</v>
      </c>
      <c r="V279">
        <v>0</v>
      </c>
      <c r="W279">
        <v>0</v>
      </c>
    </row>
    <row r="280" spans="1:23" x14ac:dyDescent="0.35">
      <c r="A280" t="s">
        <v>3</v>
      </c>
      <c r="B280">
        <v>5250</v>
      </c>
      <c r="C280">
        <v>240</v>
      </c>
      <c r="D280">
        <v>1</v>
      </c>
      <c r="E280">
        <v>0</v>
      </c>
      <c r="F280">
        <v>1422987</v>
      </c>
      <c r="G280">
        <v>8128.29</v>
      </c>
      <c r="H280">
        <v>1414858.71</v>
      </c>
      <c r="I280">
        <v>1414858.71</v>
      </c>
      <c r="J280">
        <v>0</v>
      </c>
      <c r="K280">
        <v>0</v>
      </c>
      <c r="M280" t="s">
        <v>2</v>
      </c>
      <c r="N280">
        <v>3750</v>
      </c>
      <c r="O280">
        <v>240</v>
      </c>
      <c r="P280">
        <v>7</v>
      </c>
      <c r="Q280">
        <v>0</v>
      </c>
      <c r="R280">
        <v>27388926</v>
      </c>
      <c r="S280">
        <v>172563.41</v>
      </c>
      <c r="T280">
        <v>27216362.59</v>
      </c>
      <c r="U280">
        <v>27216362.59</v>
      </c>
      <c r="V280">
        <v>0</v>
      </c>
      <c r="W280">
        <v>0</v>
      </c>
    </row>
    <row r="281" spans="1:23" x14ac:dyDescent="0.35">
      <c r="A281" t="s">
        <v>3</v>
      </c>
      <c r="B281">
        <v>7000</v>
      </c>
      <c r="C281">
        <v>240</v>
      </c>
      <c r="D281">
        <v>16</v>
      </c>
      <c r="E281">
        <v>0</v>
      </c>
      <c r="F281">
        <v>140007557</v>
      </c>
      <c r="G281">
        <v>719856.53</v>
      </c>
      <c r="H281">
        <v>130858316.73999999</v>
      </c>
      <c r="I281">
        <v>139287700.47</v>
      </c>
      <c r="J281">
        <v>0.52533399999999997</v>
      </c>
      <c r="K281">
        <v>0</v>
      </c>
      <c r="M281" t="s">
        <v>3</v>
      </c>
      <c r="N281">
        <v>5250</v>
      </c>
      <c r="O281">
        <v>240</v>
      </c>
      <c r="P281">
        <v>1</v>
      </c>
      <c r="Q281">
        <v>0</v>
      </c>
      <c r="R281">
        <v>1500330</v>
      </c>
      <c r="S281">
        <v>8485.3700000000008</v>
      </c>
      <c r="T281">
        <v>1491844.63</v>
      </c>
      <c r="U281">
        <v>1491844.63</v>
      </c>
      <c r="V281">
        <v>0</v>
      </c>
      <c r="W281">
        <v>0</v>
      </c>
    </row>
    <row r="282" spans="1:23" x14ac:dyDescent="0.35">
      <c r="A282" t="s">
        <v>0</v>
      </c>
      <c r="B282">
        <v>2750</v>
      </c>
      <c r="C282">
        <v>240</v>
      </c>
      <c r="D282">
        <v>6</v>
      </c>
      <c r="E282">
        <v>0</v>
      </c>
      <c r="F282">
        <v>16165148</v>
      </c>
      <c r="G282">
        <v>111423.91</v>
      </c>
      <c r="H282">
        <v>16053724.09</v>
      </c>
      <c r="I282">
        <v>16053724.09</v>
      </c>
      <c r="J282">
        <v>0</v>
      </c>
      <c r="K282">
        <v>0</v>
      </c>
      <c r="M282" t="s">
        <v>3</v>
      </c>
      <c r="N282">
        <v>7000</v>
      </c>
      <c r="O282">
        <v>240</v>
      </c>
      <c r="P282">
        <v>16</v>
      </c>
      <c r="Q282">
        <v>0</v>
      </c>
      <c r="R282">
        <v>140916304</v>
      </c>
      <c r="S282">
        <v>716717.48</v>
      </c>
      <c r="T282">
        <v>140199586.52000001</v>
      </c>
      <c r="U282">
        <v>140199586.52000001</v>
      </c>
      <c r="V282">
        <v>0</v>
      </c>
      <c r="W282">
        <v>0</v>
      </c>
    </row>
    <row r="283" spans="1:23" x14ac:dyDescent="0.35">
      <c r="A283" t="s">
        <v>2</v>
      </c>
      <c r="B283">
        <v>6750</v>
      </c>
      <c r="C283">
        <v>240</v>
      </c>
      <c r="D283">
        <v>799</v>
      </c>
      <c r="E283">
        <v>0</v>
      </c>
      <c r="F283">
        <v>3541508943</v>
      </c>
      <c r="G283">
        <v>18184383.359999999</v>
      </c>
      <c r="H283">
        <v>3491548554.79</v>
      </c>
      <c r="I283">
        <v>3515415724.25</v>
      </c>
      <c r="J283">
        <v>0.10251200000000001</v>
      </c>
      <c r="K283">
        <v>2.6471000000000001E-2</v>
      </c>
      <c r="M283" t="s">
        <v>2</v>
      </c>
      <c r="N283">
        <v>6750</v>
      </c>
      <c r="O283">
        <v>240</v>
      </c>
      <c r="P283">
        <v>825</v>
      </c>
      <c r="Q283">
        <v>0</v>
      </c>
      <c r="R283">
        <v>3666072629</v>
      </c>
      <c r="S283">
        <v>18752493.870000001</v>
      </c>
      <c r="T283">
        <v>3614042652.9299998</v>
      </c>
      <c r="U283">
        <v>3642781315.8600001</v>
      </c>
      <c r="V283">
        <v>0.10364900000000001</v>
      </c>
      <c r="W283">
        <v>1.4756E-2</v>
      </c>
    </row>
    <row r="284" spans="1:23" x14ac:dyDescent="0.35">
      <c r="A284" t="s">
        <v>0</v>
      </c>
      <c r="B284">
        <v>3000</v>
      </c>
      <c r="C284">
        <v>240</v>
      </c>
      <c r="D284">
        <v>3</v>
      </c>
      <c r="E284">
        <v>0</v>
      </c>
      <c r="F284">
        <v>8178738</v>
      </c>
      <c r="G284">
        <v>58159.42</v>
      </c>
      <c r="H284">
        <v>8120578.5800000001</v>
      </c>
      <c r="I284">
        <v>8120578.5800000001</v>
      </c>
      <c r="J284">
        <v>0</v>
      </c>
      <c r="K284">
        <v>0</v>
      </c>
      <c r="M284" t="s">
        <v>0</v>
      </c>
      <c r="N284">
        <v>3000</v>
      </c>
      <c r="O284">
        <v>240</v>
      </c>
      <c r="P284">
        <v>3</v>
      </c>
      <c r="Q284">
        <v>0</v>
      </c>
      <c r="R284">
        <v>8323485</v>
      </c>
      <c r="S284">
        <v>58630.29</v>
      </c>
      <c r="T284">
        <v>8264854.71</v>
      </c>
      <c r="U284">
        <v>8264854.71</v>
      </c>
      <c r="V284">
        <v>0</v>
      </c>
      <c r="W284">
        <v>0</v>
      </c>
    </row>
    <row r="285" spans="1:23" x14ac:dyDescent="0.35">
      <c r="A285" t="s">
        <v>1</v>
      </c>
      <c r="B285">
        <v>6750</v>
      </c>
      <c r="C285">
        <v>240</v>
      </c>
      <c r="D285">
        <v>356</v>
      </c>
      <c r="E285">
        <v>0</v>
      </c>
      <c r="F285">
        <v>2407552371</v>
      </c>
      <c r="G285">
        <v>12573504.359999999</v>
      </c>
      <c r="H285">
        <v>2387002637.3899999</v>
      </c>
      <c r="I285">
        <v>2394978866.6399999</v>
      </c>
      <c r="J285">
        <v>3.9039999999999998E-2</v>
      </c>
      <c r="K285">
        <v>0</v>
      </c>
      <c r="M285" t="s">
        <v>1</v>
      </c>
      <c r="N285">
        <v>6750</v>
      </c>
      <c r="O285">
        <v>240</v>
      </c>
      <c r="P285">
        <v>356</v>
      </c>
      <c r="Q285">
        <v>0</v>
      </c>
      <c r="R285">
        <v>2422645044</v>
      </c>
      <c r="S285">
        <v>12539071.1</v>
      </c>
      <c r="T285">
        <v>2405095945.6799998</v>
      </c>
      <c r="U285">
        <v>2410105972.9000001</v>
      </c>
      <c r="V285">
        <v>2.4535999999999999E-2</v>
      </c>
      <c r="W285">
        <v>0</v>
      </c>
    </row>
    <row r="286" spans="1:23" x14ac:dyDescent="0.35">
      <c r="A286" t="s">
        <v>2</v>
      </c>
      <c r="B286">
        <v>4000</v>
      </c>
      <c r="C286">
        <v>240</v>
      </c>
      <c r="D286">
        <v>2</v>
      </c>
      <c r="E286">
        <v>0</v>
      </c>
      <c r="F286">
        <v>5374585</v>
      </c>
      <c r="G286">
        <v>35567.72</v>
      </c>
      <c r="H286">
        <v>5339017.28</v>
      </c>
      <c r="I286">
        <v>5339017.28</v>
      </c>
      <c r="J286">
        <v>0</v>
      </c>
      <c r="K286">
        <v>0</v>
      </c>
      <c r="M286" t="s">
        <v>2</v>
      </c>
      <c r="N286">
        <v>4000</v>
      </c>
      <c r="O286">
        <v>240</v>
      </c>
      <c r="P286">
        <v>2</v>
      </c>
      <c r="Q286">
        <v>0</v>
      </c>
      <c r="R286">
        <v>5444154</v>
      </c>
      <c r="S286">
        <v>35682.19</v>
      </c>
      <c r="T286">
        <v>5408471.8099999996</v>
      </c>
      <c r="U286">
        <v>5408471.8099999996</v>
      </c>
      <c r="V286">
        <v>0</v>
      </c>
      <c r="W286">
        <v>0</v>
      </c>
    </row>
    <row r="287" spans="1:23" x14ac:dyDescent="0.35">
      <c r="A287" t="s">
        <v>1</v>
      </c>
      <c r="B287">
        <v>2750</v>
      </c>
      <c r="C287">
        <v>240</v>
      </c>
      <c r="D287">
        <v>1</v>
      </c>
      <c r="E287">
        <v>0</v>
      </c>
      <c r="F287">
        <v>4704134</v>
      </c>
      <c r="G287">
        <v>33604.22</v>
      </c>
      <c r="H287">
        <v>4670529.78</v>
      </c>
      <c r="I287">
        <v>4670529.78</v>
      </c>
      <c r="J287">
        <v>0</v>
      </c>
      <c r="K287">
        <v>0</v>
      </c>
      <c r="M287" t="s">
        <v>1</v>
      </c>
      <c r="N287">
        <v>2750</v>
      </c>
      <c r="O287">
        <v>240</v>
      </c>
      <c r="P287">
        <v>1</v>
      </c>
      <c r="Q287">
        <v>0</v>
      </c>
      <c r="R287">
        <v>4738981</v>
      </c>
      <c r="S287">
        <v>33538.94</v>
      </c>
      <c r="T287">
        <v>4705442.0599999996</v>
      </c>
      <c r="U287">
        <v>4705442.0599999996</v>
      </c>
      <c r="V287">
        <v>0</v>
      </c>
      <c r="W287">
        <v>0</v>
      </c>
    </row>
    <row r="288" spans="1:23" x14ac:dyDescent="0.35">
      <c r="A288" t="s">
        <v>1</v>
      </c>
      <c r="B288">
        <v>5250</v>
      </c>
      <c r="C288">
        <v>240</v>
      </c>
      <c r="D288">
        <v>23</v>
      </c>
      <c r="E288">
        <v>0</v>
      </c>
      <c r="F288">
        <v>206219559</v>
      </c>
      <c r="G288">
        <v>1126170.54</v>
      </c>
      <c r="H288">
        <v>205093388.46000001</v>
      </c>
      <c r="I288">
        <v>205093388.46000001</v>
      </c>
      <c r="J288">
        <v>0</v>
      </c>
      <c r="K288">
        <v>0</v>
      </c>
      <c r="M288" t="s">
        <v>2</v>
      </c>
      <c r="N288">
        <v>7000</v>
      </c>
      <c r="O288">
        <v>216</v>
      </c>
      <c r="P288">
        <v>350</v>
      </c>
      <c r="Q288">
        <v>0</v>
      </c>
      <c r="R288">
        <v>1601853108</v>
      </c>
      <c r="S288">
        <v>6794647.5300000003</v>
      </c>
      <c r="T288">
        <v>1584970536.3199999</v>
      </c>
      <c r="U288">
        <v>1585881777.98</v>
      </c>
      <c r="V288">
        <v>7.3008000000000003E-2</v>
      </c>
      <c r="W288">
        <v>6.6619999999999999E-2</v>
      </c>
    </row>
    <row r="289" spans="1:23" x14ac:dyDescent="0.35">
      <c r="A289" t="s">
        <v>2</v>
      </c>
      <c r="B289">
        <v>5000</v>
      </c>
      <c r="C289">
        <v>240</v>
      </c>
      <c r="D289">
        <v>13</v>
      </c>
      <c r="E289">
        <v>0</v>
      </c>
      <c r="F289">
        <v>82100882</v>
      </c>
      <c r="G289">
        <v>451027.84</v>
      </c>
      <c r="H289">
        <v>81649854.159999996</v>
      </c>
      <c r="I289">
        <v>81649854.159999996</v>
      </c>
      <c r="J289">
        <v>0</v>
      </c>
      <c r="K289">
        <v>0</v>
      </c>
      <c r="M289" t="s">
        <v>2</v>
      </c>
      <c r="N289">
        <v>5000</v>
      </c>
      <c r="O289">
        <v>240</v>
      </c>
      <c r="P289">
        <v>13</v>
      </c>
      <c r="Q289">
        <v>0</v>
      </c>
      <c r="R289">
        <v>82682261</v>
      </c>
      <c r="S289">
        <v>449890.06</v>
      </c>
      <c r="T289">
        <v>82232370.939999998</v>
      </c>
      <c r="U289">
        <v>82232370.939999998</v>
      </c>
      <c r="V289">
        <v>0</v>
      </c>
      <c r="W289">
        <v>0</v>
      </c>
    </row>
    <row r="290" spans="1:23" x14ac:dyDescent="0.35">
      <c r="A290" t="s">
        <v>2</v>
      </c>
      <c r="B290">
        <v>7000</v>
      </c>
      <c r="C290">
        <v>216</v>
      </c>
      <c r="D290">
        <v>338</v>
      </c>
      <c r="E290">
        <v>0</v>
      </c>
      <c r="F290">
        <v>1542941126</v>
      </c>
      <c r="G290">
        <v>6593510.0700000003</v>
      </c>
      <c r="H290">
        <v>1525044650.0599999</v>
      </c>
      <c r="I290">
        <v>1536347615.9300001</v>
      </c>
      <c r="J290">
        <v>8.4449999999999997E-2</v>
      </c>
      <c r="K290">
        <v>0</v>
      </c>
      <c r="M290" t="s">
        <v>0</v>
      </c>
      <c r="N290">
        <v>6000</v>
      </c>
      <c r="O290">
        <v>192</v>
      </c>
      <c r="P290">
        <v>653</v>
      </c>
      <c r="Q290">
        <v>0</v>
      </c>
      <c r="R290">
        <v>3893330816</v>
      </c>
      <c r="S290">
        <v>14214476.939999999</v>
      </c>
      <c r="T290">
        <v>3828813480.8600001</v>
      </c>
      <c r="U290">
        <v>3860477713.79</v>
      </c>
      <c r="V290">
        <v>0.144487</v>
      </c>
      <c r="W290">
        <v>5.5959000000000002E-2</v>
      </c>
    </row>
    <row r="291" spans="1:23" x14ac:dyDescent="0.35">
      <c r="A291" t="s">
        <v>0</v>
      </c>
      <c r="B291">
        <v>6000</v>
      </c>
      <c r="C291">
        <v>192</v>
      </c>
      <c r="D291">
        <v>580</v>
      </c>
      <c r="E291">
        <v>0</v>
      </c>
      <c r="F291">
        <v>3465383585</v>
      </c>
      <c r="G291">
        <v>12700290.08</v>
      </c>
      <c r="H291">
        <v>3418664371.02</v>
      </c>
      <c r="I291">
        <v>3452683294.9200001</v>
      </c>
      <c r="J291">
        <v>0.11164499999999999</v>
      </c>
      <c r="K291">
        <v>0</v>
      </c>
      <c r="M291" t="s">
        <v>3</v>
      </c>
      <c r="N291">
        <v>5000</v>
      </c>
      <c r="O291">
        <v>192</v>
      </c>
      <c r="P291">
        <v>154</v>
      </c>
      <c r="Q291">
        <v>0</v>
      </c>
      <c r="R291">
        <v>1342981755</v>
      </c>
      <c r="S291">
        <v>5216680.43</v>
      </c>
      <c r="T291">
        <v>1337765074.5699999</v>
      </c>
      <c r="U291">
        <v>1337765074.5699999</v>
      </c>
      <c r="V291">
        <v>0</v>
      </c>
      <c r="W291">
        <v>0</v>
      </c>
    </row>
    <row r="292" spans="1:23" x14ac:dyDescent="0.35">
      <c r="A292" t="s">
        <v>3</v>
      </c>
      <c r="B292">
        <v>5000</v>
      </c>
      <c r="C292">
        <v>192</v>
      </c>
      <c r="D292">
        <v>149</v>
      </c>
      <c r="E292">
        <v>0</v>
      </c>
      <c r="F292">
        <v>1274279076</v>
      </c>
      <c r="G292">
        <v>4973985.2300000004</v>
      </c>
      <c r="H292">
        <v>1269305090.77</v>
      </c>
      <c r="I292">
        <v>1269305090.77</v>
      </c>
      <c r="J292">
        <v>0</v>
      </c>
      <c r="K292">
        <v>0</v>
      </c>
      <c r="M292" t="s">
        <v>3</v>
      </c>
      <c r="N292">
        <v>7500</v>
      </c>
      <c r="O292">
        <v>216</v>
      </c>
      <c r="P292">
        <v>4</v>
      </c>
      <c r="Q292">
        <v>0</v>
      </c>
      <c r="R292">
        <v>26958926</v>
      </c>
      <c r="S292">
        <v>109850.22</v>
      </c>
      <c r="T292">
        <v>26849075.780000001</v>
      </c>
      <c r="U292">
        <v>26849075.780000001</v>
      </c>
      <c r="V292">
        <v>0</v>
      </c>
      <c r="W292">
        <v>0</v>
      </c>
    </row>
    <row r="293" spans="1:23" x14ac:dyDescent="0.35">
      <c r="A293" t="s">
        <v>3</v>
      </c>
      <c r="B293">
        <v>7500</v>
      </c>
      <c r="C293">
        <v>216</v>
      </c>
      <c r="D293">
        <v>4</v>
      </c>
      <c r="E293">
        <v>0</v>
      </c>
      <c r="F293">
        <v>26828461</v>
      </c>
      <c r="G293">
        <v>110443.73</v>
      </c>
      <c r="H293">
        <v>26718017.27</v>
      </c>
      <c r="I293">
        <v>26718017.27</v>
      </c>
      <c r="J293">
        <v>0</v>
      </c>
      <c r="K293">
        <v>0</v>
      </c>
      <c r="M293" t="s">
        <v>0</v>
      </c>
      <c r="N293">
        <v>6500</v>
      </c>
      <c r="O293">
        <v>192</v>
      </c>
      <c r="P293">
        <v>117</v>
      </c>
      <c r="Q293">
        <v>0</v>
      </c>
      <c r="R293">
        <v>790724791</v>
      </c>
      <c r="S293">
        <v>2682565.38</v>
      </c>
      <c r="T293">
        <v>780490413.90999997</v>
      </c>
      <c r="U293">
        <v>788042225.62</v>
      </c>
      <c r="V293">
        <v>0.108774</v>
      </c>
      <c r="W293">
        <v>0</v>
      </c>
    </row>
    <row r="294" spans="1:23" x14ac:dyDescent="0.35">
      <c r="A294" t="s">
        <v>0</v>
      </c>
      <c r="B294">
        <v>6500</v>
      </c>
      <c r="C294">
        <v>192</v>
      </c>
      <c r="D294">
        <v>108</v>
      </c>
      <c r="E294">
        <v>0</v>
      </c>
      <c r="F294">
        <v>724426919</v>
      </c>
      <c r="G294">
        <v>2448977.36</v>
      </c>
      <c r="H294">
        <v>710447226.94000006</v>
      </c>
      <c r="I294">
        <v>721977941.63999999</v>
      </c>
      <c r="J294">
        <v>0.17513899999999999</v>
      </c>
      <c r="K294">
        <v>0</v>
      </c>
      <c r="M294" t="s">
        <v>0</v>
      </c>
      <c r="N294">
        <v>7000</v>
      </c>
      <c r="O294">
        <v>192</v>
      </c>
      <c r="P294">
        <v>1</v>
      </c>
      <c r="Q294">
        <v>0</v>
      </c>
      <c r="R294">
        <v>7611429</v>
      </c>
      <c r="S294">
        <v>26549.01</v>
      </c>
      <c r="T294">
        <v>7584879.9900000002</v>
      </c>
      <c r="U294">
        <v>7584879.9900000002</v>
      </c>
      <c r="V294">
        <v>0</v>
      </c>
      <c r="W294">
        <v>0</v>
      </c>
    </row>
    <row r="295" spans="1:23" x14ac:dyDescent="0.35">
      <c r="A295" t="s">
        <v>0</v>
      </c>
      <c r="B295">
        <v>7000</v>
      </c>
      <c r="C295">
        <v>192</v>
      </c>
      <c r="D295">
        <v>1</v>
      </c>
      <c r="E295">
        <v>0</v>
      </c>
      <c r="F295">
        <v>7583762</v>
      </c>
      <c r="G295">
        <v>26699.94</v>
      </c>
      <c r="H295">
        <v>7557062.0599999996</v>
      </c>
      <c r="I295">
        <v>7557062.0599999996</v>
      </c>
      <c r="J295">
        <v>0</v>
      </c>
      <c r="K295">
        <v>0</v>
      </c>
      <c r="M295" t="s">
        <v>1</v>
      </c>
      <c r="N295">
        <v>4500</v>
      </c>
      <c r="O295">
        <v>84</v>
      </c>
      <c r="P295">
        <v>4524</v>
      </c>
      <c r="Q295">
        <v>0</v>
      </c>
      <c r="R295">
        <v>77034338048</v>
      </c>
      <c r="S295">
        <v>158615056.33000001</v>
      </c>
      <c r="T295">
        <v>76095650089.259995</v>
      </c>
      <c r="U295">
        <v>76664334492.789993</v>
      </c>
      <c r="V295">
        <v>0.114971</v>
      </c>
      <c r="W295">
        <v>3.2437000000000001E-2</v>
      </c>
    </row>
    <row r="296" spans="1:23" x14ac:dyDescent="0.35">
      <c r="A296" t="s">
        <v>1</v>
      </c>
      <c r="B296">
        <v>4500</v>
      </c>
      <c r="C296">
        <v>84</v>
      </c>
      <c r="D296">
        <v>3707</v>
      </c>
      <c r="E296">
        <v>0</v>
      </c>
      <c r="F296">
        <v>62273192971</v>
      </c>
      <c r="G296">
        <v>128180170.81</v>
      </c>
      <c r="H296">
        <v>61659447575.389999</v>
      </c>
      <c r="I296">
        <v>62070040251.129997</v>
      </c>
      <c r="J296">
        <v>8.9658000000000002E-2</v>
      </c>
      <c r="K296">
        <v>1.4352E-2</v>
      </c>
      <c r="M296" t="s">
        <v>3</v>
      </c>
      <c r="N296">
        <v>4500</v>
      </c>
      <c r="O296">
        <v>192</v>
      </c>
      <c r="P296">
        <v>171</v>
      </c>
      <c r="Q296">
        <v>0</v>
      </c>
      <c r="R296">
        <v>1796754203</v>
      </c>
      <c r="S296">
        <v>7000702.0800000001</v>
      </c>
      <c r="T296">
        <v>1770890572.71</v>
      </c>
      <c r="U296">
        <v>1789753500.9200001</v>
      </c>
      <c r="V296">
        <v>0.118954</v>
      </c>
      <c r="W296">
        <v>0</v>
      </c>
    </row>
    <row r="297" spans="1:23" x14ac:dyDescent="0.35">
      <c r="A297" t="s">
        <v>3</v>
      </c>
      <c r="B297">
        <v>4500</v>
      </c>
      <c r="C297">
        <v>192</v>
      </c>
      <c r="D297">
        <v>171</v>
      </c>
      <c r="E297">
        <v>0</v>
      </c>
      <c r="F297">
        <v>1773089396</v>
      </c>
      <c r="G297">
        <v>6966097.3200000003</v>
      </c>
      <c r="H297">
        <v>1762527654.3599999</v>
      </c>
      <c r="I297">
        <v>1766123298.6800001</v>
      </c>
      <c r="J297">
        <v>2.4065E-2</v>
      </c>
      <c r="K297">
        <v>0</v>
      </c>
      <c r="M297" t="s">
        <v>3</v>
      </c>
      <c r="N297">
        <v>7000</v>
      </c>
      <c r="O297">
        <v>216</v>
      </c>
      <c r="P297">
        <v>7</v>
      </c>
      <c r="Q297">
        <v>0</v>
      </c>
      <c r="R297">
        <v>32807720</v>
      </c>
      <c r="S297">
        <v>139258.16</v>
      </c>
      <c r="T297">
        <v>32668461.84</v>
      </c>
      <c r="U297">
        <v>32668461.84</v>
      </c>
      <c r="V297">
        <v>0</v>
      </c>
      <c r="W297">
        <v>0</v>
      </c>
    </row>
    <row r="298" spans="1:23" x14ac:dyDescent="0.35">
      <c r="A298" t="s">
        <v>3</v>
      </c>
      <c r="B298">
        <v>7000</v>
      </c>
      <c r="C298">
        <v>216</v>
      </c>
      <c r="D298">
        <v>7</v>
      </c>
      <c r="E298">
        <v>0</v>
      </c>
      <c r="F298">
        <v>32597884</v>
      </c>
      <c r="G298">
        <v>139755.39000000001</v>
      </c>
      <c r="H298">
        <v>32458128.609999999</v>
      </c>
      <c r="I298">
        <v>32458128.609999999</v>
      </c>
      <c r="J298">
        <v>0</v>
      </c>
      <c r="K298">
        <v>0</v>
      </c>
      <c r="M298" t="s">
        <v>1</v>
      </c>
      <c r="N298">
        <v>7500</v>
      </c>
      <c r="O298">
        <v>216</v>
      </c>
      <c r="P298">
        <v>8</v>
      </c>
      <c r="Q298">
        <v>0</v>
      </c>
      <c r="R298">
        <v>36406625</v>
      </c>
      <c r="S298">
        <v>147357.88</v>
      </c>
      <c r="T298">
        <v>36259267.119999997</v>
      </c>
      <c r="U298">
        <v>36259267.119999997</v>
      </c>
      <c r="V298">
        <v>0</v>
      </c>
      <c r="W298">
        <v>0</v>
      </c>
    </row>
    <row r="299" spans="1:23" x14ac:dyDescent="0.35">
      <c r="A299" t="s">
        <v>1</v>
      </c>
      <c r="B299">
        <v>7500</v>
      </c>
      <c r="C299">
        <v>216</v>
      </c>
      <c r="D299">
        <v>8</v>
      </c>
      <c r="E299">
        <v>0</v>
      </c>
      <c r="F299">
        <v>36162625</v>
      </c>
      <c r="G299">
        <v>147885.60999999999</v>
      </c>
      <c r="H299">
        <v>36014739.390000001</v>
      </c>
      <c r="I299">
        <v>36014739.390000001</v>
      </c>
      <c r="J299">
        <v>0</v>
      </c>
      <c r="K299">
        <v>0</v>
      </c>
      <c r="M299" t="s">
        <v>1</v>
      </c>
      <c r="N299">
        <v>4000</v>
      </c>
      <c r="O299">
        <v>84</v>
      </c>
      <c r="P299">
        <v>14259</v>
      </c>
      <c r="Q299">
        <v>0</v>
      </c>
      <c r="R299">
        <v>270844015164</v>
      </c>
      <c r="S299">
        <v>590012756.63999999</v>
      </c>
      <c r="T299">
        <v>268487117820.42001</v>
      </c>
      <c r="U299">
        <v>270107631207.5</v>
      </c>
      <c r="V299">
        <v>7.5535000000000005E-2</v>
      </c>
      <c r="W299">
        <v>6.4660000000000004E-3</v>
      </c>
    </row>
    <row r="300" spans="1:23" x14ac:dyDescent="0.35">
      <c r="A300" t="s">
        <v>1</v>
      </c>
      <c r="B300">
        <v>4000</v>
      </c>
      <c r="C300">
        <v>84</v>
      </c>
      <c r="D300">
        <v>14019</v>
      </c>
      <c r="E300">
        <v>0</v>
      </c>
      <c r="F300">
        <v>264501847247</v>
      </c>
      <c r="G300">
        <v>577819732.96000004</v>
      </c>
      <c r="H300">
        <v>261698712607.29999</v>
      </c>
      <c r="I300">
        <v>263682894939.70999</v>
      </c>
      <c r="J300">
        <v>9.6416000000000002E-2</v>
      </c>
      <c r="K300">
        <v>1.0885000000000001E-2</v>
      </c>
      <c r="M300" t="s">
        <v>0</v>
      </c>
      <c r="N300">
        <v>5250</v>
      </c>
      <c r="O300">
        <v>216</v>
      </c>
      <c r="P300">
        <v>23744</v>
      </c>
      <c r="Q300">
        <v>0</v>
      </c>
      <c r="R300">
        <v>192979314452</v>
      </c>
      <c r="S300">
        <v>818116465.95000005</v>
      </c>
      <c r="T300">
        <v>191187685289.85999</v>
      </c>
      <c r="U300">
        <v>192106021343.23999</v>
      </c>
      <c r="V300">
        <v>5.8883999999999999E-2</v>
      </c>
      <c r="W300">
        <v>3.4259999999999998E-3</v>
      </c>
    </row>
    <row r="301" spans="1:23" x14ac:dyDescent="0.35">
      <c r="A301" t="s">
        <v>0</v>
      </c>
      <c r="B301">
        <v>5250</v>
      </c>
      <c r="C301">
        <v>216</v>
      </c>
      <c r="D301">
        <v>27029</v>
      </c>
      <c r="E301">
        <v>0</v>
      </c>
      <c r="F301">
        <v>217990881428</v>
      </c>
      <c r="G301">
        <v>926637004.59000003</v>
      </c>
      <c r="H301">
        <v>215721263883.17999</v>
      </c>
      <c r="I301">
        <v>216924208399.35999</v>
      </c>
      <c r="J301">
        <v>7.1473999999999996E-2</v>
      </c>
      <c r="K301">
        <v>7.6819999999999996E-3</v>
      </c>
      <c r="M301" t="s">
        <v>0</v>
      </c>
      <c r="N301">
        <v>6250</v>
      </c>
      <c r="O301">
        <v>216</v>
      </c>
      <c r="P301">
        <v>4031</v>
      </c>
      <c r="Q301">
        <v>0</v>
      </c>
      <c r="R301">
        <v>26847539353</v>
      </c>
      <c r="S301">
        <v>119270781.36</v>
      </c>
      <c r="T301">
        <v>26513238948.02</v>
      </c>
      <c r="U301">
        <v>26675094783.380001</v>
      </c>
      <c r="V301">
        <v>9.1989000000000001E-2</v>
      </c>
      <c r="W301">
        <v>2.351E-2</v>
      </c>
    </row>
    <row r="302" spans="1:23" x14ac:dyDescent="0.35">
      <c r="A302" t="s">
        <v>0</v>
      </c>
      <c r="B302">
        <v>6250</v>
      </c>
      <c r="C302">
        <v>216</v>
      </c>
      <c r="D302">
        <v>3704</v>
      </c>
      <c r="E302">
        <v>0</v>
      </c>
      <c r="F302">
        <v>24637361346</v>
      </c>
      <c r="G302">
        <v>109989905.64</v>
      </c>
      <c r="H302">
        <v>24359632387.959999</v>
      </c>
      <c r="I302">
        <v>24509300202.759998</v>
      </c>
      <c r="J302">
        <v>7.8709000000000001E-2</v>
      </c>
      <c r="K302">
        <v>8.7659999999999995E-3</v>
      </c>
      <c r="M302" t="s">
        <v>2</v>
      </c>
      <c r="N302">
        <v>5250</v>
      </c>
      <c r="O302">
        <v>216</v>
      </c>
      <c r="P302">
        <v>3874</v>
      </c>
      <c r="Q302">
        <v>0</v>
      </c>
      <c r="R302">
        <v>25269860315</v>
      </c>
      <c r="S302">
        <v>108216929.09999999</v>
      </c>
      <c r="T302">
        <v>25100909245.540001</v>
      </c>
      <c r="U302">
        <v>25161643385.900002</v>
      </c>
      <c r="V302">
        <v>2.8462999999999999E-2</v>
      </c>
      <c r="W302">
        <v>0</v>
      </c>
    </row>
    <row r="303" spans="1:23" x14ac:dyDescent="0.35">
      <c r="A303" t="s">
        <v>0</v>
      </c>
      <c r="B303">
        <v>5750</v>
      </c>
      <c r="C303">
        <v>216</v>
      </c>
      <c r="D303">
        <v>8231</v>
      </c>
      <c r="E303">
        <v>0</v>
      </c>
      <c r="F303">
        <v>56198618801</v>
      </c>
      <c r="G303">
        <v>241266372.09</v>
      </c>
      <c r="H303">
        <v>55691170754.269997</v>
      </c>
      <c r="I303">
        <v>55915487434.230003</v>
      </c>
      <c r="J303">
        <v>5.5379999999999999E-2</v>
      </c>
      <c r="K303">
        <v>8.9029999999999995E-3</v>
      </c>
      <c r="M303" t="s">
        <v>0</v>
      </c>
      <c r="N303">
        <v>5750</v>
      </c>
      <c r="O303">
        <v>216</v>
      </c>
      <c r="P303">
        <v>8328</v>
      </c>
      <c r="Q303">
        <v>0</v>
      </c>
      <c r="R303">
        <v>57365254106</v>
      </c>
      <c r="S303">
        <v>245932130.74000001</v>
      </c>
      <c r="T303">
        <v>56843167451.470001</v>
      </c>
      <c r="U303">
        <v>57056250651.25</v>
      </c>
      <c r="V303">
        <v>5.6262E-2</v>
      </c>
      <c r="W303">
        <v>1.3114000000000001E-2</v>
      </c>
    </row>
    <row r="304" spans="1:23" x14ac:dyDescent="0.35">
      <c r="A304" t="s">
        <v>1</v>
      </c>
      <c r="B304">
        <v>5750</v>
      </c>
      <c r="C304">
        <v>216</v>
      </c>
      <c r="D304">
        <v>361</v>
      </c>
      <c r="E304">
        <v>0</v>
      </c>
      <c r="F304">
        <v>2712429495</v>
      </c>
      <c r="G304">
        <v>11911716.609999999</v>
      </c>
      <c r="H304">
        <v>2675020587.3499999</v>
      </c>
      <c r="I304">
        <v>2691942369.0799999</v>
      </c>
      <c r="J304">
        <v>0.10714899999999999</v>
      </c>
      <c r="K304">
        <v>3.7284999999999999E-2</v>
      </c>
      <c r="M304" t="s">
        <v>1</v>
      </c>
      <c r="N304">
        <v>5750</v>
      </c>
      <c r="O304">
        <v>216</v>
      </c>
      <c r="P304">
        <v>397</v>
      </c>
      <c r="Q304">
        <v>0</v>
      </c>
      <c r="R304">
        <v>3026673640</v>
      </c>
      <c r="S304">
        <v>13328902.449999999</v>
      </c>
      <c r="T304">
        <v>2982795195.2199998</v>
      </c>
      <c r="U304">
        <v>3013344737.5500002</v>
      </c>
      <c r="V304">
        <v>0.114619</v>
      </c>
      <c r="W304">
        <v>0</v>
      </c>
    </row>
    <row r="305" spans="1:23" x14ac:dyDescent="0.35">
      <c r="A305" t="s">
        <v>1</v>
      </c>
      <c r="B305">
        <v>6250</v>
      </c>
      <c r="C305">
        <v>216</v>
      </c>
      <c r="D305">
        <v>158</v>
      </c>
      <c r="E305">
        <v>0</v>
      </c>
      <c r="F305">
        <v>1133853768</v>
      </c>
      <c r="G305">
        <v>5101912.0999999996</v>
      </c>
      <c r="H305">
        <v>1116858425.22</v>
      </c>
      <c r="I305">
        <v>1125762869.9400001</v>
      </c>
      <c r="J305">
        <v>0.11885900000000001</v>
      </c>
      <c r="K305">
        <v>3.1178999999999998E-2</v>
      </c>
      <c r="M305" t="s">
        <v>0</v>
      </c>
      <c r="N305">
        <v>4750</v>
      </c>
      <c r="O305">
        <v>216</v>
      </c>
      <c r="P305">
        <v>6297</v>
      </c>
      <c r="Q305">
        <v>0</v>
      </c>
      <c r="R305">
        <v>57915381803</v>
      </c>
      <c r="S305">
        <v>257888882.96000001</v>
      </c>
      <c r="T305">
        <v>57473299850.059998</v>
      </c>
      <c r="U305">
        <v>57618969692.230003</v>
      </c>
      <c r="V305">
        <v>3.7504000000000003E-2</v>
      </c>
      <c r="W305">
        <v>7.953E-3</v>
      </c>
    </row>
    <row r="306" spans="1:23" x14ac:dyDescent="0.35">
      <c r="A306" t="s">
        <v>2</v>
      </c>
      <c r="B306">
        <v>5250</v>
      </c>
      <c r="C306">
        <v>216</v>
      </c>
      <c r="D306">
        <v>4307</v>
      </c>
      <c r="E306">
        <v>0</v>
      </c>
      <c r="F306">
        <v>28311719448</v>
      </c>
      <c r="G306">
        <v>121489709.88</v>
      </c>
      <c r="H306">
        <v>28030957079.200001</v>
      </c>
      <c r="I306">
        <v>28165744583.200001</v>
      </c>
      <c r="J306">
        <v>6.5458000000000002E-2</v>
      </c>
      <c r="K306">
        <v>1.0329E-2</v>
      </c>
      <c r="M306" t="s">
        <v>2</v>
      </c>
      <c r="N306">
        <v>5750</v>
      </c>
      <c r="O306">
        <v>216</v>
      </c>
      <c r="P306">
        <v>1694</v>
      </c>
      <c r="Q306">
        <v>0</v>
      </c>
      <c r="R306">
        <v>9610309710</v>
      </c>
      <c r="S306">
        <v>40431929.189999998</v>
      </c>
      <c r="T306">
        <v>9509421628.7600002</v>
      </c>
      <c r="U306">
        <v>9555092296.9099998</v>
      </c>
      <c r="V306">
        <v>7.2930999999999996E-2</v>
      </c>
      <c r="W306">
        <v>1.8307E-2</v>
      </c>
    </row>
    <row r="307" spans="1:23" x14ac:dyDescent="0.35">
      <c r="A307" t="s">
        <v>1</v>
      </c>
      <c r="B307">
        <v>5250</v>
      </c>
      <c r="C307">
        <v>216</v>
      </c>
      <c r="D307">
        <v>1527</v>
      </c>
      <c r="E307">
        <v>0</v>
      </c>
      <c r="F307">
        <v>13574650772</v>
      </c>
      <c r="G307">
        <v>58019134.32</v>
      </c>
      <c r="H307">
        <v>13442763478.02</v>
      </c>
      <c r="I307">
        <v>13509128993.959999</v>
      </c>
      <c r="J307">
        <v>6.3380000000000006E-2</v>
      </c>
      <c r="K307">
        <v>6.6119999999999998E-3</v>
      </c>
      <c r="M307" t="s">
        <v>1</v>
      </c>
      <c r="N307">
        <v>6250</v>
      </c>
      <c r="O307">
        <v>216</v>
      </c>
      <c r="P307">
        <v>172</v>
      </c>
      <c r="Q307">
        <v>0</v>
      </c>
      <c r="R307">
        <v>1229414496</v>
      </c>
      <c r="S307">
        <v>5495222.1200000001</v>
      </c>
      <c r="T307">
        <v>1200233636.5799999</v>
      </c>
      <c r="U307">
        <v>1223919273.8800001</v>
      </c>
      <c r="V307">
        <v>0.208199</v>
      </c>
      <c r="W307">
        <v>0</v>
      </c>
    </row>
    <row r="308" spans="1:23" x14ac:dyDescent="0.35">
      <c r="A308" t="s">
        <v>1</v>
      </c>
      <c r="B308">
        <v>3000</v>
      </c>
      <c r="C308">
        <v>108</v>
      </c>
      <c r="D308">
        <v>116</v>
      </c>
      <c r="E308">
        <v>0</v>
      </c>
      <c r="F308">
        <v>2189148088</v>
      </c>
      <c r="G308">
        <v>6124502.75</v>
      </c>
      <c r="H308">
        <v>2160828140.9200001</v>
      </c>
      <c r="I308">
        <v>2160828140.9200001</v>
      </c>
      <c r="J308">
        <v>0.115106</v>
      </c>
      <c r="K308">
        <v>0.115106</v>
      </c>
      <c r="M308" t="s">
        <v>1</v>
      </c>
      <c r="N308">
        <v>5250</v>
      </c>
      <c r="O308">
        <v>216</v>
      </c>
      <c r="P308">
        <v>1373</v>
      </c>
      <c r="Q308">
        <v>0</v>
      </c>
      <c r="R308">
        <v>12290526344</v>
      </c>
      <c r="S308">
        <v>52371967.700000003</v>
      </c>
      <c r="T308">
        <v>12188103251.790001</v>
      </c>
      <c r="U308">
        <v>12238154376.299999</v>
      </c>
      <c r="V308">
        <v>4.7787999999999997E-2</v>
      </c>
      <c r="W308">
        <v>0</v>
      </c>
    </row>
    <row r="309" spans="1:23" x14ac:dyDescent="0.35">
      <c r="A309" t="s">
        <v>0</v>
      </c>
      <c r="B309">
        <v>3000</v>
      </c>
      <c r="C309">
        <v>108</v>
      </c>
      <c r="D309">
        <v>159</v>
      </c>
      <c r="E309">
        <v>0</v>
      </c>
      <c r="F309">
        <v>1891325768</v>
      </c>
      <c r="G309">
        <v>5287465.45</v>
      </c>
      <c r="H309">
        <v>1871953639.71</v>
      </c>
      <c r="I309">
        <v>1886038302.55</v>
      </c>
      <c r="J309">
        <v>8.5792999999999994E-2</v>
      </c>
      <c r="K309">
        <v>0</v>
      </c>
      <c r="M309" t="s">
        <v>1</v>
      </c>
      <c r="N309">
        <v>3000</v>
      </c>
      <c r="O309">
        <v>108</v>
      </c>
      <c r="P309">
        <v>123</v>
      </c>
      <c r="Q309">
        <v>0</v>
      </c>
      <c r="R309">
        <v>2260404996</v>
      </c>
      <c r="S309">
        <v>6309336.71</v>
      </c>
      <c r="T309">
        <v>2226131045.7199998</v>
      </c>
      <c r="U309">
        <v>2235890126.8000002</v>
      </c>
      <c r="V309">
        <v>0.138762</v>
      </c>
      <c r="W309">
        <v>9.2480999999999994E-2</v>
      </c>
    </row>
    <row r="310" spans="1:23" x14ac:dyDescent="0.35">
      <c r="A310" t="s">
        <v>2</v>
      </c>
      <c r="B310">
        <v>3000</v>
      </c>
      <c r="C310">
        <v>108</v>
      </c>
      <c r="D310">
        <v>26</v>
      </c>
      <c r="E310">
        <v>0</v>
      </c>
      <c r="F310">
        <v>282626299</v>
      </c>
      <c r="G310">
        <v>779864.4</v>
      </c>
      <c r="H310">
        <v>281846434.60000002</v>
      </c>
      <c r="I310">
        <v>281846434.60000002</v>
      </c>
      <c r="J310">
        <v>0</v>
      </c>
      <c r="K310">
        <v>0</v>
      </c>
      <c r="M310" t="s">
        <v>0</v>
      </c>
      <c r="N310">
        <v>3000</v>
      </c>
      <c r="O310">
        <v>108</v>
      </c>
      <c r="P310">
        <v>162</v>
      </c>
      <c r="Q310">
        <v>0</v>
      </c>
      <c r="R310">
        <v>1979227917</v>
      </c>
      <c r="S310">
        <v>5514028.5</v>
      </c>
      <c r="T310">
        <v>1973713888.5</v>
      </c>
      <c r="U310">
        <v>1973713888.5</v>
      </c>
      <c r="V310">
        <v>0</v>
      </c>
      <c r="W310">
        <v>0</v>
      </c>
    </row>
    <row r="311" spans="1:23" x14ac:dyDescent="0.35">
      <c r="A311" t="s">
        <v>1</v>
      </c>
      <c r="B311">
        <v>5000</v>
      </c>
      <c r="C311">
        <v>108</v>
      </c>
      <c r="D311">
        <v>947</v>
      </c>
      <c r="E311">
        <v>0</v>
      </c>
      <c r="F311">
        <v>11914058007</v>
      </c>
      <c r="G311">
        <v>25851727.75</v>
      </c>
      <c r="H311">
        <v>11703618555.85</v>
      </c>
      <c r="I311">
        <v>11851481562.17</v>
      </c>
      <c r="J311">
        <v>0.17086699999999999</v>
      </c>
      <c r="K311">
        <v>3.6368999999999999E-2</v>
      </c>
      <c r="M311" t="s">
        <v>2</v>
      </c>
      <c r="N311">
        <v>3000</v>
      </c>
      <c r="O311">
        <v>108</v>
      </c>
      <c r="P311">
        <v>26</v>
      </c>
      <c r="Q311">
        <v>0</v>
      </c>
      <c r="R311">
        <v>285019215</v>
      </c>
      <c r="S311">
        <v>783510.18</v>
      </c>
      <c r="T311">
        <v>284235704.81999999</v>
      </c>
      <c r="U311">
        <v>284235704.81999999</v>
      </c>
      <c r="V311">
        <v>0</v>
      </c>
      <c r="W311">
        <v>0</v>
      </c>
    </row>
    <row r="312" spans="1:23" x14ac:dyDescent="0.35">
      <c r="A312" t="s">
        <v>2</v>
      </c>
      <c r="B312">
        <v>5750</v>
      </c>
      <c r="C312">
        <v>216</v>
      </c>
      <c r="D312">
        <v>1671</v>
      </c>
      <c r="E312">
        <v>0</v>
      </c>
      <c r="F312">
        <v>9411956990</v>
      </c>
      <c r="G312">
        <v>39851616.310000002</v>
      </c>
      <c r="H312">
        <v>9329599918.6900005</v>
      </c>
      <c r="I312">
        <v>9372105373.6900005</v>
      </c>
      <c r="J312">
        <v>5.2866999999999997E-2</v>
      </c>
      <c r="K312">
        <v>0</v>
      </c>
      <c r="M312" t="s">
        <v>1</v>
      </c>
      <c r="N312">
        <v>5000</v>
      </c>
      <c r="O312">
        <v>108</v>
      </c>
      <c r="P312">
        <v>730</v>
      </c>
      <c r="Q312">
        <v>0</v>
      </c>
      <c r="R312">
        <v>8897709828</v>
      </c>
      <c r="S312">
        <v>19456366.34</v>
      </c>
      <c r="T312">
        <v>8800198013.8899994</v>
      </c>
      <c r="U312">
        <v>8869472323.3600006</v>
      </c>
      <c r="V312">
        <v>0.100337</v>
      </c>
      <c r="W312">
        <v>1.1779E-2</v>
      </c>
    </row>
    <row r="313" spans="1:23" x14ac:dyDescent="0.35">
      <c r="A313" t="s">
        <v>2</v>
      </c>
      <c r="B313">
        <v>6250</v>
      </c>
      <c r="C313">
        <v>216</v>
      </c>
      <c r="D313">
        <v>466</v>
      </c>
      <c r="E313">
        <v>0</v>
      </c>
      <c r="F313">
        <v>2612416966</v>
      </c>
      <c r="G313">
        <v>11793716.140000001</v>
      </c>
      <c r="H313">
        <v>2561521552.9400001</v>
      </c>
      <c r="I313">
        <v>2600623249.8600001</v>
      </c>
      <c r="J313">
        <v>0.16553899999999999</v>
      </c>
      <c r="K313">
        <v>0</v>
      </c>
      <c r="M313" t="s">
        <v>2</v>
      </c>
      <c r="N313">
        <v>6250</v>
      </c>
      <c r="O313">
        <v>216</v>
      </c>
      <c r="P313">
        <v>509</v>
      </c>
      <c r="Q313">
        <v>0</v>
      </c>
      <c r="R313">
        <v>2855409166</v>
      </c>
      <c r="S313">
        <v>12808742.279999999</v>
      </c>
      <c r="T313">
        <v>2829418495.46</v>
      </c>
      <c r="U313">
        <v>2842600423.7199998</v>
      </c>
      <c r="V313">
        <v>5.4012999999999999E-2</v>
      </c>
      <c r="W313">
        <v>0</v>
      </c>
    </row>
    <row r="314" spans="1:23" x14ac:dyDescent="0.35">
      <c r="A314" t="s">
        <v>1</v>
      </c>
      <c r="B314">
        <v>4000</v>
      </c>
      <c r="C314">
        <v>216</v>
      </c>
      <c r="D314">
        <v>19</v>
      </c>
      <c r="E314">
        <v>0</v>
      </c>
      <c r="F314">
        <v>172013103</v>
      </c>
      <c r="G314">
        <v>843983.03</v>
      </c>
      <c r="H314">
        <v>171169119.97</v>
      </c>
      <c r="I314">
        <v>171169119.97</v>
      </c>
      <c r="J314">
        <v>0</v>
      </c>
      <c r="K314">
        <v>0</v>
      </c>
      <c r="M314" t="s">
        <v>1</v>
      </c>
      <c r="N314">
        <v>4000</v>
      </c>
      <c r="O314">
        <v>216</v>
      </c>
      <c r="P314">
        <v>19</v>
      </c>
      <c r="Q314">
        <v>0</v>
      </c>
      <c r="R314">
        <v>170542822</v>
      </c>
      <c r="S314">
        <v>832518.01</v>
      </c>
      <c r="T314">
        <v>166069618.24000001</v>
      </c>
      <c r="U314">
        <v>169710303.99000001</v>
      </c>
      <c r="V314">
        <v>0.228135</v>
      </c>
      <c r="W314">
        <v>0</v>
      </c>
    </row>
    <row r="315" spans="1:23" x14ac:dyDescent="0.35">
      <c r="A315" t="s">
        <v>2</v>
      </c>
      <c r="B315">
        <v>7500</v>
      </c>
      <c r="C315">
        <v>216</v>
      </c>
      <c r="D315">
        <v>2</v>
      </c>
      <c r="E315">
        <v>0</v>
      </c>
      <c r="F315">
        <v>8404612</v>
      </c>
      <c r="G315">
        <v>33786.58</v>
      </c>
      <c r="H315">
        <v>8370825.4199999999</v>
      </c>
      <c r="I315">
        <v>8370825.4199999999</v>
      </c>
      <c r="J315">
        <v>0</v>
      </c>
      <c r="K315">
        <v>0</v>
      </c>
      <c r="M315" t="s">
        <v>2</v>
      </c>
      <c r="N315">
        <v>7500</v>
      </c>
      <c r="O315">
        <v>216</v>
      </c>
      <c r="P315">
        <v>2</v>
      </c>
      <c r="Q315">
        <v>0</v>
      </c>
      <c r="R315">
        <v>8460325</v>
      </c>
      <c r="S315">
        <v>33664.97</v>
      </c>
      <c r="T315">
        <v>8426660.0299999993</v>
      </c>
      <c r="U315">
        <v>8426660.0299999993</v>
      </c>
      <c r="V315">
        <v>0</v>
      </c>
      <c r="W315">
        <v>0</v>
      </c>
    </row>
    <row r="316" spans="1:23" x14ac:dyDescent="0.35">
      <c r="A316" t="s">
        <v>0</v>
      </c>
      <c r="B316">
        <v>7250</v>
      </c>
      <c r="C316">
        <v>216</v>
      </c>
      <c r="D316">
        <v>659</v>
      </c>
      <c r="E316">
        <v>0</v>
      </c>
      <c r="F316">
        <v>3556646508</v>
      </c>
      <c r="G316">
        <v>14878668.74</v>
      </c>
      <c r="H316">
        <v>3514308460.3099999</v>
      </c>
      <c r="I316">
        <v>3541767839.2600002</v>
      </c>
      <c r="J316">
        <v>8.8812000000000002E-2</v>
      </c>
      <c r="K316">
        <v>0</v>
      </c>
      <c r="M316" t="s">
        <v>0</v>
      </c>
      <c r="N316">
        <v>7250</v>
      </c>
      <c r="O316">
        <v>216</v>
      </c>
      <c r="P316">
        <v>694</v>
      </c>
      <c r="Q316">
        <v>0</v>
      </c>
      <c r="R316">
        <v>3771914306</v>
      </c>
      <c r="S316">
        <v>15654483.800000001</v>
      </c>
      <c r="T316">
        <v>3704289860.1199999</v>
      </c>
      <c r="U316">
        <v>3718413951.4200001</v>
      </c>
      <c r="V316">
        <v>0.153366</v>
      </c>
      <c r="W316">
        <v>0.11397599999999999</v>
      </c>
    </row>
    <row r="317" spans="1:23" x14ac:dyDescent="0.35">
      <c r="A317" t="s">
        <v>0</v>
      </c>
      <c r="B317">
        <v>6000</v>
      </c>
      <c r="C317">
        <v>168</v>
      </c>
      <c r="D317">
        <v>21</v>
      </c>
      <c r="E317">
        <v>0</v>
      </c>
      <c r="F317">
        <v>125760956</v>
      </c>
      <c r="G317">
        <v>361115.13</v>
      </c>
      <c r="H317">
        <v>125399840.87</v>
      </c>
      <c r="I317">
        <v>125399840.87</v>
      </c>
      <c r="J317">
        <v>0</v>
      </c>
      <c r="K317">
        <v>0</v>
      </c>
      <c r="M317" t="s">
        <v>0</v>
      </c>
      <c r="N317">
        <v>6000</v>
      </c>
      <c r="O317">
        <v>168</v>
      </c>
      <c r="P317">
        <v>20</v>
      </c>
      <c r="Q317">
        <v>0</v>
      </c>
      <c r="R317">
        <v>120846959</v>
      </c>
      <c r="S317">
        <v>345571.17</v>
      </c>
      <c r="T317">
        <v>120501387.83</v>
      </c>
      <c r="U317">
        <v>120501387.83</v>
      </c>
      <c r="V317">
        <v>0</v>
      </c>
      <c r="W317">
        <v>0</v>
      </c>
    </row>
    <row r="318" spans="1:23" x14ac:dyDescent="0.35">
      <c r="A318" t="s">
        <v>2</v>
      </c>
      <c r="B318">
        <v>6000</v>
      </c>
      <c r="C318">
        <v>192</v>
      </c>
      <c r="D318">
        <v>10</v>
      </c>
      <c r="E318">
        <v>0</v>
      </c>
      <c r="F318">
        <v>52318571</v>
      </c>
      <c r="G318">
        <v>204390.93</v>
      </c>
      <c r="H318">
        <v>52114180.07</v>
      </c>
      <c r="I318">
        <v>52114180.07</v>
      </c>
      <c r="J318">
        <v>0</v>
      </c>
      <c r="K318">
        <v>0</v>
      </c>
      <c r="M318" t="s">
        <v>1</v>
      </c>
      <c r="N318">
        <v>3500</v>
      </c>
      <c r="O318">
        <v>192</v>
      </c>
      <c r="P318">
        <v>151</v>
      </c>
      <c r="Q318">
        <v>0</v>
      </c>
      <c r="R318">
        <v>1766894573</v>
      </c>
      <c r="S318">
        <v>7166400.7300000004</v>
      </c>
      <c r="T318">
        <v>1745426999.03</v>
      </c>
      <c r="U318">
        <v>1759728172.27</v>
      </c>
      <c r="V318">
        <v>9.2918000000000001E-2</v>
      </c>
      <c r="W318">
        <v>0</v>
      </c>
    </row>
    <row r="319" spans="1:23" x14ac:dyDescent="0.35">
      <c r="A319" t="s">
        <v>3</v>
      </c>
      <c r="B319">
        <v>6750</v>
      </c>
      <c r="C319">
        <v>216</v>
      </c>
      <c r="D319">
        <v>11</v>
      </c>
      <c r="E319">
        <v>0</v>
      </c>
      <c r="F319">
        <v>60698556</v>
      </c>
      <c r="G319">
        <v>264945.08</v>
      </c>
      <c r="H319">
        <v>60433610.920000002</v>
      </c>
      <c r="I319">
        <v>60433610.920000002</v>
      </c>
      <c r="J319">
        <v>0</v>
      </c>
      <c r="K319">
        <v>0</v>
      </c>
      <c r="M319" t="s">
        <v>2</v>
      </c>
      <c r="N319">
        <v>6000</v>
      </c>
      <c r="O319">
        <v>192</v>
      </c>
      <c r="P319">
        <v>14</v>
      </c>
      <c r="Q319">
        <v>0</v>
      </c>
      <c r="R319">
        <v>73649508</v>
      </c>
      <c r="S319">
        <v>283924.90999999997</v>
      </c>
      <c r="T319">
        <v>73365583.090000004</v>
      </c>
      <c r="U319">
        <v>73365583.090000004</v>
      </c>
      <c r="V319">
        <v>0</v>
      </c>
      <c r="W319">
        <v>0</v>
      </c>
    </row>
    <row r="320" spans="1:23" x14ac:dyDescent="0.35">
      <c r="A320" t="s">
        <v>2</v>
      </c>
      <c r="B320">
        <v>7250</v>
      </c>
      <c r="C320">
        <v>216</v>
      </c>
      <c r="D320">
        <v>110</v>
      </c>
      <c r="E320">
        <v>0</v>
      </c>
      <c r="F320">
        <v>443808252</v>
      </c>
      <c r="G320">
        <v>1857119.81</v>
      </c>
      <c r="H320">
        <v>437451432.49000001</v>
      </c>
      <c r="I320">
        <v>441951132.19</v>
      </c>
      <c r="J320">
        <v>0.115106</v>
      </c>
      <c r="K320">
        <v>0</v>
      </c>
      <c r="M320" t="s">
        <v>3</v>
      </c>
      <c r="N320">
        <v>6750</v>
      </c>
      <c r="O320">
        <v>216</v>
      </c>
      <c r="P320">
        <v>11</v>
      </c>
      <c r="Q320">
        <v>0</v>
      </c>
      <c r="R320">
        <v>61031004</v>
      </c>
      <c r="S320">
        <v>263771.33</v>
      </c>
      <c r="T320">
        <v>60767232.670000002</v>
      </c>
      <c r="U320">
        <v>60767232.670000002</v>
      </c>
      <c r="V320">
        <v>0</v>
      </c>
      <c r="W320">
        <v>0</v>
      </c>
    </row>
    <row r="321" spans="1:23" x14ac:dyDescent="0.35">
      <c r="A321" t="s">
        <v>2</v>
      </c>
      <c r="B321">
        <v>4000</v>
      </c>
      <c r="C321">
        <v>216</v>
      </c>
      <c r="D321">
        <v>3</v>
      </c>
      <c r="E321">
        <v>0</v>
      </c>
      <c r="F321">
        <v>18367402</v>
      </c>
      <c r="G321">
        <v>87054.24</v>
      </c>
      <c r="H321">
        <v>18280347.760000002</v>
      </c>
      <c r="I321">
        <v>18280347.760000002</v>
      </c>
      <c r="J321">
        <v>0</v>
      </c>
      <c r="K321">
        <v>0</v>
      </c>
      <c r="M321" t="s">
        <v>2</v>
      </c>
      <c r="N321">
        <v>7250</v>
      </c>
      <c r="O321">
        <v>216</v>
      </c>
      <c r="P321">
        <v>110</v>
      </c>
      <c r="Q321">
        <v>0</v>
      </c>
      <c r="R321">
        <v>446044919</v>
      </c>
      <c r="S321">
        <v>1847626.46</v>
      </c>
      <c r="T321">
        <v>444197292.54000002</v>
      </c>
      <c r="U321">
        <v>444197292.54000002</v>
      </c>
      <c r="V321">
        <v>0</v>
      </c>
      <c r="W321">
        <v>0</v>
      </c>
    </row>
    <row r="322" spans="1:23" x14ac:dyDescent="0.35">
      <c r="A322" t="s">
        <v>1</v>
      </c>
      <c r="B322">
        <v>7250</v>
      </c>
      <c r="C322">
        <v>216</v>
      </c>
      <c r="D322">
        <v>12</v>
      </c>
      <c r="E322">
        <v>0</v>
      </c>
      <c r="F322">
        <v>67469456</v>
      </c>
      <c r="G322">
        <v>282090.33</v>
      </c>
      <c r="H322">
        <v>67187365.670000002</v>
      </c>
      <c r="I322">
        <v>67187365.670000002</v>
      </c>
      <c r="J322">
        <v>0</v>
      </c>
      <c r="K322">
        <v>0</v>
      </c>
      <c r="M322" t="s">
        <v>2</v>
      </c>
      <c r="N322">
        <v>4000</v>
      </c>
      <c r="O322">
        <v>216</v>
      </c>
      <c r="P322">
        <v>3</v>
      </c>
      <c r="Q322">
        <v>0</v>
      </c>
      <c r="R322">
        <v>18486781</v>
      </c>
      <c r="S322">
        <v>86928.22</v>
      </c>
      <c r="T322">
        <v>18399852.780000001</v>
      </c>
      <c r="U322">
        <v>18399852.780000001</v>
      </c>
      <c r="V322">
        <v>0</v>
      </c>
      <c r="W322">
        <v>0</v>
      </c>
    </row>
    <row r="323" spans="1:23" x14ac:dyDescent="0.35">
      <c r="A323" t="s">
        <v>2</v>
      </c>
      <c r="B323">
        <v>4750</v>
      </c>
      <c r="C323">
        <v>240</v>
      </c>
      <c r="D323">
        <v>6</v>
      </c>
      <c r="E323">
        <v>0</v>
      </c>
      <c r="F323">
        <v>32539019</v>
      </c>
      <c r="G323">
        <v>197203.83</v>
      </c>
      <c r="H323">
        <v>32341815.170000002</v>
      </c>
      <c r="I323">
        <v>32341815.170000002</v>
      </c>
      <c r="J323">
        <v>0</v>
      </c>
      <c r="K323">
        <v>0</v>
      </c>
      <c r="M323" t="s">
        <v>1</v>
      </c>
      <c r="N323">
        <v>7250</v>
      </c>
      <c r="O323">
        <v>216</v>
      </c>
      <c r="P323">
        <v>12</v>
      </c>
      <c r="Q323">
        <v>0</v>
      </c>
      <c r="R323">
        <v>67764155</v>
      </c>
      <c r="S323">
        <v>280462</v>
      </c>
      <c r="T323">
        <v>67483693</v>
      </c>
      <c r="U323">
        <v>67483693</v>
      </c>
      <c r="V323">
        <v>0</v>
      </c>
      <c r="W323">
        <v>0</v>
      </c>
    </row>
    <row r="324" spans="1:23" x14ac:dyDescent="0.35">
      <c r="A324" t="s">
        <v>2</v>
      </c>
      <c r="B324">
        <v>5000</v>
      </c>
      <c r="C324">
        <v>360</v>
      </c>
      <c r="D324">
        <v>2</v>
      </c>
      <c r="E324">
        <v>0</v>
      </c>
      <c r="F324">
        <v>1970739</v>
      </c>
      <c r="G324">
        <v>66001.34</v>
      </c>
      <c r="H324">
        <v>1904737.66</v>
      </c>
      <c r="I324">
        <v>1904737.66</v>
      </c>
      <c r="J324">
        <v>0</v>
      </c>
      <c r="K324">
        <v>0</v>
      </c>
      <c r="M324" t="s">
        <v>2</v>
      </c>
      <c r="N324">
        <v>4750</v>
      </c>
      <c r="O324">
        <v>240</v>
      </c>
      <c r="P324">
        <v>6</v>
      </c>
      <c r="Q324">
        <v>0</v>
      </c>
      <c r="R324">
        <v>32821996</v>
      </c>
      <c r="S324">
        <v>196965.52</v>
      </c>
      <c r="T324">
        <v>32625030.48</v>
      </c>
      <c r="U324">
        <v>32625030.48</v>
      </c>
      <c r="V324">
        <v>0</v>
      </c>
      <c r="W324">
        <v>0</v>
      </c>
    </row>
    <row r="325" spans="1:23" x14ac:dyDescent="0.35">
      <c r="A325" t="s">
        <v>3</v>
      </c>
      <c r="B325">
        <v>5500</v>
      </c>
      <c r="C325">
        <v>192</v>
      </c>
      <c r="D325">
        <v>54</v>
      </c>
      <c r="E325">
        <v>0</v>
      </c>
      <c r="F325">
        <v>377090137</v>
      </c>
      <c r="G325">
        <v>1464297.7</v>
      </c>
      <c r="H325">
        <v>369191271.16000003</v>
      </c>
      <c r="I325">
        <v>369191271.16000003</v>
      </c>
      <c r="J325">
        <v>0.18659999999999999</v>
      </c>
      <c r="K325">
        <v>0.18659999999999999</v>
      </c>
      <c r="M325" t="s">
        <v>2</v>
      </c>
      <c r="N325">
        <v>5000</v>
      </c>
      <c r="O325">
        <v>360</v>
      </c>
      <c r="P325">
        <v>2</v>
      </c>
      <c r="Q325">
        <v>0</v>
      </c>
      <c r="R325">
        <v>2052642</v>
      </c>
      <c r="S325">
        <v>66193.36</v>
      </c>
      <c r="T325">
        <v>1986448.64</v>
      </c>
      <c r="U325">
        <v>1986448.64</v>
      </c>
      <c r="V325">
        <v>0</v>
      </c>
      <c r="W325">
        <v>0</v>
      </c>
    </row>
    <row r="326" spans="1:23" x14ac:dyDescent="0.35">
      <c r="A326" t="s">
        <v>3</v>
      </c>
      <c r="B326">
        <v>4000</v>
      </c>
      <c r="C326">
        <v>192</v>
      </c>
      <c r="D326">
        <v>150</v>
      </c>
      <c r="E326">
        <v>0</v>
      </c>
      <c r="F326">
        <v>1461383412</v>
      </c>
      <c r="G326">
        <v>5616613.1699999999</v>
      </c>
      <c r="H326">
        <v>1427996415.6600001</v>
      </c>
      <c r="I326">
        <v>1455766798.8299999</v>
      </c>
      <c r="J326">
        <v>0.205648</v>
      </c>
      <c r="K326">
        <v>0</v>
      </c>
      <c r="M326" t="s">
        <v>3</v>
      </c>
      <c r="N326">
        <v>5500</v>
      </c>
      <c r="O326">
        <v>192</v>
      </c>
      <c r="P326">
        <v>60</v>
      </c>
      <c r="Q326">
        <v>0</v>
      </c>
      <c r="R326">
        <v>423643762</v>
      </c>
      <c r="S326">
        <v>1637396.37</v>
      </c>
      <c r="T326">
        <v>422006365.63</v>
      </c>
      <c r="U326">
        <v>422006365.63</v>
      </c>
      <c r="V326">
        <v>0</v>
      </c>
      <c r="W326">
        <v>0</v>
      </c>
    </row>
    <row r="327" spans="1:23" x14ac:dyDescent="0.35">
      <c r="A327" t="s">
        <v>3</v>
      </c>
      <c r="B327">
        <v>4000</v>
      </c>
      <c r="C327">
        <v>168</v>
      </c>
      <c r="D327">
        <v>248</v>
      </c>
      <c r="E327">
        <v>0</v>
      </c>
      <c r="F327">
        <v>2415682943</v>
      </c>
      <c r="G327">
        <v>8481012.8699999992</v>
      </c>
      <c r="H327">
        <v>2402128764.25</v>
      </c>
      <c r="I327">
        <v>2407201930.1300001</v>
      </c>
      <c r="J327">
        <v>2.4912E-2</v>
      </c>
      <c r="K327">
        <v>0</v>
      </c>
      <c r="M327" t="s">
        <v>3</v>
      </c>
      <c r="N327">
        <v>4000</v>
      </c>
      <c r="O327">
        <v>192</v>
      </c>
      <c r="P327">
        <v>109</v>
      </c>
      <c r="Q327">
        <v>0</v>
      </c>
      <c r="R327">
        <v>1056776832</v>
      </c>
      <c r="S327">
        <v>4057374.28</v>
      </c>
      <c r="T327">
        <v>1052719457.72</v>
      </c>
      <c r="U327">
        <v>1052719457.72</v>
      </c>
      <c r="V327">
        <v>0</v>
      </c>
      <c r="W327">
        <v>0</v>
      </c>
    </row>
    <row r="328" spans="1:23" x14ac:dyDescent="0.35">
      <c r="A328" t="s">
        <v>3</v>
      </c>
      <c r="B328">
        <v>3500</v>
      </c>
      <c r="C328">
        <v>168</v>
      </c>
      <c r="D328">
        <v>289</v>
      </c>
      <c r="E328">
        <v>0</v>
      </c>
      <c r="F328">
        <v>3121285741</v>
      </c>
      <c r="G328">
        <v>11547672.859999999</v>
      </c>
      <c r="H328">
        <v>3099065226.3200002</v>
      </c>
      <c r="I328">
        <v>3109738068.1399999</v>
      </c>
      <c r="J328">
        <v>4.027E-2</v>
      </c>
      <c r="K328">
        <v>0</v>
      </c>
      <c r="M328" t="s">
        <v>3</v>
      </c>
      <c r="N328">
        <v>4000</v>
      </c>
      <c r="O328">
        <v>168</v>
      </c>
      <c r="P328">
        <v>275</v>
      </c>
      <c r="Q328">
        <v>0</v>
      </c>
      <c r="R328">
        <v>2649064367</v>
      </c>
      <c r="S328">
        <v>9411007.4299999997</v>
      </c>
      <c r="T328">
        <v>2619573528.52</v>
      </c>
      <c r="U328">
        <v>2639653359.5700002</v>
      </c>
      <c r="V328">
        <v>8.7262000000000006E-2</v>
      </c>
      <c r="W328">
        <v>0</v>
      </c>
    </row>
    <row r="329" spans="1:23" x14ac:dyDescent="0.35">
      <c r="A329" t="s">
        <v>1</v>
      </c>
      <c r="B329">
        <v>6000</v>
      </c>
      <c r="C329">
        <v>192</v>
      </c>
      <c r="D329">
        <v>23</v>
      </c>
      <c r="E329">
        <v>0</v>
      </c>
      <c r="F329">
        <v>163815957</v>
      </c>
      <c r="G329">
        <v>589742.6</v>
      </c>
      <c r="H329">
        <v>163226214.40000001</v>
      </c>
      <c r="I329">
        <v>163226214.40000001</v>
      </c>
      <c r="J329">
        <v>0</v>
      </c>
      <c r="K329">
        <v>0</v>
      </c>
      <c r="M329" t="s">
        <v>3</v>
      </c>
      <c r="N329">
        <v>3500</v>
      </c>
      <c r="O329">
        <v>168</v>
      </c>
      <c r="P329">
        <v>289</v>
      </c>
      <c r="Q329">
        <v>0</v>
      </c>
      <c r="R329">
        <v>3134311939</v>
      </c>
      <c r="S329">
        <v>11520028.84</v>
      </c>
      <c r="T329">
        <v>3122791910.1599998</v>
      </c>
      <c r="U329">
        <v>3122791910.1599998</v>
      </c>
      <c r="V329">
        <v>0</v>
      </c>
      <c r="W329">
        <v>0</v>
      </c>
    </row>
    <row r="330" spans="1:23" x14ac:dyDescent="0.35">
      <c r="A330" t="s">
        <v>1</v>
      </c>
      <c r="B330">
        <v>5250</v>
      </c>
      <c r="C330">
        <v>192</v>
      </c>
      <c r="D330">
        <v>1264</v>
      </c>
      <c r="E330">
        <v>0</v>
      </c>
      <c r="F330">
        <v>10176145636</v>
      </c>
      <c r="G330">
        <v>39777160.560000002</v>
      </c>
      <c r="H330">
        <v>10098920016.24</v>
      </c>
      <c r="I330">
        <v>10136368475.440001</v>
      </c>
      <c r="J330">
        <v>4.3277000000000003E-2</v>
      </c>
      <c r="K330">
        <v>0</v>
      </c>
      <c r="M330" t="s">
        <v>1</v>
      </c>
      <c r="N330">
        <v>6500</v>
      </c>
      <c r="O330">
        <v>192</v>
      </c>
      <c r="P330">
        <v>2</v>
      </c>
      <c r="Q330">
        <v>0</v>
      </c>
      <c r="R330">
        <v>18834464</v>
      </c>
      <c r="S330">
        <v>65419.37</v>
      </c>
      <c r="T330">
        <v>18769044.629999999</v>
      </c>
      <c r="U330">
        <v>18769044.629999999</v>
      </c>
      <c r="V330">
        <v>0</v>
      </c>
      <c r="W330">
        <v>0</v>
      </c>
    </row>
    <row r="331" spans="1:23" x14ac:dyDescent="0.35">
      <c r="A331" t="s">
        <v>0</v>
      </c>
      <c r="B331">
        <v>4250</v>
      </c>
      <c r="C331">
        <v>216</v>
      </c>
      <c r="D331">
        <v>518</v>
      </c>
      <c r="E331">
        <v>0</v>
      </c>
      <c r="F331">
        <v>4901677196</v>
      </c>
      <c r="G331">
        <v>22782861.039999999</v>
      </c>
      <c r="H331">
        <v>4857828787.7299995</v>
      </c>
      <c r="I331">
        <v>4878894334.96</v>
      </c>
      <c r="J331">
        <v>5.0369999999999998E-2</v>
      </c>
      <c r="K331">
        <v>0</v>
      </c>
      <c r="M331" t="s">
        <v>1</v>
      </c>
      <c r="N331">
        <v>6000</v>
      </c>
      <c r="O331">
        <v>192</v>
      </c>
      <c r="P331">
        <v>27</v>
      </c>
      <c r="Q331">
        <v>0</v>
      </c>
      <c r="R331">
        <v>175420781</v>
      </c>
      <c r="S331">
        <v>629075.78</v>
      </c>
      <c r="T331">
        <v>174791705.22</v>
      </c>
      <c r="U331">
        <v>174791705.22</v>
      </c>
      <c r="V331">
        <v>0</v>
      </c>
      <c r="W331">
        <v>0</v>
      </c>
    </row>
    <row r="332" spans="1:23" x14ac:dyDescent="0.35">
      <c r="A332" t="s">
        <v>0</v>
      </c>
      <c r="B332">
        <v>2500</v>
      </c>
      <c r="C332">
        <v>60</v>
      </c>
      <c r="D332">
        <v>31730</v>
      </c>
      <c r="E332">
        <v>0</v>
      </c>
      <c r="F332">
        <v>814841335151</v>
      </c>
      <c r="G332">
        <v>1956908175.6199999</v>
      </c>
      <c r="H332">
        <v>808716971149.13</v>
      </c>
      <c r="I332">
        <v>812534583299.80005</v>
      </c>
      <c r="J332">
        <v>5.9676E-2</v>
      </c>
      <c r="K332">
        <v>5.1399999999999996E-3</v>
      </c>
      <c r="M332" t="s">
        <v>1</v>
      </c>
      <c r="N332">
        <v>5250</v>
      </c>
      <c r="O332">
        <v>192</v>
      </c>
      <c r="P332">
        <v>1436</v>
      </c>
      <c r="Q332">
        <v>0</v>
      </c>
      <c r="R332">
        <v>11711085602</v>
      </c>
      <c r="S332">
        <v>45651986.539999999</v>
      </c>
      <c r="T332">
        <v>11611802120.41</v>
      </c>
      <c r="U332">
        <v>11654499260.200001</v>
      </c>
      <c r="V332">
        <v>5.3591E-2</v>
      </c>
      <c r="W332">
        <v>1.1147000000000001E-2</v>
      </c>
    </row>
    <row r="333" spans="1:23" x14ac:dyDescent="0.35">
      <c r="A333" t="s">
        <v>2</v>
      </c>
      <c r="B333">
        <v>2500</v>
      </c>
      <c r="C333">
        <v>60</v>
      </c>
      <c r="D333">
        <v>3064</v>
      </c>
      <c r="E333">
        <v>0</v>
      </c>
      <c r="F333">
        <v>55334179902</v>
      </c>
      <c r="G333">
        <v>132141433.88</v>
      </c>
      <c r="H333">
        <v>54905533445.459999</v>
      </c>
      <c r="I333">
        <v>55180534201.989998</v>
      </c>
      <c r="J333">
        <v>6.2440000000000002E-2</v>
      </c>
      <c r="K333">
        <v>4.6540000000000002E-3</v>
      </c>
      <c r="M333" t="s">
        <v>0</v>
      </c>
      <c r="N333">
        <v>4250</v>
      </c>
      <c r="O333">
        <v>216</v>
      </c>
      <c r="P333">
        <v>475</v>
      </c>
      <c r="Q333">
        <v>0</v>
      </c>
      <c r="R333">
        <v>4514399853</v>
      </c>
      <c r="S333">
        <v>20920024.469999999</v>
      </c>
      <c r="T333">
        <v>4493103309.4899998</v>
      </c>
      <c r="U333">
        <v>4493479828.5299997</v>
      </c>
      <c r="V333">
        <v>1E-3</v>
      </c>
      <c r="W333">
        <v>0</v>
      </c>
    </row>
    <row r="334" spans="1:23" x14ac:dyDescent="0.35">
      <c r="A334" t="s">
        <v>0</v>
      </c>
      <c r="B334">
        <v>4750</v>
      </c>
      <c r="C334">
        <v>216</v>
      </c>
      <c r="D334">
        <v>6809</v>
      </c>
      <c r="E334">
        <v>0</v>
      </c>
      <c r="F334">
        <v>62488436250</v>
      </c>
      <c r="G334">
        <v>279301423.66000003</v>
      </c>
      <c r="H334">
        <v>61925660735.639999</v>
      </c>
      <c r="I334">
        <v>62209134826.339996</v>
      </c>
      <c r="J334">
        <v>5.3099E-2</v>
      </c>
      <c r="K334">
        <v>0</v>
      </c>
      <c r="M334" t="s">
        <v>0</v>
      </c>
      <c r="N334">
        <v>2500</v>
      </c>
      <c r="O334">
        <v>60</v>
      </c>
      <c r="P334">
        <v>37182</v>
      </c>
      <c r="Q334">
        <v>0</v>
      </c>
      <c r="R334">
        <v>930930101305</v>
      </c>
      <c r="S334">
        <v>2247373908.1199999</v>
      </c>
      <c r="T334">
        <v>924846974145.70996</v>
      </c>
      <c r="U334">
        <v>928468654445.92004</v>
      </c>
      <c r="V334">
        <v>4.8339E-2</v>
      </c>
      <c r="W334">
        <v>2.7560000000000002E-3</v>
      </c>
    </row>
    <row r="335" spans="1:23" x14ac:dyDescent="0.35">
      <c r="A335" t="s">
        <v>1</v>
      </c>
      <c r="B335">
        <v>4750</v>
      </c>
      <c r="C335">
        <v>216</v>
      </c>
      <c r="D335">
        <v>1133</v>
      </c>
      <c r="E335">
        <v>0</v>
      </c>
      <c r="F335">
        <v>11347735436</v>
      </c>
      <c r="G335">
        <v>50650835.799999997</v>
      </c>
      <c r="H335">
        <v>11256513030.48</v>
      </c>
      <c r="I335">
        <v>11284058308.24</v>
      </c>
      <c r="J335">
        <v>4.2070000000000003E-2</v>
      </c>
      <c r="K335">
        <v>1.3688000000000001E-2</v>
      </c>
      <c r="M335" t="s">
        <v>2</v>
      </c>
      <c r="N335">
        <v>2500</v>
      </c>
      <c r="O335">
        <v>60</v>
      </c>
      <c r="P335">
        <v>3861</v>
      </c>
      <c r="Q335">
        <v>0</v>
      </c>
      <c r="R335">
        <v>67854758863</v>
      </c>
      <c r="S335">
        <v>162617084.08000001</v>
      </c>
      <c r="T335">
        <v>67302001320.419998</v>
      </c>
      <c r="U335">
        <v>67662709100.129997</v>
      </c>
      <c r="V335">
        <v>6.6854999999999998E-2</v>
      </c>
      <c r="W335">
        <v>5.1929999999999997E-3</v>
      </c>
    </row>
    <row r="336" spans="1:23" x14ac:dyDescent="0.35">
      <c r="A336" t="s">
        <v>2</v>
      </c>
      <c r="B336">
        <v>4750</v>
      </c>
      <c r="C336">
        <v>216</v>
      </c>
      <c r="D336">
        <v>383</v>
      </c>
      <c r="E336">
        <v>0</v>
      </c>
      <c r="F336">
        <v>2898035984</v>
      </c>
      <c r="G336">
        <v>12977076.49</v>
      </c>
      <c r="H336">
        <v>2885058907.5100002</v>
      </c>
      <c r="I336">
        <v>2885058907.5100002</v>
      </c>
      <c r="J336">
        <v>0</v>
      </c>
      <c r="K336">
        <v>0</v>
      </c>
      <c r="M336" t="s">
        <v>2</v>
      </c>
      <c r="N336">
        <v>5250</v>
      </c>
      <c r="O336">
        <v>192</v>
      </c>
      <c r="P336">
        <v>3500</v>
      </c>
      <c r="Q336">
        <v>0</v>
      </c>
      <c r="R336">
        <v>23734568308</v>
      </c>
      <c r="S336">
        <v>91135457.620000005</v>
      </c>
      <c r="T336">
        <v>23498703429.75</v>
      </c>
      <c r="U336">
        <v>23639558046.959999</v>
      </c>
      <c r="V336">
        <v>7.0768999999999999E-2</v>
      </c>
      <c r="W336">
        <v>1.957E-3</v>
      </c>
    </row>
    <row r="337" spans="1:23" x14ac:dyDescent="0.35">
      <c r="A337" t="s">
        <v>2</v>
      </c>
      <c r="B337">
        <v>4250</v>
      </c>
      <c r="C337">
        <v>216</v>
      </c>
      <c r="D337">
        <v>20</v>
      </c>
      <c r="E337">
        <v>0</v>
      </c>
      <c r="F337">
        <v>199730497</v>
      </c>
      <c r="G337">
        <v>922058.3</v>
      </c>
      <c r="H337">
        <v>198808438.69999999</v>
      </c>
      <c r="I337">
        <v>198808438.69999999</v>
      </c>
      <c r="J337">
        <v>0</v>
      </c>
      <c r="K337">
        <v>0</v>
      </c>
      <c r="M337" t="s">
        <v>2</v>
      </c>
      <c r="N337">
        <v>5750</v>
      </c>
      <c r="O337">
        <v>192</v>
      </c>
      <c r="P337">
        <v>84</v>
      </c>
      <c r="Q337">
        <v>0</v>
      </c>
      <c r="R337">
        <v>465938252</v>
      </c>
      <c r="S337">
        <v>1795527.61</v>
      </c>
      <c r="T337">
        <v>464142724.38999999</v>
      </c>
      <c r="U337">
        <v>464142724.38999999</v>
      </c>
      <c r="V337">
        <v>0</v>
      </c>
      <c r="W337">
        <v>0</v>
      </c>
    </row>
    <row r="338" spans="1:23" x14ac:dyDescent="0.35">
      <c r="A338" t="s">
        <v>2</v>
      </c>
      <c r="B338">
        <v>5250</v>
      </c>
      <c r="C338">
        <v>192</v>
      </c>
      <c r="D338">
        <v>3025</v>
      </c>
      <c r="E338">
        <v>0</v>
      </c>
      <c r="F338">
        <v>20186209265</v>
      </c>
      <c r="G338">
        <v>77444271.879999995</v>
      </c>
      <c r="H338">
        <v>19995043443.889999</v>
      </c>
      <c r="I338">
        <v>20097890531.200001</v>
      </c>
      <c r="J338">
        <v>6.5547999999999995E-2</v>
      </c>
      <c r="K338">
        <v>6.4450000000000002E-3</v>
      </c>
      <c r="M338" t="s">
        <v>1</v>
      </c>
      <c r="N338">
        <v>4750</v>
      </c>
      <c r="O338">
        <v>216</v>
      </c>
      <c r="P338">
        <v>1036</v>
      </c>
      <c r="Q338">
        <v>0</v>
      </c>
      <c r="R338">
        <v>10466155436</v>
      </c>
      <c r="S338">
        <v>46568071.32</v>
      </c>
      <c r="T338">
        <v>10380165192.280001</v>
      </c>
      <c r="U338">
        <v>10419587364.68</v>
      </c>
      <c r="V338">
        <v>4.4275000000000002E-2</v>
      </c>
      <c r="W338">
        <v>0</v>
      </c>
    </row>
    <row r="339" spans="1:23" x14ac:dyDescent="0.35">
      <c r="A339" t="s">
        <v>1</v>
      </c>
      <c r="B339">
        <v>6500</v>
      </c>
      <c r="C339">
        <v>192</v>
      </c>
      <c r="D339">
        <v>1</v>
      </c>
      <c r="E339">
        <v>0</v>
      </c>
      <c r="F339">
        <v>8997163</v>
      </c>
      <c r="G339">
        <v>29640.32</v>
      </c>
      <c r="H339">
        <v>8967522.6799999997</v>
      </c>
      <c r="I339">
        <v>8967522.6799999997</v>
      </c>
      <c r="J339">
        <v>0</v>
      </c>
      <c r="K339">
        <v>0</v>
      </c>
      <c r="M339" t="s">
        <v>1</v>
      </c>
      <c r="N339">
        <v>3750</v>
      </c>
      <c r="O339">
        <v>192</v>
      </c>
      <c r="P339">
        <v>5772</v>
      </c>
      <c r="Q339">
        <v>0</v>
      </c>
      <c r="R339">
        <v>71707797284</v>
      </c>
      <c r="S339">
        <v>279014087.56</v>
      </c>
      <c r="T339">
        <v>71040652159.169998</v>
      </c>
      <c r="U339">
        <v>71423640223.399994</v>
      </c>
      <c r="V339">
        <v>6.3052999999999998E-2</v>
      </c>
      <c r="W339">
        <v>8.5999999999999998E-4</v>
      </c>
    </row>
    <row r="340" spans="1:23" x14ac:dyDescent="0.35">
      <c r="A340" t="s">
        <v>1</v>
      </c>
      <c r="B340">
        <v>3750</v>
      </c>
      <c r="C340">
        <v>192</v>
      </c>
      <c r="D340">
        <v>7904</v>
      </c>
      <c r="E340">
        <v>0</v>
      </c>
      <c r="F340">
        <v>98049028051</v>
      </c>
      <c r="G340">
        <v>382017385.19999999</v>
      </c>
      <c r="H340">
        <v>96849321204.550003</v>
      </c>
      <c r="I340">
        <v>97651444778.679993</v>
      </c>
      <c r="J340">
        <v>9.5610000000000001E-2</v>
      </c>
      <c r="K340">
        <v>1.903E-3</v>
      </c>
      <c r="M340" t="s">
        <v>2</v>
      </c>
      <c r="N340">
        <v>3750</v>
      </c>
      <c r="O340">
        <v>192</v>
      </c>
      <c r="P340">
        <v>1854</v>
      </c>
      <c r="Q340">
        <v>0</v>
      </c>
      <c r="R340">
        <v>15577741517</v>
      </c>
      <c r="S340">
        <v>60693108.369999997</v>
      </c>
      <c r="T340">
        <v>15436891038.52</v>
      </c>
      <c r="U340">
        <v>15508322940.83</v>
      </c>
      <c r="V340">
        <v>6.003E-2</v>
      </c>
      <c r="W340">
        <v>6.7010000000000004E-3</v>
      </c>
    </row>
    <row r="341" spans="1:23" x14ac:dyDescent="0.35">
      <c r="A341" t="s">
        <v>2</v>
      </c>
      <c r="B341">
        <v>3750</v>
      </c>
      <c r="C341">
        <v>192</v>
      </c>
      <c r="D341">
        <v>2677</v>
      </c>
      <c r="E341">
        <v>0</v>
      </c>
      <c r="F341">
        <v>22415541652</v>
      </c>
      <c r="G341">
        <v>87342133.189999998</v>
      </c>
      <c r="H341">
        <v>22135748509.25</v>
      </c>
      <c r="I341">
        <v>22328199518.810001</v>
      </c>
      <c r="J341">
        <v>9.8298999999999997E-2</v>
      </c>
      <c r="K341">
        <v>0</v>
      </c>
      <c r="M341" t="s">
        <v>1</v>
      </c>
      <c r="N341">
        <v>3000</v>
      </c>
      <c r="O341">
        <v>192</v>
      </c>
      <c r="P341">
        <v>6</v>
      </c>
      <c r="Q341">
        <v>0</v>
      </c>
      <c r="R341">
        <v>48828911</v>
      </c>
      <c r="S341">
        <v>217333.61</v>
      </c>
      <c r="T341">
        <v>48611577.390000001</v>
      </c>
      <c r="U341">
        <v>48611577.390000001</v>
      </c>
      <c r="V341">
        <v>0</v>
      </c>
      <c r="W341">
        <v>0</v>
      </c>
    </row>
    <row r="342" spans="1:23" x14ac:dyDescent="0.35">
      <c r="A342" t="s">
        <v>1</v>
      </c>
      <c r="B342">
        <v>3000</v>
      </c>
      <c r="C342">
        <v>192</v>
      </c>
      <c r="D342">
        <v>8</v>
      </c>
      <c r="E342">
        <v>0</v>
      </c>
      <c r="F342">
        <v>70970512</v>
      </c>
      <c r="G342">
        <v>309443.59999999998</v>
      </c>
      <c r="H342">
        <v>70661068.400000006</v>
      </c>
      <c r="I342">
        <v>70661068.400000006</v>
      </c>
      <c r="J342">
        <v>0</v>
      </c>
      <c r="K342">
        <v>0</v>
      </c>
      <c r="M342" t="s">
        <v>2</v>
      </c>
      <c r="N342">
        <v>3250</v>
      </c>
      <c r="O342">
        <v>192</v>
      </c>
      <c r="P342">
        <v>20</v>
      </c>
      <c r="Q342">
        <v>0</v>
      </c>
      <c r="R342">
        <v>136628062</v>
      </c>
      <c r="S342">
        <v>568449.93999999994</v>
      </c>
      <c r="T342">
        <v>136059612.06</v>
      </c>
      <c r="U342">
        <v>136059612.06</v>
      </c>
      <c r="V342">
        <v>0</v>
      </c>
      <c r="W342">
        <v>0</v>
      </c>
    </row>
    <row r="343" spans="1:23" x14ac:dyDescent="0.35">
      <c r="A343" t="s">
        <v>2</v>
      </c>
      <c r="B343">
        <v>3250</v>
      </c>
      <c r="C343">
        <v>192</v>
      </c>
      <c r="D343">
        <v>22</v>
      </c>
      <c r="E343">
        <v>0</v>
      </c>
      <c r="F343">
        <v>153318347</v>
      </c>
      <c r="G343">
        <v>639081.27</v>
      </c>
      <c r="H343">
        <v>152679265.72999999</v>
      </c>
      <c r="I343">
        <v>152679265.72999999</v>
      </c>
      <c r="J343">
        <v>0</v>
      </c>
      <c r="K343">
        <v>0</v>
      </c>
      <c r="M343" t="s">
        <v>3</v>
      </c>
      <c r="N343">
        <v>4750</v>
      </c>
      <c r="O343">
        <v>192</v>
      </c>
      <c r="P343">
        <v>184</v>
      </c>
      <c r="Q343">
        <v>0</v>
      </c>
      <c r="R343">
        <v>1709645289</v>
      </c>
      <c r="S343">
        <v>6598496.4699999997</v>
      </c>
      <c r="T343">
        <v>1703046792.53</v>
      </c>
      <c r="U343">
        <v>1703046792.53</v>
      </c>
      <c r="V343">
        <v>0</v>
      </c>
      <c r="W343">
        <v>0</v>
      </c>
    </row>
    <row r="344" spans="1:23" x14ac:dyDescent="0.35">
      <c r="A344" t="s">
        <v>3</v>
      </c>
      <c r="B344">
        <v>4750</v>
      </c>
      <c r="C344">
        <v>192</v>
      </c>
      <c r="D344">
        <v>181</v>
      </c>
      <c r="E344">
        <v>0</v>
      </c>
      <c r="F344">
        <v>1677877802</v>
      </c>
      <c r="G344">
        <v>6518628.4500000002</v>
      </c>
      <c r="H344">
        <v>1671359173.55</v>
      </c>
      <c r="I344">
        <v>1671359173.55</v>
      </c>
      <c r="J344">
        <v>0</v>
      </c>
      <c r="K344">
        <v>0</v>
      </c>
      <c r="M344" t="s">
        <v>2</v>
      </c>
      <c r="N344">
        <v>3000</v>
      </c>
      <c r="O344">
        <v>60</v>
      </c>
      <c r="P344">
        <v>11250</v>
      </c>
      <c r="Q344">
        <v>0</v>
      </c>
      <c r="R344">
        <v>186323117667</v>
      </c>
      <c r="S344">
        <v>416819776.60000002</v>
      </c>
      <c r="T344">
        <v>184772171151.88</v>
      </c>
      <c r="U344">
        <v>185792218925.22</v>
      </c>
      <c r="V344">
        <v>7.0646E-2</v>
      </c>
      <c r="W344">
        <v>7.3220000000000004E-3</v>
      </c>
    </row>
    <row r="345" spans="1:23" x14ac:dyDescent="0.35">
      <c r="A345" t="s">
        <v>2</v>
      </c>
      <c r="B345">
        <v>3000</v>
      </c>
      <c r="C345">
        <v>60</v>
      </c>
      <c r="D345">
        <v>11357</v>
      </c>
      <c r="E345">
        <v>0</v>
      </c>
      <c r="F345">
        <v>191314746205</v>
      </c>
      <c r="G345">
        <v>427932714.52999997</v>
      </c>
      <c r="H345">
        <v>189569620119.51999</v>
      </c>
      <c r="I345">
        <v>190703245375.19</v>
      </c>
      <c r="J345">
        <v>7.9561999999999994E-2</v>
      </c>
      <c r="K345">
        <v>1.1454000000000001E-2</v>
      </c>
      <c r="M345" t="s">
        <v>0</v>
      </c>
      <c r="N345">
        <v>3000</v>
      </c>
      <c r="O345">
        <v>60</v>
      </c>
      <c r="P345">
        <v>133545</v>
      </c>
      <c r="Q345">
        <v>0</v>
      </c>
      <c r="R345">
        <v>2887362133474</v>
      </c>
      <c r="S345">
        <v>6471378576.0200005</v>
      </c>
      <c r="T345">
        <v>2867042676927.6802</v>
      </c>
      <c r="U345">
        <v>2879312886758.4102</v>
      </c>
      <c r="V345">
        <v>5.6058999999999998E-2</v>
      </c>
      <c r="W345">
        <v>6.5380000000000004E-3</v>
      </c>
    </row>
    <row r="346" spans="1:23" x14ac:dyDescent="0.35">
      <c r="A346" t="s">
        <v>2</v>
      </c>
      <c r="B346">
        <v>3000</v>
      </c>
      <c r="C346">
        <v>72</v>
      </c>
      <c r="D346">
        <v>20098</v>
      </c>
      <c r="E346">
        <v>0</v>
      </c>
      <c r="F346">
        <v>308137403040</v>
      </c>
      <c r="G346">
        <v>718709330.59000003</v>
      </c>
      <c r="H346">
        <v>305599701239.16998</v>
      </c>
      <c r="I346">
        <v>307307607365.64001</v>
      </c>
      <c r="J346">
        <v>6.8583000000000005E-2</v>
      </c>
      <c r="K346">
        <v>4.3179999999999998E-3</v>
      </c>
      <c r="M346" t="s">
        <v>1</v>
      </c>
      <c r="N346">
        <v>3250</v>
      </c>
      <c r="O346">
        <v>192</v>
      </c>
      <c r="P346">
        <v>30</v>
      </c>
      <c r="Q346">
        <v>0</v>
      </c>
      <c r="R346">
        <v>315337412</v>
      </c>
      <c r="S346">
        <v>1283734.46</v>
      </c>
      <c r="T346">
        <v>314053677.54000002</v>
      </c>
      <c r="U346">
        <v>314053677.54000002</v>
      </c>
      <c r="V346">
        <v>0</v>
      </c>
      <c r="W346">
        <v>0</v>
      </c>
    </row>
    <row r="347" spans="1:23" x14ac:dyDescent="0.35">
      <c r="A347" t="s">
        <v>0</v>
      </c>
      <c r="B347">
        <v>3000</v>
      </c>
      <c r="C347">
        <v>60</v>
      </c>
      <c r="D347">
        <v>145455</v>
      </c>
      <c r="E347">
        <v>0</v>
      </c>
      <c r="F347">
        <v>3113699977855</v>
      </c>
      <c r="G347">
        <v>6971524282.04</v>
      </c>
      <c r="H347">
        <v>3089531171349.1099</v>
      </c>
      <c r="I347">
        <v>3104640957453.1401</v>
      </c>
      <c r="J347">
        <v>6.4300999999999997E-2</v>
      </c>
      <c r="K347">
        <v>8.0149999999999996E-3</v>
      </c>
      <c r="M347" t="s">
        <v>3</v>
      </c>
      <c r="N347">
        <v>4250</v>
      </c>
      <c r="O347">
        <v>192</v>
      </c>
      <c r="P347">
        <v>216</v>
      </c>
      <c r="Q347">
        <v>0</v>
      </c>
      <c r="R347">
        <v>2376941116</v>
      </c>
      <c r="S347">
        <v>9160857.7400000002</v>
      </c>
      <c r="T347">
        <v>2348668667.98</v>
      </c>
      <c r="U347">
        <v>2367780258.2600002</v>
      </c>
      <c r="V347">
        <v>9.2329999999999995E-2</v>
      </c>
      <c r="W347">
        <v>0</v>
      </c>
    </row>
    <row r="348" spans="1:23" x14ac:dyDescent="0.35">
      <c r="A348" t="s">
        <v>1</v>
      </c>
      <c r="B348">
        <v>3250</v>
      </c>
      <c r="C348">
        <v>192</v>
      </c>
      <c r="D348">
        <v>49</v>
      </c>
      <c r="E348">
        <v>0</v>
      </c>
      <c r="F348">
        <v>557710465</v>
      </c>
      <c r="G348">
        <v>2269416.16</v>
      </c>
      <c r="H348">
        <v>550093265.78999996</v>
      </c>
      <c r="I348">
        <v>555441048.84000003</v>
      </c>
      <c r="J348">
        <v>0.10918700000000001</v>
      </c>
      <c r="K348">
        <v>0</v>
      </c>
      <c r="M348" t="s">
        <v>1</v>
      </c>
      <c r="N348">
        <v>3250</v>
      </c>
      <c r="O348">
        <v>144</v>
      </c>
      <c r="P348">
        <v>9816</v>
      </c>
      <c r="Q348">
        <v>0</v>
      </c>
      <c r="R348">
        <v>165694319232</v>
      </c>
      <c r="S348">
        <v>519492000.23000002</v>
      </c>
      <c r="T348">
        <v>164083687904.48999</v>
      </c>
      <c r="U348">
        <v>165032290296.22</v>
      </c>
      <c r="V348">
        <v>7.6222999999999999E-2</v>
      </c>
      <c r="W348">
        <v>1.0274E-2</v>
      </c>
    </row>
    <row r="349" spans="1:23" x14ac:dyDescent="0.35">
      <c r="A349" t="s">
        <v>3</v>
      </c>
      <c r="B349">
        <v>4250</v>
      </c>
      <c r="C349">
        <v>192</v>
      </c>
      <c r="D349">
        <v>227</v>
      </c>
      <c r="E349">
        <v>0</v>
      </c>
      <c r="F349">
        <v>2484069752</v>
      </c>
      <c r="G349">
        <v>9618609.4499999993</v>
      </c>
      <c r="H349">
        <v>2455275769.3299999</v>
      </c>
      <c r="I349">
        <v>2474451142.5500002</v>
      </c>
      <c r="J349">
        <v>8.8799000000000003E-2</v>
      </c>
      <c r="K349">
        <v>0</v>
      </c>
      <c r="M349" t="s">
        <v>0</v>
      </c>
      <c r="N349">
        <v>3750</v>
      </c>
      <c r="O349">
        <v>144</v>
      </c>
      <c r="P349">
        <v>81572</v>
      </c>
      <c r="Q349">
        <v>0</v>
      </c>
      <c r="R349">
        <v>997267383107</v>
      </c>
      <c r="S349">
        <v>2958590378.1799998</v>
      </c>
      <c r="T349">
        <v>989301030429.03003</v>
      </c>
      <c r="U349">
        <v>993777030113.17004</v>
      </c>
      <c r="V349">
        <v>5.8620999999999999E-2</v>
      </c>
      <c r="W349">
        <v>6.3800000000000003E-3</v>
      </c>
    </row>
    <row r="350" spans="1:23" x14ac:dyDescent="0.35">
      <c r="A350" t="s">
        <v>1</v>
      </c>
      <c r="B350">
        <v>3250</v>
      </c>
      <c r="C350">
        <v>144</v>
      </c>
      <c r="D350">
        <v>11218</v>
      </c>
      <c r="E350">
        <v>0</v>
      </c>
      <c r="F350">
        <v>191286015177</v>
      </c>
      <c r="G350">
        <v>598635886.80999994</v>
      </c>
      <c r="H350">
        <v>189591076384.26999</v>
      </c>
      <c r="I350">
        <v>190599529904.17999</v>
      </c>
      <c r="J350">
        <v>6.6647999999999999E-2</v>
      </c>
      <c r="K350">
        <v>5.4970000000000001E-3</v>
      </c>
      <c r="M350" t="s">
        <v>2</v>
      </c>
      <c r="N350">
        <v>3750</v>
      </c>
      <c r="O350">
        <v>144</v>
      </c>
      <c r="P350">
        <v>14700</v>
      </c>
      <c r="Q350">
        <v>0</v>
      </c>
      <c r="R350">
        <v>149361603974</v>
      </c>
      <c r="S350">
        <v>449067451.37</v>
      </c>
      <c r="T350">
        <v>148230421291.39999</v>
      </c>
      <c r="U350">
        <v>148868202838.98999</v>
      </c>
      <c r="V350">
        <v>5.3447000000000001E-2</v>
      </c>
      <c r="W350">
        <v>3.5560000000000001E-3</v>
      </c>
    </row>
    <row r="351" spans="1:23" x14ac:dyDescent="0.35">
      <c r="A351" t="s">
        <v>0</v>
      </c>
      <c r="B351">
        <v>3750</v>
      </c>
      <c r="C351">
        <v>144</v>
      </c>
      <c r="D351">
        <v>86834</v>
      </c>
      <c r="E351">
        <v>0</v>
      </c>
      <c r="F351">
        <v>1063826140516</v>
      </c>
      <c r="G351">
        <v>3161611975.7199998</v>
      </c>
      <c r="H351">
        <v>1054899734130.27</v>
      </c>
      <c r="I351">
        <v>1060098657790.86</v>
      </c>
      <c r="J351">
        <v>6.3124E-2</v>
      </c>
      <c r="K351">
        <v>6.3639999999999999E-3</v>
      </c>
      <c r="M351" t="s">
        <v>1</v>
      </c>
      <c r="N351">
        <v>3750</v>
      </c>
      <c r="O351">
        <v>144</v>
      </c>
      <c r="P351">
        <v>41124</v>
      </c>
      <c r="Q351">
        <v>0</v>
      </c>
      <c r="R351">
        <v>627081272226</v>
      </c>
      <c r="S351">
        <v>1879946125.3199999</v>
      </c>
      <c r="T351">
        <v>621539125241.68005</v>
      </c>
      <c r="U351">
        <v>625113087727.21997</v>
      </c>
      <c r="V351">
        <v>6.7873000000000003E-2</v>
      </c>
      <c r="W351">
        <v>1.6869999999999999E-3</v>
      </c>
    </row>
    <row r="352" spans="1:23" x14ac:dyDescent="0.35">
      <c r="A352" t="s">
        <v>2</v>
      </c>
      <c r="B352">
        <v>3750</v>
      </c>
      <c r="C352">
        <v>144</v>
      </c>
      <c r="D352">
        <v>15299</v>
      </c>
      <c r="E352">
        <v>0</v>
      </c>
      <c r="F352">
        <v>155212099268</v>
      </c>
      <c r="G352">
        <v>467721976.74000001</v>
      </c>
      <c r="H352">
        <v>154067844968.42999</v>
      </c>
      <c r="I352">
        <v>154735128172.67999</v>
      </c>
      <c r="J352">
        <v>5.1069000000000003E-2</v>
      </c>
      <c r="K352">
        <v>7.1500000000000003E-4</v>
      </c>
      <c r="M352" t="s">
        <v>0</v>
      </c>
      <c r="N352">
        <v>3250</v>
      </c>
      <c r="O352">
        <v>168</v>
      </c>
      <c r="P352">
        <v>79055</v>
      </c>
      <c r="Q352">
        <v>0</v>
      </c>
      <c r="R352">
        <v>885746064226</v>
      </c>
      <c r="S352">
        <v>3295389162.75</v>
      </c>
      <c r="T352">
        <v>879150926416.25</v>
      </c>
      <c r="U352">
        <v>882341115814.65002</v>
      </c>
      <c r="V352">
        <v>4.3799999999999999E-2</v>
      </c>
      <c r="W352">
        <v>1.4829999999999999E-3</v>
      </c>
    </row>
    <row r="353" spans="1:23" x14ac:dyDescent="0.35">
      <c r="A353" t="s">
        <v>1</v>
      </c>
      <c r="B353">
        <v>3750</v>
      </c>
      <c r="C353">
        <v>144</v>
      </c>
      <c r="D353">
        <v>42782</v>
      </c>
      <c r="E353">
        <v>0</v>
      </c>
      <c r="F353">
        <v>651612420460</v>
      </c>
      <c r="G353">
        <v>1957502557.99</v>
      </c>
      <c r="H353">
        <v>645260173043.45996</v>
      </c>
      <c r="I353">
        <v>649401096306.92004</v>
      </c>
      <c r="J353">
        <v>7.7996999999999997E-2</v>
      </c>
      <c r="K353">
        <v>4.6639999999999997E-3</v>
      </c>
      <c r="M353" t="s">
        <v>0</v>
      </c>
      <c r="N353">
        <v>2500</v>
      </c>
      <c r="O353">
        <v>168</v>
      </c>
      <c r="P353">
        <v>243</v>
      </c>
      <c r="Q353">
        <v>0</v>
      </c>
      <c r="R353">
        <v>1813172966</v>
      </c>
      <c r="S353">
        <v>7105268.2000000002</v>
      </c>
      <c r="T353">
        <v>1798202719.9100001</v>
      </c>
      <c r="U353">
        <v>1806067697.8</v>
      </c>
      <c r="V353">
        <v>5.0827999999999998E-2</v>
      </c>
      <c r="W353">
        <v>0</v>
      </c>
    </row>
    <row r="354" spans="1:23" x14ac:dyDescent="0.35">
      <c r="A354" t="s">
        <v>0</v>
      </c>
      <c r="B354">
        <v>3250</v>
      </c>
      <c r="C354">
        <v>168</v>
      </c>
      <c r="D354">
        <v>78767</v>
      </c>
      <c r="E354">
        <v>0</v>
      </c>
      <c r="F354">
        <v>878713347067</v>
      </c>
      <c r="G354">
        <v>3290008137.4299998</v>
      </c>
      <c r="H354">
        <v>871409403427.97998</v>
      </c>
      <c r="I354">
        <v>875311063637.82996</v>
      </c>
      <c r="J354">
        <v>5.3459E-2</v>
      </c>
      <c r="K354">
        <v>1.5319999999999999E-3</v>
      </c>
      <c r="M354" t="s">
        <v>0</v>
      </c>
      <c r="N354">
        <v>2750</v>
      </c>
      <c r="O354">
        <v>192</v>
      </c>
      <c r="P354">
        <v>2</v>
      </c>
      <c r="Q354">
        <v>0</v>
      </c>
      <c r="R354">
        <v>8321334</v>
      </c>
      <c r="S354">
        <v>35159.94</v>
      </c>
      <c r="T354">
        <v>8286174.0599999996</v>
      </c>
      <c r="U354">
        <v>8286174.0599999996</v>
      </c>
      <c r="V354">
        <v>0</v>
      </c>
      <c r="W354">
        <v>0</v>
      </c>
    </row>
    <row r="355" spans="1:23" x14ac:dyDescent="0.35">
      <c r="A355" t="s">
        <v>0</v>
      </c>
      <c r="B355">
        <v>2500</v>
      </c>
      <c r="C355">
        <v>168</v>
      </c>
      <c r="D355">
        <v>242</v>
      </c>
      <c r="E355">
        <v>0</v>
      </c>
      <c r="F355">
        <v>1797184384</v>
      </c>
      <c r="G355">
        <v>7085584.8899999997</v>
      </c>
      <c r="H355">
        <v>1783526684.29</v>
      </c>
      <c r="I355">
        <v>1790098799.1099999</v>
      </c>
      <c r="J355">
        <v>4.3011000000000001E-2</v>
      </c>
      <c r="K355">
        <v>0</v>
      </c>
      <c r="M355" t="s">
        <v>1</v>
      </c>
      <c r="N355">
        <v>4250</v>
      </c>
      <c r="O355">
        <v>168</v>
      </c>
      <c r="P355">
        <v>8859</v>
      </c>
      <c r="Q355">
        <v>0</v>
      </c>
      <c r="R355">
        <v>98994232273</v>
      </c>
      <c r="S355">
        <v>324430624.55000001</v>
      </c>
      <c r="T355">
        <v>97949620207.410004</v>
      </c>
      <c r="U355">
        <v>98618033339.720001</v>
      </c>
      <c r="V355">
        <v>8.3890000000000006E-2</v>
      </c>
      <c r="W355">
        <v>6.2570000000000004E-3</v>
      </c>
    </row>
    <row r="356" spans="1:23" x14ac:dyDescent="0.35">
      <c r="A356" t="s">
        <v>0</v>
      </c>
      <c r="B356">
        <v>2750</v>
      </c>
      <c r="C356">
        <v>192</v>
      </c>
      <c r="D356">
        <v>2</v>
      </c>
      <c r="E356">
        <v>0</v>
      </c>
      <c r="F356">
        <v>8267955</v>
      </c>
      <c r="G356">
        <v>35162.49</v>
      </c>
      <c r="H356">
        <v>8232792.5099999998</v>
      </c>
      <c r="I356">
        <v>8232792.5099999998</v>
      </c>
      <c r="J356">
        <v>0</v>
      </c>
      <c r="K356">
        <v>0</v>
      </c>
      <c r="M356" t="s">
        <v>0</v>
      </c>
      <c r="N356">
        <v>4250</v>
      </c>
      <c r="O356">
        <v>168</v>
      </c>
      <c r="P356">
        <v>43861</v>
      </c>
      <c r="Q356">
        <v>0</v>
      </c>
      <c r="R356">
        <v>389345642658</v>
      </c>
      <c r="S356">
        <v>1312148053.72</v>
      </c>
      <c r="T356">
        <v>386017238896.73999</v>
      </c>
      <c r="U356">
        <v>387768707086.64001</v>
      </c>
      <c r="V356">
        <v>6.0402999999999998E-2</v>
      </c>
      <c r="W356">
        <v>8.1309999999999993E-3</v>
      </c>
    </row>
    <row r="357" spans="1:23" x14ac:dyDescent="0.35">
      <c r="A357" t="s">
        <v>0</v>
      </c>
      <c r="B357">
        <v>4250</v>
      </c>
      <c r="C357">
        <v>168</v>
      </c>
      <c r="D357">
        <v>43994</v>
      </c>
      <c r="E357">
        <v>0</v>
      </c>
      <c r="F357">
        <v>391686205037</v>
      </c>
      <c r="G357">
        <v>1313227629.45</v>
      </c>
      <c r="H357">
        <v>388227111389.96002</v>
      </c>
      <c r="I357">
        <v>390079150849.39001</v>
      </c>
      <c r="J357">
        <v>6.3797000000000006E-2</v>
      </c>
      <c r="K357">
        <v>8.9650000000000007E-3</v>
      </c>
      <c r="M357" t="s">
        <v>1</v>
      </c>
      <c r="N357">
        <v>3750</v>
      </c>
      <c r="O357">
        <v>168</v>
      </c>
      <c r="P357">
        <v>34285</v>
      </c>
      <c r="Q357">
        <v>0</v>
      </c>
      <c r="R357">
        <v>428733837788</v>
      </c>
      <c r="S357">
        <v>1551218132.4100001</v>
      </c>
      <c r="T357">
        <v>424996847502.89001</v>
      </c>
      <c r="U357">
        <v>427106484801.14001</v>
      </c>
      <c r="V357">
        <v>5.9492000000000003E-2</v>
      </c>
      <c r="W357">
        <v>2.1289999999999998E-3</v>
      </c>
    </row>
    <row r="358" spans="1:23" x14ac:dyDescent="0.35">
      <c r="A358" t="s">
        <v>1</v>
      </c>
      <c r="B358">
        <v>3750</v>
      </c>
      <c r="C358">
        <v>168</v>
      </c>
      <c r="D358">
        <v>32311</v>
      </c>
      <c r="E358">
        <v>0</v>
      </c>
      <c r="F358">
        <v>402783893688</v>
      </c>
      <c r="G358">
        <v>1459821442.8199999</v>
      </c>
      <c r="H358">
        <v>399032738625.42999</v>
      </c>
      <c r="I358">
        <v>401217777032.47998</v>
      </c>
      <c r="J358">
        <v>6.6169000000000006E-2</v>
      </c>
      <c r="K358">
        <v>3.1619999999999999E-3</v>
      </c>
      <c r="M358" t="s">
        <v>0</v>
      </c>
      <c r="N358">
        <v>3750</v>
      </c>
      <c r="O358">
        <v>168</v>
      </c>
      <c r="P358">
        <v>116361</v>
      </c>
      <c r="Q358">
        <v>0</v>
      </c>
      <c r="R358">
        <v>1189955356928</v>
      </c>
      <c r="S358">
        <v>4305760709.3299999</v>
      </c>
      <c r="T358">
        <v>1180204617688.6201</v>
      </c>
      <c r="U358">
        <v>1185196018999.8501</v>
      </c>
      <c r="V358">
        <v>5.3547999999999998E-2</v>
      </c>
      <c r="W358">
        <v>4.5640000000000003E-3</v>
      </c>
    </row>
    <row r="359" spans="1:23" x14ac:dyDescent="0.35">
      <c r="A359" t="s">
        <v>0</v>
      </c>
      <c r="B359">
        <v>3750</v>
      </c>
      <c r="C359">
        <v>168</v>
      </c>
      <c r="D359">
        <v>110758</v>
      </c>
      <c r="E359">
        <v>0</v>
      </c>
      <c r="F359">
        <v>1126480564889</v>
      </c>
      <c r="G359">
        <v>4090505943.9099998</v>
      </c>
      <c r="H359">
        <v>1117112505141.1101</v>
      </c>
      <c r="I359">
        <v>1122016216509.1101</v>
      </c>
      <c r="J359">
        <v>5.4794000000000002E-2</v>
      </c>
      <c r="K359">
        <v>3.9750000000000002E-3</v>
      </c>
      <c r="M359" t="s">
        <v>0</v>
      </c>
      <c r="N359">
        <v>4750</v>
      </c>
      <c r="O359">
        <v>168</v>
      </c>
      <c r="P359">
        <v>15580</v>
      </c>
      <c r="Q359">
        <v>0</v>
      </c>
      <c r="R359">
        <v>131515499641</v>
      </c>
      <c r="S359">
        <v>402683181.32999998</v>
      </c>
      <c r="T359">
        <v>130339768041.06</v>
      </c>
      <c r="U359">
        <v>131030746554.67999</v>
      </c>
      <c r="V359">
        <v>6.83E-2</v>
      </c>
      <c r="W359">
        <v>7.463E-3</v>
      </c>
    </row>
    <row r="360" spans="1:23" x14ac:dyDescent="0.35">
      <c r="A360" t="s">
        <v>1</v>
      </c>
      <c r="B360">
        <v>4250</v>
      </c>
      <c r="C360">
        <v>168</v>
      </c>
      <c r="D360">
        <v>9416</v>
      </c>
      <c r="E360">
        <v>0</v>
      </c>
      <c r="F360">
        <v>106787854707</v>
      </c>
      <c r="G360">
        <v>348535706.80000001</v>
      </c>
      <c r="H360">
        <v>105627949079.14999</v>
      </c>
      <c r="I360">
        <v>106369915539.75</v>
      </c>
      <c r="J360">
        <v>8.7459999999999996E-2</v>
      </c>
      <c r="K360">
        <v>7.7710000000000001E-3</v>
      </c>
      <c r="M360" t="s">
        <v>2</v>
      </c>
      <c r="N360">
        <v>3750</v>
      </c>
      <c r="O360">
        <v>168</v>
      </c>
      <c r="P360">
        <v>16749</v>
      </c>
      <c r="Q360">
        <v>0</v>
      </c>
      <c r="R360">
        <v>138640630646</v>
      </c>
      <c r="S360">
        <v>501357618.51999998</v>
      </c>
      <c r="T360">
        <v>137567052627.73001</v>
      </c>
      <c r="U360">
        <v>138122565723.42999</v>
      </c>
      <c r="V360">
        <v>4.8418999999999997E-2</v>
      </c>
      <c r="W360">
        <v>1.4450000000000001E-3</v>
      </c>
    </row>
    <row r="361" spans="1:23" x14ac:dyDescent="0.35">
      <c r="A361" t="s">
        <v>2</v>
      </c>
      <c r="B361">
        <v>3750</v>
      </c>
      <c r="C361">
        <v>168</v>
      </c>
      <c r="D361">
        <v>15957</v>
      </c>
      <c r="E361">
        <v>0</v>
      </c>
      <c r="F361">
        <v>131616182863</v>
      </c>
      <c r="G361">
        <v>477380373.13999999</v>
      </c>
      <c r="H361">
        <v>130531094309.64</v>
      </c>
      <c r="I361">
        <v>131133137566.42999</v>
      </c>
      <c r="J361">
        <v>5.4022000000000001E-2</v>
      </c>
      <c r="K361">
        <v>5.1599999999999997E-4</v>
      </c>
      <c r="M361" t="s">
        <v>2</v>
      </c>
      <c r="N361">
        <v>4250</v>
      </c>
      <c r="O361">
        <v>168</v>
      </c>
      <c r="P361">
        <v>7116</v>
      </c>
      <c r="Q361">
        <v>0</v>
      </c>
      <c r="R361">
        <v>59817569789</v>
      </c>
      <c r="S361">
        <v>196560974.25</v>
      </c>
      <c r="T361">
        <v>59326083592.75</v>
      </c>
      <c r="U361">
        <v>59613753954.160004</v>
      </c>
      <c r="V361">
        <v>5.7586999999999999E-2</v>
      </c>
      <c r="W361">
        <v>1.454E-3</v>
      </c>
    </row>
    <row r="362" spans="1:23" x14ac:dyDescent="0.35">
      <c r="A362" t="s">
        <v>2</v>
      </c>
      <c r="B362">
        <v>4250</v>
      </c>
      <c r="C362">
        <v>168</v>
      </c>
      <c r="D362">
        <v>7451</v>
      </c>
      <c r="E362">
        <v>0</v>
      </c>
      <c r="F362">
        <v>63738127833</v>
      </c>
      <c r="G362">
        <v>208286004.16999999</v>
      </c>
      <c r="H362">
        <v>63141013801.230003</v>
      </c>
      <c r="I362">
        <v>63508664255.160004</v>
      </c>
      <c r="J362">
        <v>7.0798E-2</v>
      </c>
      <c r="K362">
        <v>3.98E-3</v>
      </c>
      <c r="M362" t="s">
        <v>1</v>
      </c>
      <c r="N362">
        <v>3250</v>
      </c>
      <c r="O362">
        <v>168</v>
      </c>
      <c r="P362">
        <v>38356</v>
      </c>
      <c r="Q362">
        <v>0</v>
      </c>
      <c r="R362">
        <v>536921988764</v>
      </c>
      <c r="S362">
        <v>1995275110.3</v>
      </c>
      <c r="T362">
        <v>532450654527.06</v>
      </c>
      <c r="U362">
        <v>534890767212.23999</v>
      </c>
      <c r="V362">
        <v>5.3956999999999998E-2</v>
      </c>
      <c r="W362">
        <v>8.03E-4</v>
      </c>
    </row>
    <row r="363" spans="1:23" x14ac:dyDescent="0.35">
      <c r="A363" t="s">
        <v>1</v>
      </c>
      <c r="B363">
        <v>3250</v>
      </c>
      <c r="C363">
        <v>168</v>
      </c>
      <c r="D363">
        <v>38126</v>
      </c>
      <c r="E363">
        <v>0</v>
      </c>
      <c r="F363">
        <v>531358313929</v>
      </c>
      <c r="G363">
        <v>1987222673.3900001</v>
      </c>
      <c r="H363">
        <v>526023328966.58002</v>
      </c>
      <c r="I363">
        <v>529291487761.63</v>
      </c>
      <c r="J363">
        <v>7.3039000000000007E-2</v>
      </c>
      <c r="K363">
        <v>1.7960000000000001E-3</v>
      </c>
      <c r="M363" t="s">
        <v>2</v>
      </c>
      <c r="N363">
        <v>3250</v>
      </c>
      <c r="O363">
        <v>168</v>
      </c>
      <c r="P363">
        <v>12641</v>
      </c>
      <c r="Q363">
        <v>0</v>
      </c>
      <c r="R363">
        <v>114034362954</v>
      </c>
      <c r="S363">
        <v>423082133.68000001</v>
      </c>
      <c r="T363">
        <v>112966021206</v>
      </c>
      <c r="U363">
        <v>113587689605.17999</v>
      </c>
      <c r="V363">
        <v>6.5827999999999998E-2</v>
      </c>
      <c r="W363">
        <v>2.48E-3</v>
      </c>
    </row>
    <row r="364" spans="1:23" x14ac:dyDescent="0.35">
      <c r="A364" t="s">
        <v>2</v>
      </c>
      <c r="B364">
        <v>3250</v>
      </c>
      <c r="C364">
        <v>168</v>
      </c>
      <c r="D364">
        <v>12564</v>
      </c>
      <c r="E364">
        <v>0</v>
      </c>
      <c r="F364">
        <v>112863005879</v>
      </c>
      <c r="G364">
        <v>421427598.39999998</v>
      </c>
      <c r="H364">
        <v>111894260379.28999</v>
      </c>
      <c r="I364">
        <v>112406795920.55</v>
      </c>
      <c r="J364">
        <v>5.6666000000000001E-2</v>
      </c>
      <c r="K364">
        <v>3.692E-3</v>
      </c>
      <c r="M364" t="s">
        <v>0</v>
      </c>
      <c r="N364">
        <v>2000</v>
      </c>
      <c r="O364">
        <v>168</v>
      </c>
      <c r="P364">
        <v>22</v>
      </c>
      <c r="Q364">
        <v>0</v>
      </c>
      <c r="R364">
        <v>170517391</v>
      </c>
      <c r="S364">
        <v>746121.45</v>
      </c>
      <c r="T364">
        <v>169771269.55000001</v>
      </c>
      <c r="U364">
        <v>169771269.55000001</v>
      </c>
      <c r="V364">
        <v>0</v>
      </c>
      <c r="W364">
        <v>0</v>
      </c>
    </row>
    <row r="365" spans="1:23" x14ac:dyDescent="0.35">
      <c r="A365" t="s">
        <v>0</v>
      </c>
      <c r="B365">
        <v>2000</v>
      </c>
      <c r="C365">
        <v>168</v>
      </c>
      <c r="D365">
        <v>23</v>
      </c>
      <c r="E365">
        <v>0</v>
      </c>
      <c r="F365">
        <v>177694689</v>
      </c>
      <c r="G365">
        <v>778017.33</v>
      </c>
      <c r="H365">
        <v>176916671.66999999</v>
      </c>
      <c r="I365">
        <v>176916671.66999999</v>
      </c>
      <c r="J365">
        <v>0</v>
      </c>
      <c r="K365">
        <v>0</v>
      </c>
      <c r="M365" t="s">
        <v>3</v>
      </c>
      <c r="N365">
        <v>5000</v>
      </c>
      <c r="O365">
        <v>168</v>
      </c>
      <c r="P365">
        <v>27</v>
      </c>
      <c r="Q365">
        <v>0</v>
      </c>
      <c r="R365">
        <v>252107403</v>
      </c>
      <c r="S365">
        <v>764261.66</v>
      </c>
      <c r="T365">
        <v>244183950.31999999</v>
      </c>
      <c r="U365">
        <v>244183950.31999999</v>
      </c>
      <c r="V365">
        <v>0.29227599999999998</v>
      </c>
      <c r="W365">
        <v>0.29227599999999998</v>
      </c>
    </row>
    <row r="366" spans="1:23" x14ac:dyDescent="0.35">
      <c r="A366" t="s">
        <v>3</v>
      </c>
      <c r="B366">
        <v>5000</v>
      </c>
      <c r="C366">
        <v>168</v>
      </c>
      <c r="D366">
        <v>29</v>
      </c>
      <c r="E366">
        <v>0</v>
      </c>
      <c r="F366">
        <v>268784594</v>
      </c>
      <c r="G366">
        <v>817300.63</v>
      </c>
      <c r="H366">
        <v>267967293.37</v>
      </c>
      <c r="I366">
        <v>267967293.37</v>
      </c>
      <c r="J366">
        <v>0</v>
      </c>
      <c r="K366">
        <v>0</v>
      </c>
      <c r="M366" t="s">
        <v>3</v>
      </c>
      <c r="N366">
        <v>4500</v>
      </c>
      <c r="O366">
        <v>168</v>
      </c>
      <c r="P366">
        <v>128</v>
      </c>
      <c r="Q366">
        <v>0</v>
      </c>
      <c r="R366">
        <v>1338384863</v>
      </c>
      <c r="S366">
        <v>4226206.28</v>
      </c>
      <c r="T366">
        <v>1334031257.3099999</v>
      </c>
      <c r="U366">
        <v>1334158656.72</v>
      </c>
      <c r="V366">
        <v>1.142E-3</v>
      </c>
      <c r="W366">
        <v>0</v>
      </c>
    </row>
    <row r="367" spans="1:23" x14ac:dyDescent="0.35">
      <c r="A367" t="s">
        <v>3</v>
      </c>
      <c r="B367">
        <v>4500</v>
      </c>
      <c r="C367">
        <v>168</v>
      </c>
      <c r="D367">
        <v>145</v>
      </c>
      <c r="E367">
        <v>0</v>
      </c>
      <c r="F367">
        <v>1489341301</v>
      </c>
      <c r="G367">
        <v>4713778.25</v>
      </c>
      <c r="H367">
        <v>1484627522.75</v>
      </c>
      <c r="I367">
        <v>1484627522.75</v>
      </c>
      <c r="J367">
        <v>0</v>
      </c>
      <c r="K367">
        <v>0</v>
      </c>
      <c r="M367" t="s">
        <v>3</v>
      </c>
      <c r="N367">
        <v>3750</v>
      </c>
      <c r="O367">
        <v>168</v>
      </c>
      <c r="P367">
        <v>625</v>
      </c>
      <c r="Q367">
        <v>0</v>
      </c>
      <c r="R367">
        <v>7173561250</v>
      </c>
      <c r="S367">
        <v>26175225.010000002</v>
      </c>
      <c r="T367">
        <v>7138291323.9399996</v>
      </c>
      <c r="U367">
        <v>7147386024.9899998</v>
      </c>
      <c r="V367">
        <v>1.5108E-2</v>
      </c>
      <c r="W367">
        <v>0</v>
      </c>
    </row>
    <row r="368" spans="1:23" x14ac:dyDescent="0.35">
      <c r="A368" t="s">
        <v>3</v>
      </c>
      <c r="B368">
        <v>3750</v>
      </c>
      <c r="C368">
        <v>168</v>
      </c>
      <c r="D368">
        <v>589</v>
      </c>
      <c r="E368">
        <v>0</v>
      </c>
      <c r="F368">
        <v>6734862401</v>
      </c>
      <c r="G368">
        <v>24673076.68</v>
      </c>
      <c r="H368">
        <v>6698197587.5600004</v>
      </c>
      <c r="I368">
        <v>6710189324.3199997</v>
      </c>
      <c r="J368">
        <v>2.1159000000000001E-2</v>
      </c>
      <c r="K368">
        <v>0</v>
      </c>
      <c r="M368" t="s">
        <v>2</v>
      </c>
      <c r="N368">
        <v>2000</v>
      </c>
      <c r="O368">
        <v>168</v>
      </c>
      <c r="P368">
        <v>4</v>
      </c>
      <c r="Q368">
        <v>0</v>
      </c>
      <c r="R368">
        <v>44191377</v>
      </c>
      <c r="S368">
        <v>204523.63</v>
      </c>
      <c r="T368">
        <v>43986853.369999997</v>
      </c>
      <c r="U368">
        <v>43986853.369999997</v>
      </c>
      <c r="V368">
        <v>0</v>
      </c>
      <c r="W368">
        <v>0</v>
      </c>
    </row>
    <row r="369" spans="1:23" x14ac:dyDescent="0.35">
      <c r="A369" t="s">
        <v>2</v>
      </c>
      <c r="B369">
        <v>2000</v>
      </c>
      <c r="C369">
        <v>168</v>
      </c>
      <c r="D369">
        <v>4</v>
      </c>
      <c r="E369">
        <v>0</v>
      </c>
      <c r="F369">
        <v>43849066</v>
      </c>
      <c r="G369">
        <v>204049.9</v>
      </c>
      <c r="H369">
        <v>43645016.100000001</v>
      </c>
      <c r="I369">
        <v>43645016.100000001</v>
      </c>
      <c r="J369">
        <v>0</v>
      </c>
      <c r="K369">
        <v>0</v>
      </c>
      <c r="M369" t="s">
        <v>0</v>
      </c>
      <c r="N369">
        <v>2750</v>
      </c>
      <c r="O369">
        <v>168</v>
      </c>
      <c r="P369">
        <v>500</v>
      </c>
      <c r="Q369">
        <v>0</v>
      </c>
      <c r="R369">
        <v>5272405908</v>
      </c>
      <c r="S369">
        <v>20588167.899999999</v>
      </c>
      <c r="T369">
        <v>5239090701.0200005</v>
      </c>
      <c r="U369">
        <v>5251817740.1000004</v>
      </c>
      <c r="V369">
        <v>2.8584999999999999E-2</v>
      </c>
      <c r="W369">
        <v>0</v>
      </c>
    </row>
    <row r="370" spans="1:23" x14ac:dyDescent="0.35">
      <c r="A370" t="s">
        <v>0</v>
      </c>
      <c r="B370">
        <v>2750</v>
      </c>
      <c r="C370">
        <v>168</v>
      </c>
      <c r="D370">
        <v>501</v>
      </c>
      <c r="E370">
        <v>0</v>
      </c>
      <c r="F370">
        <v>5272737071</v>
      </c>
      <c r="G370">
        <v>20704366.280000001</v>
      </c>
      <c r="H370">
        <v>5203525889.9700003</v>
      </c>
      <c r="I370">
        <v>5252032704.7200003</v>
      </c>
      <c r="J370">
        <v>0.104977</v>
      </c>
      <c r="K370">
        <v>0</v>
      </c>
      <c r="M370" t="s">
        <v>1</v>
      </c>
      <c r="N370">
        <v>2750</v>
      </c>
      <c r="O370">
        <v>168</v>
      </c>
      <c r="P370">
        <v>756</v>
      </c>
      <c r="Q370">
        <v>0</v>
      </c>
      <c r="R370">
        <v>10209694618</v>
      </c>
      <c r="S370">
        <v>39667077.200000003</v>
      </c>
      <c r="T370">
        <v>10081843725.440001</v>
      </c>
      <c r="U370">
        <v>10170027540.799999</v>
      </c>
      <c r="V370">
        <v>9.8862000000000005E-2</v>
      </c>
      <c r="W370">
        <v>0</v>
      </c>
    </row>
    <row r="371" spans="1:23" x14ac:dyDescent="0.35">
      <c r="A371" t="s">
        <v>1</v>
      </c>
      <c r="B371">
        <v>2750</v>
      </c>
      <c r="C371">
        <v>168</v>
      </c>
      <c r="D371">
        <v>747</v>
      </c>
      <c r="E371">
        <v>0</v>
      </c>
      <c r="F371">
        <v>10064769520</v>
      </c>
      <c r="G371">
        <v>39346226.18</v>
      </c>
      <c r="H371">
        <v>10001088973.67</v>
      </c>
      <c r="I371">
        <v>10025423293.82</v>
      </c>
      <c r="J371">
        <v>2.8631E-2</v>
      </c>
      <c r="K371">
        <v>0</v>
      </c>
      <c r="M371" t="s">
        <v>3</v>
      </c>
      <c r="N371">
        <v>3000</v>
      </c>
      <c r="O371">
        <v>168</v>
      </c>
      <c r="P371">
        <v>7</v>
      </c>
      <c r="Q371">
        <v>0</v>
      </c>
      <c r="R371">
        <v>78749128</v>
      </c>
      <c r="S371">
        <v>301703.59000000003</v>
      </c>
      <c r="T371">
        <v>78447424.409999996</v>
      </c>
      <c r="U371">
        <v>78447424.409999996</v>
      </c>
      <c r="V371">
        <v>0</v>
      </c>
      <c r="W371">
        <v>0</v>
      </c>
    </row>
    <row r="372" spans="1:23" x14ac:dyDescent="0.35">
      <c r="A372" t="s">
        <v>3</v>
      </c>
      <c r="B372">
        <v>3000</v>
      </c>
      <c r="C372">
        <v>168</v>
      </c>
      <c r="D372">
        <v>7</v>
      </c>
      <c r="E372">
        <v>0</v>
      </c>
      <c r="F372">
        <v>78270028</v>
      </c>
      <c r="G372">
        <v>301768.82</v>
      </c>
      <c r="H372">
        <v>77968259.180000007</v>
      </c>
      <c r="I372">
        <v>77968259.180000007</v>
      </c>
      <c r="J372">
        <v>0</v>
      </c>
      <c r="K372">
        <v>0</v>
      </c>
      <c r="M372" t="s">
        <v>3</v>
      </c>
      <c r="N372">
        <v>4250</v>
      </c>
      <c r="O372">
        <v>168</v>
      </c>
      <c r="P372">
        <v>286</v>
      </c>
      <c r="Q372">
        <v>0</v>
      </c>
      <c r="R372">
        <v>3177231513</v>
      </c>
      <c r="S372">
        <v>10385135.18</v>
      </c>
      <c r="T372">
        <v>3156279588.96</v>
      </c>
      <c r="U372">
        <v>3166846377.8200002</v>
      </c>
      <c r="V372">
        <v>3.9187E-2</v>
      </c>
      <c r="W372">
        <v>0</v>
      </c>
    </row>
    <row r="373" spans="1:23" x14ac:dyDescent="0.35">
      <c r="A373" t="s">
        <v>3</v>
      </c>
      <c r="B373">
        <v>4250</v>
      </c>
      <c r="C373">
        <v>168</v>
      </c>
      <c r="D373">
        <v>302</v>
      </c>
      <c r="E373">
        <v>0</v>
      </c>
      <c r="F373">
        <v>3362735768</v>
      </c>
      <c r="G373">
        <v>10952684.34</v>
      </c>
      <c r="H373">
        <v>3345852680.2800002</v>
      </c>
      <c r="I373">
        <v>3351783083.6599998</v>
      </c>
      <c r="J373">
        <v>2.0958999999999998E-2</v>
      </c>
      <c r="K373">
        <v>0</v>
      </c>
      <c r="M373" t="s">
        <v>1</v>
      </c>
      <c r="N373">
        <v>2500</v>
      </c>
      <c r="O373">
        <v>168</v>
      </c>
      <c r="P373">
        <v>16</v>
      </c>
      <c r="Q373">
        <v>0</v>
      </c>
      <c r="R373">
        <v>173571289</v>
      </c>
      <c r="S373">
        <v>677171.69</v>
      </c>
      <c r="T373">
        <v>172894117.31</v>
      </c>
      <c r="U373">
        <v>172894117.31</v>
      </c>
      <c r="V373">
        <v>0</v>
      </c>
      <c r="W373">
        <v>0</v>
      </c>
    </row>
    <row r="374" spans="1:23" x14ac:dyDescent="0.35">
      <c r="A374" t="s">
        <v>1</v>
      </c>
      <c r="B374">
        <v>2500</v>
      </c>
      <c r="C374">
        <v>168</v>
      </c>
      <c r="D374">
        <v>17</v>
      </c>
      <c r="E374">
        <v>0</v>
      </c>
      <c r="F374">
        <v>182484415</v>
      </c>
      <c r="G374">
        <v>715671.35</v>
      </c>
      <c r="H374">
        <v>173357829.28999999</v>
      </c>
      <c r="I374">
        <v>181768743.65000001</v>
      </c>
      <c r="J374">
        <v>0.43234699999999998</v>
      </c>
      <c r="K374">
        <v>0</v>
      </c>
      <c r="M374" t="s">
        <v>2</v>
      </c>
      <c r="N374">
        <v>2750</v>
      </c>
      <c r="O374">
        <v>168</v>
      </c>
      <c r="P374">
        <v>98</v>
      </c>
      <c r="Q374">
        <v>0</v>
      </c>
      <c r="R374">
        <v>817352500</v>
      </c>
      <c r="S374">
        <v>3188987.86</v>
      </c>
      <c r="T374">
        <v>800787838.46000004</v>
      </c>
      <c r="U374">
        <v>814163512.13999999</v>
      </c>
      <c r="V374">
        <v>0.17963000000000001</v>
      </c>
      <c r="W374">
        <v>0</v>
      </c>
    </row>
    <row r="375" spans="1:23" x14ac:dyDescent="0.35">
      <c r="A375" t="s">
        <v>2</v>
      </c>
      <c r="B375">
        <v>2750</v>
      </c>
      <c r="C375">
        <v>168</v>
      </c>
      <c r="D375">
        <v>96</v>
      </c>
      <c r="E375">
        <v>0</v>
      </c>
      <c r="F375">
        <v>800334749</v>
      </c>
      <c r="G375">
        <v>3141689.49</v>
      </c>
      <c r="H375">
        <v>797193059.50999999</v>
      </c>
      <c r="I375">
        <v>797193059.50999999</v>
      </c>
      <c r="J375">
        <v>0</v>
      </c>
      <c r="K375">
        <v>0</v>
      </c>
      <c r="M375" t="s">
        <v>2</v>
      </c>
      <c r="N375">
        <v>2500</v>
      </c>
      <c r="O375">
        <v>168</v>
      </c>
      <c r="P375">
        <v>93</v>
      </c>
      <c r="Q375">
        <v>0</v>
      </c>
      <c r="R375">
        <v>568101416</v>
      </c>
      <c r="S375">
        <v>2194270.12</v>
      </c>
      <c r="T375">
        <v>565907145.88</v>
      </c>
      <c r="U375">
        <v>565907145.88</v>
      </c>
      <c r="V375">
        <v>0</v>
      </c>
      <c r="W375">
        <v>0</v>
      </c>
    </row>
    <row r="376" spans="1:23" x14ac:dyDescent="0.35">
      <c r="A376" t="s">
        <v>2</v>
      </c>
      <c r="B376">
        <v>2500</v>
      </c>
      <c r="C376">
        <v>168</v>
      </c>
      <c r="D376">
        <v>93</v>
      </c>
      <c r="E376">
        <v>0</v>
      </c>
      <c r="F376">
        <v>565319844</v>
      </c>
      <c r="G376">
        <v>2196560.33</v>
      </c>
      <c r="H376">
        <v>563123283.66999996</v>
      </c>
      <c r="I376">
        <v>563123283.66999996</v>
      </c>
      <c r="J376">
        <v>0</v>
      </c>
      <c r="K376">
        <v>0</v>
      </c>
      <c r="M376" t="s">
        <v>2</v>
      </c>
      <c r="N376">
        <v>3500</v>
      </c>
      <c r="O376">
        <v>96</v>
      </c>
      <c r="P376">
        <v>145</v>
      </c>
      <c r="Q376">
        <v>0</v>
      </c>
      <c r="R376">
        <v>1601914522</v>
      </c>
      <c r="S376">
        <v>4072943.7</v>
      </c>
      <c r="T376">
        <v>1572350724.3299999</v>
      </c>
      <c r="U376">
        <v>1572350724.3299999</v>
      </c>
      <c r="V376">
        <v>0.175096</v>
      </c>
      <c r="W376">
        <v>0.175096</v>
      </c>
    </row>
    <row r="377" spans="1:23" x14ac:dyDescent="0.35">
      <c r="A377" t="s">
        <v>2</v>
      </c>
      <c r="B377">
        <v>5000</v>
      </c>
      <c r="C377">
        <v>108</v>
      </c>
      <c r="D377">
        <v>576</v>
      </c>
      <c r="E377">
        <v>0</v>
      </c>
      <c r="F377">
        <v>5438211918</v>
      </c>
      <c r="G377">
        <v>11643178.84</v>
      </c>
      <c r="H377">
        <v>5362307199.0900002</v>
      </c>
      <c r="I377">
        <v>5426568739.1599998</v>
      </c>
      <c r="J377">
        <v>0.132938</v>
      </c>
      <c r="K377">
        <v>0</v>
      </c>
      <c r="M377" t="s">
        <v>1</v>
      </c>
      <c r="N377">
        <v>3500</v>
      </c>
      <c r="O377">
        <v>96</v>
      </c>
      <c r="P377">
        <v>403</v>
      </c>
      <c r="Q377">
        <v>0</v>
      </c>
      <c r="R377">
        <v>7778081346</v>
      </c>
      <c r="S377">
        <v>19432883.449999999</v>
      </c>
      <c r="T377">
        <v>7687991782.1800003</v>
      </c>
      <c r="U377">
        <v>7758648462.5500002</v>
      </c>
      <c r="V377">
        <v>0.103724</v>
      </c>
      <c r="W377">
        <v>0</v>
      </c>
    </row>
    <row r="378" spans="1:23" x14ac:dyDescent="0.35">
      <c r="A378" t="s">
        <v>0</v>
      </c>
      <c r="B378">
        <v>5500</v>
      </c>
      <c r="C378">
        <v>108</v>
      </c>
      <c r="D378">
        <v>2507</v>
      </c>
      <c r="E378">
        <v>0</v>
      </c>
      <c r="F378">
        <v>29181525916</v>
      </c>
      <c r="G378">
        <v>59144020.100000001</v>
      </c>
      <c r="H378">
        <v>28904035384.459999</v>
      </c>
      <c r="I378">
        <v>29092975226.099998</v>
      </c>
      <c r="J378">
        <v>8.6183999999999997E-2</v>
      </c>
      <c r="K378">
        <v>1.2026E-2</v>
      </c>
      <c r="M378" t="s">
        <v>0</v>
      </c>
      <c r="N378">
        <v>3500</v>
      </c>
      <c r="O378">
        <v>96</v>
      </c>
      <c r="P378">
        <v>1129</v>
      </c>
      <c r="Q378">
        <v>0</v>
      </c>
      <c r="R378">
        <v>14874885904</v>
      </c>
      <c r="S378">
        <v>37023734.490000002</v>
      </c>
      <c r="T378">
        <v>14764385694.440001</v>
      </c>
      <c r="U378">
        <v>14795395201.65</v>
      </c>
      <c r="V378">
        <v>5.7690999999999999E-2</v>
      </c>
      <c r="W378">
        <v>3.3725999999999999E-2</v>
      </c>
    </row>
    <row r="379" spans="1:23" x14ac:dyDescent="0.35">
      <c r="A379" t="s">
        <v>1</v>
      </c>
      <c r="B379">
        <v>2250</v>
      </c>
      <c r="C379">
        <v>168</v>
      </c>
      <c r="D379">
        <v>13</v>
      </c>
      <c r="E379">
        <v>0</v>
      </c>
      <c r="F379">
        <v>112549262</v>
      </c>
      <c r="G379">
        <v>453082.87</v>
      </c>
      <c r="H379">
        <v>112096179.13</v>
      </c>
      <c r="I379">
        <v>112096179.13</v>
      </c>
      <c r="J379">
        <v>0</v>
      </c>
      <c r="K379">
        <v>0</v>
      </c>
      <c r="M379" t="s">
        <v>1</v>
      </c>
      <c r="N379">
        <v>4000</v>
      </c>
      <c r="O379">
        <v>96</v>
      </c>
      <c r="P379">
        <v>3638</v>
      </c>
      <c r="Q379">
        <v>0</v>
      </c>
      <c r="R379">
        <v>68851713424</v>
      </c>
      <c r="S379">
        <v>160939624.81999999</v>
      </c>
      <c r="T379">
        <v>68085686978.889999</v>
      </c>
      <c r="U379">
        <v>68676700253.940002</v>
      </c>
      <c r="V379">
        <v>0.100508</v>
      </c>
      <c r="W379">
        <v>2.4499999999999999E-3</v>
      </c>
    </row>
    <row r="380" spans="1:23" x14ac:dyDescent="0.35">
      <c r="A380" t="s">
        <v>0</v>
      </c>
      <c r="B380">
        <v>3000</v>
      </c>
      <c r="C380">
        <v>72</v>
      </c>
      <c r="D380">
        <v>175454</v>
      </c>
      <c r="E380">
        <v>0</v>
      </c>
      <c r="F380">
        <v>3570052736233</v>
      </c>
      <c r="G380">
        <v>8344161587.7200003</v>
      </c>
      <c r="H380">
        <v>3542841236532.98</v>
      </c>
      <c r="I380">
        <v>3560225305014.6401</v>
      </c>
      <c r="J380">
        <v>6.1607000000000002E-2</v>
      </c>
      <c r="K380">
        <v>4.9740000000000001E-3</v>
      </c>
      <c r="M380" t="s">
        <v>2</v>
      </c>
      <c r="N380">
        <v>4000</v>
      </c>
      <c r="O380">
        <v>96</v>
      </c>
      <c r="P380">
        <v>1256</v>
      </c>
      <c r="Q380">
        <v>0</v>
      </c>
      <c r="R380">
        <v>14826021178</v>
      </c>
      <c r="S380">
        <v>34954828.210000001</v>
      </c>
      <c r="T380">
        <v>14702844506.120001</v>
      </c>
      <c r="U380">
        <v>14791066349.790001</v>
      </c>
      <c r="V380">
        <v>6.9113999999999995E-2</v>
      </c>
      <c r="W380">
        <v>0</v>
      </c>
    </row>
    <row r="381" spans="1:23" x14ac:dyDescent="0.35">
      <c r="A381" t="s">
        <v>2</v>
      </c>
      <c r="B381">
        <v>3000</v>
      </c>
      <c r="C381">
        <v>84</v>
      </c>
      <c r="D381">
        <v>1571</v>
      </c>
      <c r="E381">
        <v>0</v>
      </c>
      <c r="F381">
        <v>24921045060</v>
      </c>
      <c r="G381">
        <v>60395343.609999999</v>
      </c>
      <c r="H381">
        <v>24680434393.34</v>
      </c>
      <c r="I381">
        <v>24843865190.360001</v>
      </c>
      <c r="J381">
        <v>8.3407999999999996E-2</v>
      </c>
      <c r="K381">
        <v>8.0520000000000001E-3</v>
      </c>
      <c r="M381" t="s">
        <v>0</v>
      </c>
      <c r="N381">
        <v>4000</v>
      </c>
      <c r="O381">
        <v>96</v>
      </c>
      <c r="P381">
        <v>5988</v>
      </c>
      <c r="Q381">
        <v>0</v>
      </c>
      <c r="R381">
        <v>90666985360</v>
      </c>
      <c r="S381">
        <v>211870811.30000001</v>
      </c>
      <c r="T381">
        <v>90046291934.330002</v>
      </c>
      <c r="U381">
        <v>90401005741.809998</v>
      </c>
      <c r="V381">
        <v>5.2787000000000001E-2</v>
      </c>
      <c r="W381">
        <v>7.1380000000000002E-3</v>
      </c>
    </row>
    <row r="382" spans="1:23" x14ac:dyDescent="0.35">
      <c r="A382" t="s">
        <v>1</v>
      </c>
      <c r="B382">
        <v>3000</v>
      </c>
      <c r="C382">
        <v>72</v>
      </c>
      <c r="D382">
        <v>98865</v>
      </c>
      <c r="E382">
        <v>0</v>
      </c>
      <c r="F382">
        <v>2412881661781</v>
      </c>
      <c r="G382">
        <v>5687994556.2700005</v>
      </c>
      <c r="H382">
        <v>2389594704723.6099</v>
      </c>
      <c r="I382">
        <v>2406219461267.7998</v>
      </c>
      <c r="J382">
        <v>8.4098000000000006E-2</v>
      </c>
      <c r="K382">
        <v>4.8339999999999998E-3</v>
      </c>
      <c r="M382" t="s">
        <v>2</v>
      </c>
      <c r="N382">
        <v>4500</v>
      </c>
      <c r="O382">
        <v>96</v>
      </c>
      <c r="P382">
        <v>6028</v>
      </c>
      <c r="Q382">
        <v>0</v>
      </c>
      <c r="R382">
        <v>70819906634</v>
      </c>
      <c r="S382">
        <v>154889436.53</v>
      </c>
      <c r="T382">
        <v>70166285167.309998</v>
      </c>
      <c r="U382">
        <v>70607960329.710007</v>
      </c>
      <c r="V382">
        <v>8.1309999999999993E-2</v>
      </c>
      <c r="W382">
        <v>9.6249999999999999E-3</v>
      </c>
    </row>
    <row r="383" spans="1:23" x14ac:dyDescent="0.35">
      <c r="A383" t="s">
        <v>2</v>
      </c>
      <c r="B383">
        <v>2250</v>
      </c>
      <c r="C383">
        <v>168</v>
      </c>
      <c r="D383">
        <v>1</v>
      </c>
      <c r="E383">
        <v>0</v>
      </c>
      <c r="F383">
        <v>4352784</v>
      </c>
      <c r="G383">
        <v>17432.8</v>
      </c>
      <c r="H383">
        <v>4335351.2</v>
      </c>
      <c r="I383">
        <v>4335351.2</v>
      </c>
      <c r="J383">
        <v>0</v>
      </c>
      <c r="K383">
        <v>0</v>
      </c>
      <c r="M383" t="s">
        <v>0</v>
      </c>
      <c r="N383">
        <v>4500</v>
      </c>
      <c r="O383">
        <v>96</v>
      </c>
      <c r="P383">
        <v>29788</v>
      </c>
      <c r="Q383">
        <v>0</v>
      </c>
      <c r="R383">
        <v>457353133467</v>
      </c>
      <c r="S383">
        <v>998684370.37</v>
      </c>
      <c r="T383">
        <v>453587122919.56</v>
      </c>
      <c r="U383">
        <v>456012005205.96002</v>
      </c>
      <c r="V383">
        <v>7.0240999999999998E-2</v>
      </c>
      <c r="W383">
        <v>8.9479999999999994E-3</v>
      </c>
    </row>
    <row r="384" spans="1:23" x14ac:dyDescent="0.35">
      <c r="A384" t="s">
        <v>0</v>
      </c>
      <c r="B384">
        <v>4000</v>
      </c>
      <c r="C384">
        <v>96</v>
      </c>
      <c r="D384">
        <v>5592</v>
      </c>
      <c r="E384">
        <v>0</v>
      </c>
      <c r="F384">
        <v>88835170619</v>
      </c>
      <c r="G384">
        <v>205236935.56</v>
      </c>
      <c r="H384">
        <v>88196394446.220001</v>
      </c>
      <c r="I384">
        <v>88603516585.830002</v>
      </c>
      <c r="J384">
        <v>5.7016999999999998E-2</v>
      </c>
      <c r="K384">
        <v>3.5630000000000002E-3</v>
      </c>
      <c r="M384" t="s">
        <v>2</v>
      </c>
      <c r="N384">
        <v>5000</v>
      </c>
      <c r="O384">
        <v>96</v>
      </c>
      <c r="P384">
        <v>6983</v>
      </c>
      <c r="Q384">
        <v>0</v>
      </c>
      <c r="R384">
        <v>74465075837</v>
      </c>
      <c r="S384">
        <v>151760235.36000001</v>
      </c>
      <c r="T384">
        <v>73785556070.520004</v>
      </c>
      <c r="U384">
        <v>74235399169.919998</v>
      </c>
      <c r="V384">
        <v>8.1809999999999994E-2</v>
      </c>
      <c r="W384">
        <v>1.2484E-2</v>
      </c>
    </row>
    <row r="385" spans="1:23" x14ac:dyDescent="0.35">
      <c r="A385" t="s">
        <v>1</v>
      </c>
      <c r="B385">
        <v>4000</v>
      </c>
      <c r="C385">
        <v>96</v>
      </c>
      <c r="D385">
        <v>3486</v>
      </c>
      <c r="E385">
        <v>0</v>
      </c>
      <c r="F385">
        <v>66746704951</v>
      </c>
      <c r="G385">
        <v>154562265</v>
      </c>
      <c r="H385">
        <v>66248366663.089996</v>
      </c>
      <c r="I385">
        <v>66577179905.089996</v>
      </c>
      <c r="J385">
        <v>6.0083999999999999E-2</v>
      </c>
      <c r="K385">
        <v>2.6870000000000002E-3</v>
      </c>
      <c r="M385" t="s">
        <v>0</v>
      </c>
      <c r="N385">
        <v>5000</v>
      </c>
      <c r="O385">
        <v>96</v>
      </c>
      <c r="P385">
        <v>39354</v>
      </c>
      <c r="Q385">
        <v>0</v>
      </c>
      <c r="R385">
        <v>547047220559</v>
      </c>
      <c r="S385">
        <v>1114330713.2</v>
      </c>
      <c r="T385">
        <v>541880638333.78998</v>
      </c>
      <c r="U385">
        <v>545235027061.63</v>
      </c>
      <c r="V385">
        <v>8.5356000000000001E-2</v>
      </c>
      <c r="W385">
        <v>1.5200999999999999E-2</v>
      </c>
    </row>
    <row r="386" spans="1:23" x14ac:dyDescent="0.35">
      <c r="A386" t="s">
        <v>2</v>
      </c>
      <c r="B386">
        <v>4000</v>
      </c>
      <c r="C386">
        <v>96</v>
      </c>
      <c r="D386">
        <v>1044</v>
      </c>
      <c r="E386">
        <v>0</v>
      </c>
      <c r="F386">
        <v>12818347283</v>
      </c>
      <c r="G386">
        <v>29882195.609999999</v>
      </c>
      <c r="H386">
        <v>12733936674.190001</v>
      </c>
      <c r="I386">
        <v>12788465087.389999</v>
      </c>
      <c r="J386">
        <v>4.9869999999999998E-2</v>
      </c>
      <c r="K386">
        <v>0</v>
      </c>
      <c r="M386" t="s">
        <v>1</v>
      </c>
      <c r="N386">
        <v>5000</v>
      </c>
      <c r="O386">
        <v>96</v>
      </c>
      <c r="P386">
        <v>6285</v>
      </c>
      <c r="Q386">
        <v>0</v>
      </c>
      <c r="R386">
        <v>95221908784</v>
      </c>
      <c r="S386">
        <v>193768071.69999999</v>
      </c>
      <c r="T386">
        <v>94190485459.470001</v>
      </c>
      <c r="U386">
        <v>94843040679.880005</v>
      </c>
      <c r="V386">
        <v>0.100602</v>
      </c>
      <c r="W386">
        <v>2.3078999999999999E-2</v>
      </c>
    </row>
    <row r="387" spans="1:23" x14ac:dyDescent="0.35">
      <c r="A387" t="s">
        <v>0</v>
      </c>
      <c r="B387">
        <v>4500</v>
      </c>
      <c r="C387">
        <v>96</v>
      </c>
      <c r="D387">
        <v>29190</v>
      </c>
      <c r="E387">
        <v>0</v>
      </c>
      <c r="F387">
        <v>450496086401</v>
      </c>
      <c r="G387">
        <v>981758366</v>
      </c>
      <c r="H387">
        <v>446915425869.71002</v>
      </c>
      <c r="I387">
        <v>449252921039.82001</v>
      </c>
      <c r="J387">
        <v>6.7072999999999994E-2</v>
      </c>
      <c r="K387">
        <v>6.9410000000000001E-3</v>
      </c>
      <c r="M387" t="s">
        <v>0</v>
      </c>
      <c r="N387">
        <v>5500</v>
      </c>
      <c r="O387">
        <v>108</v>
      </c>
      <c r="P387">
        <v>1985</v>
      </c>
      <c r="Q387">
        <v>0</v>
      </c>
      <c r="R387">
        <v>22420531037</v>
      </c>
      <c r="S387">
        <v>45640981.189999998</v>
      </c>
      <c r="T387">
        <v>22233541468.66</v>
      </c>
      <c r="U387">
        <v>22320886668.720001</v>
      </c>
      <c r="V387">
        <v>7.3083999999999996E-2</v>
      </c>
      <c r="W387">
        <v>2.8524000000000001E-2</v>
      </c>
    </row>
    <row r="388" spans="1:23" x14ac:dyDescent="0.35">
      <c r="A388" t="s">
        <v>2</v>
      </c>
      <c r="B388">
        <v>4500</v>
      </c>
      <c r="C388">
        <v>96</v>
      </c>
      <c r="D388">
        <v>5821</v>
      </c>
      <c r="E388">
        <v>0</v>
      </c>
      <c r="F388">
        <v>68563816262</v>
      </c>
      <c r="G388">
        <v>149684851.63</v>
      </c>
      <c r="H388">
        <v>67918170935.010002</v>
      </c>
      <c r="I388">
        <v>68378007796.68</v>
      </c>
      <c r="J388">
        <v>8.3431000000000005E-2</v>
      </c>
      <c r="K388">
        <v>6.3039999999999997E-3</v>
      </c>
      <c r="M388" t="s">
        <v>0</v>
      </c>
      <c r="N388">
        <v>5500</v>
      </c>
      <c r="O388">
        <v>96</v>
      </c>
      <c r="P388">
        <v>15605</v>
      </c>
      <c r="Q388">
        <v>0</v>
      </c>
      <c r="R388">
        <v>204534041053</v>
      </c>
      <c r="S388">
        <v>387929350.43000001</v>
      </c>
      <c r="T388">
        <v>202561378777.17999</v>
      </c>
      <c r="U388">
        <v>203825840752.23001</v>
      </c>
      <c r="V388">
        <v>8.9115E-2</v>
      </c>
      <c r="W388">
        <v>1.8629E-2</v>
      </c>
    </row>
    <row r="389" spans="1:23" x14ac:dyDescent="0.35">
      <c r="A389" t="s">
        <v>1</v>
      </c>
      <c r="B389">
        <v>4500</v>
      </c>
      <c r="C389">
        <v>96</v>
      </c>
      <c r="D389">
        <v>9229</v>
      </c>
      <c r="E389">
        <v>0</v>
      </c>
      <c r="F389">
        <v>163494320432</v>
      </c>
      <c r="G389">
        <v>355855184.22000003</v>
      </c>
      <c r="H389">
        <v>161812652200.25</v>
      </c>
      <c r="I389">
        <v>163011122622.64999</v>
      </c>
      <c r="J389">
        <v>9.3086000000000002E-2</v>
      </c>
      <c r="K389">
        <v>9.3069999999999993E-3</v>
      </c>
      <c r="M389" t="s">
        <v>1</v>
      </c>
      <c r="N389">
        <v>2250</v>
      </c>
      <c r="O389">
        <v>168</v>
      </c>
      <c r="P389">
        <v>14</v>
      </c>
      <c r="Q389">
        <v>0</v>
      </c>
      <c r="R389">
        <v>116628871</v>
      </c>
      <c r="S389">
        <v>466434.02</v>
      </c>
      <c r="T389">
        <v>112553336.75</v>
      </c>
      <c r="U389">
        <v>112553336.75</v>
      </c>
      <c r="V389">
        <v>0.31422699999999998</v>
      </c>
      <c r="W389">
        <v>0.31422699999999998</v>
      </c>
    </row>
    <row r="390" spans="1:23" x14ac:dyDescent="0.35">
      <c r="A390" t="s">
        <v>0</v>
      </c>
      <c r="B390">
        <v>3500</v>
      </c>
      <c r="C390">
        <v>96</v>
      </c>
      <c r="D390">
        <v>1110</v>
      </c>
      <c r="E390">
        <v>0</v>
      </c>
      <c r="F390">
        <v>14687260324</v>
      </c>
      <c r="G390">
        <v>36546187.850000001</v>
      </c>
      <c r="H390">
        <v>14553944940.799999</v>
      </c>
      <c r="I390">
        <v>14630808750.709999</v>
      </c>
      <c r="J390">
        <v>7.6260999999999995E-2</v>
      </c>
      <c r="K390">
        <v>1.6143000000000001E-2</v>
      </c>
      <c r="M390" t="s">
        <v>2</v>
      </c>
      <c r="N390">
        <v>3000</v>
      </c>
      <c r="O390">
        <v>72</v>
      </c>
      <c r="P390">
        <v>19113</v>
      </c>
      <c r="Q390">
        <v>0</v>
      </c>
      <c r="R390">
        <v>295014468472</v>
      </c>
      <c r="S390">
        <v>686909693.84000003</v>
      </c>
      <c r="T390">
        <v>292597178865.85999</v>
      </c>
      <c r="U390">
        <v>294239074216.33002</v>
      </c>
      <c r="V390">
        <v>6.8157999999999996E-2</v>
      </c>
      <c r="W390">
        <v>3.5929999999999998E-3</v>
      </c>
    </row>
    <row r="391" spans="1:23" x14ac:dyDescent="0.35">
      <c r="A391" t="s">
        <v>2</v>
      </c>
      <c r="B391">
        <v>3500</v>
      </c>
      <c r="C391">
        <v>96</v>
      </c>
      <c r="D391">
        <v>123</v>
      </c>
      <c r="E391">
        <v>0</v>
      </c>
      <c r="F391">
        <v>1339493814</v>
      </c>
      <c r="G391">
        <v>3357222.41</v>
      </c>
      <c r="H391">
        <v>1329236107.6500001</v>
      </c>
      <c r="I391">
        <v>1336136591.5899999</v>
      </c>
      <c r="J391">
        <v>6.0096999999999998E-2</v>
      </c>
      <c r="K391">
        <v>0</v>
      </c>
      <c r="M391" t="s">
        <v>0</v>
      </c>
      <c r="N391">
        <v>3000</v>
      </c>
      <c r="O391">
        <v>72</v>
      </c>
      <c r="P391">
        <v>158460</v>
      </c>
      <c r="Q391">
        <v>0</v>
      </c>
      <c r="R391">
        <v>3246049450866</v>
      </c>
      <c r="S391">
        <v>7579499853.21</v>
      </c>
      <c r="T391">
        <v>3222173960460.8301</v>
      </c>
      <c r="U391">
        <v>3236736660650.46</v>
      </c>
      <c r="V391">
        <v>5.8606999999999999E-2</v>
      </c>
      <c r="W391">
        <v>6.3889999999999997E-3</v>
      </c>
    </row>
    <row r="392" spans="1:23" x14ac:dyDescent="0.35">
      <c r="A392" t="s">
        <v>1</v>
      </c>
      <c r="B392">
        <v>3500</v>
      </c>
      <c r="C392">
        <v>96</v>
      </c>
      <c r="D392">
        <v>334</v>
      </c>
      <c r="E392">
        <v>0</v>
      </c>
      <c r="F392">
        <v>6317545607</v>
      </c>
      <c r="G392">
        <v>15583577.189999999</v>
      </c>
      <c r="H392">
        <v>6219224302.4899998</v>
      </c>
      <c r="I392">
        <v>6290584921.6000004</v>
      </c>
      <c r="J392">
        <v>0.146318</v>
      </c>
      <c r="K392">
        <v>2.1398E-2</v>
      </c>
      <c r="M392" t="s">
        <v>2</v>
      </c>
      <c r="N392">
        <v>3000</v>
      </c>
      <c r="O392">
        <v>84</v>
      </c>
      <c r="P392">
        <v>964</v>
      </c>
      <c r="Q392">
        <v>0</v>
      </c>
      <c r="R392">
        <v>14611351345</v>
      </c>
      <c r="S392">
        <v>35444275.119999997</v>
      </c>
      <c r="T392">
        <v>14544891237.709999</v>
      </c>
      <c r="U392">
        <v>14575907069.879999</v>
      </c>
      <c r="V392">
        <v>2.5177000000000001E-2</v>
      </c>
      <c r="W392">
        <v>0</v>
      </c>
    </row>
    <row r="393" spans="1:23" x14ac:dyDescent="0.35">
      <c r="A393" t="s">
        <v>0</v>
      </c>
      <c r="B393">
        <v>3500</v>
      </c>
      <c r="C393">
        <v>84</v>
      </c>
      <c r="D393">
        <v>56231</v>
      </c>
      <c r="E393">
        <v>0</v>
      </c>
      <c r="F393">
        <v>1085147643223</v>
      </c>
      <c r="G393">
        <v>2489201137.3499999</v>
      </c>
      <c r="H393">
        <v>1076377081858.74</v>
      </c>
      <c r="I393">
        <v>1082287162536.29</v>
      </c>
      <c r="J393">
        <v>6.7292000000000005E-2</v>
      </c>
      <c r="K393">
        <v>4.0980000000000001E-3</v>
      </c>
      <c r="M393" t="s">
        <v>1</v>
      </c>
      <c r="N393">
        <v>3000</v>
      </c>
      <c r="O393">
        <v>72</v>
      </c>
      <c r="P393">
        <v>98288</v>
      </c>
      <c r="Q393">
        <v>0</v>
      </c>
      <c r="R393">
        <v>2414375374271</v>
      </c>
      <c r="S393">
        <v>5687787499.7299995</v>
      </c>
      <c r="T393">
        <v>2392593167352.4302</v>
      </c>
      <c r="U393">
        <v>2407577080212.2798</v>
      </c>
      <c r="V393">
        <v>7.7123999999999998E-2</v>
      </c>
      <c r="W393">
        <v>5.5059999999999996E-3</v>
      </c>
    </row>
    <row r="394" spans="1:23" x14ac:dyDescent="0.35">
      <c r="A394" t="s">
        <v>2</v>
      </c>
      <c r="B394">
        <v>3500</v>
      </c>
      <c r="C394">
        <v>84</v>
      </c>
      <c r="D394">
        <v>9720</v>
      </c>
      <c r="E394">
        <v>0</v>
      </c>
      <c r="F394">
        <v>140138100887</v>
      </c>
      <c r="G394">
        <v>320822498.13</v>
      </c>
      <c r="H394">
        <v>139100295064.45001</v>
      </c>
      <c r="I394">
        <v>139783076570.14001</v>
      </c>
      <c r="J394">
        <v>5.9697E-2</v>
      </c>
      <c r="K394">
        <v>2.9250000000000001E-3</v>
      </c>
      <c r="M394" t="s">
        <v>2</v>
      </c>
      <c r="N394">
        <v>2250</v>
      </c>
      <c r="O394">
        <v>168</v>
      </c>
      <c r="P394">
        <v>1</v>
      </c>
      <c r="Q394">
        <v>0</v>
      </c>
      <c r="R394">
        <v>4371462</v>
      </c>
      <c r="S394">
        <v>17405.259999999998</v>
      </c>
      <c r="T394">
        <v>4354056.74</v>
      </c>
      <c r="U394">
        <v>4354056.74</v>
      </c>
      <c r="V394">
        <v>0</v>
      </c>
      <c r="W394">
        <v>0</v>
      </c>
    </row>
    <row r="395" spans="1:23" x14ac:dyDescent="0.35">
      <c r="A395" t="s">
        <v>1</v>
      </c>
      <c r="B395">
        <v>3500</v>
      </c>
      <c r="C395">
        <v>84</v>
      </c>
      <c r="D395">
        <v>43195</v>
      </c>
      <c r="E395">
        <v>0</v>
      </c>
      <c r="F395">
        <v>947752490771</v>
      </c>
      <c r="G395">
        <v>2180212619.7199998</v>
      </c>
      <c r="H395">
        <v>938663485640.89001</v>
      </c>
      <c r="I395">
        <v>945283064318.57996</v>
      </c>
      <c r="J395">
        <v>8.4053000000000003E-2</v>
      </c>
      <c r="K395">
        <v>3.656E-3</v>
      </c>
      <c r="M395" t="s">
        <v>1</v>
      </c>
      <c r="N395">
        <v>4500</v>
      </c>
      <c r="O395">
        <v>96</v>
      </c>
      <c r="P395">
        <v>9327</v>
      </c>
      <c r="Q395">
        <v>0</v>
      </c>
      <c r="R395">
        <v>164132784610</v>
      </c>
      <c r="S395">
        <v>357576027.5</v>
      </c>
      <c r="T395">
        <v>162724949260.51999</v>
      </c>
      <c r="U395">
        <v>163713203592.51001</v>
      </c>
      <c r="V395">
        <v>7.4140999999999999E-2</v>
      </c>
      <c r="W395">
        <v>4.5240000000000002E-3</v>
      </c>
    </row>
    <row r="396" spans="1:23" x14ac:dyDescent="0.35">
      <c r="A396" t="s">
        <v>0</v>
      </c>
      <c r="B396">
        <v>4000</v>
      </c>
      <c r="C396">
        <v>84</v>
      </c>
      <c r="D396">
        <v>58375</v>
      </c>
      <c r="E396">
        <v>0</v>
      </c>
      <c r="F396">
        <v>963811737637</v>
      </c>
      <c r="G396">
        <v>2085790262.8900001</v>
      </c>
      <c r="H396">
        <v>955214462773.37</v>
      </c>
      <c r="I396">
        <v>960821536312.30005</v>
      </c>
      <c r="J396">
        <v>7.8126000000000001E-2</v>
      </c>
      <c r="K396">
        <v>1.1202E-2</v>
      </c>
      <c r="M396" t="s">
        <v>2</v>
      </c>
      <c r="N396">
        <v>3500</v>
      </c>
      <c r="O396">
        <v>84</v>
      </c>
      <c r="P396">
        <v>8430</v>
      </c>
      <c r="Q396">
        <v>0</v>
      </c>
      <c r="R396">
        <v>122045543999</v>
      </c>
      <c r="S396">
        <v>278731128.27999997</v>
      </c>
      <c r="T396">
        <v>121050427960.97</v>
      </c>
      <c r="U396">
        <v>121751440885.78999</v>
      </c>
      <c r="V396">
        <v>6.8208000000000005E-2</v>
      </c>
      <c r="W396">
        <v>1.5100000000000001E-3</v>
      </c>
    </row>
    <row r="397" spans="1:23" x14ac:dyDescent="0.35">
      <c r="A397" t="s">
        <v>2</v>
      </c>
      <c r="B397">
        <v>4000</v>
      </c>
      <c r="C397">
        <v>84</v>
      </c>
      <c r="D397">
        <v>9556</v>
      </c>
      <c r="E397">
        <v>0</v>
      </c>
      <c r="F397">
        <v>120522799852</v>
      </c>
      <c r="G397">
        <v>260976065.13999999</v>
      </c>
      <c r="H397">
        <v>119550435731.67999</v>
      </c>
      <c r="I397">
        <v>120205703648.42</v>
      </c>
      <c r="J397">
        <v>6.8574999999999997E-2</v>
      </c>
      <c r="K397">
        <v>5.5729999999999998E-3</v>
      </c>
      <c r="M397" t="s">
        <v>0</v>
      </c>
      <c r="N397">
        <v>3500</v>
      </c>
      <c r="O397">
        <v>84</v>
      </c>
      <c r="P397">
        <v>50206</v>
      </c>
      <c r="Q397">
        <v>0</v>
      </c>
      <c r="R397">
        <v>976597069489</v>
      </c>
      <c r="S397">
        <v>2233769417.9200001</v>
      </c>
      <c r="T397">
        <v>969183869171.53003</v>
      </c>
      <c r="U397">
        <v>974046512326.66003</v>
      </c>
      <c r="V397">
        <v>6.1818999999999999E-2</v>
      </c>
      <c r="W397">
        <v>3.8860000000000001E-3</v>
      </c>
    </row>
    <row r="398" spans="1:23" x14ac:dyDescent="0.35">
      <c r="A398" t="s">
        <v>0</v>
      </c>
      <c r="B398">
        <v>2250</v>
      </c>
      <c r="C398">
        <v>168</v>
      </c>
      <c r="D398">
        <v>13</v>
      </c>
      <c r="E398">
        <v>0</v>
      </c>
      <c r="F398">
        <v>113923664</v>
      </c>
      <c r="G398">
        <v>447359.71</v>
      </c>
      <c r="H398">
        <v>113476304.29000001</v>
      </c>
      <c r="I398">
        <v>113476304.29000001</v>
      </c>
      <c r="J398">
        <v>0</v>
      </c>
      <c r="K398">
        <v>0</v>
      </c>
      <c r="M398" t="s">
        <v>1</v>
      </c>
      <c r="N398">
        <v>3500</v>
      </c>
      <c r="O398">
        <v>84</v>
      </c>
      <c r="P398">
        <v>39521</v>
      </c>
      <c r="Q398">
        <v>0</v>
      </c>
      <c r="R398">
        <v>869911661034</v>
      </c>
      <c r="S398">
        <v>1995031439.3299999</v>
      </c>
      <c r="T398">
        <v>861366671201.42004</v>
      </c>
      <c r="U398">
        <v>867672194822.47998</v>
      </c>
      <c r="V398">
        <v>8.6704000000000003E-2</v>
      </c>
      <c r="W398">
        <v>3.3670000000000002E-3</v>
      </c>
    </row>
    <row r="399" spans="1:23" x14ac:dyDescent="0.35">
      <c r="A399" t="s">
        <v>0</v>
      </c>
      <c r="B399">
        <v>4750</v>
      </c>
      <c r="C399">
        <v>168</v>
      </c>
      <c r="D399">
        <v>17754</v>
      </c>
      <c r="E399">
        <v>0</v>
      </c>
      <c r="F399">
        <v>149229469336</v>
      </c>
      <c r="G399">
        <v>457373910.23000002</v>
      </c>
      <c r="H399">
        <v>147850478479.14001</v>
      </c>
      <c r="I399">
        <v>148586710726.89001</v>
      </c>
      <c r="J399">
        <v>7.1643999999999999E-2</v>
      </c>
      <c r="K399">
        <v>1.4806E-2</v>
      </c>
      <c r="M399" t="s">
        <v>0</v>
      </c>
      <c r="N399">
        <v>4000</v>
      </c>
      <c r="O399">
        <v>84</v>
      </c>
      <c r="P399">
        <v>54123</v>
      </c>
      <c r="Q399">
        <v>0</v>
      </c>
      <c r="R399">
        <v>901967484221</v>
      </c>
      <c r="S399">
        <v>1948154731.77</v>
      </c>
      <c r="T399">
        <v>894887941407.68005</v>
      </c>
      <c r="U399">
        <v>899380333445.15002</v>
      </c>
      <c r="V399">
        <v>6.6172999999999996E-2</v>
      </c>
      <c r="W399">
        <v>8.4679999999999998E-3</v>
      </c>
    </row>
    <row r="400" spans="1:23" x14ac:dyDescent="0.35">
      <c r="A400" t="s">
        <v>2</v>
      </c>
      <c r="B400">
        <v>4750</v>
      </c>
      <c r="C400">
        <v>168</v>
      </c>
      <c r="D400">
        <v>3836</v>
      </c>
      <c r="E400">
        <v>0</v>
      </c>
      <c r="F400">
        <v>30107255483</v>
      </c>
      <c r="G400">
        <v>92227789</v>
      </c>
      <c r="H400">
        <v>29823477591.73</v>
      </c>
      <c r="I400">
        <v>30008590278.439999</v>
      </c>
      <c r="J400">
        <v>7.3731000000000005E-2</v>
      </c>
      <c r="K400">
        <v>2.5630000000000002E-3</v>
      </c>
      <c r="M400" t="s">
        <v>2</v>
      </c>
      <c r="N400">
        <v>4000</v>
      </c>
      <c r="O400">
        <v>84</v>
      </c>
      <c r="P400">
        <v>9106</v>
      </c>
      <c r="Q400">
        <v>0</v>
      </c>
      <c r="R400">
        <v>115347633258</v>
      </c>
      <c r="S400">
        <v>249088733.44</v>
      </c>
      <c r="T400">
        <v>114392550325.74001</v>
      </c>
      <c r="U400">
        <v>115002313322.25</v>
      </c>
      <c r="V400">
        <v>7.1024000000000004E-2</v>
      </c>
      <c r="W400">
        <v>9.9649999999999999E-3</v>
      </c>
    </row>
    <row r="401" spans="1:23" x14ac:dyDescent="0.35">
      <c r="A401" t="s">
        <v>0</v>
      </c>
      <c r="B401">
        <v>2000</v>
      </c>
      <c r="C401">
        <v>144</v>
      </c>
      <c r="D401">
        <v>9</v>
      </c>
      <c r="E401">
        <v>0</v>
      </c>
      <c r="F401">
        <v>86699752</v>
      </c>
      <c r="G401">
        <v>315211.71999999997</v>
      </c>
      <c r="H401">
        <v>86384540.280000001</v>
      </c>
      <c r="I401">
        <v>86384540.280000001</v>
      </c>
      <c r="J401">
        <v>0</v>
      </c>
      <c r="K401">
        <v>0</v>
      </c>
      <c r="M401" t="s">
        <v>0</v>
      </c>
      <c r="N401">
        <v>4500</v>
      </c>
      <c r="O401">
        <v>84</v>
      </c>
      <c r="P401">
        <v>30118</v>
      </c>
      <c r="Q401">
        <v>0</v>
      </c>
      <c r="R401">
        <v>462756895901</v>
      </c>
      <c r="S401">
        <v>942062596.80999994</v>
      </c>
      <c r="T401">
        <v>458788105665.42999</v>
      </c>
      <c r="U401">
        <v>461075795708.19</v>
      </c>
      <c r="V401">
        <v>7.5725000000000001E-2</v>
      </c>
      <c r="W401">
        <v>1.8997E-2</v>
      </c>
    </row>
    <row r="402" spans="1:23" x14ac:dyDescent="0.35">
      <c r="A402" t="s">
        <v>0</v>
      </c>
      <c r="B402">
        <v>3250</v>
      </c>
      <c r="C402">
        <v>144</v>
      </c>
      <c r="D402">
        <v>8414</v>
      </c>
      <c r="E402">
        <v>0</v>
      </c>
      <c r="F402">
        <v>107411804941</v>
      </c>
      <c r="G402">
        <v>335501815.80000001</v>
      </c>
      <c r="H402">
        <v>106600965540.84</v>
      </c>
      <c r="I402">
        <v>107068610097.56</v>
      </c>
      <c r="J402">
        <v>5.1831000000000002E-2</v>
      </c>
      <c r="K402">
        <v>8.5899999999999995E-4</v>
      </c>
      <c r="M402" t="s">
        <v>0</v>
      </c>
      <c r="N402">
        <v>2250</v>
      </c>
      <c r="O402">
        <v>168</v>
      </c>
      <c r="P402">
        <v>12</v>
      </c>
      <c r="Q402">
        <v>0</v>
      </c>
      <c r="R402">
        <v>112731842</v>
      </c>
      <c r="S402">
        <v>440304.52</v>
      </c>
      <c r="T402">
        <v>112291537.48</v>
      </c>
      <c r="U402">
        <v>112291537.48</v>
      </c>
      <c r="V402">
        <v>0</v>
      </c>
      <c r="W402">
        <v>0</v>
      </c>
    </row>
    <row r="403" spans="1:23" x14ac:dyDescent="0.35">
      <c r="A403" t="s">
        <v>0</v>
      </c>
      <c r="B403">
        <v>4250</v>
      </c>
      <c r="C403">
        <v>144</v>
      </c>
      <c r="D403">
        <v>82599</v>
      </c>
      <c r="E403">
        <v>0</v>
      </c>
      <c r="F403">
        <v>869878662393</v>
      </c>
      <c r="G403">
        <v>2498676961.0900002</v>
      </c>
      <c r="H403">
        <v>862107874120.45996</v>
      </c>
      <c r="I403">
        <v>866659475852.64001</v>
      </c>
      <c r="J403">
        <v>7.0352999999999999E-2</v>
      </c>
      <c r="K403">
        <v>9.894E-3</v>
      </c>
      <c r="M403" t="s">
        <v>2</v>
      </c>
      <c r="N403">
        <v>4750</v>
      </c>
      <c r="O403">
        <v>168</v>
      </c>
      <c r="P403">
        <v>3524</v>
      </c>
      <c r="Q403">
        <v>0</v>
      </c>
      <c r="R403">
        <v>27966456331</v>
      </c>
      <c r="S403">
        <v>85296015.170000002</v>
      </c>
      <c r="T403">
        <v>27765612248.220001</v>
      </c>
      <c r="U403">
        <v>27881160315.830002</v>
      </c>
      <c r="V403">
        <v>4.8468999999999998E-2</v>
      </c>
      <c r="W403">
        <v>0</v>
      </c>
    </row>
    <row r="404" spans="1:23" x14ac:dyDescent="0.35">
      <c r="A404" t="s">
        <v>1</v>
      </c>
      <c r="B404">
        <v>2750</v>
      </c>
      <c r="C404">
        <v>144</v>
      </c>
      <c r="D404">
        <v>491</v>
      </c>
      <c r="E404">
        <v>0</v>
      </c>
      <c r="F404">
        <v>7128548585</v>
      </c>
      <c r="G404">
        <v>23659276.5</v>
      </c>
      <c r="H404">
        <v>7081608390.1800003</v>
      </c>
      <c r="I404">
        <v>7104889308.5</v>
      </c>
      <c r="J404">
        <v>3.8494E-2</v>
      </c>
      <c r="K404">
        <v>0</v>
      </c>
      <c r="M404" t="s">
        <v>0</v>
      </c>
      <c r="N404">
        <v>2000</v>
      </c>
      <c r="O404">
        <v>144</v>
      </c>
      <c r="P404">
        <v>9</v>
      </c>
      <c r="Q404">
        <v>0</v>
      </c>
      <c r="R404">
        <v>78650330</v>
      </c>
      <c r="S404">
        <v>290283.93</v>
      </c>
      <c r="T404">
        <v>78360046.069999993</v>
      </c>
      <c r="U404">
        <v>78360046.069999993</v>
      </c>
      <c r="V404">
        <v>0</v>
      </c>
      <c r="W404">
        <v>0</v>
      </c>
    </row>
    <row r="405" spans="1:23" x14ac:dyDescent="0.35">
      <c r="A405" t="s">
        <v>2</v>
      </c>
      <c r="B405">
        <v>4250</v>
      </c>
      <c r="C405">
        <v>144</v>
      </c>
      <c r="D405">
        <v>16064</v>
      </c>
      <c r="E405">
        <v>0</v>
      </c>
      <c r="F405">
        <v>142102567197</v>
      </c>
      <c r="G405">
        <v>416186897.75999999</v>
      </c>
      <c r="H405">
        <v>140705247818.44</v>
      </c>
      <c r="I405">
        <v>141631313797.41</v>
      </c>
      <c r="J405">
        <v>7.9778000000000002E-2</v>
      </c>
      <c r="K405">
        <v>4.64E-3</v>
      </c>
      <c r="M405" t="s">
        <v>0</v>
      </c>
      <c r="N405">
        <v>4250</v>
      </c>
      <c r="O405">
        <v>144</v>
      </c>
      <c r="P405">
        <v>83132</v>
      </c>
      <c r="Q405">
        <v>0</v>
      </c>
      <c r="R405">
        <v>872734404307</v>
      </c>
      <c r="S405">
        <v>2505397078.5900002</v>
      </c>
      <c r="T405">
        <v>865615675040.94995</v>
      </c>
      <c r="U405">
        <v>869486680719.94995</v>
      </c>
      <c r="V405">
        <v>6.1621000000000002E-2</v>
      </c>
      <c r="W405">
        <v>1.0159E-2</v>
      </c>
    </row>
    <row r="406" spans="1:23" x14ac:dyDescent="0.35">
      <c r="A406" t="s">
        <v>3</v>
      </c>
      <c r="B406">
        <v>4500</v>
      </c>
      <c r="C406">
        <v>144</v>
      </c>
      <c r="D406">
        <v>299</v>
      </c>
      <c r="E406">
        <v>0</v>
      </c>
      <c r="F406">
        <v>2673752247</v>
      </c>
      <c r="G406">
        <v>7583009.8300000001</v>
      </c>
      <c r="H406">
        <v>2666169237.1700001</v>
      </c>
      <c r="I406">
        <v>2666169237.1700001</v>
      </c>
      <c r="J406">
        <v>0</v>
      </c>
      <c r="K406">
        <v>0</v>
      </c>
      <c r="M406" t="s">
        <v>0</v>
      </c>
      <c r="N406">
        <v>3250</v>
      </c>
      <c r="O406">
        <v>144</v>
      </c>
      <c r="P406">
        <v>7203</v>
      </c>
      <c r="Q406">
        <v>0</v>
      </c>
      <c r="R406">
        <v>90051271556</v>
      </c>
      <c r="S406">
        <v>282582610.35000002</v>
      </c>
      <c r="T406">
        <v>89405748765.380005</v>
      </c>
      <c r="U406">
        <v>89725966301.339996</v>
      </c>
      <c r="V406">
        <v>4.7307000000000002E-2</v>
      </c>
      <c r="W406">
        <v>5.6779999999999999E-3</v>
      </c>
    </row>
    <row r="407" spans="1:23" x14ac:dyDescent="0.35">
      <c r="A407" t="s">
        <v>2</v>
      </c>
      <c r="B407">
        <v>3250</v>
      </c>
      <c r="C407">
        <v>144</v>
      </c>
      <c r="D407">
        <v>1747</v>
      </c>
      <c r="E407">
        <v>0</v>
      </c>
      <c r="F407">
        <v>18462457790</v>
      </c>
      <c r="G407">
        <v>58021046.75</v>
      </c>
      <c r="H407">
        <v>18317648271.490002</v>
      </c>
      <c r="I407">
        <v>18404436743.25</v>
      </c>
      <c r="J407">
        <v>5.4974000000000002E-2</v>
      </c>
      <c r="K407">
        <v>0</v>
      </c>
      <c r="M407" t="s">
        <v>2</v>
      </c>
      <c r="N407">
        <v>4250</v>
      </c>
      <c r="O407">
        <v>144</v>
      </c>
      <c r="P407">
        <v>16616</v>
      </c>
      <c r="Q407">
        <v>0</v>
      </c>
      <c r="R407">
        <v>147877134411</v>
      </c>
      <c r="S407">
        <v>432550790.25</v>
      </c>
      <c r="T407">
        <v>146485768625.28</v>
      </c>
      <c r="U407">
        <v>147384155063.04999</v>
      </c>
      <c r="V407">
        <v>7.5091000000000005E-2</v>
      </c>
      <c r="W407">
        <v>4.8929999999999998E-3</v>
      </c>
    </row>
    <row r="408" spans="1:23" x14ac:dyDescent="0.35">
      <c r="A408" t="s">
        <v>1</v>
      </c>
      <c r="B408">
        <v>5500</v>
      </c>
      <c r="C408">
        <v>108</v>
      </c>
      <c r="D408">
        <v>135</v>
      </c>
      <c r="E408">
        <v>0</v>
      </c>
      <c r="F408">
        <v>1497590141</v>
      </c>
      <c r="G408">
        <v>3015677.33</v>
      </c>
      <c r="H408">
        <v>1476842495.4000001</v>
      </c>
      <c r="I408">
        <v>1494574463.6700001</v>
      </c>
      <c r="J408">
        <v>0.133187</v>
      </c>
      <c r="K408">
        <v>0</v>
      </c>
      <c r="M408" t="s">
        <v>1</v>
      </c>
      <c r="N408">
        <v>2750</v>
      </c>
      <c r="O408">
        <v>144</v>
      </c>
      <c r="P408">
        <v>430</v>
      </c>
      <c r="Q408">
        <v>0</v>
      </c>
      <c r="R408">
        <v>6259582912</v>
      </c>
      <c r="S408">
        <v>20828597.59</v>
      </c>
      <c r="T408">
        <v>6173348705.5600004</v>
      </c>
      <c r="U408">
        <v>6227206010.96</v>
      </c>
      <c r="V408">
        <v>0.118426</v>
      </c>
      <c r="W408">
        <v>2.1916000000000001E-2</v>
      </c>
    </row>
    <row r="409" spans="1:23" x14ac:dyDescent="0.35">
      <c r="A409" t="s">
        <v>3</v>
      </c>
      <c r="B409">
        <v>4000</v>
      </c>
      <c r="C409">
        <v>144</v>
      </c>
      <c r="D409">
        <v>657</v>
      </c>
      <c r="E409">
        <v>0</v>
      </c>
      <c r="F409">
        <v>7900335174</v>
      </c>
      <c r="G409">
        <v>23391166.239999998</v>
      </c>
      <c r="H409">
        <v>7849353734.8000002</v>
      </c>
      <c r="I409">
        <v>7876944007.7600002</v>
      </c>
      <c r="J409">
        <v>4.1112000000000003E-2</v>
      </c>
      <c r="K409">
        <v>0</v>
      </c>
      <c r="M409" t="s">
        <v>3</v>
      </c>
      <c r="N409">
        <v>4500</v>
      </c>
      <c r="O409">
        <v>144</v>
      </c>
      <c r="P409">
        <v>309</v>
      </c>
      <c r="Q409">
        <v>0</v>
      </c>
      <c r="R409">
        <v>2761568822</v>
      </c>
      <c r="S409">
        <v>7836068.5800000001</v>
      </c>
      <c r="T409">
        <v>2743974902.1599998</v>
      </c>
      <c r="U409">
        <v>2753732753.4200001</v>
      </c>
      <c r="V409">
        <v>4.1586999999999999E-2</v>
      </c>
      <c r="W409">
        <v>0</v>
      </c>
    </row>
    <row r="410" spans="1:23" x14ac:dyDescent="0.35">
      <c r="A410" t="s">
        <v>0</v>
      </c>
      <c r="B410">
        <v>2750</v>
      </c>
      <c r="C410">
        <v>144</v>
      </c>
      <c r="D410">
        <v>74</v>
      </c>
      <c r="E410">
        <v>0</v>
      </c>
      <c r="F410">
        <v>780937452</v>
      </c>
      <c r="G410">
        <v>2570319.1800000002</v>
      </c>
      <c r="H410">
        <v>778367132.82000005</v>
      </c>
      <c r="I410">
        <v>778367132.82000005</v>
      </c>
      <c r="J410">
        <v>0</v>
      </c>
      <c r="K410">
        <v>0</v>
      </c>
      <c r="M410" t="s">
        <v>2</v>
      </c>
      <c r="N410">
        <v>3250</v>
      </c>
      <c r="O410">
        <v>144</v>
      </c>
      <c r="P410">
        <v>1543</v>
      </c>
      <c r="Q410">
        <v>0</v>
      </c>
      <c r="R410">
        <v>16219478783</v>
      </c>
      <c r="S410">
        <v>51060488.189999998</v>
      </c>
      <c r="T410">
        <v>16107650627.530001</v>
      </c>
      <c r="U410">
        <v>16168418294.809999</v>
      </c>
      <c r="V410">
        <v>4.4044E-2</v>
      </c>
      <c r="W410">
        <v>0</v>
      </c>
    </row>
    <row r="411" spans="1:23" x14ac:dyDescent="0.35">
      <c r="A411" t="s">
        <v>3</v>
      </c>
      <c r="B411">
        <v>3500</v>
      </c>
      <c r="C411">
        <v>144</v>
      </c>
      <c r="D411">
        <v>189</v>
      </c>
      <c r="E411">
        <v>0</v>
      </c>
      <c r="F411">
        <v>2792770857</v>
      </c>
      <c r="G411">
        <v>8590776.9700000007</v>
      </c>
      <c r="H411">
        <v>2721627083.1500001</v>
      </c>
      <c r="I411">
        <v>2784180080.0300002</v>
      </c>
      <c r="J411">
        <v>0.23801900000000001</v>
      </c>
      <c r="K411">
        <v>0</v>
      </c>
      <c r="M411" t="s">
        <v>1</v>
      </c>
      <c r="N411">
        <v>5500</v>
      </c>
      <c r="O411">
        <v>108</v>
      </c>
      <c r="P411">
        <v>102</v>
      </c>
      <c r="Q411">
        <v>0</v>
      </c>
      <c r="R411">
        <v>1102738305</v>
      </c>
      <c r="S411">
        <v>2231753.58</v>
      </c>
      <c r="T411">
        <v>1079790808.28</v>
      </c>
      <c r="U411">
        <v>1086510912.1199999</v>
      </c>
      <c r="V411">
        <v>0.20353599999999999</v>
      </c>
      <c r="W411">
        <v>0.14210600000000001</v>
      </c>
    </row>
    <row r="412" spans="1:23" x14ac:dyDescent="0.35">
      <c r="A412" t="s">
        <v>0</v>
      </c>
      <c r="B412">
        <v>4750</v>
      </c>
      <c r="C412">
        <v>144</v>
      </c>
      <c r="D412">
        <v>24248</v>
      </c>
      <c r="E412">
        <v>0</v>
      </c>
      <c r="F412">
        <v>214638565089</v>
      </c>
      <c r="G412">
        <v>597181546.07000005</v>
      </c>
      <c r="H412">
        <v>212750623678.13</v>
      </c>
      <c r="I412">
        <v>213828542729.16</v>
      </c>
      <c r="J412">
        <v>6.9823999999999997E-2</v>
      </c>
      <c r="K412">
        <v>1.1835E-2</v>
      </c>
      <c r="M412" t="s">
        <v>3</v>
      </c>
      <c r="N412">
        <v>4000</v>
      </c>
      <c r="O412">
        <v>144</v>
      </c>
      <c r="P412">
        <v>658</v>
      </c>
      <c r="Q412">
        <v>0</v>
      </c>
      <c r="R412">
        <v>7910684711</v>
      </c>
      <c r="S412">
        <v>23383125.050000001</v>
      </c>
      <c r="T412">
        <v>7816170105.04</v>
      </c>
      <c r="U412">
        <v>7887301585.9499998</v>
      </c>
      <c r="V412">
        <v>0.10272199999999999</v>
      </c>
      <c r="W412">
        <v>0</v>
      </c>
    </row>
    <row r="413" spans="1:23" x14ac:dyDescent="0.35">
      <c r="A413" t="s">
        <v>1</v>
      </c>
      <c r="B413">
        <v>5500</v>
      </c>
      <c r="C413">
        <v>144</v>
      </c>
      <c r="D413">
        <v>19</v>
      </c>
      <c r="E413">
        <v>0</v>
      </c>
      <c r="F413">
        <v>170630826</v>
      </c>
      <c r="G413">
        <v>428376.45</v>
      </c>
      <c r="H413">
        <v>170202449.55000001</v>
      </c>
      <c r="I413">
        <v>170202449.55000001</v>
      </c>
      <c r="J413">
        <v>0</v>
      </c>
      <c r="K413">
        <v>0</v>
      </c>
      <c r="M413" t="s">
        <v>0</v>
      </c>
      <c r="N413">
        <v>2750</v>
      </c>
      <c r="O413">
        <v>144</v>
      </c>
      <c r="P413">
        <v>69</v>
      </c>
      <c r="Q413">
        <v>0</v>
      </c>
      <c r="R413">
        <v>734118115</v>
      </c>
      <c r="S413">
        <v>2426675.7999999998</v>
      </c>
      <c r="T413">
        <v>731691439.20000005</v>
      </c>
      <c r="U413">
        <v>731691439.20000005</v>
      </c>
      <c r="V413">
        <v>0</v>
      </c>
      <c r="W413">
        <v>0</v>
      </c>
    </row>
    <row r="414" spans="1:23" x14ac:dyDescent="0.35">
      <c r="A414" t="s">
        <v>0</v>
      </c>
      <c r="B414">
        <v>6000</v>
      </c>
      <c r="C414">
        <v>144</v>
      </c>
      <c r="D414">
        <v>25</v>
      </c>
      <c r="E414">
        <v>0</v>
      </c>
      <c r="F414">
        <v>170698073</v>
      </c>
      <c r="G414">
        <v>410237.17</v>
      </c>
      <c r="H414">
        <v>170287835.83000001</v>
      </c>
      <c r="I414">
        <v>170287835.83000001</v>
      </c>
      <c r="J414">
        <v>0</v>
      </c>
      <c r="K414">
        <v>0</v>
      </c>
      <c r="M414" t="s">
        <v>3</v>
      </c>
      <c r="N414">
        <v>3500</v>
      </c>
      <c r="O414">
        <v>144</v>
      </c>
      <c r="P414">
        <v>167</v>
      </c>
      <c r="Q414">
        <v>0</v>
      </c>
      <c r="R414">
        <v>2531901542</v>
      </c>
      <c r="S414">
        <v>7785294.1200000001</v>
      </c>
      <c r="T414">
        <v>2512571926.1999998</v>
      </c>
      <c r="U414">
        <v>2524116247.8800001</v>
      </c>
      <c r="V414">
        <v>5.3363000000000001E-2</v>
      </c>
      <c r="W414">
        <v>0</v>
      </c>
    </row>
    <row r="415" spans="1:23" x14ac:dyDescent="0.35">
      <c r="A415" t="s">
        <v>2</v>
      </c>
      <c r="B415">
        <v>2750</v>
      </c>
      <c r="C415">
        <v>144</v>
      </c>
      <c r="D415">
        <v>18</v>
      </c>
      <c r="E415">
        <v>0</v>
      </c>
      <c r="F415">
        <v>173594715</v>
      </c>
      <c r="G415">
        <v>551461.48</v>
      </c>
      <c r="H415">
        <v>173043253.52000001</v>
      </c>
      <c r="I415">
        <v>173043253.52000001</v>
      </c>
      <c r="J415">
        <v>0</v>
      </c>
      <c r="K415">
        <v>0</v>
      </c>
      <c r="M415" t="s">
        <v>0</v>
      </c>
      <c r="N415">
        <v>4750</v>
      </c>
      <c r="O415">
        <v>144</v>
      </c>
      <c r="P415">
        <v>26145</v>
      </c>
      <c r="Q415">
        <v>0</v>
      </c>
      <c r="R415">
        <v>230276824698</v>
      </c>
      <c r="S415">
        <v>641939904.61000001</v>
      </c>
      <c r="T415">
        <v>228311518434.94</v>
      </c>
      <c r="U415">
        <v>229403942769.32001</v>
      </c>
      <c r="V415">
        <v>6.6823999999999995E-2</v>
      </c>
      <c r="W415">
        <v>1.1969E-2</v>
      </c>
    </row>
    <row r="416" spans="1:23" x14ac:dyDescent="0.35">
      <c r="A416" t="s">
        <v>2</v>
      </c>
      <c r="B416">
        <v>4750</v>
      </c>
      <c r="C416">
        <v>144</v>
      </c>
      <c r="D416">
        <v>2150</v>
      </c>
      <c r="E416">
        <v>0</v>
      </c>
      <c r="F416">
        <v>15738186600</v>
      </c>
      <c r="G416">
        <v>44153420.689999998</v>
      </c>
      <c r="H416">
        <v>15620616435.190001</v>
      </c>
      <c r="I416">
        <v>15674808569.799999</v>
      </c>
      <c r="J416">
        <v>5.4564000000000001E-2</v>
      </c>
      <c r="K416">
        <v>1.456E-2</v>
      </c>
      <c r="M416" t="s">
        <v>1</v>
      </c>
      <c r="N416">
        <v>5500</v>
      </c>
      <c r="O416">
        <v>144</v>
      </c>
      <c r="P416">
        <v>18</v>
      </c>
      <c r="Q416">
        <v>0</v>
      </c>
      <c r="R416">
        <v>166696535</v>
      </c>
      <c r="S416">
        <v>416464.07</v>
      </c>
      <c r="T416">
        <v>166280070.93000001</v>
      </c>
      <c r="U416">
        <v>166280070.93000001</v>
      </c>
      <c r="V416">
        <v>0</v>
      </c>
      <c r="W416">
        <v>0</v>
      </c>
    </row>
    <row r="417" spans="1:23" x14ac:dyDescent="0.35">
      <c r="A417" t="s">
        <v>0</v>
      </c>
      <c r="B417">
        <v>5500</v>
      </c>
      <c r="C417">
        <v>120</v>
      </c>
      <c r="D417">
        <v>213</v>
      </c>
      <c r="E417">
        <v>0</v>
      </c>
      <c r="F417">
        <v>2185567640</v>
      </c>
      <c r="G417">
        <v>4773997.13</v>
      </c>
      <c r="H417">
        <v>2158969326.4200001</v>
      </c>
      <c r="I417">
        <v>2173232287.1900001</v>
      </c>
      <c r="J417">
        <v>0.11346100000000001</v>
      </c>
      <c r="K417">
        <v>4.0735E-2</v>
      </c>
      <c r="M417" t="s">
        <v>0</v>
      </c>
      <c r="N417">
        <v>6000</v>
      </c>
      <c r="O417">
        <v>144</v>
      </c>
      <c r="P417">
        <v>24</v>
      </c>
      <c r="Q417">
        <v>0</v>
      </c>
      <c r="R417">
        <v>158575826</v>
      </c>
      <c r="S417">
        <v>382950.62</v>
      </c>
      <c r="T417">
        <v>158192875.38</v>
      </c>
      <c r="U417">
        <v>158192875.38</v>
      </c>
      <c r="V417">
        <v>0</v>
      </c>
      <c r="W417">
        <v>0</v>
      </c>
    </row>
    <row r="418" spans="1:23" x14ac:dyDescent="0.35">
      <c r="A418" t="s">
        <v>1</v>
      </c>
      <c r="B418">
        <v>4250</v>
      </c>
      <c r="C418">
        <v>144</v>
      </c>
      <c r="D418">
        <v>13885</v>
      </c>
      <c r="E418">
        <v>0</v>
      </c>
      <c r="F418">
        <v>165405801792</v>
      </c>
      <c r="G418">
        <v>485928951.99000001</v>
      </c>
      <c r="H418">
        <v>163988098239.13</v>
      </c>
      <c r="I418">
        <v>164840162324.82999</v>
      </c>
      <c r="J418">
        <v>6.5544000000000005E-2</v>
      </c>
      <c r="K418">
        <v>5.7679999999999997E-3</v>
      </c>
      <c r="M418" t="s">
        <v>2</v>
      </c>
      <c r="N418">
        <v>2750</v>
      </c>
      <c r="O418">
        <v>144</v>
      </c>
      <c r="P418">
        <v>2</v>
      </c>
      <c r="Q418">
        <v>0</v>
      </c>
      <c r="R418">
        <v>25709560</v>
      </c>
      <c r="S418">
        <v>83338.12</v>
      </c>
      <c r="T418">
        <v>25626221.879999999</v>
      </c>
      <c r="U418">
        <v>25626221.879999999</v>
      </c>
      <c r="V418">
        <v>0</v>
      </c>
      <c r="W418">
        <v>0</v>
      </c>
    </row>
    <row r="419" spans="1:23" x14ac:dyDescent="0.35">
      <c r="A419" t="s">
        <v>0</v>
      </c>
      <c r="B419">
        <v>3250</v>
      </c>
      <c r="C419">
        <v>120</v>
      </c>
      <c r="D419">
        <v>38688</v>
      </c>
      <c r="E419">
        <v>0</v>
      </c>
      <c r="F419">
        <v>566216632073</v>
      </c>
      <c r="G419">
        <v>1639573423.1300001</v>
      </c>
      <c r="H419">
        <v>561721801899.01001</v>
      </c>
      <c r="I419">
        <v>564409113238.93005</v>
      </c>
      <c r="J419">
        <v>5.8861999999999998E-2</v>
      </c>
      <c r="K419">
        <v>3.5539999999999999E-3</v>
      </c>
      <c r="M419" t="s">
        <v>2</v>
      </c>
      <c r="N419">
        <v>4750</v>
      </c>
      <c r="O419">
        <v>144</v>
      </c>
      <c r="P419">
        <v>2493</v>
      </c>
      <c r="Q419">
        <v>0</v>
      </c>
      <c r="R419">
        <v>18250519743</v>
      </c>
      <c r="S419">
        <v>51267617.770000003</v>
      </c>
      <c r="T419">
        <v>18079878688.990002</v>
      </c>
      <c r="U419">
        <v>18177523664.669998</v>
      </c>
      <c r="V419">
        <v>7.5727000000000003E-2</v>
      </c>
      <c r="W419">
        <v>1.4194E-2</v>
      </c>
    </row>
    <row r="420" spans="1:23" x14ac:dyDescent="0.35">
      <c r="A420" t="s">
        <v>2</v>
      </c>
      <c r="B420">
        <v>3250</v>
      </c>
      <c r="C420">
        <v>120</v>
      </c>
      <c r="D420">
        <v>6773</v>
      </c>
      <c r="E420">
        <v>0</v>
      </c>
      <c r="F420">
        <v>78597039015</v>
      </c>
      <c r="G420">
        <v>226769127.08000001</v>
      </c>
      <c r="H420">
        <v>77857210787.5</v>
      </c>
      <c r="I420">
        <v>78370269887.919998</v>
      </c>
      <c r="J420">
        <v>7.5580999999999995E-2</v>
      </c>
      <c r="K420">
        <v>0</v>
      </c>
      <c r="M420" t="s">
        <v>2</v>
      </c>
      <c r="N420">
        <v>3250</v>
      </c>
      <c r="O420">
        <v>120</v>
      </c>
      <c r="P420">
        <v>6968</v>
      </c>
      <c r="Q420">
        <v>0</v>
      </c>
      <c r="R420">
        <v>81047085668</v>
      </c>
      <c r="S420">
        <v>232817456.05000001</v>
      </c>
      <c r="T420">
        <v>80546665462.179993</v>
      </c>
      <c r="U420">
        <v>80812347692.850006</v>
      </c>
      <c r="V420">
        <v>3.891E-2</v>
      </c>
      <c r="W420">
        <v>2.8400000000000002E-4</v>
      </c>
    </row>
    <row r="421" spans="1:23" x14ac:dyDescent="0.35">
      <c r="A421" t="s">
        <v>0</v>
      </c>
      <c r="B421">
        <v>3750</v>
      </c>
      <c r="C421">
        <v>120</v>
      </c>
      <c r="D421">
        <v>77952</v>
      </c>
      <c r="E421">
        <v>0</v>
      </c>
      <c r="F421">
        <v>1023824851781</v>
      </c>
      <c r="G421">
        <v>2806286518.3099999</v>
      </c>
      <c r="H421">
        <v>1015719386536.75</v>
      </c>
      <c r="I421">
        <v>1020537983519.37</v>
      </c>
      <c r="J421">
        <v>6.0372000000000002E-2</v>
      </c>
      <c r="K421">
        <v>5.6179999999999997E-3</v>
      </c>
      <c r="M421" t="s">
        <v>1</v>
      </c>
      <c r="N421">
        <v>4250</v>
      </c>
      <c r="O421">
        <v>120</v>
      </c>
      <c r="P421">
        <v>3772</v>
      </c>
      <c r="Q421">
        <v>0</v>
      </c>
      <c r="R421">
        <v>51344203005</v>
      </c>
      <c r="S421">
        <v>131629883.15000001</v>
      </c>
      <c r="T421">
        <v>50852560202.889999</v>
      </c>
      <c r="U421">
        <v>51170354696.480003</v>
      </c>
      <c r="V421">
        <v>8.0971000000000001E-2</v>
      </c>
      <c r="W421">
        <v>9.8230000000000001E-3</v>
      </c>
    </row>
    <row r="422" spans="1:23" x14ac:dyDescent="0.35">
      <c r="A422" t="s">
        <v>0</v>
      </c>
      <c r="B422">
        <v>4250</v>
      </c>
      <c r="C422">
        <v>120</v>
      </c>
      <c r="D422">
        <v>31790</v>
      </c>
      <c r="E422">
        <v>0</v>
      </c>
      <c r="F422">
        <v>397723461121</v>
      </c>
      <c r="G422">
        <v>1019802927.95</v>
      </c>
      <c r="H422">
        <v>394264593815.79999</v>
      </c>
      <c r="I422">
        <v>396433662757.46997</v>
      </c>
      <c r="J422">
        <v>7.1159E-2</v>
      </c>
      <c r="K422">
        <v>8.116E-3</v>
      </c>
      <c r="M422" t="s">
        <v>0</v>
      </c>
      <c r="N422">
        <v>3250</v>
      </c>
      <c r="O422">
        <v>120</v>
      </c>
      <c r="P422">
        <v>40079</v>
      </c>
      <c r="Q422">
        <v>0</v>
      </c>
      <c r="R422">
        <v>587351925164</v>
      </c>
      <c r="S422">
        <v>1693192536.1700001</v>
      </c>
      <c r="T422">
        <v>583235011804.57996</v>
      </c>
      <c r="U422">
        <v>585564735440.05005</v>
      </c>
      <c r="V422">
        <v>4.8410000000000002E-2</v>
      </c>
      <c r="W422">
        <v>1.9189999999999999E-3</v>
      </c>
    </row>
    <row r="423" spans="1:23" x14ac:dyDescent="0.35">
      <c r="A423" t="s">
        <v>1</v>
      </c>
      <c r="B423">
        <v>3250</v>
      </c>
      <c r="C423">
        <v>120</v>
      </c>
      <c r="D423">
        <v>34643</v>
      </c>
      <c r="E423">
        <v>0</v>
      </c>
      <c r="F423">
        <v>635223451633</v>
      </c>
      <c r="G423">
        <v>1839210095.27</v>
      </c>
      <c r="H423">
        <v>629573171416.83997</v>
      </c>
      <c r="I423">
        <v>633221273950.17004</v>
      </c>
      <c r="J423">
        <v>6.9666000000000006E-2</v>
      </c>
      <c r="K423">
        <v>3.0739999999999999E-3</v>
      </c>
      <c r="M423" t="s">
        <v>0</v>
      </c>
      <c r="N423">
        <v>3750</v>
      </c>
      <c r="O423">
        <v>120</v>
      </c>
      <c r="P423">
        <v>80786</v>
      </c>
      <c r="Q423">
        <v>0</v>
      </c>
      <c r="R423">
        <v>1058251323433</v>
      </c>
      <c r="S423">
        <v>2896722642.9200001</v>
      </c>
      <c r="T423">
        <v>1049641752881.4399</v>
      </c>
      <c r="U423">
        <v>1054692863313.13</v>
      </c>
      <c r="V423">
        <v>6.2891000000000002E-2</v>
      </c>
      <c r="W423">
        <v>7.4780000000000003E-3</v>
      </c>
    </row>
    <row r="424" spans="1:23" x14ac:dyDescent="0.35">
      <c r="A424" t="s">
        <v>1</v>
      </c>
      <c r="B424">
        <v>2750</v>
      </c>
      <c r="C424">
        <v>120</v>
      </c>
      <c r="D424">
        <v>2418</v>
      </c>
      <c r="E424">
        <v>0</v>
      </c>
      <c r="F424">
        <v>42395404433</v>
      </c>
      <c r="G424">
        <v>129295544.59999999</v>
      </c>
      <c r="H424">
        <v>42152983685.529999</v>
      </c>
      <c r="I424">
        <v>42245497193.309998</v>
      </c>
      <c r="J424">
        <v>3.1553999999999999E-2</v>
      </c>
      <c r="K424">
        <v>5.8190000000000004E-3</v>
      </c>
      <c r="M424" t="s">
        <v>0</v>
      </c>
      <c r="N424">
        <v>4250</v>
      </c>
      <c r="O424">
        <v>120</v>
      </c>
      <c r="P424">
        <v>29779</v>
      </c>
      <c r="Q424">
        <v>0</v>
      </c>
      <c r="R424">
        <v>365017337332</v>
      </c>
      <c r="S424">
        <v>939975358.82000005</v>
      </c>
      <c r="T424">
        <v>361921921520.65997</v>
      </c>
      <c r="U424">
        <v>363700916154.51001</v>
      </c>
      <c r="V424">
        <v>6.8603999999999998E-2</v>
      </c>
      <c r="W424">
        <v>1.2305999999999999E-2</v>
      </c>
    </row>
    <row r="425" spans="1:23" x14ac:dyDescent="0.35">
      <c r="A425" t="s">
        <v>0</v>
      </c>
      <c r="B425">
        <v>2500</v>
      </c>
      <c r="C425">
        <v>144</v>
      </c>
      <c r="D425">
        <v>23</v>
      </c>
      <c r="E425">
        <v>0</v>
      </c>
      <c r="F425">
        <v>202457151</v>
      </c>
      <c r="G425">
        <v>694023.91</v>
      </c>
      <c r="H425">
        <v>201763127.09</v>
      </c>
      <c r="I425">
        <v>201763127.09</v>
      </c>
      <c r="J425">
        <v>0</v>
      </c>
      <c r="K425">
        <v>0</v>
      </c>
      <c r="M425" t="s">
        <v>0</v>
      </c>
      <c r="N425">
        <v>5500</v>
      </c>
      <c r="O425">
        <v>120</v>
      </c>
      <c r="P425">
        <v>140</v>
      </c>
      <c r="Q425">
        <v>0</v>
      </c>
      <c r="R425">
        <v>1361860973</v>
      </c>
      <c r="S425">
        <v>3025917.32</v>
      </c>
      <c r="T425">
        <v>1358835055.6800001</v>
      </c>
      <c r="U425">
        <v>1358835055.6800001</v>
      </c>
      <c r="V425">
        <v>0</v>
      </c>
      <c r="W425">
        <v>0</v>
      </c>
    </row>
    <row r="426" spans="1:23" x14ac:dyDescent="0.35">
      <c r="A426" t="s">
        <v>0</v>
      </c>
      <c r="B426">
        <v>2500</v>
      </c>
      <c r="C426">
        <v>120</v>
      </c>
      <c r="D426">
        <v>102</v>
      </c>
      <c r="E426">
        <v>0</v>
      </c>
      <c r="F426">
        <v>909845685</v>
      </c>
      <c r="G426">
        <v>2862904.64</v>
      </c>
      <c r="H426">
        <v>900250983.69000006</v>
      </c>
      <c r="I426">
        <v>906982780.36000001</v>
      </c>
      <c r="J426">
        <v>8.5261000000000003E-2</v>
      </c>
      <c r="K426">
        <v>0</v>
      </c>
      <c r="M426" t="s">
        <v>2</v>
      </c>
      <c r="N426">
        <v>3750</v>
      </c>
      <c r="O426">
        <v>120</v>
      </c>
      <c r="P426">
        <v>10134</v>
      </c>
      <c r="Q426">
        <v>0</v>
      </c>
      <c r="R426">
        <v>106239971137</v>
      </c>
      <c r="S426">
        <v>291149631.05000001</v>
      </c>
      <c r="T426">
        <v>105408852279.7</v>
      </c>
      <c r="U426">
        <v>105901398483.88</v>
      </c>
      <c r="V426">
        <v>5.9313999999999999E-2</v>
      </c>
      <c r="W426">
        <v>5.3429999999999997E-3</v>
      </c>
    </row>
    <row r="427" spans="1:23" x14ac:dyDescent="0.35">
      <c r="A427" t="s">
        <v>3</v>
      </c>
      <c r="B427">
        <v>5000</v>
      </c>
      <c r="C427">
        <v>120</v>
      </c>
      <c r="D427">
        <v>6</v>
      </c>
      <c r="E427">
        <v>0</v>
      </c>
      <c r="F427">
        <v>58214388</v>
      </c>
      <c r="G427">
        <v>135041.28</v>
      </c>
      <c r="H427">
        <v>58079346.719999999</v>
      </c>
      <c r="I427">
        <v>58079346.719999999</v>
      </c>
      <c r="J427">
        <v>0</v>
      </c>
      <c r="K427">
        <v>0</v>
      </c>
      <c r="M427" t="s">
        <v>1</v>
      </c>
      <c r="N427">
        <v>3250</v>
      </c>
      <c r="O427">
        <v>120</v>
      </c>
      <c r="P427">
        <v>36122</v>
      </c>
      <c r="Q427">
        <v>0</v>
      </c>
      <c r="R427">
        <v>665194754850</v>
      </c>
      <c r="S427">
        <v>1918185294.6600001</v>
      </c>
      <c r="T427">
        <v>659056800752.60999</v>
      </c>
      <c r="U427">
        <v>663115772259.20996</v>
      </c>
      <c r="V427">
        <v>7.3523000000000005E-2</v>
      </c>
      <c r="W427">
        <v>2.8969999999999998E-3</v>
      </c>
    </row>
    <row r="428" spans="1:23" x14ac:dyDescent="0.35">
      <c r="A428" t="s">
        <v>1</v>
      </c>
      <c r="B428">
        <v>4250</v>
      </c>
      <c r="C428">
        <v>120</v>
      </c>
      <c r="D428">
        <v>4388</v>
      </c>
      <c r="E428">
        <v>0</v>
      </c>
      <c r="F428">
        <v>61143759932</v>
      </c>
      <c r="G428">
        <v>156092547.24000001</v>
      </c>
      <c r="H428">
        <v>60448139363.050003</v>
      </c>
      <c r="I428">
        <v>60878208808.25</v>
      </c>
      <c r="J428">
        <v>0.100896</v>
      </c>
      <c r="K428">
        <v>2.1271999999999999E-2</v>
      </c>
      <c r="M428" t="s">
        <v>1</v>
      </c>
      <c r="N428">
        <v>2750</v>
      </c>
      <c r="O428">
        <v>120</v>
      </c>
      <c r="P428">
        <v>2495</v>
      </c>
      <c r="Q428">
        <v>0</v>
      </c>
      <c r="R428">
        <v>43672022488</v>
      </c>
      <c r="S428">
        <v>132577235.69</v>
      </c>
      <c r="T428">
        <v>43327897661.650002</v>
      </c>
      <c r="U428">
        <v>43524494624.269997</v>
      </c>
      <c r="V428">
        <v>5.6604000000000002E-2</v>
      </c>
      <c r="W428">
        <v>4.1000000000000003E-3</v>
      </c>
    </row>
    <row r="429" spans="1:23" x14ac:dyDescent="0.35">
      <c r="A429" t="s">
        <v>2</v>
      </c>
      <c r="B429">
        <v>2750</v>
      </c>
      <c r="C429">
        <v>120</v>
      </c>
      <c r="D429">
        <v>152</v>
      </c>
      <c r="E429">
        <v>0</v>
      </c>
      <c r="F429">
        <v>1473546314</v>
      </c>
      <c r="G429">
        <v>4532408.6900000004</v>
      </c>
      <c r="H429">
        <v>1460932136.4400001</v>
      </c>
      <c r="I429">
        <v>1469013905.3099999</v>
      </c>
      <c r="J429">
        <v>6.3865000000000005E-2</v>
      </c>
      <c r="K429">
        <v>0</v>
      </c>
      <c r="M429" t="s">
        <v>0</v>
      </c>
      <c r="N429">
        <v>2500</v>
      </c>
      <c r="O429">
        <v>120</v>
      </c>
      <c r="P429">
        <v>105</v>
      </c>
      <c r="Q429">
        <v>0</v>
      </c>
      <c r="R429">
        <v>945590829</v>
      </c>
      <c r="S429">
        <v>2963508.05</v>
      </c>
      <c r="T429">
        <v>942627320.95000005</v>
      </c>
      <c r="U429">
        <v>942627320.95000005</v>
      </c>
      <c r="V429">
        <v>0</v>
      </c>
      <c r="W429">
        <v>0</v>
      </c>
    </row>
    <row r="430" spans="1:23" x14ac:dyDescent="0.35">
      <c r="A430" t="s">
        <v>2</v>
      </c>
      <c r="B430">
        <v>2500</v>
      </c>
      <c r="C430">
        <v>120</v>
      </c>
      <c r="D430">
        <v>12</v>
      </c>
      <c r="E430">
        <v>0</v>
      </c>
      <c r="F430">
        <v>110217648</v>
      </c>
      <c r="G430">
        <v>344235.49</v>
      </c>
      <c r="H430">
        <v>109873412.51000001</v>
      </c>
      <c r="I430">
        <v>109873412.51000001</v>
      </c>
      <c r="J430">
        <v>0</v>
      </c>
      <c r="K430">
        <v>0</v>
      </c>
      <c r="M430" t="s">
        <v>3</v>
      </c>
      <c r="N430">
        <v>5000</v>
      </c>
      <c r="O430">
        <v>120</v>
      </c>
      <c r="P430">
        <v>5</v>
      </c>
      <c r="Q430">
        <v>0</v>
      </c>
      <c r="R430">
        <v>44183772</v>
      </c>
      <c r="S430">
        <v>103527.43</v>
      </c>
      <c r="T430">
        <v>44080244.57</v>
      </c>
      <c r="U430">
        <v>44080244.57</v>
      </c>
      <c r="V430">
        <v>0</v>
      </c>
      <c r="W430">
        <v>0</v>
      </c>
    </row>
    <row r="431" spans="1:23" x14ac:dyDescent="0.35">
      <c r="A431" t="s">
        <v>1</v>
      </c>
      <c r="B431">
        <v>5500</v>
      </c>
      <c r="C431">
        <v>120</v>
      </c>
      <c r="D431">
        <v>13</v>
      </c>
      <c r="E431">
        <v>0</v>
      </c>
      <c r="F431">
        <v>139228494</v>
      </c>
      <c r="G431">
        <v>306543.51</v>
      </c>
      <c r="H431">
        <v>138921950.49000001</v>
      </c>
      <c r="I431">
        <v>138921950.49000001</v>
      </c>
      <c r="J431">
        <v>0</v>
      </c>
      <c r="K431">
        <v>0</v>
      </c>
      <c r="M431" t="s">
        <v>2</v>
      </c>
      <c r="N431">
        <v>2750</v>
      </c>
      <c r="O431">
        <v>120</v>
      </c>
      <c r="P431">
        <v>168</v>
      </c>
      <c r="Q431">
        <v>0</v>
      </c>
      <c r="R431">
        <v>1626916101</v>
      </c>
      <c r="S431">
        <v>4990426.16</v>
      </c>
      <c r="T431">
        <v>1621925674.8399999</v>
      </c>
      <c r="U431">
        <v>1621925674.8399999</v>
      </c>
      <c r="V431">
        <v>0</v>
      </c>
      <c r="W431">
        <v>0</v>
      </c>
    </row>
    <row r="432" spans="1:23" x14ac:dyDescent="0.35">
      <c r="A432" t="s">
        <v>2</v>
      </c>
      <c r="B432">
        <v>3750</v>
      </c>
      <c r="C432">
        <v>120</v>
      </c>
      <c r="D432">
        <v>9844</v>
      </c>
      <c r="E432">
        <v>0</v>
      </c>
      <c r="F432">
        <v>103422017054</v>
      </c>
      <c r="G432">
        <v>283640010.16000003</v>
      </c>
      <c r="H432">
        <v>102531097125.07001</v>
      </c>
      <c r="I432">
        <v>103122225560.82001</v>
      </c>
      <c r="J432">
        <v>6.8231E-2</v>
      </c>
      <c r="K432">
        <v>1.872E-3</v>
      </c>
      <c r="M432" t="s">
        <v>0</v>
      </c>
      <c r="N432">
        <v>4750</v>
      </c>
      <c r="O432">
        <v>120</v>
      </c>
      <c r="P432">
        <v>7743</v>
      </c>
      <c r="Q432">
        <v>0</v>
      </c>
      <c r="R432">
        <v>83007800047</v>
      </c>
      <c r="S432">
        <v>201330387.75999999</v>
      </c>
      <c r="T432">
        <v>82361224296.789993</v>
      </c>
      <c r="U432">
        <v>82733919124.990005</v>
      </c>
      <c r="V432">
        <v>6.2501000000000001E-2</v>
      </c>
      <c r="W432">
        <v>1.0437999999999999E-2</v>
      </c>
    </row>
    <row r="433" spans="1:23" x14ac:dyDescent="0.35">
      <c r="A433" t="s">
        <v>3</v>
      </c>
      <c r="B433">
        <v>4000</v>
      </c>
      <c r="C433">
        <v>120</v>
      </c>
      <c r="D433">
        <v>243</v>
      </c>
      <c r="E433">
        <v>0</v>
      </c>
      <c r="F433">
        <v>2976011009</v>
      </c>
      <c r="G433">
        <v>7901052.5300000003</v>
      </c>
      <c r="H433">
        <v>2968109956.4699998</v>
      </c>
      <c r="I433">
        <v>2968109956.4699998</v>
      </c>
      <c r="J433">
        <v>0</v>
      </c>
      <c r="K433">
        <v>0</v>
      </c>
      <c r="M433" t="s">
        <v>2</v>
      </c>
      <c r="N433">
        <v>2500</v>
      </c>
      <c r="O433">
        <v>120</v>
      </c>
      <c r="P433">
        <v>12</v>
      </c>
      <c r="Q433">
        <v>0</v>
      </c>
      <c r="R433">
        <v>110503756</v>
      </c>
      <c r="S433">
        <v>343339.97</v>
      </c>
      <c r="T433">
        <v>110160416.03</v>
      </c>
      <c r="U433">
        <v>110160416.03</v>
      </c>
      <c r="V433">
        <v>0</v>
      </c>
      <c r="W433">
        <v>0</v>
      </c>
    </row>
    <row r="434" spans="1:23" x14ac:dyDescent="0.35">
      <c r="A434" t="s">
        <v>2</v>
      </c>
      <c r="B434">
        <v>5000</v>
      </c>
      <c r="C434">
        <v>120</v>
      </c>
      <c r="D434">
        <v>91</v>
      </c>
      <c r="E434">
        <v>0</v>
      </c>
      <c r="F434">
        <v>763805682</v>
      </c>
      <c r="G434">
        <v>1752656.72</v>
      </c>
      <c r="H434">
        <v>756547393.57000005</v>
      </c>
      <c r="I434">
        <v>762053025.27999997</v>
      </c>
      <c r="J434">
        <v>8.3150000000000002E-2</v>
      </c>
      <c r="K434">
        <v>0</v>
      </c>
      <c r="M434" t="s">
        <v>1</v>
      </c>
      <c r="N434">
        <v>5500</v>
      </c>
      <c r="O434">
        <v>120</v>
      </c>
      <c r="P434">
        <v>10</v>
      </c>
      <c r="Q434">
        <v>0</v>
      </c>
      <c r="R434">
        <v>84377613</v>
      </c>
      <c r="S434">
        <v>188243.32</v>
      </c>
      <c r="T434">
        <v>84189369.680000007</v>
      </c>
      <c r="U434">
        <v>84189369.680000007</v>
      </c>
      <c r="V434">
        <v>0</v>
      </c>
      <c r="W434">
        <v>0</v>
      </c>
    </row>
    <row r="435" spans="1:23" x14ac:dyDescent="0.35">
      <c r="A435" t="s">
        <v>2</v>
      </c>
      <c r="B435">
        <v>4250</v>
      </c>
      <c r="C435">
        <v>120</v>
      </c>
      <c r="D435">
        <v>4600</v>
      </c>
      <c r="E435">
        <v>0</v>
      </c>
      <c r="F435">
        <v>42402380657</v>
      </c>
      <c r="G435">
        <v>108558198.91</v>
      </c>
      <c r="H435">
        <v>42018862854.519997</v>
      </c>
      <c r="I435">
        <v>42272253206.099998</v>
      </c>
      <c r="J435">
        <v>7.5097999999999998E-2</v>
      </c>
      <c r="K435">
        <v>6.0870000000000004E-3</v>
      </c>
      <c r="M435" t="s">
        <v>3</v>
      </c>
      <c r="N435">
        <v>4000</v>
      </c>
      <c r="O435">
        <v>120</v>
      </c>
      <c r="P435">
        <v>229</v>
      </c>
      <c r="Q435">
        <v>0</v>
      </c>
      <c r="R435">
        <v>2730982075</v>
      </c>
      <c r="S435">
        <v>7285021.79</v>
      </c>
      <c r="T435">
        <v>2723697053.21</v>
      </c>
      <c r="U435">
        <v>2723697053.21</v>
      </c>
      <c r="V435">
        <v>0</v>
      </c>
      <c r="W435">
        <v>0</v>
      </c>
    </row>
    <row r="436" spans="1:23" x14ac:dyDescent="0.35">
      <c r="A436" t="s">
        <v>2</v>
      </c>
      <c r="B436">
        <v>3750</v>
      </c>
      <c r="C436">
        <v>108</v>
      </c>
      <c r="D436">
        <v>8302</v>
      </c>
      <c r="E436">
        <v>0</v>
      </c>
      <c r="F436">
        <v>97903931257</v>
      </c>
      <c r="G436">
        <v>250146300.56999999</v>
      </c>
      <c r="H436">
        <v>96954952764.5</v>
      </c>
      <c r="I436">
        <v>97579318716.699997</v>
      </c>
      <c r="J436">
        <v>8.2371E-2</v>
      </c>
      <c r="K436">
        <v>9.0889999999999999E-3</v>
      </c>
      <c r="M436" t="s">
        <v>2</v>
      </c>
      <c r="N436">
        <v>3750</v>
      </c>
      <c r="O436">
        <v>108</v>
      </c>
      <c r="P436">
        <v>8745</v>
      </c>
      <c r="Q436">
        <v>0</v>
      </c>
      <c r="R436">
        <v>103042702692</v>
      </c>
      <c r="S436">
        <v>262454283.15000001</v>
      </c>
      <c r="T436">
        <v>102311553215.16</v>
      </c>
      <c r="U436">
        <v>102725446191.32001</v>
      </c>
      <c r="V436">
        <v>5.3238000000000001E-2</v>
      </c>
      <c r="W436">
        <v>6.3629999999999997E-3</v>
      </c>
    </row>
    <row r="437" spans="1:23" x14ac:dyDescent="0.35">
      <c r="A437" t="s">
        <v>0</v>
      </c>
      <c r="B437">
        <v>4250</v>
      </c>
      <c r="C437">
        <v>108</v>
      </c>
      <c r="D437">
        <v>56044</v>
      </c>
      <c r="E437">
        <v>0</v>
      </c>
      <c r="F437">
        <v>749760653031</v>
      </c>
      <c r="G437">
        <v>1806418300.3399999</v>
      </c>
      <c r="H437">
        <v>743382648630.43005</v>
      </c>
      <c r="I437">
        <v>747416828419.79004</v>
      </c>
      <c r="J437">
        <v>7.0763999999999994E-2</v>
      </c>
      <c r="K437">
        <v>8.567E-3</v>
      </c>
      <c r="M437" t="s">
        <v>0</v>
      </c>
      <c r="N437">
        <v>3750</v>
      </c>
      <c r="O437">
        <v>108</v>
      </c>
      <c r="P437">
        <v>42691</v>
      </c>
      <c r="Q437">
        <v>0</v>
      </c>
      <c r="R437">
        <v>656789680517</v>
      </c>
      <c r="S437">
        <v>1675244388.76</v>
      </c>
      <c r="T437">
        <v>651664851630.30005</v>
      </c>
      <c r="U437">
        <v>654704472711.93994</v>
      </c>
      <c r="V437">
        <v>6.1237E-2</v>
      </c>
      <c r="W437">
        <v>7.4650000000000003E-3</v>
      </c>
    </row>
    <row r="438" spans="1:23" x14ac:dyDescent="0.35">
      <c r="A438" t="s">
        <v>0</v>
      </c>
      <c r="B438">
        <v>3750</v>
      </c>
      <c r="C438">
        <v>108</v>
      </c>
      <c r="D438">
        <v>39218</v>
      </c>
      <c r="E438">
        <v>0</v>
      </c>
      <c r="F438">
        <v>605076663295</v>
      </c>
      <c r="G438">
        <v>1547054941.5899999</v>
      </c>
      <c r="H438">
        <v>599688357948.16003</v>
      </c>
      <c r="I438">
        <v>603210247472.30005</v>
      </c>
      <c r="J438">
        <v>7.3576000000000003E-2</v>
      </c>
      <c r="K438">
        <v>6.3150000000000003E-3</v>
      </c>
      <c r="M438" t="s">
        <v>0</v>
      </c>
      <c r="N438">
        <v>4250</v>
      </c>
      <c r="O438">
        <v>108</v>
      </c>
      <c r="P438">
        <v>58125</v>
      </c>
      <c r="Q438">
        <v>0</v>
      </c>
      <c r="R438">
        <v>778214307710</v>
      </c>
      <c r="S438">
        <v>1874049462.7</v>
      </c>
      <c r="T438">
        <v>771507479420.64001</v>
      </c>
      <c r="U438">
        <v>775540082356.08997</v>
      </c>
      <c r="V438">
        <v>7.2027999999999995E-2</v>
      </c>
      <c r="W438">
        <v>1.2269E-2</v>
      </c>
    </row>
    <row r="439" spans="1:23" x14ac:dyDescent="0.35">
      <c r="A439" t="s">
        <v>0</v>
      </c>
      <c r="B439">
        <v>5000</v>
      </c>
      <c r="C439">
        <v>96</v>
      </c>
      <c r="D439">
        <v>38892</v>
      </c>
      <c r="E439">
        <v>0</v>
      </c>
      <c r="F439">
        <v>538940256170</v>
      </c>
      <c r="G439">
        <v>1099832576.6199999</v>
      </c>
      <c r="H439">
        <v>534081933830.42999</v>
      </c>
      <c r="I439">
        <v>537063126441.09998</v>
      </c>
      <c r="J439">
        <v>8.0549999999999997E-2</v>
      </c>
      <c r="K439">
        <v>1.7170999999999999E-2</v>
      </c>
      <c r="M439" t="s">
        <v>2</v>
      </c>
      <c r="N439">
        <v>4250</v>
      </c>
      <c r="O439">
        <v>108</v>
      </c>
      <c r="P439">
        <v>8522</v>
      </c>
      <c r="Q439">
        <v>0</v>
      </c>
      <c r="R439">
        <v>90191807104</v>
      </c>
      <c r="S439">
        <v>217764967.44</v>
      </c>
      <c r="T439">
        <v>89425920926.470001</v>
      </c>
      <c r="U439">
        <v>89967919043.089996</v>
      </c>
      <c r="V439">
        <v>7.0539000000000004E-2</v>
      </c>
      <c r="W439">
        <v>8.1400000000000005E-4</v>
      </c>
    </row>
    <row r="440" spans="1:23" x14ac:dyDescent="0.35">
      <c r="A440" t="s">
        <v>1</v>
      </c>
      <c r="B440">
        <v>5000</v>
      </c>
      <c r="C440">
        <v>96</v>
      </c>
      <c r="D440">
        <v>6179</v>
      </c>
      <c r="E440">
        <v>0</v>
      </c>
      <c r="F440">
        <v>93789891264</v>
      </c>
      <c r="G440">
        <v>191517856</v>
      </c>
      <c r="H440">
        <v>92579639767.309998</v>
      </c>
      <c r="I440">
        <v>93398137597.360001</v>
      </c>
      <c r="J440">
        <v>0.122831</v>
      </c>
      <c r="K440">
        <v>2.5321E-2</v>
      </c>
      <c r="M440" t="s">
        <v>2</v>
      </c>
      <c r="N440">
        <v>5000</v>
      </c>
      <c r="O440">
        <v>108</v>
      </c>
      <c r="P440">
        <v>242</v>
      </c>
      <c r="Q440">
        <v>0</v>
      </c>
      <c r="R440">
        <v>2139985614</v>
      </c>
      <c r="S440">
        <v>4720901.67</v>
      </c>
      <c r="T440">
        <v>2096504480.78</v>
      </c>
      <c r="U440">
        <v>2135264712.3299999</v>
      </c>
      <c r="V440">
        <v>0.19695199999999999</v>
      </c>
      <c r="W440">
        <v>0</v>
      </c>
    </row>
    <row r="441" spans="1:23" x14ac:dyDescent="0.35">
      <c r="A441" t="s">
        <v>2</v>
      </c>
      <c r="B441">
        <v>5000</v>
      </c>
      <c r="C441">
        <v>96</v>
      </c>
      <c r="D441">
        <v>6957</v>
      </c>
      <c r="E441">
        <v>0</v>
      </c>
      <c r="F441">
        <v>74102721412</v>
      </c>
      <c r="G441">
        <v>151349370.72</v>
      </c>
      <c r="H441">
        <v>73417230835.910004</v>
      </c>
      <c r="I441">
        <v>73906133541.869995</v>
      </c>
      <c r="J441">
        <v>8.3149000000000001E-2</v>
      </c>
      <c r="K441">
        <v>7.3010000000000002E-3</v>
      </c>
      <c r="M441" t="s">
        <v>1</v>
      </c>
      <c r="N441">
        <v>3750</v>
      </c>
      <c r="O441">
        <v>120</v>
      </c>
      <c r="P441">
        <v>20955</v>
      </c>
      <c r="Q441">
        <v>0</v>
      </c>
      <c r="R441">
        <v>328995404368</v>
      </c>
      <c r="S441">
        <v>902291109.75999999</v>
      </c>
      <c r="T441">
        <v>326041605488.34003</v>
      </c>
      <c r="U441">
        <v>327861545557.5</v>
      </c>
      <c r="V441">
        <v>7.2314000000000003E-2</v>
      </c>
      <c r="W441">
        <v>8.4139999999999996E-3</v>
      </c>
    </row>
    <row r="442" spans="1:23" x14ac:dyDescent="0.35">
      <c r="A442" t="s">
        <v>1</v>
      </c>
      <c r="B442">
        <v>3750</v>
      </c>
      <c r="C442">
        <v>120</v>
      </c>
      <c r="D442">
        <v>20441</v>
      </c>
      <c r="E442">
        <v>0</v>
      </c>
      <c r="F442">
        <v>322684674631</v>
      </c>
      <c r="G442">
        <v>883245035.75</v>
      </c>
      <c r="H442">
        <v>319740080183.75</v>
      </c>
      <c r="I442">
        <v>321595688804.40002</v>
      </c>
      <c r="J442">
        <v>7.4021000000000003E-2</v>
      </c>
      <c r="K442">
        <v>7.6239999999999997E-3</v>
      </c>
      <c r="M442" t="s">
        <v>3</v>
      </c>
      <c r="N442">
        <v>4000</v>
      </c>
      <c r="O442">
        <v>108</v>
      </c>
      <c r="P442">
        <v>403</v>
      </c>
      <c r="Q442">
        <v>0</v>
      </c>
      <c r="R442">
        <v>5942172390</v>
      </c>
      <c r="S442">
        <v>14759664.890000001</v>
      </c>
      <c r="T442">
        <v>5927412725.1099997</v>
      </c>
      <c r="U442">
        <v>5927412725.1099997</v>
      </c>
      <c r="V442">
        <v>0</v>
      </c>
      <c r="W442">
        <v>0</v>
      </c>
    </row>
    <row r="443" spans="1:23" x14ac:dyDescent="0.35">
      <c r="A443" t="s">
        <v>3</v>
      </c>
      <c r="B443">
        <v>4000</v>
      </c>
      <c r="C443">
        <v>108</v>
      </c>
      <c r="D443">
        <v>375</v>
      </c>
      <c r="E443">
        <v>0</v>
      </c>
      <c r="F443">
        <v>5506988501</v>
      </c>
      <c r="G443">
        <v>13700432.57</v>
      </c>
      <c r="H443">
        <v>5452859085.7399998</v>
      </c>
      <c r="I443">
        <v>5493288068.4300003</v>
      </c>
      <c r="J443">
        <v>8.4625000000000006E-2</v>
      </c>
      <c r="K443">
        <v>0</v>
      </c>
      <c r="M443" t="s">
        <v>1</v>
      </c>
      <c r="N443">
        <v>3250</v>
      </c>
      <c r="O443">
        <v>108</v>
      </c>
      <c r="P443">
        <v>5293</v>
      </c>
      <c r="Q443">
        <v>0</v>
      </c>
      <c r="R443">
        <v>97992145012</v>
      </c>
      <c r="S443">
        <v>264361325.31</v>
      </c>
      <c r="T443">
        <v>97180324467.729996</v>
      </c>
      <c r="U443">
        <v>97727783686.690002</v>
      </c>
      <c r="V443">
        <v>6.5018999999999993E-2</v>
      </c>
      <c r="W443">
        <v>0</v>
      </c>
    </row>
    <row r="444" spans="1:23" x14ac:dyDescent="0.35">
      <c r="A444" t="s">
        <v>2</v>
      </c>
      <c r="B444">
        <v>4250</v>
      </c>
      <c r="C444">
        <v>108</v>
      </c>
      <c r="D444">
        <v>7993</v>
      </c>
      <c r="E444">
        <v>0</v>
      </c>
      <c r="F444">
        <v>84886546717</v>
      </c>
      <c r="G444">
        <v>204998207.03</v>
      </c>
      <c r="H444">
        <v>84044782974.259995</v>
      </c>
      <c r="I444">
        <v>84653257616.25</v>
      </c>
      <c r="J444">
        <v>8.6393999999999999E-2</v>
      </c>
      <c r="K444">
        <v>3.9919999999999999E-3</v>
      </c>
      <c r="M444" t="s">
        <v>1</v>
      </c>
      <c r="N444">
        <v>3750</v>
      </c>
      <c r="O444">
        <v>108</v>
      </c>
      <c r="P444">
        <v>23755</v>
      </c>
      <c r="Q444">
        <v>0</v>
      </c>
      <c r="R444">
        <v>429768411870</v>
      </c>
      <c r="S444">
        <v>1095943089.23</v>
      </c>
      <c r="T444">
        <v>425912259039.35999</v>
      </c>
      <c r="U444">
        <v>428560180217.91998</v>
      </c>
      <c r="V444">
        <v>7.4406E-2</v>
      </c>
      <c r="W444">
        <v>3.1310000000000001E-3</v>
      </c>
    </row>
    <row r="445" spans="1:23" x14ac:dyDescent="0.35">
      <c r="A445" t="s">
        <v>1</v>
      </c>
      <c r="B445">
        <v>3250</v>
      </c>
      <c r="C445">
        <v>108</v>
      </c>
      <c r="D445">
        <v>5075</v>
      </c>
      <c r="E445">
        <v>0</v>
      </c>
      <c r="F445">
        <v>93934566019</v>
      </c>
      <c r="G445">
        <v>254344314.09999999</v>
      </c>
      <c r="H445">
        <v>93011215395.520004</v>
      </c>
      <c r="I445">
        <v>93670322800.509995</v>
      </c>
      <c r="J445">
        <v>8.2195000000000004E-2</v>
      </c>
      <c r="K445">
        <v>1.2639999999999999E-3</v>
      </c>
      <c r="M445" t="s">
        <v>0</v>
      </c>
      <c r="N445">
        <v>4750</v>
      </c>
      <c r="O445">
        <v>108</v>
      </c>
      <c r="P445">
        <v>21558</v>
      </c>
      <c r="Q445">
        <v>0</v>
      </c>
      <c r="R445">
        <v>274192779974</v>
      </c>
      <c r="S445">
        <v>620452784.22000003</v>
      </c>
      <c r="T445">
        <v>271993118944.67999</v>
      </c>
      <c r="U445">
        <v>273360300581.66</v>
      </c>
      <c r="V445">
        <v>6.6965999999999998E-2</v>
      </c>
      <c r="W445">
        <v>9.2399999999999999E-3</v>
      </c>
    </row>
    <row r="446" spans="1:23" x14ac:dyDescent="0.35">
      <c r="A446" t="s">
        <v>1</v>
      </c>
      <c r="B446">
        <v>3750</v>
      </c>
      <c r="C446">
        <v>108</v>
      </c>
      <c r="D446">
        <v>22221</v>
      </c>
      <c r="E446">
        <v>0</v>
      </c>
      <c r="F446">
        <v>403110287616</v>
      </c>
      <c r="G446">
        <v>1030360785.89</v>
      </c>
      <c r="H446">
        <v>399325769454.35999</v>
      </c>
      <c r="I446">
        <v>401876199975.32001</v>
      </c>
      <c r="J446">
        <v>7.8975000000000004E-2</v>
      </c>
      <c r="K446">
        <v>6.0480000000000004E-3</v>
      </c>
      <c r="M446" t="s">
        <v>2</v>
      </c>
      <c r="N446">
        <v>3250</v>
      </c>
      <c r="O446">
        <v>108</v>
      </c>
      <c r="P446">
        <v>740</v>
      </c>
      <c r="Q446">
        <v>0</v>
      </c>
      <c r="R446">
        <v>8425538948</v>
      </c>
      <c r="S446">
        <v>22707804.170000002</v>
      </c>
      <c r="T446">
        <v>8360159690.29</v>
      </c>
      <c r="U446">
        <v>8402831143.8299999</v>
      </c>
      <c r="V446">
        <v>5.9110000000000003E-2</v>
      </c>
      <c r="W446">
        <v>0</v>
      </c>
    </row>
    <row r="447" spans="1:23" x14ac:dyDescent="0.35">
      <c r="A447" t="s">
        <v>0</v>
      </c>
      <c r="B447">
        <v>4750</v>
      </c>
      <c r="C447">
        <v>108</v>
      </c>
      <c r="D447">
        <v>22437</v>
      </c>
      <c r="E447">
        <v>0</v>
      </c>
      <c r="F447">
        <v>290713358609</v>
      </c>
      <c r="G447">
        <v>656291634.61000001</v>
      </c>
      <c r="H447">
        <v>288203401905.67999</v>
      </c>
      <c r="I447">
        <v>289709743314.62</v>
      </c>
      <c r="J447">
        <v>7.3887999999999995E-2</v>
      </c>
      <c r="K447">
        <v>1.4243E-2</v>
      </c>
      <c r="M447" t="s">
        <v>2</v>
      </c>
      <c r="N447">
        <v>4750</v>
      </c>
      <c r="O447">
        <v>108</v>
      </c>
      <c r="P447">
        <v>2694</v>
      </c>
      <c r="Q447">
        <v>0</v>
      </c>
      <c r="R447">
        <v>23507048408</v>
      </c>
      <c r="S447">
        <v>53253386.030000001</v>
      </c>
      <c r="T447">
        <v>23295533254.360001</v>
      </c>
      <c r="U447">
        <v>23422930044.419998</v>
      </c>
      <c r="V447">
        <v>7.7865000000000004E-2</v>
      </c>
      <c r="W447">
        <v>1.5643000000000001E-2</v>
      </c>
    </row>
    <row r="448" spans="1:23" x14ac:dyDescent="0.35">
      <c r="A448" t="s">
        <v>2</v>
      </c>
      <c r="B448">
        <v>3250</v>
      </c>
      <c r="C448">
        <v>108</v>
      </c>
      <c r="D448">
        <v>702</v>
      </c>
      <c r="E448">
        <v>0</v>
      </c>
      <c r="F448">
        <v>8019454867</v>
      </c>
      <c r="G448">
        <v>21679954.559999999</v>
      </c>
      <c r="H448">
        <v>7961604767.4200001</v>
      </c>
      <c r="I448">
        <v>7997774912.4399996</v>
      </c>
      <c r="J448">
        <v>5.2801000000000001E-2</v>
      </c>
      <c r="K448">
        <v>0</v>
      </c>
      <c r="M448" t="s">
        <v>1</v>
      </c>
      <c r="N448">
        <v>4750</v>
      </c>
      <c r="O448">
        <v>108</v>
      </c>
      <c r="P448">
        <v>2470</v>
      </c>
      <c r="Q448">
        <v>0</v>
      </c>
      <c r="R448">
        <v>32576316305</v>
      </c>
      <c r="S448">
        <v>73695273.769999996</v>
      </c>
      <c r="T448">
        <v>32215865651.560001</v>
      </c>
      <c r="U448">
        <v>32424213150.580002</v>
      </c>
      <c r="V448">
        <v>0.100664</v>
      </c>
      <c r="W448">
        <v>2.8503000000000001E-2</v>
      </c>
    </row>
    <row r="449" spans="1:23" x14ac:dyDescent="0.35">
      <c r="A449" t="s">
        <v>2</v>
      </c>
      <c r="B449">
        <v>4750</v>
      </c>
      <c r="C449">
        <v>108</v>
      </c>
      <c r="D449">
        <v>2989</v>
      </c>
      <c r="E449">
        <v>0</v>
      </c>
      <c r="F449">
        <v>27036147091</v>
      </c>
      <c r="G449">
        <v>60870027.200000003</v>
      </c>
      <c r="H449">
        <v>26785507342.77</v>
      </c>
      <c r="I449">
        <v>26956229088.48</v>
      </c>
      <c r="J449">
        <v>8.1053E-2</v>
      </c>
      <c r="K449">
        <v>8.4220000000000007E-3</v>
      </c>
      <c r="M449" t="s">
        <v>1</v>
      </c>
      <c r="N449">
        <v>4250</v>
      </c>
      <c r="O449">
        <v>108</v>
      </c>
      <c r="P449">
        <v>9232</v>
      </c>
      <c r="Q449">
        <v>0</v>
      </c>
      <c r="R449">
        <v>138514665930</v>
      </c>
      <c r="S449">
        <v>334206102.10000002</v>
      </c>
      <c r="T449">
        <v>137319797263.69</v>
      </c>
      <c r="U449">
        <v>138042471908.29999</v>
      </c>
      <c r="V449">
        <v>7.2066000000000005E-2</v>
      </c>
      <c r="W449">
        <v>1.1889E-2</v>
      </c>
    </row>
    <row r="450" spans="1:23" x14ac:dyDescent="0.35">
      <c r="A450" t="s">
        <v>1</v>
      </c>
      <c r="B450">
        <v>4750</v>
      </c>
      <c r="C450">
        <v>108</v>
      </c>
      <c r="D450">
        <v>2730</v>
      </c>
      <c r="E450">
        <v>0</v>
      </c>
      <c r="F450">
        <v>37020167347</v>
      </c>
      <c r="G450">
        <v>83448294.140000001</v>
      </c>
      <c r="H450">
        <v>36627914140.18</v>
      </c>
      <c r="I450">
        <v>36852285599.25</v>
      </c>
      <c r="J450">
        <v>9.5630999999999994E-2</v>
      </c>
      <c r="K450">
        <v>2.7028E-2</v>
      </c>
      <c r="M450" t="s">
        <v>1</v>
      </c>
      <c r="N450">
        <v>5500</v>
      </c>
      <c r="O450">
        <v>96</v>
      </c>
      <c r="P450">
        <v>1377</v>
      </c>
      <c r="Q450">
        <v>0</v>
      </c>
      <c r="R450">
        <v>18272898812</v>
      </c>
      <c r="S450">
        <v>34599145.420000002</v>
      </c>
      <c r="T450">
        <v>17953056528.209999</v>
      </c>
      <c r="U450">
        <v>18153059010.139999</v>
      </c>
      <c r="V450">
        <v>0.17204800000000001</v>
      </c>
      <c r="W450">
        <v>5.4564000000000001E-2</v>
      </c>
    </row>
    <row r="451" spans="1:23" x14ac:dyDescent="0.35">
      <c r="A451" t="s">
        <v>1</v>
      </c>
      <c r="B451">
        <v>4250</v>
      </c>
      <c r="C451">
        <v>108</v>
      </c>
      <c r="D451">
        <v>8987</v>
      </c>
      <c r="E451">
        <v>0</v>
      </c>
      <c r="F451">
        <v>136102609844</v>
      </c>
      <c r="G451">
        <v>328103957.00999999</v>
      </c>
      <c r="H451">
        <v>134542402638.67999</v>
      </c>
      <c r="I451">
        <v>135534026999.75</v>
      </c>
      <c r="J451">
        <v>0.103384</v>
      </c>
      <c r="K451">
        <v>2.0997999999999999E-2</v>
      </c>
      <c r="M451" t="s">
        <v>3</v>
      </c>
      <c r="N451">
        <v>5000</v>
      </c>
      <c r="O451">
        <v>108</v>
      </c>
      <c r="P451">
        <v>15</v>
      </c>
      <c r="Q451">
        <v>0</v>
      </c>
      <c r="R451">
        <v>172253071</v>
      </c>
      <c r="S451">
        <v>373657.25</v>
      </c>
      <c r="T451">
        <v>171879413.75</v>
      </c>
      <c r="U451">
        <v>171879413.75</v>
      </c>
      <c r="V451">
        <v>0</v>
      </c>
      <c r="W451">
        <v>0</v>
      </c>
    </row>
    <row r="452" spans="1:23" x14ac:dyDescent="0.35">
      <c r="A452" t="s">
        <v>3</v>
      </c>
      <c r="B452">
        <v>5000</v>
      </c>
      <c r="C452">
        <v>108</v>
      </c>
      <c r="D452">
        <v>23</v>
      </c>
      <c r="E452">
        <v>0</v>
      </c>
      <c r="F452">
        <v>271498849</v>
      </c>
      <c r="G452">
        <v>583589.48</v>
      </c>
      <c r="H452">
        <v>270915259.51999998</v>
      </c>
      <c r="I452">
        <v>270915259.51999998</v>
      </c>
      <c r="J452">
        <v>0</v>
      </c>
      <c r="K452">
        <v>0</v>
      </c>
      <c r="M452" t="s">
        <v>2</v>
      </c>
      <c r="N452">
        <v>5500</v>
      </c>
      <c r="O452">
        <v>96</v>
      </c>
      <c r="P452">
        <v>1633</v>
      </c>
      <c r="Q452">
        <v>0</v>
      </c>
      <c r="R452">
        <v>15387505085</v>
      </c>
      <c r="S452">
        <v>28907466.039999999</v>
      </c>
      <c r="T452">
        <v>15184979103.719999</v>
      </c>
      <c r="U452">
        <v>15358597618.959999</v>
      </c>
      <c r="V452">
        <v>0.127303</v>
      </c>
      <c r="W452">
        <v>0</v>
      </c>
    </row>
    <row r="453" spans="1:23" x14ac:dyDescent="0.35">
      <c r="A453" t="s">
        <v>0</v>
      </c>
      <c r="B453">
        <v>5500</v>
      </c>
      <c r="C453">
        <v>96</v>
      </c>
      <c r="D453">
        <v>15771</v>
      </c>
      <c r="E453">
        <v>0</v>
      </c>
      <c r="F453">
        <v>207063617118</v>
      </c>
      <c r="G453">
        <v>393824900.91000003</v>
      </c>
      <c r="H453">
        <v>204920949320.29999</v>
      </c>
      <c r="I453">
        <v>206306827651.70001</v>
      </c>
      <c r="J453">
        <v>9.6772999999999998E-2</v>
      </c>
      <c r="K453">
        <v>2.0833000000000001E-2</v>
      </c>
      <c r="M453" t="s">
        <v>0</v>
      </c>
      <c r="N453">
        <v>6000</v>
      </c>
      <c r="O453">
        <v>96</v>
      </c>
      <c r="P453">
        <v>2215</v>
      </c>
      <c r="Q453">
        <v>0</v>
      </c>
      <c r="R453">
        <v>29163670744</v>
      </c>
      <c r="S453">
        <v>51447863.799999997</v>
      </c>
      <c r="T453">
        <v>28959823861.040001</v>
      </c>
      <c r="U453">
        <v>29043196977</v>
      </c>
      <c r="V453">
        <v>6.0935999999999997E-2</v>
      </c>
      <c r="W453">
        <v>2.8035000000000001E-2</v>
      </c>
    </row>
    <row r="454" spans="1:23" x14ac:dyDescent="0.35">
      <c r="A454" t="s">
        <v>2</v>
      </c>
      <c r="B454">
        <v>5500</v>
      </c>
      <c r="C454">
        <v>96</v>
      </c>
      <c r="D454">
        <v>1629</v>
      </c>
      <c r="E454">
        <v>0</v>
      </c>
      <c r="F454">
        <v>15290951901</v>
      </c>
      <c r="G454">
        <v>28906281.379999999</v>
      </c>
      <c r="H454">
        <v>15149288236.639999</v>
      </c>
      <c r="I454">
        <v>15262045619.620001</v>
      </c>
      <c r="J454">
        <v>8.4986999999999993E-2</v>
      </c>
      <c r="K454">
        <v>0</v>
      </c>
      <c r="M454" t="s">
        <v>0</v>
      </c>
      <c r="N454">
        <v>6000</v>
      </c>
      <c r="O454">
        <v>108</v>
      </c>
      <c r="P454">
        <v>71</v>
      </c>
      <c r="Q454">
        <v>0</v>
      </c>
      <c r="R454">
        <v>760141434</v>
      </c>
      <c r="S454">
        <v>1430959.05</v>
      </c>
      <c r="T454">
        <v>750739786.33000004</v>
      </c>
      <c r="U454">
        <v>758710474.95000005</v>
      </c>
      <c r="V454">
        <v>0.11882</v>
      </c>
      <c r="W454">
        <v>0</v>
      </c>
    </row>
    <row r="455" spans="1:23" x14ac:dyDescent="0.35">
      <c r="A455" t="s">
        <v>0</v>
      </c>
      <c r="B455">
        <v>6000</v>
      </c>
      <c r="C455">
        <v>96</v>
      </c>
      <c r="D455">
        <v>2287</v>
      </c>
      <c r="E455">
        <v>0</v>
      </c>
      <c r="F455">
        <v>30179616308</v>
      </c>
      <c r="G455">
        <v>53355105.140000001</v>
      </c>
      <c r="H455">
        <v>29835955499.540001</v>
      </c>
      <c r="I455">
        <v>30029686945.240002</v>
      </c>
      <c r="J455">
        <v>0.109516</v>
      </c>
      <c r="K455">
        <v>3.7731000000000001E-2</v>
      </c>
      <c r="M455" t="s">
        <v>0</v>
      </c>
      <c r="N455">
        <v>4750</v>
      </c>
      <c r="O455">
        <v>96</v>
      </c>
      <c r="P455">
        <v>42006</v>
      </c>
      <c r="Q455">
        <v>0</v>
      </c>
      <c r="R455">
        <v>594655799703</v>
      </c>
      <c r="S455">
        <v>1252022041.6199999</v>
      </c>
      <c r="T455">
        <v>589667720261.93005</v>
      </c>
      <c r="U455">
        <v>592634749956.66003</v>
      </c>
      <c r="V455">
        <v>7.2841000000000003E-2</v>
      </c>
      <c r="W455">
        <v>1.5409000000000001E-2</v>
      </c>
    </row>
    <row r="456" spans="1:23" x14ac:dyDescent="0.35">
      <c r="A456" t="s">
        <v>0</v>
      </c>
      <c r="B456">
        <v>6000</v>
      </c>
      <c r="C456">
        <v>108</v>
      </c>
      <c r="D456">
        <v>153</v>
      </c>
      <c r="E456">
        <v>0</v>
      </c>
      <c r="F456">
        <v>1807315956</v>
      </c>
      <c r="G456">
        <v>3389761.38</v>
      </c>
      <c r="H456">
        <v>1738467341.98</v>
      </c>
      <c r="I456">
        <v>1803926194.6199999</v>
      </c>
      <c r="J456">
        <v>0.35769499999999999</v>
      </c>
      <c r="K456">
        <v>0</v>
      </c>
      <c r="M456" t="s">
        <v>2</v>
      </c>
      <c r="N456">
        <v>3750</v>
      </c>
      <c r="O456">
        <v>96</v>
      </c>
      <c r="P456">
        <v>605</v>
      </c>
      <c r="Q456">
        <v>0</v>
      </c>
      <c r="R456">
        <v>7092291538</v>
      </c>
      <c r="S456">
        <v>17246471.18</v>
      </c>
      <c r="T456">
        <v>7043363765.6999998</v>
      </c>
      <c r="U456">
        <v>7053874773.1499996</v>
      </c>
      <c r="V456">
        <v>5.2306999999999999E-2</v>
      </c>
      <c r="W456">
        <v>3.5236999999999997E-2</v>
      </c>
    </row>
    <row r="457" spans="1:23" x14ac:dyDescent="0.35">
      <c r="A457" t="s">
        <v>0</v>
      </c>
      <c r="B457">
        <v>5250</v>
      </c>
      <c r="C457">
        <v>96</v>
      </c>
      <c r="D457">
        <v>27208</v>
      </c>
      <c r="E457">
        <v>0</v>
      </c>
      <c r="F457">
        <v>378330661427</v>
      </c>
      <c r="G457">
        <v>743606455.63</v>
      </c>
      <c r="H457">
        <v>374581541892.16998</v>
      </c>
      <c r="I457">
        <v>377038752851.39001</v>
      </c>
      <c r="J457">
        <v>9.1273000000000007E-2</v>
      </c>
      <c r="K457">
        <v>1.7253000000000001E-2</v>
      </c>
      <c r="M457" t="s">
        <v>0</v>
      </c>
      <c r="N457">
        <v>3750</v>
      </c>
      <c r="O457">
        <v>96</v>
      </c>
      <c r="P457">
        <v>3195</v>
      </c>
      <c r="Q457">
        <v>0</v>
      </c>
      <c r="R457">
        <v>44928464195</v>
      </c>
      <c r="S457">
        <v>108584583.55</v>
      </c>
      <c r="T457">
        <v>44621289930.720001</v>
      </c>
      <c r="U457">
        <v>44772939101.279999</v>
      </c>
      <c r="V457">
        <v>5.1770999999999998E-2</v>
      </c>
      <c r="W457">
        <v>1.2466E-2</v>
      </c>
    </row>
    <row r="458" spans="1:23" x14ac:dyDescent="0.35">
      <c r="A458" t="s">
        <v>1</v>
      </c>
      <c r="B458">
        <v>3750</v>
      </c>
      <c r="C458">
        <v>96</v>
      </c>
      <c r="D458">
        <v>1587</v>
      </c>
      <c r="E458">
        <v>0</v>
      </c>
      <c r="F458">
        <v>30273119998</v>
      </c>
      <c r="G458">
        <v>72440113.989999995</v>
      </c>
      <c r="H458">
        <v>29903982919.470001</v>
      </c>
      <c r="I458">
        <v>30102136105.450001</v>
      </c>
      <c r="J458">
        <v>0.111471</v>
      </c>
      <c r="K458">
        <v>3.8370000000000001E-2</v>
      </c>
      <c r="M458" t="s">
        <v>0</v>
      </c>
      <c r="N458">
        <v>4250</v>
      </c>
      <c r="O458">
        <v>96</v>
      </c>
      <c r="P458">
        <v>18357</v>
      </c>
      <c r="Q458">
        <v>0</v>
      </c>
      <c r="R458">
        <v>268149390681</v>
      </c>
      <c r="S458">
        <v>606561345.5</v>
      </c>
      <c r="T458">
        <v>266084232662.57001</v>
      </c>
      <c r="U458">
        <v>267307077789.54999</v>
      </c>
      <c r="V458">
        <v>6.3355999999999996E-2</v>
      </c>
      <c r="W458">
        <v>1.0499E-2</v>
      </c>
    </row>
    <row r="459" spans="1:23" x14ac:dyDescent="0.35">
      <c r="A459" t="s">
        <v>2</v>
      </c>
      <c r="B459">
        <v>3750</v>
      </c>
      <c r="C459">
        <v>96</v>
      </c>
      <c r="D459">
        <v>500</v>
      </c>
      <c r="E459">
        <v>0</v>
      </c>
      <c r="F459">
        <v>5827571060</v>
      </c>
      <c r="G459">
        <v>14123203.24</v>
      </c>
      <c r="H459">
        <v>5792858929.21</v>
      </c>
      <c r="I459">
        <v>5800942647.9399996</v>
      </c>
      <c r="J459">
        <v>4.1582000000000001E-2</v>
      </c>
      <c r="K459">
        <v>2.5448999999999999E-2</v>
      </c>
      <c r="M459" t="s">
        <v>2</v>
      </c>
      <c r="N459">
        <v>4750</v>
      </c>
      <c r="O459">
        <v>96</v>
      </c>
      <c r="P459">
        <v>6598</v>
      </c>
      <c r="Q459">
        <v>0</v>
      </c>
      <c r="R459">
        <v>73419143773</v>
      </c>
      <c r="S459">
        <v>155262057.77000001</v>
      </c>
      <c r="T459">
        <v>72644273145.660004</v>
      </c>
      <c r="U459">
        <v>73215824338.660004</v>
      </c>
      <c r="V459">
        <v>9.6700999999999995E-2</v>
      </c>
      <c r="W459">
        <v>7.8270000000000006E-3</v>
      </c>
    </row>
    <row r="460" spans="1:23" x14ac:dyDescent="0.35">
      <c r="A460" t="s">
        <v>0</v>
      </c>
      <c r="B460">
        <v>4250</v>
      </c>
      <c r="C460">
        <v>96</v>
      </c>
      <c r="D460">
        <v>16259</v>
      </c>
      <c r="E460">
        <v>0</v>
      </c>
      <c r="F460">
        <v>245116013837</v>
      </c>
      <c r="G460">
        <v>552021495.63999999</v>
      </c>
      <c r="H460">
        <v>242606288134.78</v>
      </c>
      <c r="I460">
        <v>244280940035.87</v>
      </c>
      <c r="J460">
        <v>9.1742000000000004E-2</v>
      </c>
      <c r="K460">
        <v>1.3769999999999999E-2</v>
      </c>
      <c r="M460" t="s">
        <v>0</v>
      </c>
      <c r="N460">
        <v>5250</v>
      </c>
      <c r="O460">
        <v>96</v>
      </c>
      <c r="P460">
        <v>26059</v>
      </c>
      <c r="Q460">
        <v>0</v>
      </c>
      <c r="R460">
        <v>362415940123</v>
      </c>
      <c r="S460">
        <v>711707287.63999999</v>
      </c>
      <c r="T460">
        <v>359022398037.28998</v>
      </c>
      <c r="U460">
        <v>361083917459.28003</v>
      </c>
      <c r="V460">
        <v>8.5272000000000001E-2</v>
      </c>
      <c r="W460">
        <v>2.0347000000000001E-2</v>
      </c>
    </row>
    <row r="461" spans="1:23" x14ac:dyDescent="0.35">
      <c r="A461" t="s">
        <v>2</v>
      </c>
      <c r="B461">
        <v>4250</v>
      </c>
      <c r="C461">
        <v>96</v>
      </c>
      <c r="D461">
        <v>2390</v>
      </c>
      <c r="E461">
        <v>0</v>
      </c>
      <c r="F461">
        <v>29559316734</v>
      </c>
      <c r="G461">
        <v>66674484.700000003</v>
      </c>
      <c r="H461">
        <v>29317768927.240002</v>
      </c>
      <c r="I461">
        <v>29468031666.889999</v>
      </c>
      <c r="J461">
        <v>6.8726999999999996E-2</v>
      </c>
      <c r="K461">
        <v>9.9450000000000007E-3</v>
      </c>
      <c r="M461" t="s">
        <v>1</v>
      </c>
      <c r="N461">
        <v>3750</v>
      </c>
      <c r="O461">
        <v>96</v>
      </c>
      <c r="P461">
        <v>1923</v>
      </c>
      <c r="Q461">
        <v>0</v>
      </c>
      <c r="R461">
        <v>35960921330</v>
      </c>
      <c r="S461">
        <v>86895298.090000004</v>
      </c>
      <c r="T461">
        <v>35543715725.120003</v>
      </c>
      <c r="U461">
        <v>35820240478.519997</v>
      </c>
      <c r="V461">
        <v>0.104822</v>
      </c>
      <c r="W461">
        <v>1.7801000000000001E-2</v>
      </c>
    </row>
    <row r="462" spans="1:23" x14ac:dyDescent="0.35">
      <c r="A462" t="s">
        <v>0</v>
      </c>
      <c r="B462">
        <v>4750</v>
      </c>
      <c r="C462">
        <v>96</v>
      </c>
      <c r="D462">
        <v>42662</v>
      </c>
      <c r="E462">
        <v>0</v>
      </c>
      <c r="F462">
        <v>606762428236</v>
      </c>
      <c r="G462">
        <v>1277572769.6300001</v>
      </c>
      <c r="H462">
        <v>601504775624.72998</v>
      </c>
      <c r="I462">
        <v>604674512094.28003</v>
      </c>
      <c r="J462">
        <v>7.5936000000000003E-2</v>
      </c>
      <c r="K462">
        <v>1.5909E-2</v>
      </c>
      <c r="M462" t="s">
        <v>2</v>
      </c>
      <c r="N462">
        <v>4250</v>
      </c>
      <c r="O462">
        <v>96</v>
      </c>
      <c r="P462">
        <v>2572</v>
      </c>
      <c r="Q462">
        <v>0</v>
      </c>
      <c r="R462">
        <v>31328692559</v>
      </c>
      <c r="S462">
        <v>70912549.689999998</v>
      </c>
      <c r="T462">
        <v>31068422080.310001</v>
      </c>
      <c r="U462">
        <v>31228813093.650002</v>
      </c>
      <c r="V462">
        <v>7.0167999999999994E-2</v>
      </c>
      <c r="W462">
        <v>1.1039E-2</v>
      </c>
    </row>
    <row r="463" spans="1:23" x14ac:dyDescent="0.35">
      <c r="A463" t="s">
        <v>1</v>
      </c>
      <c r="B463">
        <v>4250</v>
      </c>
      <c r="C463">
        <v>96</v>
      </c>
      <c r="D463">
        <v>6682</v>
      </c>
      <c r="E463">
        <v>0</v>
      </c>
      <c r="F463">
        <v>124747709444</v>
      </c>
      <c r="G463">
        <v>281131432.48000002</v>
      </c>
      <c r="H463">
        <v>123526792998.35001</v>
      </c>
      <c r="I463">
        <v>124369882366.75999</v>
      </c>
      <c r="J463">
        <v>8.6749000000000007E-2</v>
      </c>
      <c r="K463">
        <v>9.2619999999999994E-3</v>
      </c>
      <c r="M463" t="s">
        <v>1</v>
      </c>
      <c r="N463">
        <v>4250</v>
      </c>
      <c r="O463">
        <v>96</v>
      </c>
      <c r="P463">
        <v>6894</v>
      </c>
      <c r="Q463">
        <v>0</v>
      </c>
      <c r="R463">
        <v>127318421853</v>
      </c>
      <c r="S463">
        <v>287046523.29000002</v>
      </c>
      <c r="T463">
        <v>126214316092.75999</v>
      </c>
      <c r="U463">
        <v>126892354326.67</v>
      </c>
      <c r="V463">
        <v>7.4348999999999998E-2</v>
      </c>
      <c r="W463">
        <v>1.3025E-2</v>
      </c>
    </row>
    <row r="464" spans="1:23" x14ac:dyDescent="0.35">
      <c r="A464" t="s">
        <v>1</v>
      </c>
      <c r="B464">
        <v>5500</v>
      </c>
      <c r="C464">
        <v>96</v>
      </c>
      <c r="D464">
        <v>1363</v>
      </c>
      <c r="E464">
        <v>0</v>
      </c>
      <c r="F464">
        <v>17947456502</v>
      </c>
      <c r="G464">
        <v>34129925.770000003</v>
      </c>
      <c r="H464">
        <v>17706853977.939999</v>
      </c>
      <c r="I464">
        <v>17867790974.919998</v>
      </c>
      <c r="J464">
        <v>0.12964300000000001</v>
      </c>
      <c r="K464">
        <v>3.0025E-2</v>
      </c>
      <c r="M464" t="s">
        <v>1</v>
      </c>
      <c r="N464">
        <v>4750</v>
      </c>
      <c r="O464">
        <v>96</v>
      </c>
      <c r="P464">
        <v>7518</v>
      </c>
      <c r="Q464">
        <v>0</v>
      </c>
      <c r="R464">
        <v>123453847147</v>
      </c>
      <c r="S464">
        <v>260283545.52000001</v>
      </c>
      <c r="T464">
        <v>122327772113.09</v>
      </c>
      <c r="U464">
        <v>123036482680.37</v>
      </c>
      <c r="V464">
        <v>8.0986000000000002E-2</v>
      </c>
      <c r="W464">
        <v>1.5162E-2</v>
      </c>
    </row>
    <row r="465" spans="1:23" x14ac:dyDescent="0.35">
      <c r="A465" t="s">
        <v>2</v>
      </c>
      <c r="B465">
        <v>4750</v>
      </c>
      <c r="C465">
        <v>96</v>
      </c>
      <c r="D465">
        <v>6607</v>
      </c>
      <c r="E465">
        <v>0</v>
      </c>
      <c r="F465">
        <v>74153266108</v>
      </c>
      <c r="G465">
        <v>156779110.63999999</v>
      </c>
      <c r="H465">
        <v>73464896960.75</v>
      </c>
      <c r="I465">
        <v>73957339761.910004</v>
      </c>
      <c r="J465">
        <v>8.2713999999999996E-2</v>
      </c>
      <c r="K465">
        <v>6.3169999999999997E-3</v>
      </c>
      <c r="M465" t="s">
        <v>2</v>
      </c>
      <c r="N465">
        <v>5250</v>
      </c>
      <c r="O465">
        <v>96</v>
      </c>
      <c r="P465">
        <v>5543</v>
      </c>
      <c r="Q465">
        <v>0</v>
      </c>
      <c r="R465">
        <v>53373086791</v>
      </c>
      <c r="S465">
        <v>104817073.39</v>
      </c>
      <c r="T465">
        <v>52932244100.540001</v>
      </c>
      <c r="U465">
        <v>53246050417.940002</v>
      </c>
      <c r="V465">
        <v>7.2987999999999997E-2</v>
      </c>
      <c r="W465">
        <v>4.9839999999999997E-3</v>
      </c>
    </row>
    <row r="466" spans="1:23" x14ac:dyDescent="0.35">
      <c r="A466" t="s">
        <v>1</v>
      </c>
      <c r="B466">
        <v>4750</v>
      </c>
      <c r="C466">
        <v>96</v>
      </c>
      <c r="D466">
        <v>7547</v>
      </c>
      <c r="E466">
        <v>0</v>
      </c>
      <c r="F466">
        <v>124053102493</v>
      </c>
      <c r="G466">
        <v>261920379.41999999</v>
      </c>
      <c r="H466">
        <v>122788408102.13</v>
      </c>
      <c r="I466">
        <v>123672703503.07001</v>
      </c>
      <c r="J466">
        <v>9.2802999999999997E-2</v>
      </c>
      <c r="K466">
        <v>1.1401E-2</v>
      </c>
      <c r="M466" t="s">
        <v>1</v>
      </c>
      <c r="N466">
        <v>5250</v>
      </c>
      <c r="O466">
        <v>96</v>
      </c>
      <c r="P466">
        <v>2931</v>
      </c>
      <c r="Q466">
        <v>0</v>
      </c>
      <c r="R466">
        <v>42137176399</v>
      </c>
      <c r="S466">
        <v>82795499.549999997</v>
      </c>
      <c r="T466">
        <v>41661924998.830002</v>
      </c>
      <c r="U466">
        <v>41848485886</v>
      </c>
      <c r="V466">
        <v>0.106214</v>
      </c>
      <c r="W466">
        <v>5.7084999999999997E-2</v>
      </c>
    </row>
    <row r="467" spans="1:23" x14ac:dyDescent="0.35">
      <c r="A467" t="s">
        <v>2</v>
      </c>
      <c r="B467">
        <v>5250</v>
      </c>
      <c r="C467">
        <v>96</v>
      </c>
      <c r="D467">
        <v>5685</v>
      </c>
      <c r="E467">
        <v>0</v>
      </c>
      <c r="F467">
        <v>54607834766</v>
      </c>
      <c r="G467">
        <v>107585478.17</v>
      </c>
      <c r="H467">
        <v>54088178503.720001</v>
      </c>
      <c r="I467">
        <v>54484069885.199997</v>
      </c>
      <c r="J467">
        <v>8.6887000000000006E-2</v>
      </c>
      <c r="K467">
        <v>3.5500000000000002E-3</v>
      </c>
      <c r="M467" t="s">
        <v>1</v>
      </c>
      <c r="N467">
        <v>6000</v>
      </c>
      <c r="O467">
        <v>96</v>
      </c>
      <c r="P467">
        <v>68</v>
      </c>
      <c r="Q467">
        <v>0</v>
      </c>
      <c r="R467">
        <v>861361508</v>
      </c>
      <c r="S467">
        <v>1516202.84</v>
      </c>
      <c r="T467">
        <v>859845305.15999997</v>
      </c>
      <c r="U467">
        <v>859845305.15999997</v>
      </c>
      <c r="V467">
        <v>0</v>
      </c>
      <c r="W467">
        <v>0</v>
      </c>
    </row>
    <row r="468" spans="1:23" x14ac:dyDescent="0.35">
      <c r="A468" t="s">
        <v>1</v>
      </c>
      <c r="B468">
        <v>5250</v>
      </c>
      <c r="C468">
        <v>96</v>
      </c>
      <c r="D468">
        <v>2989</v>
      </c>
      <c r="E468">
        <v>0</v>
      </c>
      <c r="F468">
        <v>43109159101</v>
      </c>
      <c r="G468">
        <v>84863931.099999994</v>
      </c>
      <c r="H468">
        <v>42511074316.360001</v>
      </c>
      <c r="I468">
        <v>42969513135.480003</v>
      </c>
      <c r="J468">
        <v>0.13386899999999999</v>
      </c>
      <c r="K468">
        <v>1.5143E-2</v>
      </c>
      <c r="M468" t="s">
        <v>2</v>
      </c>
      <c r="N468">
        <v>4500</v>
      </c>
      <c r="O468">
        <v>84</v>
      </c>
      <c r="P468">
        <v>4851</v>
      </c>
      <c r="Q468">
        <v>0</v>
      </c>
      <c r="R468">
        <v>54667244751</v>
      </c>
      <c r="S468">
        <v>111833743.22</v>
      </c>
      <c r="T468">
        <v>54217781970.690002</v>
      </c>
      <c r="U468">
        <v>54501280451.830002</v>
      </c>
      <c r="V468">
        <v>7.1647000000000002E-2</v>
      </c>
      <c r="W468">
        <v>1.1818E-2</v>
      </c>
    </row>
    <row r="469" spans="1:23" x14ac:dyDescent="0.35">
      <c r="A469" t="s">
        <v>1</v>
      </c>
      <c r="B469">
        <v>6000</v>
      </c>
      <c r="C469">
        <v>96</v>
      </c>
      <c r="D469">
        <v>75</v>
      </c>
      <c r="E469">
        <v>0</v>
      </c>
      <c r="F469">
        <v>911740708</v>
      </c>
      <c r="G469">
        <v>1607741.63</v>
      </c>
      <c r="H469">
        <v>910132966.37</v>
      </c>
      <c r="I469">
        <v>910132966.37</v>
      </c>
      <c r="J469">
        <v>0</v>
      </c>
      <c r="K469">
        <v>0</v>
      </c>
      <c r="M469" t="s">
        <v>0</v>
      </c>
      <c r="N469">
        <v>5000</v>
      </c>
      <c r="O469">
        <v>84</v>
      </c>
      <c r="P469">
        <v>12862</v>
      </c>
      <c r="Q469">
        <v>0</v>
      </c>
      <c r="R469">
        <v>187728534743</v>
      </c>
      <c r="S469">
        <v>357798840.70999998</v>
      </c>
      <c r="T469">
        <v>186089583342.95999</v>
      </c>
      <c r="U469">
        <v>187035752304.26999</v>
      </c>
      <c r="V469">
        <v>7.8889000000000001E-2</v>
      </c>
      <c r="W469">
        <v>2.1204000000000001E-2</v>
      </c>
    </row>
    <row r="470" spans="1:23" x14ac:dyDescent="0.35">
      <c r="A470" t="s">
        <v>0</v>
      </c>
      <c r="B470">
        <v>4500</v>
      </c>
      <c r="C470">
        <v>84</v>
      </c>
      <c r="D470">
        <v>28445</v>
      </c>
      <c r="E470">
        <v>0</v>
      </c>
      <c r="F470">
        <v>436935022222</v>
      </c>
      <c r="G470">
        <v>889742395.33000004</v>
      </c>
      <c r="H470">
        <v>432793859568.33002</v>
      </c>
      <c r="I470">
        <v>435449008780.5</v>
      </c>
      <c r="J470">
        <v>8.5732000000000003E-2</v>
      </c>
      <c r="K470">
        <v>1.6254000000000001E-2</v>
      </c>
      <c r="M470" t="s">
        <v>2</v>
      </c>
      <c r="N470">
        <v>5000</v>
      </c>
      <c r="O470">
        <v>84</v>
      </c>
      <c r="P470">
        <v>1324</v>
      </c>
      <c r="Q470">
        <v>0</v>
      </c>
      <c r="R470">
        <v>13063569459</v>
      </c>
      <c r="S470">
        <v>25190605.940000001</v>
      </c>
      <c r="T470">
        <v>12963939907.209999</v>
      </c>
      <c r="U470">
        <v>13038378853.059999</v>
      </c>
      <c r="V470">
        <v>6.6276000000000002E-2</v>
      </c>
      <c r="W470">
        <v>0</v>
      </c>
    </row>
    <row r="471" spans="1:23" x14ac:dyDescent="0.35">
      <c r="A471" t="s">
        <v>0</v>
      </c>
      <c r="B471">
        <v>5000</v>
      </c>
      <c r="C471">
        <v>84</v>
      </c>
      <c r="D471">
        <v>11221</v>
      </c>
      <c r="E471">
        <v>0</v>
      </c>
      <c r="F471">
        <v>166923190210</v>
      </c>
      <c r="G471">
        <v>317824459.87</v>
      </c>
      <c r="H471">
        <v>165458405273.10001</v>
      </c>
      <c r="I471">
        <v>166497165374.54001</v>
      </c>
      <c r="J471">
        <v>7.9408000000000006E-2</v>
      </c>
      <c r="K471">
        <v>7.7510000000000001E-3</v>
      </c>
      <c r="M471" t="s">
        <v>1</v>
      </c>
      <c r="N471">
        <v>5000</v>
      </c>
      <c r="O471">
        <v>84</v>
      </c>
      <c r="P471">
        <v>978</v>
      </c>
      <c r="Q471">
        <v>0</v>
      </c>
      <c r="R471">
        <v>14568664746</v>
      </c>
      <c r="S471">
        <v>27943241.809999999</v>
      </c>
      <c r="T471">
        <v>14372154161.719999</v>
      </c>
      <c r="U471">
        <v>14540721504.190001</v>
      </c>
      <c r="V471">
        <v>0.13034299999999999</v>
      </c>
      <c r="W471">
        <v>0</v>
      </c>
    </row>
    <row r="472" spans="1:23" x14ac:dyDescent="0.35">
      <c r="A472" t="s">
        <v>1</v>
      </c>
      <c r="B472">
        <v>5000</v>
      </c>
      <c r="C472">
        <v>84</v>
      </c>
      <c r="D472">
        <v>781</v>
      </c>
      <c r="E472">
        <v>0</v>
      </c>
      <c r="F472">
        <v>11508588543</v>
      </c>
      <c r="G472">
        <v>22003217.190000001</v>
      </c>
      <c r="H472">
        <v>11305662288.93</v>
      </c>
      <c r="I472">
        <v>11437326358.92</v>
      </c>
      <c r="J472">
        <v>0.17316200000000001</v>
      </c>
      <c r="K472">
        <v>5.0169999999999999E-2</v>
      </c>
      <c r="M472" t="s">
        <v>0</v>
      </c>
      <c r="N472">
        <v>5500</v>
      </c>
      <c r="O472">
        <v>84</v>
      </c>
      <c r="P472">
        <v>3722</v>
      </c>
      <c r="Q472">
        <v>0</v>
      </c>
      <c r="R472">
        <v>52454580405</v>
      </c>
      <c r="S472">
        <v>94243861.519999996</v>
      </c>
      <c r="T472">
        <v>51980142722.82</v>
      </c>
      <c r="U472">
        <v>52243830740.550003</v>
      </c>
      <c r="V472">
        <v>8.3592E-2</v>
      </c>
      <c r="W472">
        <v>2.6329999999999999E-2</v>
      </c>
    </row>
    <row r="473" spans="1:23" x14ac:dyDescent="0.35">
      <c r="A473" t="s">
        <v>2</v>
      </c>
      <c r="B473">
        <v>5000</v>
      </c>
      <c r="C473">
        <v>84</v>
      </c>
      <c r="D473">
        <v>941</v>
      </c>
      <c r="E473">
        <v>0</v>
      </c>
      <c r="F473">
        <v>9228913798</v>
      </c>
      <c r="G473">
        <v>17776615.75</v>
      </c>
      <c r="H473">
        <v>9160343386.9300003</v>
      </c>
      <c r="I473">
        <v>9211137182.25</v>
      </c>
      <c r="J473">
        <v>6.4082E-2</v>
      </c>
      <c r="K473">
        <v>0</v>
      </c>
      <c r="M473" t="s">
        <v>1</v>
      </c>
      <c r="N473">
        <v>5500</v>
      </c>
      <c r="O473">
        <v>84</v>
      </c>
      <c r="P473">
        <v>190</v>
      </c>
      <c r="Q473">
        <v>0</v>
      </c>
      <c r="R473">
        <v>2522819087</v>
      </c>
      <c r="S473">
        <v>4523428.04</v>
      </c>
      <c r="T473">
        <v>2419335286.3499999</v>
      </c>
      <c r="U473">
        <v>2461007638.8299999</v>
      </c>
      <c r="V473">
        <v>0.38133699999999998</v>
      </c>
      <c r="W473">
        <v>0.24091099999999999</v>
      </c>
    </row>
    <row r="474" spans="1:23" x14ac:dyDescent="0.35">
      <c r="A474" t="s">
        <v>2</v>
      </c>
      <c r="B474">
        <v>4500</v>
      </c>
      <c r="C474">
        <v>84</v>
      </c>
      <c r="D474">
        <v>4401</v>
      </c>
      <c r="E474">
        <v>0</v>
      </c>
      <c r="F474">
        <v>49138689882</v>
      </c>
      <c r="G474">
        <v>100635591.18000001</v>
      </c>
      <c r="H474">
        <v>48591748397.099998</v>
      </c>
      <c r="I474">
        <v>48999278018.32</v>
      </c>
      <c r="J474">
        <v>0.10370799999999999</v>
      </c>
      <c r="K474">
        <v>9.4280000000000006E-3</v>
      </c>
      <c r="M474" t="s">
        <v>0</v>
      </c>
      <c r="N474">
        <v>6000</v>
      </c>
      <c r="O474">
        <v>84</v>
      </c>
      <c r="P474">
        <v>827</v>
      </c>
      <c r="Q474">
        <v>0</v>
      </c>
      <c r="R474">
        <v>10826163838</v>
      </c>
      <c r="S474">
        <v>18157951.530000001</v>
      </c>
      <c r="T474">
        <v>10676623381.049999</v>
      </c>
      <c r="U474">
        <v>10795971963.719999</v>
      </c>
      <c r="V474">
        <v>0.13628999999999999</v>
      </c>
      <c r="W474">
        <v>1.3257E-2</v>
      </c>
    </row>
    <row r="475" spans="1:23" x14ac:dyDescent="0.35">
      <c r="A475" t="s">
        <v>1</v>
      </c>
      <c r="B475">
        <v>5500</v>
      </c>
      <c r="C475">
        <v>84</v>
      </c>
      <c r="D475">
        <v>142</v>
      </c>
      <c r="E475">
        <v>0</v>
      </c>
      <c r="F475">
        <v>1987309381</v>
      </c>
      <c r="G475">
        <v>3566766.57</v>
      </c>
      <c r="H475">
        <v>1969692665.4200001</v>
      </c>
      <c r="I475">
        <v>1969692665.4200001</v>
      </c>
      <c r="J475">
        <v>8.1615999999999994E-2</v>
      </c>
      <c r="K475">
        <v>8.1615999999999994E-2</v>
      </c>
      <c r="M475" t="s">
        <v>2</v>
      </c>
      <c r="N475">
        <v>5500</v>
      </c>
      <c r="O475">
        <v>84</v>
      </c>
      <c r="P475">
        <v>31</v>
      </c>
      <c r="Q475">
        <v>0</v>
      </c>
      <c r="R475">
        <v>306194022</v>
      </c>
      <c r="S475">
        <v>564818.44999999995</v>
      </c>
      <c r="T475">
        <v>305629203.55000001</v>
      </c>
      <c r="U475">
        <v>305629203.55000001</v>
      </c>
      <c r="V475">
        <v>0</v>
      </c>
      <c r="W475">
        <v>0</v>
      </c>
    </row>
    <row r="476" spans="1:23" x14ac:dyDescent="0.35">
      <c r="A476" t="s">
        <v>0</v>
      </c>
      <c r="B476">
        <v>5500</v>
      </c>
      <c r="C476">
        <v>84</v>
      </c>
      <c r="D476">
        <v>2854</v>
      </c>
      <c r="E476">
        <v>0</v>
      </c>
      <c r="F476">
        <v>40461211352</v>
      </c>
      <c r="G476">
        <v>72716339.040000007</v>
      </c>
      <c r="H476">
        <v>40018142650.059998</v>
      </c>
      <c r="I476">
        <v>40245159825.93</v>
      </c>
      <c r="J476">
        <v>0.104475</v>
      </c>
      <c r="K476">
        <v>4.1692E-2</v>
      </c>
      <c r="M476" t="s">
        <v>1</v>
      </c>
      <c r="N476">
        <v>6000</v>
      </c>
      <c r="O476">
        <v>84</v>
      </c>
      <c r="P476">
        <v>45</v>
      </c>
      <c r="Q476">
        <v>0</v>
      </c>
      <c r="R476">
        <v>534262419</v>
      </c>
      <c r="S476">
        <v>889030.4</v>
      </c>
      <c r="T476">
        <v>519959936.69999999</v>
      </c>
      <c r="U476">
        <v>533373388.60000002</v>
      </c>
      <c r="V476">
        <v>0.26296799999999998</v>
      </c>
      <c r="W476">
        <v>0</v>
      </c>
    </row>
    <row r="477" spans="1:23" x14ac:dyDescent="0.35">
      <c r="A477" t="s">
        <v>0</v>
      </c>
      <c r="B477">
        <v>6000</v>
      </c>
      <c r="C477">
        <v>84</v>
      </c>
      <c r="D477">
        <v>659</v>
      </c>
      <c r="E477">
        <v>0</v>
      </c>
      <c r="F477">
        <v>8526006659</v>
      </c>
      <c r="G477">
        <v>14326630.970000001</v>
      </c>
      <c r="H477">
        <v>8465658466.9899998</v>
      </c>
      <c r="I477">
        <v>8511680028.0299997</v>
      </c>
      <c r="J477">
        <v>6.2884999999999996E-2</v>
      </c>
      <c r="K477">
        <v>0</v>
      </c>
      <c r="M477" t="s">
        <v>0</v>
      </c>
      <c r="N477">
        <v>3000</v>
      </c>
      <c r="O477">
        <v>84</v>
      </c>
      <c r="P477">
        <v>5812</v>
      </c>
      <c r="Q477">
        <v>0</v>
      </c>
      <c r="R477">
        <v>123239936974</v>
      </c>
      <c r="S477">
        <v>298976232.08999997</v>
      </c>
      <c r="T477">
        <v>122574826548.17999</v>
      </c>
      <c r="U477">
        <v>122914105664.10001</v>
      </c>
      <c r="V477">
        <v>3.5074000000000001E-2</v>
      </c>
      <c r="W477">
        <v>2.6120000000000002E-3</v>
      </c>
    </row>
    <row r="478" spans="1:23" x14ac:dyDescent="0.35">
      <c r="A478" t="s">
        <v>0</v>
      </c>
      <c r="B478">
        <v>3000</v>
      </c>
      <c r="C478">
        <v>84</v>
      </c>
      <c r="D478">
        <v>10262</v>
      </c>
      <c r="E478">
        <v>0</v>
      </c>
      <c r="F478">
        <v>221322314618</v>
      </c>
      <c r="G478">
        <v>536118214.04000002</v>
      </c>
      <c r="H478">
        <v>219438135589.22</v>
      </c>
      <c r="I478">
        <v>220755715737.35001</v>
      </c>
      <c r="J478">
        <v>7.0692000000000005E-2</v>
      </c>
      <c r="K478">
        <v>1.6509999999999999E-3</v>
      </c>
      <c r="M478" t="s">
        <v>2</v>
      </c>
      <c r="N478">
        <v>4250</v>
      </c>
      <c r="O478">
        <v>84</v>
      </c>
      <c r="P478">
        <v>9704</v>
      </c>
      <c r="Q478">
        <v>0</v>
      </c>
      <c r="R478">
        <v>113117229143</v>
      </c>
      <c r="S478">
        <v>237775432.61000001</v>
      </c>
      <c r="T478">
        <v>112224651080.83</v>
      </c>
      <c r="U478">
        <v>112786471450.86</v>
      </c>
      <c r="V478">
        <v>6.7294999999999994E-2</v>
      </c>
      <c r="W478">
        <v>9.8200000000000006E-3</v>
      </c>
    </row>
    <row r="479" spans="1:23" x14ac:dyDescent="0.35">
      <c r="A479" t="s">
        <v>0</v>
      </c>
      <c r="B479">
        <v>4750</v>
      </c>
      <c r="C479">
        <v>84</v>
      </c>
      <c r="D479">
        <v>33975</v>
      </c>
      <c r="E479">
        <v>0</v>
      </c>
      <c r="F479">
        <v>507174519981</v>
      </c>
      <c r="G479">
        <v>1005330893.12</v>
      </c>
      <c r="H479">
        <v>502740429783.53998</v>
      </c>
      <c r="I479">
        <v>505650169697.78003</v>
      </c>
      <c r="J479">
        <v>7.8176999999999996E-2</v>
      </c>
      <c r="K479">
        <v>1.2211E-2</v>
      </c>
      <c r="M479" t="s">
        <v>0</v>
      </c>
      <c r="N479">
        <v>4750</v>
      </c>
      <c r="O479">
        <v>84</v>
      </c>
      <c r="P479">
        <v>36663</v>
      </c>
      <c r="Q479">
        <v>0</v>
      </c>
      <c r="R479">
        <v>548584055938</v>
      </c>
      <c r="S479">
        <v>1086114894.29</v>
      </c>
      <c r="T479">
        <v>543862027522.04999</v>
      </c>
      <c r="U479">
        <v>546664883585.15002</v>
      </c>
      <c r="V479">
        <v>7.6698000000000002E-2</v>
      </c>
      <c r="W479">
        <v>1.8071E-2</v>
      </c>
    </row>
    <row r="480" spans="1:23" x14ac:dyDescent="0.35">
      <c r="A480" t="s">
        <v>0</v>
      </c>
      <c r="B480">
        <v>4250</v>
      </c>
      <c r="C480">
        <v>84</v>
      </c>
      <c r="D480">
        <v>56999</v>
      </c>
      <c r="E480">
        <v>0</v>
      </c>
      <c r="F480">
        <v>951644340974</v>
      </c>
      <c r="G480">
        <v>2000282322.8699999</v>
      </c>
      <c r="H480">
        <v>943576745403.07996</v>
      </c>
      <c r="I480">
        <v>948725546820.14001</v>
      </c>
      <c r="J480">
        <v>7.3881000000000002E-2</v>
      </c>
      <c r="K480">
        <v>1.1521E-2</v>
      </c>
      <c r="M480" t="s">
        <v>0</v>
      </c>
      <c r="N480">
        <v>5250</v>
      </c>
      <c r="O480">
        <v>84</v>
      </c>
      <c r="P480">
        <v>13641</v>
      </c>
      <c r="Q480">
        <v>0</v>
      </c>
      <c r="R480">
        <v>191207233600</v>
      </c>
      <c r="S480">
        <v>354162034.04000002</v>
      </c>
      <c r="T480">
        <v>189537183759.62</v>
      </c>
      <c r="U480">
        <v>190636894014.66</v>
      </c>
      <c r="V480">
        <v>7.9529000000000002E-2</v>
      </c>
      <c r="W480">
        <v>1.3483E-2</v>
      </c>
    </row>
    <row r="481" spans="1:23" x14ac:dyDescent="0.35">
      <c r="A481" t="s">
        <v>2</v>
      </c>
      <c r="B481">
        <v>4250</v>
      </c>
      <c r="C481">
        <v>84</v>
      </c>
      <c r="D481">
        <v>9770</v>
      </c>
      <c r="E481">
        <v>0</v>
      </c>
      <c r="F481">
        <v>113344369732</v>
      </c>
      <c r="G481">
        <v>239027373.34</v>
      </c>
      <c r="H481">
        <v>112275680731.89999</v>
      </c>
      <c r="I481">
        <v>112986246127.49001</v>
      </c>
      <c r="J481">
        <v>8.4387000000000004E-2</v>
      </c>
      <c r="K481">
        <v>1.2536E-2</v>
      </c>
      <c r="M481" t="s">
        <v>1</v>
      </c>
      <c r="N481">
        <v>3750</v>
      </c>
      <c r="O481">
        <v>84</v>
      </c>
      <c r="P481">
        <v>27549</v>
      </c>
      <c r="Q481">
        <v>0</v>
      </c>
      <c r="R481">
        <v>570132013443</v>
      </c>
      <c r="S481">
        <v>1274564982.3599999</v>
      </c>
      <c r="T481">
        <v>564910347391.54004</v>
      </c>
      <c r="U481">
        <v>568514622695.34998</v>
      </c>
      <c r="V481">
        <v>7.9986000000000002E-2</v>
      </c>
      <c r="W481">
        <v>7.1919999999999996E-3</v>
      </c>
    </row>
    <row r="482" spans="1:23" x14ac:dyDescent="0.35">
      <c r="A482" t="s">
        <v>1</v>
      </c>
      <c r="B482">
        <v>5250</v>
      </c>
      <c r="C482">
        <v>84</v>
      </c>
      <c r="D482">
        <v>831</v>
      </c>
      <c r="E482">
        <v>0</v>
      </c>
      <c r="F482">
        <v>12125043421</v>
      </c>
      <c r="G482">
        <v>22444407.010000002</v>
      </c>
      <c r="H482">
        <v>11884587324.99</v>
      </c>
      <c r="I482">
        <v>12022827966.9</v>
      </c>
      <c r="J482">
        <v>0.195655</v>
      </c>
      <c r="K482">
        <v>7.6152999999999998E-2</v>
      </c>
      <c r="M482" t="s">
        <v>0</v>
      </c>
      <c r="N482">
        <v>4250</v>
      </c>
      <c r="O482">
        <v>84</v>
      </c>
      <c r="P482">
        <v>55716</v>
      </c>
      <c r="Q482">
        <v>0</v>
      </c>
      <c r="R482">
        <v>931364891660</v>
      </c>
      <c r="S482">
        <v>1952856435.29</v>
      </c>
      <c r="T482">
        <v>923593185419.17004</v>
      </c>
      <c r="U482">
        <v>928385418228.68994</v>
      </c>
      <c r="V482">
        <v>7.2449E-2</v>
      </c>
      <c r="W482">
        <v>1.3147000000000001E-2</v>
      </c>
    </row>
    <row r="483" spans="1:23" x14ac:dyDescent="0.35">
      <c r="A483" t="s">
        <v>0</v>
      </c>
      <c r="B483">
        <v>5250</v>
      </c>
      <c r="C483">
        <v>84</v>
      </c>
      <c r="D483">
        <v>11158</v>
      </c>
      <c r="E483">
        <v>0</v>
      </c>
      <c r="F483">
        <v>157841139588</v>
      </c>
      <c r="G483">
        <v>292180859.16000003</v>
      </c>
      <c r="H483">
        <v>156175030815.62</v>
      </c>
      <c r="I483">
        <v>157196035408.41</v>
      </c>
      <c r="J483">
        <v>9.9596000000000004E-2</v>
      </c>
      <c r="K483">
        <v>2.6504E-2</v>
      </c>
      <c r="M483" t="s">
        <v>1</v>
      </c>
      <c r="N483">
        <v>5250</v>
      </c>
      <c r="O483">
        <v>84</v>
      </c>
      <c r="P483">
        <v>1025</v>
      </c>
      <c r="Q483">
        <v>0</v>
      </c>
      <c r="R483">
        <v>14972249493</v>
      </c>
      <c r="S483">
        <v>27741577.190000001</v>
      </c>
      <c r="T483">
        <v>14769683884.1</v>
      </c>
      <c r="U483">
        <v>14896934662.030001</v>
      </c>
      <c r="V483">
        <v>0.13146099999999999</v>
      </c>
      <c r="W483">
        <v>3.7470000000000003E-2</v>
      </c>
    </row>
    <row r="484" spans="1:23" x14ac:dyDescent="0.35">
      <c r="A484" t="s">
        <v>1</v>
      </c>
      <c r="B484">
        <v>3750</v>
      </c>
      <c r="C484">
        <v>84</v>
      </c>
      <c r="D484">
        <v>29673</v>
      </c>
      <c r="E484">
        <v>0</v>
      </c>
      <c r="F484">
        <v>611140907293</v>
      </c>
      <c r="G484">
        <v>1369943817.77</v>
      </c>
      <c r="H484">
        <v>604076263705.82996</v>
      </c>
      <c r="I484">
        <v>609434586983.97998</v>
      </c>
      <c r="J484">
        <v>0.10626099999999999</v>
      </c>
      <c r="K484">
        <v>6.5849999999999997E-3</v>
      </c>
      <c r="M484" t="s">
        <v>2</v>
      </c>
      <c r="N484">
        <v>3750</v>
      </c>
      <c r="O484">
        <v>84</v>
      </c>
      <c r="P484">
        <v>11138</v>
      </c>
      <c r="Q484">
        <v>0</v>
      </c>
      <c r="R484">
        <v>151874255324</v>
      </c>
      <c r="S484">
        <v>337197806.05000001</v>
      </c>
      <c r="T484">
        <v>150762410876.91</v>
      </c>
      <c r="U484">
        <v>151508554248.03</v>
      </c>
      <c r="V484">
        <v>5.9519000000000002E-2</v>
      </c>
      <c r="W484">
        <v>2.2499999999999998E-3</v>
      </c>
    </row>
    <row r="485" spans="1:23" x14ac:dyDescent="0.35">
      <c r="A485" t="s">
        <v>2</v>
      </c>
      <c r="B485">
        <v>3750</v>
      </c>
      <c r="C485">
        <v>84</v>
      </c>
      <c r="D485">
        <v>12554</v>
      </c>
      <c r="E485">
        <v>0</v>
      </c>
      <c r="F485">
        <v>170983251335</v>
      </c>
      <c r="G485">
        <v>380430083.39999998</v>
      </c>
      <c r="H485">
        <v>169286960228.54001</v>
      </c>
      <c r="I485">
        <v>170480636930.26999</v>
      </c>
      <c r="J485">
        <v>8.8539999999999994E-2</v>
      </c>
      <c r="K485">
        <v>8.5419999999999992E-3</v>
      </c>
      <c r="M485" t="s">
        <v>0</v>
      </c>
      <c r="N485">
        <v>3750</v>
      </c>
      <c r="O485">
        <v>84</v>
      </c>
      <c r="P485">
        <v>70460</v>
      </c>
      <c r="Q485">
        <v>0</v>
      </c>
      <c r="R485">
        <v>1300056343147</v>
      </c>
      <c r="S485">
        <v>2888030909.1700001</v>
      </c>
      <c r="T485">
        <v>1289583286426.6599</v>
      </c>
      <c r="U485">
        <v>1296457356954.1699</v>
      </c>
      <c r="V485">
        <v>6.7808999999999994E-2</v>
      </c>
      <c r="W485">
        <v>6.5430000000000002E-3</v>
      </c>
    </row>
    <row r="486" spans="1:23" x14ac:dyDescent="0.35">
      <c r="A486" t="s">
        <v>0</v>
      </c>
      <c r="B486">
        <v>3750</v>
      </c>
      <c r="C486">
        <v>84</v>
      </c>
      <c r="D486">
        <v>79616</v>
      </c>
      <c r="E486">
        <v>0</v>
      </c>
      <c r="F486">
        <v>1462509256401</v>
      </c>
      <c r="G486">
        <v>3256684161.4899998</v>
      </c>
      <c r="H486">
        <v>1450076628371.6001</v>
      </c>
      <c r="I486">
        <v>1458395029877.03</v>
      </c>
      <c r="J486">
        <v>7.2745000000000004E-2</v>
      </c>
      <c r="K486">
        <v>7.0140000000000003E-3</v>
      </c>
      <c r="M486" t="s">
        <v>2</v>
      </c>
      <c r="N486">
        <v>5250</v>
      </c>
      <c r="O486">
        <v>84</v>
      </c>
      <c r="P486">
        <v>549</v>
      </c>
      <c r="Q486">
        <v>0</v>
      </c>
      <c r="R486">
        <v>5121649874</v>
      </c>
      <c r="S486">
        <v>9631755.4700000007</v>
      </c>
      <c r="T486">
        <v>5069741778.1800003</v>
      </c>
      <c r="U486">
        <v>5100199797.8500004</v>
      </c>
      <c r="V486">
        <v>9.4677999999999998E-2</v>
      </c>
      <c r="W486">
        <v>2.7342000000000002E-2</v>
      </c>
    </row>
    <row r="487" spans="1:23" x14ac:dyDescent="0.35">
      <c r="A487" t="s">
        <v>1</v>
      </c>
      <c r="B487">
        <v>3250</v>
      </c>
      <c r="C487">
        <v>84</v>
      </c>
      <c r="D487">
        <v>26898</v>
      </c>
      <c r="E487">
        <v>0</v>
      </c>
      <c r="F487">
        <v>629316532342</v>
      </c>
      <c r="G487">
        <v>1486777378.71</v>
      </c>
      <c r="H487">
        <v>623238746200.34998</v>
      </c>
      <c r="I487">
        <v>627642158541.57996</v>
      </c>
      <c r="J487">
        <v>8.4113999999999994E-2</v>
      </c>
      <c r="K487">
        <v>3.571E-3</v>
      </c>
      <c r="M487" t="s">
        <v>1</v>
      </c>
      <c r="N487">
        <v>3250</v>
      </c>
      <c r="O487">
        <v>84</v>
      </c>
      <c r="P487">
        <v>21155</v>
      </c>
      <c r="Q487">
        <v>0</v>
      </c>
      <c r="R487">
        <v>495551210735</v>
      </c>
      <c r="S487">
        <v>1168708089.3499999</v>
      </c>
      <c r="T487">
        <v>491193016811.07001</v>
      </c>
      <c r="U487">
        <v>494216919039.62</v>
      </c>
      <c r="V487">
        <v>7.4559E-2</v>
      </c>
      <c r="W487">
        <v>4.0020000000000003E-3</v>
      </c>
    </row>
    <row r="488" spans="1:23" x14ac:dyDescent="0.35">
      <c r="A488" t="s">
        <v>1</v>
      </c>
      <c r="B488">
        <v>3000</v>
      </c>
      <c r="C488">
        <v>84</v>
      </c>
      <c r="D488">
        <v>17364</v>
      </c>
      <c r="E488">
        <v>0</v>
      </c>
      <c r="F488">
        <v>433558006943</v>
      </c>
      <c r="G488">
        <v>1053164742.41</v>
      </c>
      <c r="H488">
        <v>429957748291.97998</v>
      </c>
      <c r="I488">
        <v>432455699849.78998</v>
      </c>
      <c r="J488">
        <v>6.8264000000000005E-2</v>
      </c>
      <c r="K488">
        <v>1.359E-3</v>
      </c>
      <c r="M488" t="s">
        <v>2</v>
      </c>
      <c r="N488">
        <v>4750</v>
      </c>
      <c r="O488">
        <v>84</v>
      </c>
      <c r="P488">
        <v>4276</v>
      </c>
      <c r="Q488">
        <v>0</v>
      </c>
      <c r="R488">
        <v>46506080509</v>
      </c>
      <c r="S488">
        <v>92914423.790000007</v>
      </c>
      <c r="T488">
        <v>45944185978.989998</v>
      </c>
      <c r="U488">
        <v>46349564999.239998</v>
      </c>
      <c r="V488">
        <v>0.11452</v>
      </c>
      <c r="W488">
        <v>1.6288E-2</v>
      </c>
    </row>
    <row r="489" spans="1:23" x14ac:dyDescent="0.35">
      <c r="A489" t="s">
        <v>2</v>
      </c>
      <c r="B489">
        <v>3500</v>
      </c>
      <c r="C489">
        <v>72</v>
      </c>
      <c r="D489">
        <v>9673</v>
      </c>
      <c r="E489">
        <v>0</v>
      </c>
      <c r="F489">
        <v>131383340491</v>
      </c>
      <c r="G489">
        <v>292186298.88999999</v>
      </c>
      <c r="H489">
        <v>130244276745.64</v>
      </c>
      <c r="I489">
        <v>130992127040.64999</v>
      </c>
      <c r="J489">
        <v>7.4665999999999996E-2</v>
      </c>
      <c r="K489">
        <v>9.0069999999999994E-3</v>
      </c>
      <c r="M489" t="s">
        <v>1</v>
      </c>
      <c r="N489">
        <v>4750</v>
      </c>
      <c r="O489">
        <v>84</v>
      </c>
      <c r="P489">
        <v>3618</v>
      </c>
      <c r="Q489">
        <v>0</v>
      </c>
      <c r="R489">
        <v>57144787219</v>
      </c>
      <c r="S489">
        <v>113793244.76000001</v>
      </c>
      <c r="T489">
        <v>56580282301.529999</v>
      </c>
      <c r="U489">
        <v>56908507654.550003</v>
      </c>
      <c r="V489">
        <v>9.0647000000000005E-2</v>
      </c>
      <c r="W489">
        <v>2.5420000000000002E-2</v>
      </c>
    </row>
    <row r="490" spans="1:23" x14ac:dyDescent="0.35">
      <c r="A490" t="s">
        <v>0</v>
      </c>
      <c r="B490">
        <v>3500</v>
      </c>
      <c r="C490">
        <v>72</v>
      </c>
      <c r="D490">
        <v>59295</v>
      </c>
      <c r="E490">
        <v>0</v>
      </c>
      <c r="F490">
        <v>1049342592511</v>
      </c>
      <c r="G490">
        <v>2307579479.8600001</v>
      </c>
      <c r="H490">
        <v>1040467117130.8199</v>
      </c>
      <c r="I490">
        <v>1046290421932.97</v>
      </c>
      <c r="J490">
        <v>7.2576000000000002E-2</v>
      </c>
      <c r="K490">
        <v>8.482E-3</v>
      </c>
      <c r="M490" t="s">
        <v>1</v>
      </c>
      <c r="N490">
        <v>3000</v>
      </c>
      <c r="O490">
        <v>84</v>
      </c>
      <c r="P490">
        <v>10538</v>
      </c>
      <c r="Q490">
        <v>0</v>
      </c>
      <c r="R490">
        <v>258061299968</v>
      </c>
      <c r="S490">
        <v>627406545.04999995</v>
      </c>
      <c r="T490">
        <v>255886476771.98001</v>
      </c>
      <c r="U490">
        <v>257263688681.01999</v>
      </c>
      <c r="V490">
        <v>6.9628999999999996E-2</v>
      </c>
      <c r="W490">
        <v>7.8860000000000006E-3</v>
      </c>
    </row>
    <row r="491" spans="1:23" x14ac:dyDescent="0.35">
      <c r="A491" t="s">
        <v>1</v>
      </c>
      <c r="B491">
        <v>3500</v>
      </c>
      <c r="C491">
        <v>72</v>
      </c>
      <c r="D491">
        <v>17338</v>
      </c>
      <c r="E491">
        <v>0</v>
      </c>
      <c r="F491">
        <v>371402678012</v>
      </c>
      <c r="G491">
        <v>824940643.61000001</v>
      </c>
      <c r="H491">
        <v>367130753293.67999</v>
      </c>
      <c r="I491">
        <v>370145065419.32001</v>
      </c>
      <c r="J491">
        <v>0.10585899999999999</v>
      </c>
      <c r="K491">
        <v>1.389E-2</v>
      </c>
      <c r="M491" t="s">
        <v>0</v>
      </c>
      <c r="N491">
        <v>3500</v>
      </c>
      <c r="O491">
        <v>72</v>
      </c>
      <c r="P491">
        <v>60126</v>
      </c>
      <c r="Q491">
        <v>0</v>
      </c>
      <c r="R491">
        <v>1062860321039</v>
      </c>
      <c r="S491">
        <v>2338485653.3299999</v>
      </c>
      <c r="T491">
        <v>1054252241805.8</v>
      </c>
      <c r="U491">
        <v>1059776517945.54</v>
      </c>
      <c r="V491">
        <v>6.8533999999999998E-2</v>
      </c>
      <c r="W491">
        <v>8.3820000000000006E-3</v>
      </c>
    </row>
    <row r="492" spans="1:23" x14ac:dyDescent="0.35">
      <c r="A492" t="s">
        <v>2</v>
      </c>
      <c r="B492">
        <v>4000</v>
      </c>
      <c r="C492">
        <v>72</v>
      </c>
      <c r="D492">
        <v>1575</v>
      </c>
      <c r="E492">
        <v>0</v>
      </c>
      <c r="F492">
        <v>18759586284</v>
      </c>
      <c r="G492">
        <v>39059096.409999996</v>
      </c>
      <c r="H492">
        <v>18616707936.669998</v>
      </c>
      <c r="I492">
        <v>18702917996.150002</v>
      </c>
      <c r="J492">
        <v>6.4425999999999997E-2</v>
      </c>
      <c r="K492">
        <v>1.1206000000000001E-2</v>
      </c>
      <c r="M492" t="s">
        <v>2</v>
      </c>
      <c r="N492">
        <v>3500</v>
      </c>
      <c r="O492">
        <v>72</v>
      </c>
      <c r="P492">
        <v>10560</v>
      </c>
      <c r="Q492">
        <v>0</v>
      </c>
      <c r="R492">
        <v>144549566761</v>
      </c>
      <c r="S492">
        <v>320995510.29000002</v>
      </c>
      <c r="T492">
        <v>143109283188.66</v>
      </c>
      <c r="U492">
        <v>144158320018.32999</v>
      </c>
      <c r="V492">
        <v>8.9063000000000003E-2</v>
      </c>
      <c r="W492">
        <v>5.816E-3</v>
      </c>
    </row>
    <row r="493" spans="1:23" x14ac:dyDescent="0.35">
      <c r="A493" t="s">
        <v>0</v>
      </c>
      <c r="B493">
        <v>4000</v>
      </c>
      <c r="C493">
        <v>72</v>
      </c>
      <c r="D493">
        <v>18911</v>
      </c>
      <c r="E493">
        <v>0</v>
      </c>
      <c r="F493">
        <v>308627850908</v>
      </c>
      <c r="G493">
        <v>635317591.49000001</v>
      </c>
      <c r="H493">
        <v>305954932849.51001</v>
      </c>
      <c r="I493">
        <v>307579221124.51001</v>
      </c>
      <c r="J493">
        <v>7.6411000000000007E-2</v>
      </c>
      <c r="K493">
        <v>1.5952000000000001E-2</v>
      </c>
      <c r="M493" t="s">
        <v>2</v>
      </c>
      <c r="N493">
        <v>4000</v>
      </c>
      <c r="O493">
        <v>72</v>
      </c>
      <c r="P493">
        <v>2205</v>
      </c>
      <c r="Q493">
        <v>0</v>
      </c>
      <c r="R493">
        <v>26794457166</v>
      </c>
      <c r="S493">
        <v>55747485.159999996</v>
      </c>
      <c r="T493">
        <v>26575868200.470001</v>
      </c>
      <c r="U493">
        <v>26714744499.900002</v>
      </c>
      <c r="V493">
        <v>7.0540000000000005E-2</v>
      </c>
      <c r="W493">
        <v>1.068E-2</v>
      </c>
    </row>
    <row r="494" spans="1:23" x14ac:dyDescent="0.35">
      <c r="A494" t="s">
        <v>0</v>
      </c>
      <c r="B494">
        <v>4500</v>
      </c>
      <c r="C494">
        <v>72</v>
      </c>
      <c r="D494">
        <v>4280</v>
      </c>
      <c r="E494">
        <v>0</v>
      </c>
      <c r="F494">
        <v>71294364090</v>
      </c>
      <c r="G494">
        <v>136164003.36000001</v>
      </c>
      <c r="H494">
        <v>70648692086.429993</v>
      </c>
      <c r="I494">
        <v>71128881330.690002</v>
      </c>
      <c r="J494">
        <v>8.2466999999999999E-2</v>
      </c>
      <c r="K494">
        <v>4.9240000000000004E-3</v>
      </c>
      <c r="M494" t="s">
        <v>0</v>
      </c>
      <c r="N494">
        <v>5000</v>
      </c>
      <c r="O494">
        <v>72</v>
      </c>
      <c r="P494">
        <v>1727</v>
      </c>
      <c r="Q494">
        <v>0</v>
      </c>
      <c r="R494">
        <v>25919845228</v>
      </c>
      <c r="S494">
        <v>46595250.090000004</v>
      </c>
      <c r="T494">
        <v>25615172849.439999</v>
      </c>
      <c r="U494">
        <v>25836947700.459999</v>
      </c>
      <c r="V494">
        <v>0.11315</v>
      </c>
      <c r="W494">
        <v>1.6677999999999998E-2</v>
      </c>
    </row>
    <row r="495" spans="1:23" x14ac:dyDescent="0.35">
      <c r="A495" t="s">
        <v>2</v>
      </c>
      <c r="B495">
        <v>4500</v>
      </c>
      <c r="C495">
        <v>72</v>
      </c>
      <c r="D495">
        <v>456</v>
      </c>
      <c r="E495">
        <v>0</v>
      </c>
      <c r="F495">
        <v>5056411377</v>
      </c>
      <c r="G495">
        <v>9876096.7699999996</v>
      </c>
      <c r="H495">
        <v>5036034071.0100002</v>
      </c>
      <c r="I495">
        <v>5046535280.2299995</v>
      </c>
      <c r="J495">
        <v>2.4639000000000001E-2</v>
      </c>
      <c r="K495">
        <v>0</v>
      </c>
      <c r="M495" t="s">
        <v>0</v>
      </c>
      <c r="N495">
        <v>4000</v>
      </c>
      <c r="O495">
        <v>72</v>
      </c>
      <c r="P495">
        <v>23625</v>
      </c>
      <c r="Q495">
        <v>0</v>
      </c>
      <c r="R495">
        <v>379550504802</v>
      </c>
      <c r="S495">
        <v>783480689.51999998</v>
      </c>
      <c r="T495">
        <v>376478812705.96002</v>
      </c>
      <c r="U495">
        <v>377967786164.40002</v>
      </c>
      <c r="V495">
        <v>6.9994000000000001E-2</v>
      </c>
      <c r="W495">
        <v>2.4978E-2</v>
      </c>
    </row>
    <row r="496" spans="1:23" x14ac:dyDescent="0.35">
      <c r="A496" t="s">
        <v>1</v>
      </c>
      <c r="B496">
        <v>4500</v>
      </c>
      <c r="C496">
        <v>72</v>
      </c>
      <c r="D496">
        <v>461</v>
      </c>
      <c r="E496">
        <v>0</v>
      </c>
      <c r="F496">
        <v>7871312620</v>
      </c>
      <c r="G496">
        <v>15076977.93</v>
      </c>
      <c r="H496">
        <v>7770855050.3400002</v>
      </c>
      <c r="I496">
        <v>7826380411.9399996</v>
      </c>
      <c r="J496">
        <v>0.122673</v>
      </c>
      <c r="K496">
        <v>4.4576999999999999E-2</v>
      </c>
      <c r="M496" t="s">
        <v>1</v>
      </c>
      <c r="N496">
        <v>3500</v>
      </c>
      <c r="O496">
        <v>72</v>
      </c>
      <c r="P496">
        <v>20907</v>
      </c>
      <c r="Q496">
        <v>0</v>
      </c>
      <c r="R496">
        <v>449851892077</v>
      </c>
      <c r="S496">
        <v>998171982.73000002</v>
      </c>
      <c r="T496">
        <v>445674157029</v>
      </c>
      <c r="U496">
        <v>448451440249.26001</v>
      </c>
      <c r="V496">
        <v>8.1596000000000002E-2</v>
      </c>
      <c r="W496">
        <v>1.0678E-2</v>
      </c>
    </row>
    <row r="497" spans="1:23" x14ac:dyDescent="0.35">
      <c r="A497" t="s">
        <v>0</v>
      </c>
      <c r="B497">
        <v>5000</v>
      </c>
      <c r="C497">
        <v>72</v>
      </c>
      <c r="D497">
        <v>1017</v>
      </c>
      <c r="E497">
        <v>0</v>
      </c>
      <c r="F497">
        <v>15136577129</v>
      </c>
      <c r="G497">
        <v>27109699.52</v>
      </c>
      <c r="H497">
        <v>15010864040.450001</v>
      </c>
      <c r="I497">
        <v>15109467429.48</v>
      </c>
      <c r="J497">
        <v>7.5429999999999997E-2</v>
      </c>
      <c r="K497">
        <v>0</v>
      </c>
      <c r="M497" t="s">
        <v>0</v>
      </c>
      <c r="N497">
        <v>4500</v>
      </c>
      <c r="O497">
        <v>72</v>
      </c>
      <c r="P497">
        <v>5789</v>
      </c>
      <c r="Q497">
        <v>0</v>
      </c>
      <c r="R497">
        <v>96038560541</v>
      </c>
      <c r="S497">
        <v>184117989.90000001</v>
      </c>
      <c r="T497">
        <v>95451989715.130005</v>
      </c>
      <c r="U497">
        <v>95790365310.809998</v>
      </c>
      <c r="V497">
        <v>4.9142999999999999E-2</v>
      </c>
      <c r="W497">
        <v>7.9769999999999997E-3</v>
      </c>
    </row>
    <row r="498" spans="1:23" x14ac:dyDescent="0.35">
      <c r="A498" t="s">
        <v>2</v>
      </c>
      <c r="B498">
        <v>5000</v>
      </c>
      <c r="C498">
        <v>72</v>
      </c>
      <c r="D498">
        <v>110</v>
      </c>
      <c r="E498">
        <v>0</v>
      </c>
      <c r="F498">
        <v>1267754406</v>
      </c>
      <c r="G498">
        <v>2334460.0299999998</v>
      </c>
      <c r="H498">
        <v>1242763199.04</v>
      </c>
      <c r="I498">
        <v>1265419945.97</v>
      </c>
      <c r="J498">
        <v>0.19458500000000001</v>
      </c>
      <c r="K498">
        <v>0</v>
      </c>
      <c r="M498" t="s">
        <v>2</v>
      </c>
      <c r="N498">
        <v>4500</v>
      </c>
      <c r="O498">
        <v>72</v>
      </c>
      <c r="P498">
        <v>616</v>
      </c>
      <c r="Q498">
        <v>0</v>
      </c>
      <c r="R498">
        <v>6839095842</v>
      </c>
      <c r="S498">
        <v>13294888.91</v>
      </c>
      <c r="T498">
        <v>6743955555.7600002</v>
      </c>
      <c r="U498">
        <v>6803796770.7799997</v>
      </c>
      <c r="V498">
        <v>0.134522</v>
      </c>
      <c r="W498">
        <v>3.7933000000000001E-2</v>
      </c>
    </row>
    <row r="499" spans="1:23" x14ac:dyDescent="0.35">
      <c r="A499" t="s">
        <v>1</v>
      </c>
      <c r="B499">
        <v>6000</v>
      </c>
      <c r="C499">
        <v>84</v>
      </c>
      <c r="D499">
        <v>36</v>
      </c>
      <c r="E499">
        <v>0</v>
      </c>
      <c r="F499">
        <v>444095307</v>
      </c>
      <c r="G499">
        <v>742861.08</v>
      </c>
      <c r="H499">
        <v>381915844</v>
      </c>
      <c r="I499">
        <v>424823048.00999999</v>
      </c>
      <c r="J499">
        <v>0.83249600000000001</v>
      </c>
      <c r="K499">
        <v>0.400364</v>
      </c>
      <c r="M499" t="s">
        <v>1</v>
      </c>
      <c r="N499">
        <v>4500</v>
      </c>
      <c r="O499">
        <v>72</v>
      </c>
      <c r="P499">
        <v>606</v>
      </c>
      <c r="Q499">
        <v>0</v>
      </c>
      <c r="R499">
        <v>10171622803</v>
      </c>
      <c r="S499">
        <v>19536636.32</v>
      </c>
      <c r="T499">
        <v>10128937939.41</v>
      </c>
      <c r="U499">
        <v>10152086166.68</v>
      </c>
      <c r="V499">
        <v>2.6970000000000001E-2</v>
      </c>
      <c r="W499">
        <v>0</v>
      </c>
    </row>
    <row r="500" spans="1:23" x14ac:dyDescent="0.35">
      <c r="A500" t="s">
        <v>1</v>
      </c>
      <c r="B500">
        <v>4250</v>
      </c>
      <c r="C500">
        <v>84</v>
      </c>
      <c r="D500">
        <v>9690</v>
      </c>
      <c r="E500">
        <v>0</v>
      </c>
      <c r="F500">
        <v>170921968247</v>
      </c>
      <c r="G500">
        <v>362220373.70999998</v>
      </c>
      <c r="H500">
        <v>168805052341.20999</v>
      </c>
      <c r="I500">
        <v>170407374817.42999</v>
      </c>
      <c r="J500">
        <v>0.116469</v>
      </c>
      <c r="K500">
        <v>1.0645E-2</v>
      </c>
      <c r="M500" t="s">
        <v>2</v>
      </c>
      <c r="N500">
        <v>5000</v>
      </c>
      <c r="O500">
        <v>72</v>
      </c>
      <c r="P500">
        <v>145</v>
      </c>
      <c r="Q500">
        <v>0</v>
      </c>
      <c r="R500">
        <v>1609953120</v>
      </c>
      <c r="S500">
        <v>2946603.79</v>
      </c>
      <c r="T500">
        <v>1579213177.1099999</v>
      </c>
      <c r="U500">
        <v>1607006516.21</v>
      </c>
      <c r="V500">
        <v>0.188581</v>
      </c>
      <c r="W500">
        <v>0</v>
      </c>
    </row>
    <row r="501" spans="1:23" x14ac:dyDescent="0.35">
      <c r="A501" t="s">
        <v>2</v>
      </c>
      <c r="B501">
        <v>4750</v>
      </c>
      <c r="C501">
        <v>84</v>
      </c>
      <c r="D501">
        <v>3666</v>
      </c>
      <c r="E501">
        <v>0</v>
      </c>
      <c r="F501">
        <v>39285925662</v>
      </c>
      <c r="G501">
        <v>78627472.709999993</v>
      </c>
      <c r="H501">
        <v>38904500648.360001</v>
      </c>
      <c r="I501">
        <v>39115385717.290001</v>
      </c>
      <c r="J501">
        <v>8.8668999999999998E-2</v>
      </c>
      <c r="K501">
        <v>2.7716000000000001E-2</v>
      </c>
      <c r="M501" t="s">
        <v>1</v>
      </c>
      <c r="N501">
        <v>4250</v>
      </c>
      <c r="O501">
        <v>84</v>
      </c>
      <c r="P501">
        <v>10037</v>
      </c>
      <c r="Q501">
        <v>0</v>
      </c>
      <c r="R501">
        <v>178254892711</v>
      </c>
      <c r="S501">
        <v>376798389.88</v>
      </c>
      <c r="T501">
        <v>176440625593.48001</v>
      </c>
      <c r="U501">
        <v>177655240906.39999</v>
      </c>
      <c r="V501">
        <v>9.2591000000000007E-2</v>
      </c>
      <c r="W501">
        <v>1.49E-2</v>
      </c>
    </row>
    <row r="502" spans="1:23" x14ac:dyDescent="0.35">
      <c r="A502" t="s">
        <v>0</v>
      </c>
      <c r="B502">
        <v>3250</v>
      </c>
      <c r="C502">
        <v>84</v>
      </c>
      <c r="D502">
        <v>26245</v>
      </c>
      <c r="E502">
        <v>0</v>
      </c>
      <c r="F502">
        <v>536768409767</v>
      </c>
      <c r="G502">
        <v>1264731485.99</v>
      </c>
      <c r="H502">
        <v>532337427243.57001</v>
      </c>
      <c r="I502">
        <v>535271077505</v>
      </c>
      <c r="J502">
        <v>6.8532999999999997E-2</v>
      </c>
      <c r="K502">
        <v>5.1879999999999999E-3</v>
      </c>
      <c r="M502" t="s">
        <v>0</v>
      </c>
      <c r="N502">
        <v>3250</v>
      </c>
      <c r="O502">
        <v>84</v>
      </c>
      <c r="P502">
        <v>18957</v>
      </c>
      <c r="Q502">
        <v>0</v>
      </c>
      <c r="R502">
        <v>384850584225</v>
      </c>
      <c r="S502">
        <v>906005056.95000005</v>
      </c>
      <c r="T502">
        <v>381901010010.88</v>
      </c>
      <c r="U502">
        <v>383780812241.03003</v>
      </c>
      <c r="V502">
        <v>6.1892000000000003E-2</v>
      </c>
      <c r="W502">
        <v>5.0939999999999996E-3</v>
      </c>
    </row>
    <row r="503" spans="1:23" x14ac:dyDescent="0.35">
      <c r="A503" t="s">
        <v>2</v>
      </c>
      <c r="B503">
        <v>3250</v>
      </c>
      <c r="C503">
        <v>84</v>
      </c>
      <c r="D503">
        <v>4091</v>
      </c>
      <c r="E503">
        <v>0</v>
      </c>
      <c r="F503">
        <v>62221952517</v>
      </c>
      <c r="G503">
        <v>146381678.47</v>
      </c>
      <c r="H503">
        <v>61689423400.900002</v>
      </c>
      <c r="I503">
        <v>62075570838.529999</v>
      </c>
      <c r="J503">
        <v>7.1982000000000004E-2</v>
      </c>
      <c r="K503">
        <v>0</v>
      </c>
      <c r="M503" t="s">
        <v>2</v>
      </c>
      <c r="N503">
        <v>3250</v>
      </c>
      <c r="O503">
        <v>84</v>
      </c>
      <c r="P503">
        <v>3033</v>
      </c>
      <c r="Q503">
        <v>0</v>
      </c>
      <c r="R503">
        <v>45778997182</v>
      </c>
      <c r="S503">
        <v>107627776.01000001</v>
      </c>
      <c r="T503">
        <v>45368709091.279999</v>
      </c>
      <c r="U503">
        <v>45671369405.989998</v>
      </c>
      <c r="V503">
        <v>7.6513999999999999E-2</v>
      </c>
      <c r="W503">
        <v>0</v>
      </c>
    </row>
    <row r="504" spans="1:23" x14ac:dyDescent="0.35">
      <c r="A504" t="s">
        <v>0</v>
      </c>
      <c r="B504">
        <v>4500</v>
      </c>
      <c r="C504">
        <v>48</v>
      </c>
      <c r="D504">
        <v>27979</v>
      </c>
      <c r="E504">
        <v>0</v>
      </c>
      <c r="F504">
        <v>768331076806</v>
      </c>
      <c r="G504">
        <v>1295923081.1500001</v>
      </c>
      <c r="H504">
        <v>762554028528.66003</v>
      </c>
      <c r="I504">
        <v>765853596091.63</v>
      </c>
      <c r="J504">
        <v>6.7784999999999998E-2</v>
      </c>
      <c r="K504">
        <v>1.8298999999999999E-2</v>
      </c>
      <c r="M504" t="s">
        <v>0</v>
      </c>
      <c r="N504">
        <v>4500</v>
      </c>
      <c r="O504">
        <v>48</v>
      </c>
      <c r="P504">
        <v>30724</v>
      </c>
      <c r="Q504">
        <v>0</v>
      </c>
      <c r="R504">
        <v>809160324886</v>
      </c>
      <c r="S504">
        <v>1364690308.99</v>
      </c>
      <c r="T504">
        <v>802465575688.65002</v>
      </c>
      <c r="U504">
        <v>806658060082.5</v>
      </c>
      <c r="V504">
        <v>7.6244000000000006E-2</v>
      </c>
      <c r="W504">
        <v>1.6740999999999999E-2</v>
      </c>
    </row>
    <row r="505" spans="1:23" x14ac:dyDescent="0.35">
      <c r="A505" t="s">
        <v>2</v>
      </c>
      <c r="B505">
        <v>4500</v>
      </c>
      <c r="C505">
        <v>48</v>
      </c>
      <c r="D505">
        <v>1704</v>
      </c>
      <c r="E505">
        <v>0</v>
      </c>
      <c r="F505">
        <v>31401887488</v>
      </c>
      <c r="G505">
        <v>53116415.799999997</v>
      </c>
      <c r="H505">
        <v>31180247500.68</v>
      </c>
      <c r="I505">
        <v>31314571298.540001</v>
      </c>
      <c r="J505">
        <v>6.2533000000000005E-2</v>
      </c>
      <c r="K505">
        <v>1.2991000000000001E-2</v>
      </c>
      <c r="M505" t="s">
        <v>2</v>
      </c>
      <c r="N505">
        <v>4500</v>
      </c>
      <c r="O505">
        <v>48</v>
      </c>
      <c r="P505">
        <v>1883</v>
      </c>
      <c r="Q505">
        <v>0</v>
      </c>
      <c r="R505">
        <v>32634863527</v>
      </c>
      <c r="S505">
        <v>55233273.859999999</v>
      </c>
      <c r="T505">
        <v>32268196623.84</v>
      </c>
      <c r="U505">
        <v>32499710186.77</v>
      </c>
      <c r="V505">
        <v>0.108692</v>
      </c>
      <c r="W505">
        <v>2.8993999999999999E-2</v>
      </c>
    </row>
    <row r="506" spans="1:23" x14ac:dyDescent="0.35">
      <c r="A506" t="s">
        <v>1</v>
      </c>
      <c r="B506">
        <v>4500</v>
      </c>
      <c r="C506">
        <v>48</v>
      </c>
      <c r="D506">
        <v>20064</v>
      </c>
      <c r="E506">
        <v>0</v>
      </c>
      <c r="F506">
        <v>736030671303</v>
      </c>
      <c r="G506">
        <v>1239797643.8</v>
      </c>
      <c r="H506">
        <v>725703631978.18994</v>
      </c>
      <c r="I506">
        <v>733548851083.88</v>
      </c>
      <c r="J506">
        <v>0.13849800000000001</v>
      </c>
      <c r="K506">
        <v>2.0063000000000001E-2</v>
      </c>
      <c r="M506" t="s">
        <v>1</v>
      </c>
      <c r="N506">
        <v>4500</v>
      </c>
      <c r="O506">
        <v>48</v>
      </c>
      <c r="P506">
        <v>18779</v>
      </c>
      <c r="Q506">
        <v>0</v>
      </c>
      <c r="R506">
        <v>676311232850</v>
      </c>
      <c r="S506">
        <v>1137226686.6099999</v>
      </c>
      <c r="T506">
        <v>667610118958.31006</v>
      </c>
      <c r="U506">
        <v>674198606594.72998</v>
      </c>
      <c r="V506">
        <v>0.126253</v>
      </c>
      <c r="W506">
        <v>1.7170000000000001E-2</v>
      </c>
    </row>
    <row r="507" spans="1:23" x14ac:dyDescent="0.35">
      <c r="A507" t="s">
        <v>0</v>
      </c>
      <c r="B507">
        <v>5000</v>
      </c>
      <c r="C507">
        <v>48</v>
      </c>
      <c r="D507">
        <v>37954</v>
      </c>
      <c r="E507">
        <v>0</v>
      </c>
      <c r="F507">
        <v>1005946830814</v>
      </c>
      <c r="G507">
        <v>1568259940.73</v>
      </c>
      <c r="H507">
        <v>996375786189.21997</v>
      </c>
      <c r="I507">
        <v>1002254667840.03</v>
      </c>
      <c r="J507">
        <v>9.1397000000000006E-2</v>
      </c>
      <c r="K507">
        <v>2.5044E-2</v>
      </c>
      <c r="M507" t="s">
        <v>0</v>
      </c>
      <c r="N507">
        <v>5000</v>
      </c>
      <c r="O507">
        <v>48</v>
      </c>
      <c r="P507">
        <v>35125</v>
      </c>
      <c r="Q507">
        <v>0</v>
      </c>
      <c r="R507">
        <v>921593768316</v>
      </c>
      <c r="S507">
        <v>1432451995.5699999</v>
      </c>
      <c r="T507">
        <v>914219001534.05005</v>
      </c>
      <c r="U507">
        <v>918577995081.12</v>
      </c>
      <c r="V507">
        <v>7.4689000000000005E-2</v>
      </c>
      <c r="W507">
        <v>2.0423E-2</v>
      </c>
    </row>
    <row r="508" spans="1:23" x14ac:dyDescent="0.35">
      <c r="A508" t="s">
        <v>1</v>
      </c>
      <c r="B508">
        <v>5000</v>
      </c>
      <c r="C508">
        <v>48</v>
      </c>
      <c r="D508">
        <v>20762</v>
      </c>
      <c r="E508">
        <v>0</v>
      </c>
      <c r="F508">
        <v>729516950881</v>
      </c>
      <c r="G508">
        <v>1136902121.9200001</v>
      </c>
      <c r="H508">
        <v>717719501513.81995</v>
      </c>
      <c r="I508">
        <v>726997560434.80005</v>
      </c>
      <c r="J508">
        <v>0.16192799999999999</v>
      </c>
      <c r="K508">
        <v>2.2505000000000001E-2</v>
      </c>
      <c r="M508" t="s">
        <v>1</v>
      </c>
      <c r="N508">
        <v>5000</v>
      </c>
      <c r="O508">
        <v>48</v>
      </c>
      <c r="P508">
        <v>18543</v>
      </c>
      <c r="Q508">
        <v>0</v>
      </c>
      <c r="R508">
        <v>649593245109</v>
      </c>
      <c r="S508">
        <v>1008903720.7</v>
      </c>
      <c r="T508">
        <v>640307602570.44995</v>
      </c>
      <c r="U508">
        <v>647182913678.56006</v>
      </c>
      <c r="V508">
        <v>0.142625</v>
      </c>
      <c r="W508">
        <v>2.5583999999999999E-2</v>
      </c>
    </row>
    <row r="509" spans="1:23" x14ac:dyDescent="0.35">
      <c r="A509" t="s">
        <v>1</v>
      </c>
      <c r="B509">
        <v>4000</v>
      </c>
      <c r="C509">
        <v>72</v>
      </c>
      <c r="D509">
        <v>1913</v>
      </c>
      <c r="E509">
        <v>0</v>
      </c>
      <c r="F509">
        <v>35560027831</v>
      </c>
      <c r="G509">
        <v>73643210.849999994</v>
      </c>
      <c r="H509">
        <v>35096348635.260002</v>
      </c>
      <c r="I509">
        <v>35438282680.199997</v>
      </c>
      <c r="J509">
        <v>0.123964</v>
      </c>
      <c r="K509">
        <v>1.6112000000000001E-2</v>
      </c>
      <c r="M509" t="s">
        <v>0</v>
      </c>
      <c r="N509">
        <v>5500</v>
      </c>
      <c r="O509">
        <v>72</v>
      </c>
      <c r="P509">
        <v>187</v>
      </c>
      <c r="Q509">
        <v>0</v>
      </c>
      <c r="R509">
        <v>2497297203</v>
      </c>
      <c r="S509">
        <v>4173446.5</v>
      </c>
      <c r="T509">
        <v>2415048072.04</v>
      </c>
      <c r="U509">
        <v>2456426817.5500002</v>
      </c>
      <c r="V509">
        <v>0.31693100000000002</v>
      </c>
      <c r="W509">
        <v>0.16275999999999999</v>
      </c>
    </row>
    <row r="510" spans="1:23" x14ac:dyDescent="0.35">
      <c r="A510" t="s">
        <v>2</v>
      </c>
      <c r="B510">
        <v>2750</v>
      </c>
      <c r="C510">
        <v>84</v>
      </c>
      <c r="D510">
        <v>322</v>
      </c>
      <c r="E510">
        <v>0</v>
      </c>
      <c r="F510">
        <v>4535572481</v>
      </c>
      <c r="G510">
        <v>11316448.279999999</v>
      </c>
      <c r="H510">
        <v>4524256032.7200003</v>
      </c>
      <c r="I510">
        <v>4524256032.7200003</v>
      </c>
      <c r="J510">
        <v>0</v>
      </c>
      <c r="K510">
        <v>0</v>
      </c>
      <c r="M510" t="s">
        <v>1</v>
      </c>
      <c r="N510">
        <v>4000</v>
      </c>
      <c r="O510">
        <v>72</v>
      </c>
      <c r="P510">
        <v>2397</v>
      </c>
      <c r="Q510">
        <v>0</v>
      </c>
      <c r="R510">
        <v>43973974884</v>
      </c>
      <c r="S510">
        <v>91311038.140000001</v>
      </c>
      <c r="T510">
        <v>43621873952.650002</v>
      </c>
      <c r="U510">
        <v>43826688399.449997</v>
      </c>
      <c r="V510">
        <v>6.8890999999999994E-2</v>
      </c>
      <c r="W510">
        <v>1.5169E-2</v>
      </c>
    </row>
    <row r="511" spans="1:23" x14ac:dyDescent="0.35">
      <c r="A511" t="s">
        <v>1</v>
      </c>
      <c r="B511">
        <v>2750</v>
      </c>
      <c r="C511">
        <v>84</v>
      </c>
      <c r="D511">
        <v>7322</v>
      </c>
      <c r="E511">
        <v>0</v>
      </c>
      <c r="F511">
        <v>195838207840</v>
      </c>
      <c r="G511">
        <v>486783220.13</v>
      </c>
      <c r="H511">
        <v>194412536869.87</v>
      </c>
      <c r="I511">
        <v>195351424619.87</v>
      </c>
      <c r="J511">
        <v>5.6036999999999997E-2</v>
      </c>
      <c r="K511">
        <v>0</v>
      </c>
      <c r="M511" t="s">
        <v>2</v>
      </c>
      <c r="N511">
        <v>2750</v>
      </c>
      <c r="O511">
        <v>72</v>
      </c>
      <c r="P511">
        <v>22773</v>
      </c>
      <c r="Q511">
        <v>0</v>
      </c>
      <c r="R511">
        <v>368244641099</v>
      </c>
      <c r="S511">
        <v>877848579.13</v>
      </c>
      <c r="T511">
        <v>365217393490.59003</v>
      </c>
      <c r="U511">
        <v>367198139672.04999</v>
      </c>
      <c r="V511">
        <v>6.7836999999999995E-2</v>
      </c>
      <c r="W511">
        <v>5.4819999999999999E-3</v>
      </c>
    </row>
    <row r="512" spans="1:23" x14ac:dyDescent="0.35">
      <c r="A512" t="s">
        <v>0</v>
      </c>
      <c r="B512">
        <v>4750</v>
      </c>
      <c r="C512">
        <v>72</v>
      </c>
      <c r="D512">
        <v>4692</v>
      </c>
      <c r="E512">
        <v>0</v>
      </c>
      <c r="F512">
        <v>74878066755</v>
      </c>
      <c r="G512">
        <v>137604838.78999999</v>
      </c>
      <c r="H512">
        <v>74244471600.679993</v>
      </c>
      <c r="I512">
        <v>74626836576.220001</v>
      </c>
      <c r="J512">
        <v>7.6655000000000001E-2</v>
      </c>
      <c r="K512">
        <v>1.8058000000000001E-2</v>
      </c>
      <c r="M512" t="s">
        <v>1</v>
      </c>
      <c r="N512">
        <v>2750</v>
      </c>
      <c r="O512">
        <v>72</v>
      </c>
      <c r="P512">
        <v>179910</v>
      </c>
      <c r="Q512">
        <v>0</v>
      </c>
      <c r="R512">
        <v>4800952451237</v>
      </c>
      <c r="S512">
        <v>11544601516.91</v>
      </c>
      <c r="T512">
        <v>4762627382992.9199</v>
      </c>
      <c r="U512">
        <v>4788169507833.2305</v>
      </c>
      <c r="V512">
        <v>6.4921999999999994E-2</v>
      </c>
      <c r="W512">
        <v>3.091E-3</v>
      </c>
    </row>
    <row r="513" spans="1:23" x14ac:dyDescent="0.35">
      <c r="A513" t="s">
        <v>1</v>
      </c>
      <c r="B513">
        <v>2500</v>
      </c>
      <c r="C513">
        <v>72</v>
      </c>
      <c r="D513">
        <v>135411</v>
      </c>
      <c r="E513">
        <v>0</v>
      </c>
      <c r="F513">
        <v>3728364589490</v>
      </c>
      <c r="G513">
        <v>9280875685.1599998</v>
      </c>
      <c r="H513">
        <v>3696016535241.0898</v>
      </c>
      <c r="I513">
        <v>3718309051986.8599</v>
      </c>
      <c r="J513">
        <v>7.1767999999999998E-2</v>
      </c>
      <c r="K513">
        <v>2.49E-3</v>
      </c>
      <c r="M513" t="s">
        <v>2</v>
      </c>
      <c r="N513">
        <v>3250</v>
      </c>
      <c r="O513">
        <v>72</v>
      </c>
      <c r="P513">
        <v>20893</v>
      </c>
      <c r="Q513">
        <v>0</v>
      </c>
      <c r="R513">
        <v>303277715395</v>
      </c>
      <c r="S513">
        <v>687629217.63</v>
      </c>
      <c r="T513">
        <v>300930933083.40997</v>
      </c>
      <c r="U513">
        <v>302441396231.65997</v>
      </c>
      <c r="V513">
        <v>6.3709000000000002E-2</v>
      </c>
      <c r="W513">
        <v>5.8669999999999998E-3</v>
      </c>
    </row>
    <row r="514" spans="1:23" x14ac:dyDescent="0.35">
      <c r="A514" t="s">
        <v>2</v>
      </c>
      <c r="B514">
        <v>2500</v>
      </c>
      <c r="C514">
        <v>84</v>
      </c>
      <c r="D514">
        <v>11</v>
      </c>
      <c r="E514">
        <v>0</v>
      </c>
      <c r="F514">
        <v>133686438</v>
      </c>
      <c r="G514">
        <v>345975.4</v>
      </c>
      <c r="H514">
        <v>133340462.59999999</v>
      </c>
      <c r="I514">
        <v>133340462.59999999</v>
      </c>
      <c r="J514">
        <v>0</v>
      </c>
      <c r="K514">
        <v>0</v>
      </c>
      <c r="M514" t="s">
        <v>0</v>
      </c>
      <c r="N514">
        <v>3250</v>
      </c>
      <c r="O514">
        <v>72</v>
      </c>
      <c r="P514">
        <v>161821</v>
      </c>
      <c r="Q514">
        <v>0</v>
      </c>
      <c r="R514">
        <v>3201715104047</v>
      </c>
      <c r="S514">
        <v>7234316245.7399998</v>
      </c>
      <c r="T514">
        <v>3178152907039.1899</v>
      </c>
      <c r="U514">
        <v>3192897597699.2002</v>
      </c>
      <c r="V514">
        <v>5.9508999999999999E-2</v>
      </c>
      <c r="W514">
        <v>5.9179999999999996E-3</v>
      </c>
    </row>
    <row r="515" spans="1:23" x14ac:dyDescent="0.35">
      <c r="A515" t="s">
        <v>2</v>
      </c>
      <c r="B515">
        <v>2500</v>
      </c>
      <c r="C515">
        <v>72</v>
      </c>
      <c r="D515">
        <v>9771</v>
      </c>
      <c r="E515">
        <v>0</v>
      </c>
      <c r="F515">
        <v>166487812536</v>
      </c>
      <c r="G515">
        <v>409750955.05000001</v>
      </c>
      <c r="H515">
        <v>165069805184.23001</v>
      </c>
      <c r="I515">
        <v>166050778509.97</v>
      </c>
      <c r="J515">
        <v>7.0300000000000001E-2</v>
      </c>
      <c r="K515">
        <v>1.9650000000000002E-3</v>
      </c>
      <c r="M515" t="s">
        <v>0</v>
      </c>
      <c r="N515">
        <v>3750</v>
      </c>
      <c r="O515">
        <v>72</v>
      </c>
      <c r="P515">
        <v>75352</v>
      </c>
      <c r="Q515">
        <v>0</v>
      </c>
      <c r="R515">
        <v>1314322931827</v>
      </c>
      <c r="S515">
        <v>2797119727.4000001</v>
      </c>
      <c r="T515">
        <v>1303865797023.5701</v>
      </c>
      <c r="U515">
        <v>1310427524669.2</v>
      </c>
      <c r="V515">
        <v>6.7738000000000007E-2</v>
      </c>
      <c r="W515">
        <v>9.9819999999999996E-3</v>
      </c>
    </row>
    <row r="516" spans="1:23" x14ac:dyDescent="0.35">
      <c r="A516" t="s">
        <v>1</v>
      </c>
      <c r="B516">
        <v>2750</v>
      </c>
      <c r="C516">
        <v>72</v>
      </c>
      <c r="D516">
        <v>190554</v>
      </c>
      <c r="E516">
        <v>0</v>
      </c>
      <c r="F516">
        <v>5057962622157</v>
      </c>
      <c r="G516">
        <v>12187676669.48</v>
      </c>
      <c r="H516">
        <v>5011893605163.3096</v>
      </c>
      <c r="I516">
        <v>5044034342441.0195</v>
      </c>
      <c r="J516">
        <v>7.7487E-2</v>
      </c>
      <c r="K516">
        <v>4.1219999999999998E-3</v>
      </c>
      <c r="M516" t="s">
        <v>0</v>
      </c>
      <c r="N516">
        <v>4750</v>
      </c>
      <c r="O516">
        <v>72</v>
      </c>
      <c r="P516">
        <v>5993</v>
      </c>
      <c r="Q516">
        <v>0</v>
      </c>
      <c r="R516">
        <v>94967850497</v>
      </c>
      <c r="S516">
        <v>175089656.99000001</v>
      </c>
      <c r="T516">
        <v>94014903482.339996</v>
      </c>
      <c r="U516">
        <v>94688232269.460007</v>
      </c>
      <c r="V516">
        <v>9.3979999999999994E-2</v>
      </c>
      <c r="W516">
        <v>1.3128000000000001E-2</v>
      </c>
    </row>
    <row r="517" spans="1:23" x14ac:dyDescent="0.35">
      <c r="A517" t="s">
        <v>0</v>
      </c>
      <c r="B517">
        <v>2750</v>
      </c>
      <c r="C517">
        <v>72</v>
      </c>
      <c r="D517">
        <v>195888</v>
      </c>
      <c r="E517">
        <v>0</v>
      </c>
      <c r="F517">
        <v>4251449725844</v>
      </c>
      <c r="G517">
        <v>10177656601.5</v>
      </c>
      <c r="H517">
        <v>4220699980339.1899</v>
      </c>
      <c r="I517">
        <v>4239992427098.98</v>
      </c>
      <c r="J517">
        <v>5.6544999999999998E-2</v>
      </c>
      <c r="K517">
        <v>3.6059999999999998E-3</v>
      </c>
      <c r="M517" t="s">
        <v>1</v>
      </c>
      <c r="N517">
        <v>2500</v>
      </c>
      <c r="O517">
        <v>72</v>
      </c>
      <c r="P517">
        <v>118553</v>
      </c>
      <c r="Q517">
        <v>0</v>
      </c>
      <c r="R517">
        <v>3267809961776</v>
      </c>
      <c r="S517">
        <v>8118463071.8500004</v>
      </c>
      <c r="T517">
        <v>3242680827178.21</v>
      </c>
      <c r="U517">
        <v>3258971669777.5698</v>
      </c>
      <c r="V517">
        <v>6.0708999999999999E-2</v>
      </c>
      <c r="W517">
        <v>2.64E-3</v>
      </c>
    </row>
    <row r="518" spans="1:23" x14ac:dyDescent="0.35">
      <c r="A518" t="s">
        <v>0</v>
      </c>
      <c r="B518">
        <v>3750</v>
      </c>
      <c r="C518">
        <v>72</v>
      </c>
      <c r="D518">
        <v>68592</v>
      </c>
      <c r="E518">
        <v>0</v>
      </c>
      <c r="F518">
        <v>1194896133892</v>
      </c>
      <c r="G518">
        <v>2541919704.21</v>
      </c>
      <c r="H518">
        <v>1185114467506.4099</v>
      </c>
      <c r="I518">
        <v>1191456650316.8</v>
      </c>
      <c r="J518">
        <v>7.0332000000000006E-2</v>
      </c>
      <c r="K518">
        <v>8.9770000000000006E-3</v>
      </c>
      <c r="M518" t="s">
        <v>2</v>
      </c>
      <c r="N518">
        <v>2500</v>
      </c>
      <c r="O518">
        <v>72</v>
      </c>
      <c r="P518">
        <v>8369</v>
      </c>
      <c r="Q518">
        <v>0</v>
      </c>
      <c r="R518">
        <v>142997435702</v>
      </c>
      <c r="S518">
        <v>351192617.02999997</v>
      </c>
      <c r="T518">
        <v>141745396350.26999</v>
      </c>
      <c r="U518">
        <v>142596055536.60001</v>
      </c>
      <c r="V518">
        <v>7.3032E-2</v>
      </c>
      <c r="W518">
        <v>4.2030000000000001E-3</v>
      </c>
    </row>
    <row r="519" spans="1:23" x14ac:dyDescent="0.35">
      <c r="A519" t="s">
        <v>0</v>
      </c>
      <c r="B519">
        <v>4250</v>
      </c>
      <c r="C519">
        <v>72</v>
      </c>
      <c r="D519">
        <v>11918</v>
      </c>
      <c r="E519">
        <v>0</v>
      </c>
      <c r="F519">
        <v>201190814956</v>
      </c>
      <c r="G519">
        <v>396141398.52999997</v>
      </c>
      <c r="H519">
        <v>199308849436.20001</v>
      </c>
      <c r="I519">
        <v>200446366217.23999</v>
      </c>
      <c r="J519">
        <v>8.5109000000000004E-2</v>
      </c>
      <c r="K519">
        <v>2.0577999999999999E-2</v>
      </c>
      <c r="M519" t="s">
        <v>0</v>
      </c>
      <c r="N519">
        <v>4250</v>
      </c>
      <c r="O519">
        <v>72</v>
      </c>
      <c r="P519">
        <v>14827</v>
      </c>
      <c r="Q519">
        <v>0</v>
      </c>
      <c r="R519">
        <v>250043679347</v>
      </c>
      <c r="S519">
        <v>494037702.82999998</v>
      </c>
      <c r="T519">
        <v>247998261550.23001</v>
      </c>
      <c r="U519">
        <v>249355803179.89001</v>
      </c>
      <c r="V519">
        <v>7.1964E-2</v>
      </c>
      <c r="W519">
        <v>9.2630000000000004E-3</v>
      </c>
    </row>
    <row r="520" spans="1:23" x14ac:dyDescent="0.35">
      <c r="A520" t="s">
        <v>2</v>
      </c>
      <c r="B520">
        <v>3250</v>
      </c>
      <c r="C520">
        <v>72</v>
      </c>
      <c r="D520">
        <v>20903</v>
      </c>
      <c r="E520">
        <v>0</v>
      </c>
      <c r="F520">
        <v>301368377850</v>
      </c>
      <c r="G520">
        <v>684670028.92999995</v>
      </c>
      <c r="H520">
        <v>298555991053.28003</v>
      </c>
      <c r="I520">
        <v>300512706419.09998</v>
      </c>
      <c r="J520">
        <v>8.1508999999999998E-2</v>
      </c>
      <c r="K520">
        <v>6.7879999999999998E-3</v>
      </c>
      <c r="M520" t="s">
        <v>0</v>
      </c>
      <c r="N520">
        <v>2750</v>
      </c>
      <c r="O520">
        <v>72</v>
      </c>
      <c r="P520">
        <v>172730</v>
      </c>
      <c r="Q520">
        <v>0</v>
      </c>
      <c r="R520">
        <v>3757410489780</v>
      </c>
      <c r="S520">
        <v>8978121420.7199993</v>
      </c>
      <c r="T520">
        <v>3732066037946.6899</v>
      </c>
      <c r="U520">
        <v>3747228635591.1499</v>
      </c>
      <c r="V520">
        <v>5.1034999999999997E-2</v>
      </c>
      <c r="W520">
        <v>3.8379999999999998E-3</v>
      </c>
    </row>
    <row r="521" spans="1:23" x14ac:dyDescent="0.35">
      <c r="A521" t="s">
        <v>2</v>
      </c>
      <c r="B521">
        <v>2750</v>
      </c>
      <c r="C521">
        <v>72</v>
      </c>
      <c r="D521">
        <v>25327</v>
      </c>
      <c r="E521">
        <v>0</v>
      </c>
      <c r="F521">
        <v>408242810376</v>
      </c>
      <c r="G521">
        <v>975240914.28999996</v>
      </c>
      <c r="H521">
        <v>404829766874.15002</v>
      </c>
      <c r="I521">
        <v>407038473820.28003</v>
      </c>
      <c r="J521">
        <v>6.9349999999999995E-2</v>
      </c>
      <c r="K521">
        <v>6.7130000000000002E-3</v>
      </c>
      <c r="M521" t="s">
        <v>1</v>
      </c>
      <c r="N521">
        <v>5500</v>
      </c>
      <c r="O521">
        <v>72</v>
      </c>
      <c r="P521">
        <v>8</v>
      </c>
      <c r="Q521">
        <v>0</v>
      </c>
      <c r="R521">
        <v>103482960</v>
      </c>
      <c r="S521">
        <v>172956.77</v>
      </c>
      <c r="T521">
        <v>103310003.23</v>
      </c>
      <c r="U521">
        <v>103310003.23</v>
      </c>
      <c r="V521">
        <v>0</v>
      </c>
      <c r="W521">
        <v>0</v>
      </c>
    </row>
    <row r="522" spans="1:23" x14ac:dyDescent="0.35">
      <c r="A522" t="s">
        <v>0</v>
      </c>
      <c r="B522">
        <v>3250</v>
      </c>
      <c r="C522">
        <v>72</v>
      </c>
      <c r="D522">
        <v>172471</v>
      </c>
      <c r="E522">
        <v>0</v>
      </c>
      <c r="F522">
        <v>3401671130062</v>
      </c>
      <c r="G522">
        <v>7685563609.0699997</v>
      </c>
      <c r="H522">
        <v>3373551089443.1899</v>
      </c>
      <c r="I522">
        <v>3391855395344.52</v>
      </c>
      <c r="J522">
        <v>6.9751999999999995E-2</v>
      </c>
      <c r="K522">
        <v>7.489E-3</v>
      </c>
      <c r="M522" t="s">
        <v>1</v>
      </c>
      <c r="N522">
        <v>3750</v>
      </c>
      <c r="O522">
        <v>72</v>
      </c>
      <c r="P522">
        <v>13379</v>
      </c>
      <c r="Q522">
        <v>0</v>
      </c>
      <c r="R522">
        <v>272043907594</v>
      </c>
      <c r="S522">
        <v>582901724.24000001</v>
      </c>
      <c r="T522">
        <v>269031463019.01999</v>
      </c>
      <c r="U522">
        <v>271116186063.60001</v>
      </c>
      <c r="V522">
        <v>0.102058</v>
      </c>
      <c r="W522">
        <v>1.5105E-2</v>
      </c>
    </row>
    <row r="523" spans="1:23" x14ac:dyDescent="0.35">
      <c r="A523" t="s">
        <v>1</v>
      </c>
      <c r="B523">
        <v>5500</v>
      </c>
      <c r="C523">
        <v>72</v>
      </c>
      <c r="D523">
        <v>5</v>
      </c>
      <c r="E523">
        <v>0</v>
      </c>
      <c r="F523">
        <v>55963965</v>
      </c>
      <c r="G523">
        <v>93131.04</v>
      </c>
      <c r="H523">
        <v>55870833.960000001</v>
      </c>
      <c r="I523">
        <v>55870833.960000001</v>
      </c>
      <c r="J523">
        <v>0</v>
      </c>
      <c r="K523">
        <v>0</v>
      </c>
      <c r="M523" t="s">
        <v>2</v>
      </c>
      <c r="N523">
        <v>3750</v>
      </c>
      <c r="O523">
        <v>72</v>
      </c>
      <c r="P523">
        <v>8988</v>
      </c>
      <c r="Q523">
        <v>0</v>
      </c>
      <c r="R523">
        <v>118801904327</v>
      </c>
      <c r="S523">
        <v>254897912.22999999</v>
      </c>
      <c r="T523">
        <v>117643729893.25</v>
      </c>
      <c r="U523">
        <v>118375671670.07001</v>
      </c>
      <c r="V523">
        <v>8.7517999999999999E-2</v>
      </c>
      <c r="W523">
        <v>1.7170000000000001E-2</v>
      </c>
    </row>
    <row r="524" spans="1:23" x14ac:dyDescent="0.35">
      <c r="A524" t="s">
        <v>1</v>
      </c>
      <c r="B524">
        <v>3750</v>
      </c>
      <c r="C524">
        <v>72</v>
      </c>
      <c r="D524">
        <v>11065</v>
      </c>
      <c r="E524">
        <v>0</v>
      </c>
      <c r="F524">
        <v>225627359390</v>
      </c>
      <c r="G524">
        <v>483327199.05000001</v>
      </c>
      <c r="H524">
        <v>222978410329.26999</v>
      </c>
      <c r="I524">
        <v>224878875116.97</v>
      </c>
      <c r="J524">
        <v>0.109289</v>
      </c>
      <c r="K524">
        <v>1.4012E-2</v>
      </c>
      <c r="M524" t="s">
        <v>1</v>
      </c>
      <c r="N524">
        <v>3000</v>
      </c>
      <c r="O524">
        <v>60</v>
      </c>
      <c r="P524">
        <v>62186</v>
      </c>
      <c r="Q524">
        <v>0</v>
      </c>
      <c r="R524">
        <v>1734265540588</v>
      </c>
      <c r="S524">
        <v>3887727637.3099999</v>
      </c>
      <c r="T524">
        <v>1717629028291.9199</v>
      </c>
      <c r="U524">
        <v>1729203930237.1799</v>
      </c>
      <c r="V524">
        <v>8.4733000000000003E-2</v>
      </c>
      <c r="W524">
        <v>8.0920000000000002E-3</v>
      </c>
    </row>
    <row r="525" spans="1:23" x14ac:dyDescent="0.35">
      <c r="A525" t="s">
        <v>2</v>
      </c>
      <c r="B525">
        <v>3750</v>
      </c>
      <c r="C525">
        <v>72</v>
      </c>
      <c r="D525">
        <v>7742</v>
      </c>
      <c r="E525">
        <v>0</v>
      </c>
      <c r="F525">
        <v>101586350393</v>
      </c>
      <c r="G525">
        <v>218570101.37</v>
      </c>
      <c r="H525">
        <v>100620873109.27</v>
      </c>
      <c r="I525">
        <v>101293085830.14</v>
      </c>
      <c r="J525">
        <v>8.4747000000000003E-2</v>
      </c>
      <c r="K525">
        <v>8.7880000000000007E-3</v>
      </c>
      <c r="M525" t="s">
        <v>1</v>
      </c>
      <c r="N525">
        <v>2500</v>
      </c>
      <c r="O525">
        <v>60</v>
      </c>
      <c r="P525">
        <v>69510</v>
      </c>
      <c r="Q525">
        <v>0</v>
      </c>
      <c r="R525">
        <v>2075830676033</v>
      </c>
      <c r="S525">
        <v>4987710028.3599997</v>
      </c>
      <c r="T525">
        <v>2059238542057.8301</v>
      </c>
      <c r="U525">
        <v>2070267410014.1201</v>
      </c>
      <c r="V525">
        <v>6.5058000000000005E-2</v>
      </c>
      <c r="W525">
        <v>3.3219999999999999E-3</v>
      </c>
    </row>
    <row r="526" spans="1:23" x14ac:dyDescent="0.35">
      <c r="A526" t="s">
        <v>0</v>
      </c>
      <c r="B526">
        <v>5500</v>
      </c>
      <c r="C526">
        <v>72</v>
      </c>
      <c r="D526">
        <v>119</v>
      </c>
      <c r="E526">
        <v>0</v>
      </c>
      <c r="F526">
        <v>1576332094</v>
      </c>
      <c r="G526">
        <v>2636335</v>
      </c>
      <c r="H526">
        <v>1541834362.01</v>
      </c>
      <c r="I526">
        <v>1573695759</v>
      </c>
      <c r="J526">
        <v>0.21732099999999999</v>
      </c>
      <c r="K526">
        <v>0</v>
      </c>
      <c r="M526" t="s">
        <v>1</v>
      </c>
      <c r="N526">
        <v>3250</v>
      </c>
      <c r="O526">
        <v>72</v>
      </c>
      <c r="P526">
        <v>56250</v>
      </c>
      <c r="Q526">
        <v>0</v>
      </c>
      <c r="R526">
        <v>1308829063498</v>
      </c>
      <c r="S526">
        <v>2982355023.9699998</v>
      </c>
      <c r="T526">
        <v>1295922067961.4399</v>
      </c>
      <c r="U526">
        <v>1304840894108.29</v>
      </c>
      <c r="V526">
        <v>8.7292999999999996E-2</v>
      </c>
      <c r="W526">
        <v>9.1830000000000002E-3</v>
      </c>
    </row>
    <row r="527" spans="1:23" x14ac:dyDescent="0.35">
      <c r="A527" t="s">
        <v>0</v>
      </c>
      <c r="B527">
        <v>2500</v>
      </c>
      <c r="C527">
        <v>72</v>
      </c>
      <c r="D527">
        <v>78428</v>
      </c>
      <c r="E527">
        <v>0</v>
      </c>
      <c r="F527">
        <v>1803087759261</v>
      </c>
      <c r="G527">
        <v>4474152291.21</v>
      </c>
      <c r="H527">
        <v>1790599888947.8999</v>
      </c>
      <c r="I527">
        <v>1798235994808.3</v>
      </c>
      <c r="J527">
        <v>5.2048999999999998E-2</v>
      </c>
      <c r="K527">
        <v>2.5100000000000001E-3</v>
      </c>
      <c r="M527" t="s">
        <v>0</v>
      </c>
      <c r="N527">
        <v>2500</v>
      </c>
      <c r="O527">
        <v>72</v>
      </c>
      <c r="P527">
        <v>65800</v>
      </c>
      <c r="Q527">
        <v>0</v>
      </c>
      <c r="R527">
        <v>1508541754320</v>
      </c>
      <c r="S527">
        <v>3733454229.6399999</v>
      </c>
      <c r="T527">
        <v>1498744006823.0601</v>
      </c>
      <c r="U527">
        <v>1504384655056.3701</v>
      </c>
      <c r="V527">
        <v>4.7187E-2</v>
      </c>
      <c r="W527">
        <v>3.3649999999999999E-3</v>
      </c>
    </row>
    <row r="528" spans="1:23" x14ac:dyDescent="0.35">
      <c r="A528" t="s">
        <v>1</v>
      </c>
      <c r="B528">
        <v>3000</v>
      </c>
      <c r="C528">
        <v>60</v>
      </c>
      <c r="D528">
        <v>63239</v>
      </c>
      <c r="E528">
        <v>0</v>
      </c>
      <c r="F528">
        <v>1796881595856</v>
      </c>
      <c r="G528">
        <v>4030813352.4699998</v>
      </c>
      <c r="H528">
        <v>1779153153864.6001</v>
      </c>
      <c r="I528">
        <v>1791841289250.3899</v>
      </c>
      <c r="J528">
        <v>8.7736999999999996E-2</v>
      </c>
      <c r="K528">
        <v>6.7210000000000004E-3</v>
      </c>
      <c r="M528" t="s">
        <v>3</v>
      </c>
      <c r="N528">
        <v>3000</v>
      </c>
      <c r="O528">
        <v>72</v>
      </c>
      <c r="P528">
        <v>751</v>
      </c>
      <c r="Q528">
        <v>0</v>
      </c>
      <c r="R528">
        <v>14442041220</v>
      </c>
      <c r="S528">
        <v>33786746.619999997</v>
      </c>
      <c r="T528">
        <v>14310234423.51</v>
      </c>
      <c r="U528">
        <v>14389780443.08</v>
      </c>
      <c r="V528">
        <v>7.8473000000000001E-2</v>
      </c>
      <c r="W528">
        <v>1.5243E-2</v>
      </c>
    </row>
    <row r="529" spans="1:23" x14ac:dyDescent="0.35">
      <c r="A529" t="s">
        <v>1</v>
      </c>
      <c r="B529">
        <v>2500</v>
      </c>
      <c r="C529">
        <v>60</v>
      </c>
      <c r="D529">
        <v>64364</v>
      </c>
      <c r="E529">
        <v>0</v>
      </c>
      <c r="F529">
        <v>1959656508732</v>
      </c>
      <c r="G529">
        <v>4698049962.6300001</v>
      </c>
      <c r="H529">
        <v>1943158014735.0701</v>
      </c>
      <c r="I529">
        <v>1954270685900.8301</v>
      </c>
      <c r="J529">
        <v>6.9914000000000004E-2</v>
      </c>
      <c r="K529">
        <v>4.2030000000000001E-3</v>
      </c>
      <c r="M529" t="s">
        <v>0</v>
      </c>
      <c r="N529">
        <v>3500</v>
      </c>
      <c r="O529">
        <v>60</v>
      </c>
      <c r="P529">
        <v>56795</v>
      </c>
      <c r="Q529">
        <v>0</v>
      </c>
      <c r="R529">
        <v>1135265681586</v>
      </c>
      <c r="S529">
        <v>2371250537.3099999</v>
      </c>
      <c r="T529">
        <v>1126662077980.26</v>
      </c>
      <c r="U529">
        <v>1131827207291.96</v>
      </c>
      <c r="V529">
        <v>6.3923999999999995E-2</v>
      </c>
      <c r="W529">
        <v>1.1223E-2</v>
      </c>
    </row>
    <row r="530" spans="1:23" x14ac:dyDescent="0.35">
      <c r="A530" t="s">
        <v>1</v>
      </c>
      <c r="B530">
        <v>3250</v>
      </c>
      <c r="C530">
        <v>72</v>
      </c>
      <c r="D530">
        <v>54187</v>
      </c>
      <c r="E530">
        <v>0</v>
      </c>
      <c r="F530">
        <v>1256694295793</v>
      </c>
      <c r="G530">
        <v>2864249618.5799999</v>
      </c>
      <c r="H530">
        <v>1242366118875.8999</v>
      </c>
      <c r="I530">
        <v>1252710995214.55</v>
      </c>
      <c r="J530">
        <v>0.104139</v>
      </c>
      <c r="K530">
        <v>1.0633E-2</v>
      </c>
      <c r="M530" t="s">
        <v>2</v>
      </c>
      <c r="N530">
        <v>3500</v>
      </c>
      <c r="O530">
        <v>60</v>
      </c>
      <c r="P530">
        <v>7223</v>
      </c>
      <c r="Q530">
        <v>0</v>
      </c>
      <c r="R530">
        <v>103840990686</v>
      </c>
      <c r="S530">
        <v>219230624.62</v>
      </c>
      <c r="T530">
        <v>102914219873.42</v>
      </c>
      <c r="U530">
        <v>103476082004.09</v>
      </c>
      <c r="V530">
        <v>7.8769000000000006E-2</v>
      </c>
      <c r="W530">
        <v>1.6705000000000001E-2</v>
      </c>
    </row>
    <row r="531" spans="1:23" x14ac:dyDescent="0.35">
      <c r="A531" t="s">
        <v>3</v>
      </c>
      <c r="B531">
        <v>3000</v>
      </c>
      <c r="C531">
        <v>72</v>
      </c>
      <c r="D531">
        <v>791</v>
      </c>
      <c r="E531">
        <v>0</v>
      </c>
      <c r="F531">
        <v>15023449172</v>
      </c>
      <c r="G531">
        <v>35217183.640000001</v>
      </c>
      <c r="H531">
        <v>14862681363.35</v>
      </c>
      <c r="I531">
        <v>14958863790.209999</v>
      </c>
      <c r="J531">
        <v>9.5799999999999996E-2</v>
      </c>
      <c r="K531">
        <v>2.3206999999999998E-2</v>
      </c>
      <c r="M531" t="s">
        <v>1</v>
      </c>
      <c r="N531">
        <v>2250</v>
      </c>
      <c r="O531">
        <v>60</v>
      </c>
      <c r="P531">
        <v>111994</v>
      </c>
      <c r="Q531">
        <v>0</v>
      </c>
      <c r="R531">
        <v>3329037877966</v>
      </c>
      <c r="S531">
        <v>8237440998.6199999</v>
      </c>
      <c r="T531">
        <v>3304506998672.1401</v>
      </c>
      <c r="U531">
        <v>3320222242443.5098</v>
      </c>
      <c r="V531">
        <v>5.7176999999999999E-2</v>
      </c>
      <c r="W531">
        <v>2.0820000000000001E-3</v>
      </c>
    </row>
    <row r="532" spans="1:23" x14ac:dyDescent="0.35">
      <c r="A532" t="s">
        <v>1</v>
      </c>
      <c r="B532">
        <v>2250</v>
      </c>
      <c r="C532">
        <v>72</v>
      </c>
      <c r="D532">
        <v>245057</v>
      </c>
      <c r="E532">
        <v>0</v>
      </c>
      <c r="F532">
        <v>7017203188057</v>
      </c>
      <c r="G532">
        <v>17784581598.509998</v>
      </c>
      <c r="H532">
        <v>6961745210679.6602</v>
      </c>
      <c r="I532">
        <v>6998153572165.5098</v>
      </c>
      <c r="J532">
        <v>6.2556E-2</v>
      </c>
      <c r="K532">
        <v>2.1610000000000002E-3</v>
      </c>
      <c r="M532" t="s">
        <v>1</v>
      </c>
      <c r="N532">
        <v>2250</v>
      </c>
      <c r="O532">
        <v>72</v>
      </c>
      <c r="P532">
        <v>209073</v>
      </c>
      <c r="Q532">
        <v>0</v>
      </c>
      <c r="R532">
        <v>5985688638486</v>
      </c>
      <c r="S532">
        <v>15132967852.23</v>
      </c>
      <c r="T532">
        <v>5941655045565.8096</v>
      </c>
      <c r="U532">
        <v>5969763721400.3301</v>
      </c>
      <c r="V532">
        <v>5.6425000000000003E-2</v>
      </c>
      <c r="W532">
        <v>1.5870000000000001E-3</v>
      </c>
    </row>
    <row r="533" spans="1:23" x14ac:dyDescent="0.35">
      <c r="A533" t="s">
        <v>2</v>
      </c>
      <c r="B533">
        <v>3500</v>
      </c>
      <c r="C533">
        <v>60</v>
      </c>
      <c r="D533">
        <v>8028</v>
      </c>
      <c r="E533">
        <v>0</v>
      </c>
      <c r="F533">
        <v>115650232527</v>
      </c>
      <c r="G533">
        <v>245145126.55000001</v>
      </c>
      <c r="H533">
        <v>114497088364.53</v>
      </c>
      <c r="I533">
        <v>115188815534.38</v>
      </c>
      <c r="J533">
        <v>9.0250999999999998E-2</v>
      </c>
      <c r="K533">
        <v>2.2211000000000002E-2</v>
      </c>
      <c r="M533" t="s">
        <v>0</v>
      </c>
      <c r="N533">
        <v>3250</v>
      </c>
      <c r="O533">
        <v>60</v>
      </c>
      <c r="P533">
        <v>145749</v>
      </c>
      <c r="Q533">
        <v>0</v>
      </c>
      <c r="R533">
        <v>3057078096002</v>
      </c>
      <c r="S533">
        <v>6593334726.6099997</v>
      </c>
      <c r="T533">
        <v>3035076291981.02</v>
      </c>
      <c r="U533">
        <v>3048188992316.1699</v>
      </c>
      <c r="V533">
        <v>5.8833999999999997E-2</v>
      </c>
      <c r="W533">
        <v>8.9739999999999993E-3</v>
      </c>
    </row>
    <row r="534" spans="1:23" x14ac:dyDescent="0.35">
      <c r="A534" t="s">
        <v>0</v>
      </c>
      <c r="B534">
        <v>3500</v>
      </c>
      <c r="C534">
        <v>60</v>
      </c>
      <c r="D534">
        <v>58183</v>
      </c>
      <c r="E534">
        <v>0</v>
      </c>
      <c r="F534">
        <v>1171628333802</v>
      </c>
      <c r="G534">
        <v>2448697488.3800001</v>
      </c>
      <c r="H534">
        <v>1162654569927.78</v>
      </c>
      <c r="I534">
        <v>1167944946097.6599</v>
      </c>
      <c r="J534">
        <v>6.4821000000000004E-2</v>
      </c>
      <c r="K534">
        <v>1.2573000000000001E-2</v>
      </c>
      <c r="M534" t="s">
        <v>0</v>
      </c>
      <c r="N534">
        <v>2750</v>
      </c>
      <c r="O534">
        <v>60</v>
      </c>
      <c r="P534">
        <v>111472</v>
      </c>
      <c r="Q534">
        <v>0</v>
      </c>
      <c r="R534">
        <v>2541059562185</v>
      </c>
      <c r="S534">
        <v>5880982011.5</v>
      </c>
      <c r="T534">
        <v>2522974222530.3901</v>
      </c>
      <c r="U534">
        <v>2534115629955.0898</v>
      </c>
      <c r="V534">
        <v>5.6135999999999998E-2</v>
      </c>
      <c r="W534">
        <v>5.0080000000000003E-3</v>
      </c>
    </row>
    <row r="535" spans="1:23" x14ac:dyDescent="0.35">
      <c r="A535" t="s">
        <v>2</v>
      </c>
      <c r="B535">
        <v>2750</v>
      </c>
      <c r="C535">
        <v>60</v>
      </c>
      <c r="D535">
        <v>9377</v>
      </c>
      <c r="E535">
        <v>0</v>
      </c>
      <c r="F535">
        <v>163782321378</v>
      </c>
      <c r="G535">
        <v>377516607.75</v>
      </c>
      <c r="H535">
        <v>162497548938.85999</v>
      </c>
      <c r="I535">
        <v>163294677421.51001</v>
      </c>
      <c r="J535">
        <v>6.4485000000000001E-2</v>
      </c>
      <c r="K535">
        <v>8.0389999999999993E-3</v>
      </c>
      <c r="M535" t="s">
        <v>2</v>
      </c>
      <c r="N535">
        <v>2750</v>
      </c>
      <c r="O535">
        <v>60</v>
      </c>
      <c r="P535">
        <v>10490</v>
      </c>
      <c r="Q535">
        <v>0</v>
      </c>
      <c r="R535">
        <v>178736681416</v>
      </c>
      <c r="S535">
        <v>412525875.16000003</v>
      </c>
      <c r="T535">
        <v>177329025450.79001</v>
      </c>
      <c r="U535">
        <v>178312863622.56</v>
      </c>
      <c r="V535">
        <v>6.4802999999999999E-2</v>
      </c>
      <c r="W535">
        <v>7.5799999999999999E-4</v>
      </c>
    </row>
    <row r="536" spans="1:23" x14ac:dyDescent="0.35">
      <c r="A536" t="s">
        <v>0</v>
      </c>
      <c r="B536">
        <v>3250</v>
      </c>
      <c r="C536">
        <v>60</v>
      </c>
      <c r="D536">
        <v>153332</v>
      </c>
      <c r="E536">
        <v>0</v>
      </c>
      <c r="F536">
        <v>3238926070239</v>
      </c>
      <c r="G536">
        <v>6992259550.1099997</v>
      </c>
      <c r="H536">
        <v>3213872753921.3398</v>
      </c>
      <c r="I536">
        <v>3229010657073.9102</v>
      </c>
      <c r="J536">
        <v>6.4899999999999999E-2</v>
      </c>
      <c r="K536">
        <v>1.0776000000000001E-2</v>
      </c>
      <c r="M536" t="s">
        <v>0</v>
      </c>
      <c r="N536">
        <v>2250</v>
      </c>
      <c r="O536">
        <v>72</v>
      </c>
      <c r="P536">
        <v>32980</v>
      </c>
      <c r="Q536">
        <v>0</v>
      </c>
      <c r="R536">
        <v>776987098993</v>
      </c>
      <c r="S536">
        <v>1961388277.73</v>
      </c>
      <c r="T536">
        <v>772157145424.03003</v>
      </c>
      <c r="U536">
        <v>774885731051.02002</v>
      </c>
      <c r="V536">
        <v>4.3414000000000001E-2</v>
      </c>
      <c r="W536">
        <v>2.16E-3</v>
      </c>
    </row>
    <row r="537" spans="1:23" x14ac:dyDescent="0.35">
      <c r="A537" t="s">
        <v>0</v>
      </c>
      <c r="B537">
        <v>2250</v>
      </c>
      <c r="C537">
        <v>72</v>
      </c>
      <c r="D537">
        <v>40053</v>
      </c>
      <c r="E537">
        <v>0</v>
      </c>
      <c r="F537">
        <v>943361321856</v>
      </c>
      <c r="G537">
        <v>2387126832.2800002</v>
      </c>
      <c r="H537">
        <v>936311803517.81995</v>
      </c>
      <c r="I537">
        <v>940779938678.5</v>
      </c>
      <c r="J537">
        <v>5.7722000000000002E-2</v>
      </c>
      <c r="K537">
        <v>2.4680000000000001E-3</v>
      </c>
      <c r="M537" t="s">
        <v>0</v>
      </c>
      <c r="N537">
        <v>2250</v>
      </c>
      <c r="O537">
        <v>60</v>
      </c>
      <c r="P537">
        <v>18322</v>
      </c>
      <c r="Q537">
        <v>0</v>
      </c>
      <c r="R537">
        <v>456207115216</v>
      </c>
      <c r="S537">
        <v>1131230667.8499999</v>
      </c>
      <c r="T537">
        <v>453209224004.17999</v>
      </c>
      <c r="U537">
        <v>454992920214.79999</v>
      </c>
      <c r="V537">
        <v>4.8009999999999997E-2</v>
      </c>
      <c r="W537">
        <v>2.1800000000000001E-3</v>
      </c>
    </row>
    <row r="538" spans="1:23" x14ac:dyDescent="0.35">
      <c r="A538" t="s">
        <v>0</v>
      </c>
      <c r="B538">
        <v>4500</v>
      </c>
      <c r="C538">
        <v>60</v>
      </c>
      <c r="D538">
        <v>2014</v>
      </c>
      <c r="E538">
        <v>0</v>
      </c>
      <c r="F538">
        <v>42145985444</v>
      </c>
      <c r="G538">
        <v>75670106.079999998</v>
      </c>
      <c r="H538">
        <v>41696350159.010002</v>
      </c>
      <c r="I538">
        <v>41935710408.370003</v>
      </c>
      <c r="J538">
        <v>0.10143099999999999</v>
      </c>
      <c r="K538">
        <v>3.7658999999999998E-2</v>
      </c>
      <c r="M538" t="s">
        <v>0</v>
      </c>
      <c r="N538">
        <v>4500</v>
      </c>
      <c r="O538">
        <v>60</v>
      </c>
      <c r="P538">
        <v>1845</v>
      </c>
      <c r="Q538">
        <v>0</v>
      </c>
      <c r="R538">
        <v>37861079319</v>
      </c>
      <c r="S538">
        <v>67952763.269999996</v>
      </c>
      <c r="T538">
        <v>37587916007.330002</v>
      </c>
      <c r="U538">
        <v>37793126555.730003</v>
      </c>
      <c r="V538">
        <v>6.3136999999999999E-2</v>
      </c>
      <c r="W538">
        <v>0</v>
      </c>
    </row>
    <row r="539" spans="1:23" x14ac:dyDescent="0.35">
      <c r="A539" t="s">
        <v>1</v>
      </c>
      <c r="B539">
        <v>4500</v>
      </c>
      <c r="C539">
        <v>60</v>
      </c>
      <c r="D539">
        <v>230</v>
      </c>
      <c r="E539">
        <v>0</v>
      </c>
      <c r="F539">
        <v>5057149447</v>
      </c>
      <c r="G539">
        <v>9144216.0999999996</v>
      </c>
      <c r="H539">
        <v>5004087540.1700001</v>
      </c>
      <c r="I539">
        <v>5014639297.4300003</v>
      </c>
      <c r="J539">
        <v>9.9375000000000005E-2</v>
      </c>
      <c r="K539">
        <v>7.6363E-2</v>
      </c>
      <c r="M539" t="s">
        <v>1</v>
      </c>
      <c r="N539">
        <v>4500</v>
      </c>
      <c r="O539">
        <v>60</v>
      </c>
      <c r="P539">
        <v>186</v>
      </c>
      <c r="Q539">
        <v>0</v>
      </c>
      <c r="R539">
        <v>3979943901</v>
      </c>
      <c r="S539">
        <v>7217972.2199999997</v>
      </c>
      <c r="T539">
        <v>3958179583.0300002</v>
      </c>
      <c r="U539">
        <v>3972725928.7800002</v>
      </c>
      <c r="V539">
        <v>4.2987999999999998E-2</v>
      </c>
      <c r="W539">
        <v>0</v>
      </c>
    </row>
    <row r="540" spans="1:23" x14ac:dyDescent="0.35">
      <c r="A540" t="s">
        <v>1</v>
      </c>
      <c r="B540">
        <v>4500</v>
      </c>
      <c r="C540">
        <v>54</v>
      </c>
      <c r="D540">
        <v>2054</v>
      </c>
      <c r="E540">
        <v>0</v>
      </c>
      <c r="F540">
        <v>53587674000</v>
      </c>
      <c r="G540">
        <v>92426757.849999994</v>
      </c>
      <c r="H540">
        <v>52877331702.589996</v>
      </c>
      <c r="I540">
        <v>53342189777.989998</v>
      </c>
      <c r="J540">
        <v>0.12992400000000001</v>
      </c>
      <c r="K540">
        <v>3.3741E-2</v>
      </c>
      <c r="M540" t="s">
        <v>0</v>
      </c>
      <c r="N540">
        <v>4500</v>
      </c>
      <c r="O540">
        <v>54</v>
      </c>
      <c r="P540">
        <v>6524</v>
      </c>
      <c r="Q540">
        <v>0</v>
      </c>
      <c r="R540">
        <v>148484634871</v>
      </c>
      <c r="S540">
        <v>257116820.88</v>
      </c>
      <c r="T540">
        <v>147509643536.70999</v>
      </c>
      <c r="U540">
        <v>148061733038.64999</v>
      </c>
      <c r="V540">
        <v>5.6498E-2</v>
      </c>
      <c r="W540">
        <v>1.3316E-2</v>
      </c>
    </row>
    <row r="541" spans="1:23" x14ac:dyDescent="0.35">
      <c r="A541" t="s">
        <v>0</v>
      </c>
      <c r="B541">
        <v>4500</v>
      </c>
      <c r="C541">
        <v>54</v>
      </c>
      <c r="D541">
        <v>11912</v>
      </c>
      <c r="E541">
        <v>0</v>
      </c>
      <c r="F541">
        <v>270857844823</v>
      </c>
      <c r="G541">
        <v>468510292.94</v>
      </c>
      <c r="H541">
        <v>268662815428.51999</v>
      </c>
      <c r="I541">
        <v>269690753585.48999</v>
      </c>
      <c r="J541">
        <v>7.3866000000000001E-2</v>
      </c>
      <c r="K541">
        <v>3.0513999999999999E-2</v>
      </c>
      <c r="M541" t="s">
        <v>1</v>
      </c>
      <c r="N541">
        <v>4500</v>
      </c>
      <c r="O541">
        <v>54</v>
      </c>
      <c r="P541">
        <v>754</v>
      </c>
      <c r="Q541">
        <v>0</v>
      </c>
      <c r="R541">
        <v>18620567337</v>
      </c>
      <c r="S541">
        <v>32253811.789999999</v>
      </c>
      <c r="T541">
        <v>18418126065.150002</v>
      </c>
      <c r="U541">
        <v>18554341849.150002</v>
      </c>
      <c r="V541">
        <v>0.104328</v>
      </c>
      <c r="W541">
        <v>2.1675E-2</v>
      </c>
    </row>
    <row r="542" spans="1:23" x14ac:dyDescent="0.35">
      <c r="A542" t="s">
        <v>2</v>
      </c>
      <c r="B542">
        <v>2250</v>
      </c>
      <c r="C542">
        <v>72</v>
      </c>
      <c r="D542">
        <v>5391</v>
      </c>
      <c r="E542">
        <v>0</v>
      </c>
      <c r="F542">
        <v>95758119173</v>
      </c>
      <c r="G542">
        <v>241809123.16</v>
      </c>
      <c r="H542">
        <v>95013209174.210007</v>
      </c>
      <c r="I542">
        <v>95480375688.240005</v>
      </c>
      <c r="J542">
        <v>6.1255999999999998E-2</v>
      </c>
      <c r="K542">
        <v>4.4939999999999997E-3</v>
      </c>
      <c r="M542" t="s">
        <v>2</v>
      </c>
      <c r="N542">
        <v>2250</v>
      </c>
      <c r="O542">
        <v>60</v>
      </c>
      <c r="P542">
        <v>1829</v>
      </c>
      <c r="Q542">
        <v>0</v>
      </c>
      <c r="R542">
        <v>32965763145</v>
      </c>
      <c r="S542">
        <v>81503136.329999998</v>
      </c>
      <c r="T542">
        <v>32730013521.16</v>
      </c>
      <c r="U542">
        <v>32884260008.669998</v>
      </c>
      <c r="V542">
        <v>5.4725000000000003E-2</v>
      </c>
      <c r="W542">
        <v>0</v>
      </c>
    </row>
    <row r="543" spans="1:23" x14ac:dyDescent="0.35">
      <c r="A543" t="s">
        <v>2</v>
      </c>
      <c r="B543">
        <v>2250</v>
      </c>
      <c r="C543">
        <v>60</v>
      </c>
      <c r="D543">
        <v>1152</v>
      </c>
      <c r="E543">
        <v>0</v>
      </c>
      <c r="F543">
        <v>20923329864</v>
      </c>
      <c r="G543">
        <v>51452728.530000001</v>
      </c>
      <c r="H543">
        <v>20762574140.66</v>
      </c>
      <c r="I543">
        <v>20871877135.470001</v>
      </c>
      <c r="J543">
        <v>6.0918E-2</v>
      </c>
      <c r="K543">
        <v>0</v>
      </c>
      <c r="M543" t="s">
        <v>1</v>
      </c>
      <c r="N543">
        <v>2750</v>
      </c>
      <c r="O543">
        <v>60</v>
      </c>
      <c r="P543">
        <v>100809</v>
      </c>
      <c r="Q543">
        <v>0</v>
      </c>
      <c r="R543">
        <v>2914051943145</v>
      </c>
      <c r="S543">
        <v>6731814390.8400002</v>
      </c>
      <c r="T543">
        <v>2888861304144.2402</v>
      </c>
      <c r="U543">
        <v>2905966864569.8501</v>
      </c>
      <c r="V543">
        <v>7.3419999999999999E-2</v>
      </c>
      <c r="W543">
        <v>5.5579999999999996E-3</v>
      </c>
    </row>
    <row r="544" spans="1:23" x14ac:dyDescent="0.35">
      <c r="A544" t="s">
        <v>0</v>
      </c>
      <c r="B544">
        <v>2250</v>
      </c>
      <c r="C544">
        <v>60</v>
      </c>
      <c r="D544">
        <v>14595</v>
      </c>
      <c r="E544">
        <v>0</v>
      </c>
      <c r="F544">
        <v>373128881132</v>
      </c>
      <c r="G544">
        <v>923033926.77999997</v>
      </c>
      <c r="H544">
        <v>370425546470.03003</v>
      </c>
      <c r="I544">
        <v>372015488528.81</v>
      </c>
      <c r="J544">
        <v>5.5775999999999999E-2</v>
      </c>
      <c r="K544">
        <v>6.1050000000000002E-3</v>
      </c>
      <c r="M544" t="s">
        <v>1</v>
      </c>
      <c r="N544">
        <v>3500</v>
      </c>
      <c r="O544">
        <v>60</v>
      </c>
      <c r="P544">
        <v>11969</v>
      </c>
      <c r="Q544">
        <v>0</v>
      </c>
      <c r="R544">
        <v>291457254468</v>
      </c>
      <c r="S544">
        <v>607759594.59000003</v>
      </c>
      <c r="T544">
        <v>288470367640.96002</v>
      </c>
      <c r="U544">
        <v>290269509935.06</v>
      </c>
      <c r="V544">
        <v>9.3673999999999993E-2</v>
      </c>
      <c r="W544">
        <v>2.3619999999999999E-2</v>
      </c>
    </row>
    <row r="545" spans="1:23" x14ac:dyDescent="0.35">
      <c r="A545" t="s">
        <v>0</v>
      </c>
      <c r="B545">
        <v>2750</v>
      </c>
      <c r="C545">
        <v>60</v>
      </c>
      <c r="D545">
        <v>102027</v>
      </c>
      <c r="E545">
        <v>0</v>
      </c>
      <c r="F545">
        <v>2353593896190</v>
      </c>
      <c r="G545">
        <v>5445499117.8000002</v>
      </c>
      <c r="H545">
        <v>2336826757395.5601</v>
      </c>
      <c r="I545">
        <v>2347472594808.2998</v>
      </c>
      <c r="J545">
        <v>5.6221E-2</v>
      </c>
      <c r="K545">
        <v>3.4399999999999999E-3</v>
      </c>
      <c r="M545" t="s">
        <v>0</v>
      </c>
      <c r="N545">
        <v>4000</v>
      </c>
      <c r="O545">
        <v>60</v>
      </c>
      <c r="P545">
        <v>16154</v>
      </c>
      <c r="Q545">
        <v>0</v>
      </c>
      <c r="R545">
        <v>331418732121</v>
      </c>
      <c r="S545">
        <v>643501125.64999998</v>
      </c>
      <c r="T545">
        <v>329073018062.25</v>
      </c>
      <c r="U545">
        <v>330425629755.96997</v>
      </c>
      <c r="V545">
        <v>5.9922000000000003E-2</v>
      </c>
      <c r="W545">
        <v>1.2585000000000001E-2</v>
      </c>
    </row>
    <row r="546" spans="1:23" x14ac:dyDescent="0.35">
      <c r="A546" t="s">
        <v>1</v>
      </c>
      <c r="B546">
        <v>2750</v>
      </c>
      <c r="C546">
        <v>60</v>
      </c>
      <c r="D546">
        <v>99336</v>
      </c>
      <c r="E546">
        <v>0</v>
      </c>
      <c r="F546">
        <v>2920876386023</v>
      </c>
      <c r="G546">
        <v>6752139126.0600004</v>
      </c>
      <c r="H546">
        <v>2890864514301.98</v>
      </c>
      <c r="I546">
        <v>2912413403065.1499</v>
      </c>
      <c r="J546">
        <v>9.1482999999999995E-2</v>
      </c>
      <c r="K546">
        <v>7.0060000000000001E-3</v>
      </c>
      <c r="M546" t="s">
        <v>2</v>
      </c>
      <c r="N546">
        <v>4000</v>
      </c>
      <c r="O546">
        <v>60</v>
      </c>
      <c r="P546">
        <v>921</v>
      </c>
      <c r="Q546">
        <v>0</v>
      </c>
      <c r="R546">
        <v>12053249065</v>
      </c>
      <c r="S546">
        <v>23542965.129999999</v>
      </c>
      <c r="T546">
        <v>11896826068.75</v>
      </c>
      <c r="U546">
        <v>12013026407.809999</v>
      </c>
      <c r="V546">
        <v>0.124559</v>
      </c>
      <c r="W546">
        <v>1.6480000000000002E-2</v>
      </c>
    </row>
    <row r="547" spans="1:23" x14ac:dyDescent="0.35">
      <c r="A547" t="s">
        <v>1</v>
      </c>
      <c r="B547">
        <v>3500</v>
      </c>
      <c r="C547">
        <v>60</v>
      </c>
      <c r="D547">
        <v>14039</v>
      </c>
      <c r="E547">
        <v>0</v>
      </c>
      <c r="F547">
        <v>343301529571</v>
      </c>
      <c r="G547">
        <v>716901140.23000002</v>
      </c>
      <c r="H547">
        <v>338678598205.82001</v>
      </c>
      <c r="I547">
        <v>341714400396.78003</v>
      </c>
      <c r="J547">
        <v>0.128306</v>
      </c>
      <c r="K547">
        <v>2.9998E-2</v>
      </c>
      <c r="M547" t="s">
        <v>1</v>
      </c>
      <c r="N547">
        <v>4000</v>
      </c>
      <c r="O547">
        <v>60</v>
      </c>
      <c r="P547">
        <v>1425</v>
      </c>
      <c r="Q547">
        <v>0</v>
      </c>
      <c r="R547">
        <v>31555879976</v>
      </c>
      <c r="S547">
        <v>61338403.630000003</v>
      </c>
      <c r="T547">
        <v>31209823441.619999</v>
      </c>
      <c r="U547">
        <v>31383492871.75</v>
      </c>
      <c r="V547">
        <v>0.103057</v>
      </c>
      <c r="W547">
        <v>4.1422E-2</v>
      </c>
    </row>
    <row r="548" spans="1:23" x14ac:dyDescent="0.35">
      <c r="A548" t="s">
        <v>0</v>
      </c>
      <c r="B548">
        <v>4000</v>
      </c>
      <c r="C548">
        <v>60</v>
      </c>
      <c r="D548">
        <v>17094</v>
      </c>
      <c r="E548">
        <v>0</v>
      </c>
      <c r="F548">
        <v>354806570695</v>
      </c>
      <c r="G548">
        <v>690303488.15999997</v>
      </c>
      <c r="H548">
        <v>352054225790.08002</v>
      </c>
      <c r="I548">
        <v>353740107020.79999</v>
      </c>
      <c r="J548">
        <v>6.7554000000000003E-2</v>
      </c>
      <c r="K548">
        <v>1.2648E-2</v>
      </c>
      <c r="M548" t="s">
        <v>0</v>
      </c>
      <c r="N548">
        <v>3000</v>
      </c>
      <c r="O548">
        <v>54</v>
      </c>
      <c r="P548">
        <v>118471</v>
      </c>
      <c r="Q548">
        <v>0</v>
      </c>
      <c r="R548">
        <v>2521668801704</v>
      </c>
      <c r="S548">
        <v>5509373610.6400003</v>
      </c>
      <c r="T548">
        <v>2504768316955.71</v>
      </c>
      <c r="U548">
        <v>2514135196488.7998</v>
      </c>
      <c r="V548">
        <v>5.2880999999999997E-2</v>
      </c>
      <c r="W548">
        <v>9.5899999999999996E-3</v>
      </c>
    </row>
    <row r="549" spans="1:23" x14ac:dyDescent="0.35">
      <c r="A549" t="s">
        <v>2</v>
      </c>
      <c r="B549">
        <v>4000</v>
      </c>
      <c r="C549">
        <v>60</v>
      </c>
      <c r="D549">
        <v>945</v>
      </c>
      <c r="E549">
        <v>0</v>
      </c>
      <c r="F549">
        <v>12396031928</v>
      </c>
      <c r="G549">
        <v>24270998.710000001</v>
      </c>
      <c r="H549">
        <v>12243691682.450001</v>
      </c>
      <c r="I549">
        <v>12341086860.24</v>
      </c>
      <c r="J549">
        <v>0.11717</v>
      </c>
      <c r="K549">
        <v>2.9293E-2</v>
      </c>
      <c r="M549" t="s">
        <v>2</v>
      </c>
      <c r="N549">
        <v>3000</v>
      </c>
      <c r="O549">
        <v>54</v>
      </c>
      <c r="P549">
        <v>8368</v>
      </c>
      <c r="Q549">
        <v>0</v>
      </c>
      <c r="R549">
        <v>145860240488</v>
      </c>
      <c r="S549">
        <v>317981764.24000001</v>
      </c>
      <c r="T549">
        <v>144754234028.07999</v>
      </c>
      <c r="U549">
        <v>145512291063.76001</v>
      </c>
      <c r="V549">
        <v>6.2938999999999995E-2</v>
      </c>
      <c r="W549">
        <v>2.4629999999999999E-3</v>
      </c>
    </row>
    <row r="550" spans="1:23" x14ac:dyDescent="0.35">
      <c r="A550" t="s">
        <v>1</v>
      </c>
      <c r="B550">
        <v>4000</v>
      </c>
      <c r="C550">
        <v>60</v>
      </c>
      <c r="D550">
        <v>1540</v>
      </c>
      <c r="E550">
        <v>0</v>
      </c>
      <c r="F550">
        <v>34702605309</v>
      </c>
      <c r="G550">
        <v>67527202.150000006</v>
      </c>
      <c r="H550">
        <v>34146196196.25</v>
      </c>
      <c r="I550">
        <v>34432167494.400002</v>
      </c>
      <c r="J550">
        <v>0.15654999999999999</v>
      </c>
      <c r="K550">
        <v>6.7951999999999999E-2</v>
      </c>
      <c r="M550" t="s">
        <v>1</v>
      </c>
      <c r="N550">
        <v>3000</v>
      </c>
      <c r="O550">
        <v>54</v>
      </c>
      <c r="P550">
        <v>53941</v>
      </c>
      <c r="Q550">
        <v>0</v>
      </c>
      <c r="R550">
        <v>1654650963546</v>
      </c>
      <c r="S550">
        <v>3608195481.8099999</v>
      </c>
      <c r="T550">
        <v>1639667599116.0801</v>
      </c>
      <c r="U550">
        <v>1650051119986.02</v>
      </c>
      <c r="V550">
        <v>7.9447000000000004E-2</v>
      </c>
      <c r="W550">
        <v>7.1679999999999999E-3</v>
      </c>
    </row>
    <row r="551" spans="1:23" x14ac:dyDescent="0.35">
      <c r="A551" t="s">
        <v>0</v>
      </c>
      <c r="B551">
        <v>3000</v>
      </c>
      <c r="C551">
        <v>54</v>
      </c>
      <c r="D551">
        <v>85931</v>
      </c>
      <c r="E551">
        <v>0</v>
      </c>
      <c r="F551">
        <v>1884190373960</v>
      </c>
      <c r="G551">
        <v>4117000448.5799999</v>
      </c>
      <c r="H551">
        <v>1870380746736.6499</v>
      </c>
      <c r="I551">
        <v>1878395198896.1799</v>
      </c>
      <c r="J551">
        <v>6.0012999999999997E-2</v>
      </c>
      <c r="K551">
        <v>1.0636E-2</v>
      </c>
      <c r="M551" t="s">
        <v>2</v>
      </c>
      <c r="N551">
        <v>3500</v>
      </c>
      <c r="O551">
        <v>54</v>
      </c>
      <c r="P551">
        <v>7444</v>
      </c>
      <c r="Q551">
        <v>0</v>
      </c>
      <c r="R551">
        <v>113539669679</v>
      </c>
      <c r="S551">
        <v>233371119.41</v>
      </c>
      <c r="T551">
        <v>112519723865.36</v>
      </c>
      <c r="U551">
        <v>113176300134.33</v>
      </c>
      <c r="V551">
        <v>8.0036999999999997E-2</v>
      </c>
      <c r="W551">
        <v>1.3653E-2</v>
      </c>
    </row>
    <row r="552" spans="1:23" x14ac:dyDescent="0.35">
      <c r="A552" t="s">
        <v>2</v>
      </c>
      <c r="B552">
        <v>3000</v>
      </c>
      <c r="C552">
        <v>54</v>
      </c>
      <c r="D552">
        <v>6650</v>
      </c>
      <c r="E552">
        <v>0</v>
      </c>
      <c r="F552">
        <v>116311753860</v>
      </c>
      <c r="G552">
        <v>253885521.71000001</v>
      </c>
      <c r="H552">
        <v>115261155530.73</v>
      </c>
      <c r="I552">
        <v>115965527724.92999</v>
      </c>
      <c r="J552">
        <v>7.9171000000000005E-2</v>
      </c>
      <c r="K552">
        <v>9.4850000000000004E-3</v>
      </c>
      <c r="M552" t="s">
        <v>0</v>
      </c>
      <c r="N552">
        <v>3500</v>
      </c>
      <c r="O552">
        <v>54</v>
      </c>
      <c r="P552">
        <v>57370</v>
      </c>
      <c r="Q552">
        <v>0</v>
      </c>
      <c r="R552">
        <v>1229648714445</v>
      </c>
      <c r="S552">
        <v>2482411518.8299999</v>
      </c>
      <c r="T552">
        <v>1220707149290.25</v>
      </c>
      <c r="U552">
        <v>1225720572004.24</v>
      </c>
      <c r="V552">
        <v>6.1245000000000001E-2</v>
      </c>
      <c r="W552">
        <v>1.4017999999999999E-2</v>
      </c>
    </row>
    <row r="553" spans="1:23" x14ac:dyDescent="0.35">
      <c r="A553" t="s">
        <v>2</v>
      </c>
      <c r="B553">
        <v>3500</v>
      </c>
      <c r="C553">
        <v>54</v>
      </c>
      <c r="D553">
        <v>6751</v>
      </c>
      <c r="E553">
        <v>0</v>
      </c>
      <c r="F553">
        <v>105824046354</v>
      </c>
      <c r="G553">
        <v>216699893.36000001</v>
      </c>
      <c r="H553">
        <v>104927780527.84</v>
      </c>
      <c r="I553">
        <v>105538783485.75</v>
      </c>
      <c r="J553">
        <v>7.4396000000000004E-2</v>
      </c>
      <c r="K553">
        <v>7.7470000000000004E-3</v>
      </c>
      <c r="M553" t="s">
        <v>1</v>
      </c>
      <c r="N553">
        <v>3500</v>
      </c>
      <c r="O553">
        <v>54</v>
      </c>
      <c r="P553">
        <v>21533</v>
      </c>
      <c r="Q553">
        <v>0</v>
      </c>
      <c r="R553">
        <v>574419841224</v>
      </c>
      <c r="S553">
        <v>1164380380.3900001</v>
      </c>
      <c r="T553">
        <v>568125336138.30005</v>
      </c>
      <c r="U553">
        <v>572135304923.29004</v>
      </c>
      <c r="V553">
        <v>0.102061</v>
      </c>
      <c r="W553">
        <v>2.3151000000000001E-2</v>
      </c>
    </row>
    <row r="554" spans="1:23" x14ac:dyDescent="0.35">
      <c r="A554" t="s">
        <v>0</v>
      </c>
      <c r="B554">
        <v>3500</v>
      </c>
      <c r="C554">
        <v>54</v>
      </c>
      <c r="D554">
        <v>56912</v>
      </c>
      <c r="E554">
        <v>0</v>
      </c>
      <c r="F554">
        <v>1253346542090</v>
      </c>
      <c r="G554">
        <v>2531230622.77</v>
      </c>
      <c r="H554">
        <v>1243794494809.25</v>
      </c>
      <c r="I554">
        <v>1249358000014.8</v>
      </c>
      <c r="J554">
        <v>6.5186999999999995E-2</v>
      </c>
      <c r="K554">
        <v>1.3864E-2</v>
      </c>
      <c r="M554" t="s">
        <v>0</v>
      </c>
      <c r="N554">
        <v>4000</v>
      </c>
      <c r="O554">
        <v>54</v>
      </c>
      <c r="P554">
        <v>22462</v>
      </c>
      <c r="Q554">
        <v>0</v>
      </c>
      <c r="R554">
        <v>500513519641</v>
      </c>
      <c r="S554">
        <v>939153240.50999999</v>
      </c>
      <c r="T554">
        <v>496675802752.96002</v>
      </c>
      <c r="U554">
        <v>498883048277.29999</v>
      </c>
      <c r="V554">
        <v>6.7322999999999994E-2</v>
      </c>
      <c r="W554">
        <v>1.6448999999999998E-2</v>
      </c>
    </row>
    <row r="555" spans="1:23" x14ac:dyDescent="0.35">
      <c r="A555" t="s">
        <v>1</v>
      </c>
      <c r="B555">
        <v>3500</v>
      </c>
      <c r="C555">
        <v>54</v>
      </c>
      <c r="D555">
        <v>24829</v>
      </c>
      <c r="E555">
        <v>0</v>
      </c>
      <c r="F555">
        <v>720033808768</v>
      </c>
      <c r="G555">
        <v>1455697586.8699999</v>
      </c>
      <c r="H555">
        <v>712070733527.68994</v>
      </c>
      <c r="I555">
        <v>717528554261.25</v>
      </c>
      <c r="J555">
        <v>0.10322000000000001</v>
      </c>
      <c r="K555">
        <v>1.7351999999999999E-2</v>
      </c>
      <c r="M555" t="s">
        <v>2</v>
      </c>
      <c r="N555">
        <v>4000</v>
      </c>
      <c r="O555">
        <v>54</v>
      </c>
      <c r="P555">
        <v>1452</v>
      </c>
      <c r="Q555">
        <v>0</v>
      </c>
      <c r="R555">
        <v>21004533653</v>
      </c>
      <c r="S555">
        <v>39497785.740000002</v>
      </c>
      <c r="T555">
        <v>20856617705.080002</v>
      </c>
      <c r="U555">
        <v>20965035867.259998</v>
      </c>
      <c r="V555">
        <v>6.0211000000000001E-2</v>
      </c>
      <c r="W555">
        <v>0</v>
      </c>
    </row>
    <row r="556" spans="1:23" x14ac:dyDescent="0.35">
      <c r="A556" t="s">
        <v>0</v>
      </c>
      <c r="B556">
        <v>4000</v>
      </c>
      <c r="C556">
        <v>54</v>
      </c>
      <c r="D556">
        <v>33431</v>
      </c>
      <c r="E556">
        <v>0</v>
      </c>
      <c r="F556">
        <v>754893145968</v>
      </c>
      <c r="G556">
        <v>1413116296.8399999</v>
      </c>
      <c r="H556">
        <v>748949463076.44995</v>
      </c>
      <c r="I556">
        <v>752436860418.69995</v>
      </c>
      <c r="J556">
        <v>6.9689000000000001E-2</v>
      </c>
      <c r="K556">
        <v>1.6456999999999999E-2</v>
      </c>
      <c r="M556" t="s">
        <v>2</v>
      </c>
      <c r="N556">
        <v>3250</v>
      </c>
      <c r="O556">
        <v>60</v>
      </c>
      <c r="P556">
        <v>12813</v>
      </c>
      <c r="Q556">
        <v>0</v>
      </c>
      <c r="R556">
        <v>200091996681</v>
      </c>
      <c r="S556">
        <v>433124226.62</v>
      </c>
      <c r="T556">
        <v>198390832160.56</v>
      </c>
      <c r="U556">
        <v>199487701334.56</v>
      </c>
      <c r="V556">
        <v>7.3452000000000003E-2</v>
      </c>
      <c r="W556">
        <v>1.0217E-2</v>
      </c>
    </row>
    <row r="557" spans="1:23" x14ac:dyDescent="0.35">
      <c r="A557" t="s">
        <v>2</v>
      </c>
      <c r="B557">
        <v>4000</v>
      </c>
      <c r="C557">
        <v>54</v>
      </c>
      <c r="D557">
        <v>2476</v>
      </c>
      <c r="E557">
        <v>0</v>
      </c>
      <c r="F557">
        <v>38275137939</v>
      </c>
      <c r="G557">
        <v>71649058.810000002</v>
      </c>
      <c r="H557">
        <v>37929405727.330002</v>
      </c>
      <c r="I557">
        <v>38137690139.699997</v>
      </c>
      <c r="J557">
        <v>8.2626000000000005E-2</v>
      </c>
      <c r="K557">
        <v>2.0434999999999998E-2</v>
      </c>
      <c r="M557" t="s">
        <v>0</v>
      </c>
      <c r="N557">
        <v>3250</v>
      </c>
      <c r="O557">
        <v>54</v>
      </c>
      <c r="P557">
        <v>142304</v>
      </c>
      <c r="Q557">
        <v>0</v>
      </c>
      <c r="R557">
        <v>2991972051479</v>
      </c>
      <c r="S557">
        <v>6295690463.6599998</v>
      </c>
      <c r="T557">
        <v>2969276066374.8501</v>
      </c>
      <c r="U557">
        <v>2981687152346.3999</v>
      </c>
      <c r="V557">
        <v>6.3829999999999998E-2</v>
      </c>
      <c r="W557">
        <v>1.5883000000000001E-2</v>
      </c>
    </row>
    <row r="558" spans="1:23" x14ac:dyDescent="0.35">
      <c r="A558" t="s">
        <v>1</v>
      </c>
      <c r="B558">
        <v>3000</v>
      </c>
      <c r="C558">
        <v>54</v>
      </c>
      <c r="D558">
        <v>47591</v>
      </c>
      <c r="E558">
        <v>0</v>
      </c>
      <c r="F558">
        <v>1493635788545</v>
      </c>
      <c r="G558">
        <v>3258802465.5799999</v>
      </c>
      <c r="H558">
        <v>1478208151131.9399</v>
      </c>
      <c r="I558">
        <v>1488796282115.1899</v>
      </c>
      <c r="J558">
        <v>9.3502000000000002E-2</v>
      </c>
      <c r="K558">
        <v>1.2626E-2</v>
      </c>
      <c r="M558" t="s">
        <v>0</v>
      </c>
      <c r="N558">
        <v>2750</v>
      </c>
      <c r="O558">
        <v>54</v>
      </c>
      <c r="P558">
        <v>62281</v>
      </c>
      <c r="Q558">
        <v>0</v>
      </c>
      <c r="R558">
        <v>1486925341964</v>
      </c>
      <c r="S558">
        <v>3362044829.4299998</v>
      </c>
      <c r="T558">
        <v>1477541998581.52</v>
      </c>
      <c r="U558">
        <v>1482911210448.71</v>
      </c>
      <c r="V558">
        <v>4.7525999999999999E-2</v>
      </c>
      <c r="W558">
        <v>5.2500000000000003E-3</v>
      </c>
    </row>
    <row r="559" spans="1:23" x14ac:dyDescent="0.35">
      <c r="A559" t="s">
        <v>2</v>
      </c>
      <c r="B559">
        <v>3250</v>
      </c>
      <c r="C559">
        <v>60</v>
      </c>
      <c r="D559">
        <v>13339</v>
      </c>
      <c r="E559">
        <v>0</v>
      </c>
      <c r="F559">
        <v>209310438924</v>
      </c>
      <c r="G559">
        <v>453995575.67000002</v>
      </c>
      <c r="H559">
        <v>207457212608.85999</v>
      </c>
      <c r="I559">
        <v>208586632334.48001</v>
      </c>
      <c r="J559">
        <v>7.7335000000000001E-2</v>
      </c>
      <c r="K559">
        <v>1.5358999999999999E-2</v>
      </c>
      <c r="M559" t="s">
        <v>2</v>
      </c>
      <c r="N559">
        <v>2750</v>
      </c>
      <c r="O559">
        <v>54</v>
      </c>
      <c r="P559">
        <v>6522</v>
      </c>
      <c r="Q559">
        <v>0</v>
      </c>
      <c r="R559">
        <v>117513595813</v>
      </c>
      <c r="S559">
        <v>264873013.72999999</v>
      </c>
      <c r="T559">
        <v>116698856003.53</v>
      </c>
      <c r="U559">
        <v>117203154845.42999</v>
      </c>
      <c r="V559">
        <v>5.4726999999999998E-2</v>
      </c>
      <c r="W559">
        <v>4.6430000000000004E-3</v>
      </c>
    </row>
    <row r="560" spans="1:23" x14ac:dyDescent="0.35">
      <c r="A560" t="s">
        <v>1</v>
      </c>
      <c r="B560">
        <v>2250</v>
      </c>
      <c r="C560">
        <v>60</v>
      </c>
      <c r="D560">
        <v>90252</v>
      </c>
      <c r="E560">
        <v>0</v>
      </c>
      <c r="F560">
        <v>2711499753568</v>
      </c>
      <c r="G560">
        <v>6693488538.7799997</v>
      </c>
      <c r="H560">
        <v>2689390552479.1001</v>
      </c>
      <c r="I560">
        <v>2704164969539.2202</v>
      </c>
      <c r="J560">
        <v>6.6129999999999994E-2</v>
      </c>
      <c r="K560">
        <v>2.8340000000000001E-3</v>
      </c>
      <c r="M560" t="s">
        <v>2</v>
      </c>
      <c r="N560">
        <v>2500</v>
      </c>
      <c r="O560">
        <v>54</v>
      </c>
      <c r="P560">
        <v>2230</v>
      </c>
      <c r="Q560">
        <v>0</v>
      </c>
      <c r="R560">
        <v>42174709284</v>
      </c>
      <c r="S560">
        <v>98648750.459999993</v>
      </c>
      <c r="T560">
        <v>41925135895.050003</v>
      </c>
      <c r="U560">
        <v>42076060533.540001</v>
      </c>
      <c r="V560">
        <v>4.2106999999999999E-2</v>
      </c>
      <c r="W560">
        <v>0</v>
      </c>
    </row>
    <row r="561" spans="1:23" x14ac:dyDescent="0.35">
      <c r="A561" t="s">
        <v>2</v>
      </c>
      <c r="B561">
        <v>2500</v>
      </c>
      <c r="C561">
        <v>54</v>
      </c>
      <c r="D561">
        <v>1575</v>
      </c>
      <c r="E561">
        <v>0</v>
      </c>
      <c r="F561">
        <v>29826272095</v>
      </c>
      <c r="G561">
        <v>69839838.709999993</v>
      </c>
      <c r="H561">
        <v>29620279414.110001</v>
      </c>
      <c r="I561">
        <v>29733432469.209999</v>
      </c>
      <c r="J561">
        <v>5.3423999999999999E-2</v>
      </c>
      <c r="K561">
        <v>9.214E-3</v>
      </c>
      <c r="M561" t="s">
        <v>0</v>
      </c>
      <c r="N561">
        <v>2500</v>
      </c>
      <c r="O561">
        <v>54</v>
      </c>
      <c r="P561">
        <v>25113</v>
      </c>
      <c r="Q561">
        <v>0</v>
      </c>
      <c r="R561">
        <v>651744503727</v>
      </c>
      <c r="S561">
        <v>1530427882.27</v>
      </c>
      <c r="T561">
        <v>647898779326.34998</v>
      </c>
      <c r="U561">
        <v>650046893821.82996</v>
      </c>
      <c r="V561">
        <v>4.1806000000000003E-2</v>
      </c>
      <c r="W561">
        <v>3.0739999999999999E-3</v>
      </c>
    </row>
    <row r="562" spans="1:23" x14ac:dyDescent="0.35">
      <c r="A562" t="s">
        <v>0</v>
      </c>
      <c r="B562">
        <v>2750</v>
      </c>
      <c r="C562">
        <v>54</v>
      </c>
      <c r="D562">
        <v>47436</v>
      </c>
      <c r="E562">
        <v>0</v>
      </c>
      <c r="F562">
        <v>1144142452745</v>
      </c>
      <c r="G562">
        <v>2589708049.1500001</v>
      </c>
      <c r="H562">
        <v>1135727545546.8899</v>
      </c>
      <c r="I562">
        <v>1140867162726.8899</v>
      </c>
      <c r="J562">
        <v>5.9414000000000002E-2</v>
      </c>
      <c r="K562">
        <v>7.1669999999999998E-3</v>
      </c>
      <c r="M562" t="s">
        <v>1</v>
      </c>
      <c r="N562">
        <v>2500</v>
      </c>
      <c r="O562">
        <v>54</v>
      </c>
      <c r="P562">
        <v>53756</v>
      </c>
      <c r="Q562">
        <v>0</v>
      </c>
      <c r="R562">
        <v>1684615566348</v>
      </c>
      <c r="S562">
        <v>3948875098.8299999</v>
      </c>
      <c r="T562">
        <v>1670047447850.3301</v>
      </c>
      <c r="U562">
        <v>1679900585861.3101</v>
      </c>
      <c r="V562">
        <v>7.3076000000000002E-2</v>
      </c>
      <c r="W562">
        <v>5.4440000000000001E-3</v>
      </c>
    </row>
    <row r="563" spans="1:23" x14ac:dyDescent="0.35">
      <c r="A563" t="s">
        <v>2</v>
      </c>
      <c r="B563">
        <v>2750</v>
      </c>
      <c r="C563">
        <v>54</v>
      </c>
      <c r="D563">
        <v>4858</v>
      </c>
      <c r="E563">
        <v>0</v>
      </c>
      <c r="F563">
        <v>87569026233</v>
      </c>
      <c r="G563">
        <v>197651604.19</v>
      </c>
      <c r="H563">
        <v>86912174646.979996</v>
      </c>
      <c r="I563">
        <v>87327247683.580002</v>
      </c>
      <c r="J563">
        <v>6.1143000000000003E-2</v>
      </c>
      <c r="K563">
        <v>6.0299999999999998E-3</v>
      </c>
      <c r="M563" t="s">
        <v>0</v>
      </c>
      <c r="N563">
        <v>3000</v>
      </c>
      <c r="O563">
        <v>48</v>
      </c>
      <c r="P563">
        <v>5119</v>
      </c>
      <c r="Q563">
        <v>0</v>
      </c>
      <c r="R563">
        <v>123715061165</v>
      </c>
      <c r="S563">
        <v>263331830.09999999</v>
      </c>
      <c r="T563">
        <v>122861645435.17</v>
      </c>
      <c r="U563">
        <v>123393656445.56</v>
      </c>
      <c r="V563">
        <v>5.5759000000000003E-2</v>
      </c>
      <c r="W563">
        <v>5.6179999999999997E-3</v>
      </c>
    </row>
    <row r="564" spans="1:23" x14ac:dyDescent="0.35">
      <c r="A564" t="s">
        <v>0</v>
      </c>
      <c r="B564">
        <v>2500</v>
      </c>
      <c r="C564">
        <v>54</v>
      </c>
      <c r="D564">
        <v>17635</v>
      </c>
      <c r="E564">
        <v>0</v>
      </c>
      <c r="F564">
        <v>460476741552</v>
      </c>
      <c r="G564">
        <v>1081515444.8499999</v>
      </c>
      <c r="H564">
        <v>457097385277.90002</v>
      </c>
      <c r="I564">
        <v>459149555082.04999</v>
      </c>
      <c r="J564">
        <v>5.8264999999999997E-2</v>
      </c>
      <c r="K564">
        <v>6.3829999999999998E-3</v>
      </c>
      <c r="M564" t="s">
        <v>2</v>
      </c>
      <c r="N564">
        <v>3000</v>
      </c>
      <c r="O564">
        <v>48</v>
      </c>
      <c r="P564">
        <v>371</v>
      </c>
      <c r="Q564">
        <v>0</v>
      </c>
      <c r="R564">
        <v>6828188067</v>
      </c>
      <c r="S564">
        <v>14584585.74</v>
      </c>
      <c r="T564">
        <v>6760137426.1000004</v>
      </c>
      <c r="U564">
        <v>6813603481.2600002</v>
      </c>
      <c r="V564">
        <v>9.0020000000000003E-2</v>
      </c>
      <c r="W564">
        <v>0</v>
      </c>
    </row>
    <row r="565" spans="1:23" x14ac:dyDescent="0.35">
      <c r="A565" t="s">
        <v>1</v>
      </c>
      <c r="B565">
        <v>2500</v>
      </c>
      <c r="C565">
        <v>54</v>
      </c>
      <c r="D565">
        <v>41446</v>
      </c>
      <c r="E565">
        <v>0</v>
      </c>
      <c r="F565">
        <v>1310506599853</v>
      </c>
      <c r="G565">
        <v>3075410555.4899998</v>
      </c>
      <c r="H565">
        <v>1299346633050.6699</v>
      </c>
      <c r="I565">
        <v>1307015970901.8501</v>
      </c>
      <c r="J565">
        <v>7.1568000000000007E-2</v>
      </c>
      <c r="K565">
        <v>3.7950000000000002E-3</v>
      </c>
      <c r="M565" t="s">
        <v>1</v>
      </c>
      <c r="N565">
        <v>3000</v>
      </c>
      <c r="O565">
        <v>48</v>
      </c>
      <c r="P565">
        <v>6020</v>
      </c>
      <c r="Q565">
        <v>0</v>
      </c>
      <c r="R565">
        <v>220629912748</v>
      </c>
      <c r="S565">
        <v>470366750.55000001</v>
      </c>
      <c r="T565">
        <v>218341008951.51999</v>
      </c>
      <c r="U565">
        <v>219961698273.10001</v>
      </c>
      <c r="V565">
        <v>9.4547000000000006E-2</v>
      </c>
      <c r="W565">
        <v>1.0708000000000001E-2</v>
      </c>
    </row>
    <row r="566" spans="1:23" x14ac:dyDescent="0.35">
      <c r="A566" t="s">
        <v>1</v>
      </c>
      <c r="B566">
        <v>4000</v>
      </c>
      <c r="C566">
        <v>54</v>
      </c>
      <c r="D566">
        <v>9719</v>
      </c>
      <c r="E566">
        <v>0</v>
      </c>
      <c r="F566">
        <v>277944283190</v>
      </c>
      <c r="G566">
        <v>518120058.26999998</v>
      </c>
      <c r="H566">
        <v>274481340904.26001</v>
      </c>
      <c r="I566">
        <v>276537513141.66998</v>
      </c>
      <c r="J566">
        <v>0.119987</v>
      </c>
      <c r="K566">
        <v>3.7699000000000003E-2</v>
      </c>
      <c r="M566" t="s">
        <v>0</v>
      </c>
      <c r="N566">
        <v>3500</v>
      </c>
      <c r="O566">
        <v>48</v>
      </c>
      <c r="P566">
        <v>13176</v>
      </c>
      <c r="Q566">
        <v>0</v>
      </c>
      <c r="R566">
        <v>333741061344</v>
      </c>
      <c r="S566">
        <v>660056360.83000004</v>
      </c>
      <c r="T566">
        <v>331405661796.06</v>
      </c>
      <c r="U566">
        <v>332920890335.90002</v>
      </c>
      <c r="V566">
        <v>5.8603000000000002E-2</v>
      </c>
      <c r="W566">
        <v>5.7419999999999997E-3</v>
      </c>
    </row>
    <row r="567" spans="1:23" x14ac:dyDescent="0.35">
      <c r="A567" t="s">
        <v>2</v>
      </c>
      <c r="B567">
        <v>5000</v>
      </c>
      <c r="C567">
        <v>48</v>
      </c>
      <c r="D567">
        <v>2408</v>
      </c>
      <c r="E567">
        <v>0</v>
      </c>
      <c r="F567">
        <v>42442436422</v>
      </c>
      <c r="G567">
        <v>66180658.539999999</v>
      </c>
      <c r="H567">
        <v>42062892509.330002</v>
      </c>
      <c r="I567">
        <v>42331798685.449997</v>
      </c>
      <c r="J567">
        <v>8.5087999999999997E-2</v>
      </c>
      <c r="K567">
        <v>1.2496999999999999E-2</v>
      </c>
      <c r="M567" t="s">
        <v>1</v>
      </c>
      <c r="N567">
        <v>3500</v>
      </c>
      <c r="O567">
        <v>48</v>
      </c>
      <c r="P567">
        <v>12079</v>
      </c>
      <c r="Q567">
        <v>0</v>
      </c>
      <c r="R567">
        <v>427924395671</v>
      </c>
      <c r="S567">
        <v>847266673.12</v>
      </c>
      <c r="T567">
        <v>423030206710.10999</v>
      </c>
      <c r="U567">
        <v>426564816269.34003</v>
      </c>
      <c r="V567">
        <v>0.107765</v>
      </c>
      <c r="W567">
        <v>1.4272E-2</v>
      </c>
    </row>
    <row r="568" spans="1:23" x14ac:dyDescent="0.35">
      <c r="A568" t="s">
        <v>0</v>
      </c>
      <c r="B568">
        <v>5500</v>
      </c>
      <c r="C568">
        <v>48</v>
      </c>
      <c r="D568">
        <v>26042</v>
      </c>
      <c r="E568">
        <v>0</v>
      </c>
      <c r="F568">
        <v>640375513436</v>
      </c>
      <c r="G568">
        <v>917428284.51999998</v>
      </c>
      <c r="H568">
        <v>633766737603.82996</v>
      </c>
      <c r="I568">
        <v>637906679737.78003</v>
      </c>
      <c r="J568">
        <v>0.101588</v>
      </c>
      <c r="K568">
        <v>2.8688000000000002E-2</v>
      </c>
      <c r="M568" t="s">
        <v>2</v>
      </c>
      <c r="N568">
        <v>3500</v>
      </c>
      <c r="O568">
        <v>48</v>
      </c>
      <c r="P568">
        <v>1304</v>
      </c>
      <c r="Q568">
        <v>0</v>
      </c>
      <c r="R568">
        <v>23429878064</v>
      </c>
      <c r="S568">
        <v>46603566.689999998</v>
      </c>
      <c r="T568">
        <v>23171385771.07</v>
      </c>
      <c r="U568">
        <v>23383274497.310001</v>
      </c>
      <c r="V568">
        <v>0.103284</v>
      </c>
      <c r="W568">
        <v>0</v>
      </c>
    </row>
    <row r="569" spans="1:23" x14ac:dyDescent="0.35">
      <c r="A569" t="s">
        <v>1</v>
      </c>
      <c r="B569">
        <v>5500</v>
      </c>
      <c r="C569">
        <v>48</v>
      </c>
      <c r="D569">
        <v>11690</v>
      </c>
      <c r="E569">
        <v>0</v>
      </c>
      <c r="F569">
        <v>360026199636</v>
      </c>
      <c r="G569">
        <v>516204397.60000002</v>
      </c>
      <c r="H569">
        <v>354692630176.56</v>
      </c>
      <c r="I569">
        <v>358482460159.38</v>
      </c>
      <c r="J569">
        <v>0.14926200000000001</v>
      </c>
      <c r="K569">
        <v>3.3716000000000003E-2</v>
      </c>
      <c r="M569" t="s">
        <v>0</v>
      </c>
      <c r="N569">
        <v>4000</v>
      </c>
      <c r="O569">
        <v>48</v>
      </c>
      <c r="P569">
        <v>27184</v>
      </c>
      <c r="Q569">
        <v>0</v>
      </c>
      <c r="R569">
        <v>658984354365</v>
      </c>
      <c r="S569">
        <v>1210068280.6099999</v>
      </c>
      <c r="T569">
        <v>654160741031.81995</v>
      </c>
      <c r="U569">
        <v>657054827050.90002</v>
      </c>
      <c r="V569">
        <v>6.3852999999999993E-2</v>
      </c>
      <c r="W569">
        <v>1.3023E-2</v>
      </c>
    </row>
    <row r="570" spans="1:23" x14ac:dyDescent="0.35">
      <c r="A570" t="s">
        <v>2</v>
      </c>
      <c r="B570">
        <v>5500</v>
      </c>
      <c r="C570">
        <v>48</v>
      </c>
      <c r="D570">
        <v>1996</v>
      </c>
      <c r="E570">
        <v>0</v>
      </c>
      <c r="F570">
        <v>32382005874</v>
      </c>
      <c r="G570">
        <v>46280864.130000003</v>
      </c>
      <c r="H570">
        <v>31985730176.099998</v>
      </c>
      <c r="I570">
        <v>32246458167.16</v>
      </c>
      <c r="J570">
        <v>0.12226099999999999</v>
      </c>
      <c r="K570">
        <v>3.2583000000000001E-2</v>
      </c>
      <c r="M570" t="s">
        <v>1</v>
      </c>
      <c r="N570">
        <v>4000</v>
      </c>
      <c r="O570">
        <v>48</v>
      </c>
      <c r="P570">
        <v>15668</v>
      </c>
      <c r="Q570">
        <v>0</v>
      </c>
      <c r="R570">
        <v>525234567516</v>
      </c>
      <c r="S570">
        <v>962513286.39999998</v>
      </c>
      <c r="T570">
        <v>519145416538.14001</v>
      </c>
      <c r="U570">
        <v>523282347355.21997</v>
      </c>
      <c r="V570">
        <v>0.11104</v>
      </c>
      <c r="W570">
        <v>2.2379E-2</v>
      </c>
    </row>
    <row r="571" spans="1:23" x14ac:dyDescent="0.35">
      <c r="A571" t="s">
        <v>0</v>
      </c>
      <c r="B571">
        <v>3250</v>
      </c>
      <c r="C571">
        <v>54</v>
      </c>
      <c r="D571">
        <v>120083</v>
      </c>
      <c r="E571">
        <v>0</v>
      </c>
      <c r="F571">
        <v>2531350491389</v>
      </c>
      <c r="G571">
        <v>5330977006.2200003</v>
      </c>
      <c r="H571">
        <v>2510668322860.6201</v>
      </c>
      <c r="I571">
        <v>2522260893096.3599</v>
      </c>
      <c r="J571">
        <v>7.0393999999999998E-2</v>
      </c>
      <c r="K571">
        <v>1.7673000000000001E-2</v>
      </c>
      <c r="M571" t="s">
        <v>2</v>
      </c>
      <c r="N571">
        <v>5000</v>
      </c>
      <c r="O571">
        <v>48</v>
      </c>
      <c r="P571">
        <v>2206</v>
      </c>
      <c r="Q571">
        <v>0</v>
      </c>
      <c r="R571">
        <v>38557864914</v>
      </c>
      <c r="S571">
        <v>59966936.590000004</v>
      </c>
      <c r="T571">
        <v>38158355063.68</v>
      </c>
      <c r="U571">
        <v>38456460945.900002</v>
      </c>
      <c r="V571">
        <v>0.100702</v>
      </c>
      <c r="W571">
        <v>1.282E-2</v>
      </c>
    </row>
    <row r="572" spans="1:23" x14ac:dyDescent="0.35">
      <c r="A572" t="s">
        <v>2</v>
      </c>
      <c r="B572">
        <v>3250</v>
      </c>
      <c r="C572">
        <v>54</v>
      </c>
      <c r="D572">
        <v>8801</v>
      </c>
      <c r="E572">
        <v>0</v>
      </c>
      <c r="F572">
        <v>140448456804</v>
      </c>
      <c r="G572">
        <v>296161087.30000001</v>
      </c>
      <c r="H572">
        <v>139249324117.09</v>
      </c>
      <c r="I572">
        <v>140080096375.41</v>
      </c>
      <c r="J572">
        <v>7.4480000000000005E-2</v>
      </c>
      <c r="K572">
        <v>6.1510000000000002E-3</v>
      </c>
      <c r="M572" t="s">
        <v>0</v>
      </c>
      <c r="N572">
        <v>5500</v>
      </c>
      <c r="O572">
        <v>48</v>
      </c>
      <c r="P572">
        <v>21905</v>
      </c>
      <c r="Q572">
        <v>0</v>
      </c>
      <c r="R572">
        <v>539452576035</v>
      </c>
      <c r="S572">
        <v>770594927.46000004</v>
      </c>
      <c r="T572">
        <v>535045086041.07001</v>
      </c>
      <c r="U572">
        <v>537357103730.44</v>
      </c>
      <c r="V572">
        <v>7.7967999999999996E-2</v>
      </c>
      <c r="W572">
        <v>2.9076999999999999E-2</v>
      </c>
    </row>
    <row r="573" spans="1:23" x14ac:dyDescent="0.35">
      <c r="A573" t="s">
        <v>1</v>
      </c>
      <c r="B573">
        <v>2250</v>
      </c>
      <c r="C573">
        <v>54</v>
      </c>
      <c r="D573">
        <v>38383</v>
      </c>
      <c r="E573">
        <v>0</v>
      </c>
      <c r="F573">
        <v>1236877367085</v>
      </c>
      <c r="G573">
        <v>2985114096.1399999</v>
      </c>
      <c r="H573">
        <v>1227021018730.96</v>
      </c>
      <c r="I573">
        <v>1233354016580.6599</v>
      </c>
      <c r="J573">
        <v>6.4663999999999999E-2</v>
      </c>
      <c r="K573">
        <v>5.2090000000000001E-3</v>
      </c>
      <c r="M573" t="s">
        <v>1</v>
      </c>
      <c r="N573">
        <v>5500</v>
      </c>
      <c r="O573">
        <v>48</v>
      </c>
      <c r="P573">
        <v>9848</v>
      </c>
      <c r="Q573">
        <v>0</v>
      </c>
      <c r="R573">
        <v>302031063767</v>
      </c>
      <c r="S573">
        <v>431467002.45999998</v>
      </c>
      <c r="T573">
        <v>297973917670.53998</v>
      </c>
      <c r="U573">
        <v>300926789000.70001</v>
      </c>
      <c r="V573">
        <v>0.134912</v>
      </c>
      <c r="W573">
        <v>2.6405999999999999E-2</v>
      </c>
    </row>
    <row r="574" spans="1:23" x14ac:dyDescent="0.35">
      <c r="A574" t="s">
        <v>0</v>
      </c>
      <c r="B574">
        <v>2250</v>
      </c>
      <c r="C574">
        <v>54</v>
      </c>
      <c r="D574">
        <v>7068</v>
      </c>
      <c r="E574">
        <v>0</v>
      </c>
      <c r="F574">
        <v>180287732428</v>
      </c>
      <c r="G574">
        <v>436990146.05000001</v>
      </c>
      <c r="H574">
        <v>179181297719.04999</v>
      </c>
      <c r="I574">
        <v>179850742281.95001</v>
      </c>
      <c r="J574">
        <v>4.3659999999999997E-2</v>
      </c>
      <c r="K574">
        <v>0</v>
      </c>
      <c r="M574" t="s">
        <v>2</v>
      </c>
      <c r="N574">
        <v>5500</v>
      </c>
      <c r="O574">
        <v>48</v>
      </c>
      <c r="P574">
        <v>1612</v>
      </c>
      <c r="Q574">
        <v>0</v>
      </c>
      <c r="R574">
        <v>25515293601</v>
      </c>
      <c r="S574">
        <v>36372290.509999998</v>
      </c>
      <c r="T574">
        <v>25160166267.490002</v>
      </c>
      <c r="U574">
        <v>25394471806.099998</v>
      </c>
      <c r="V574">
        <v>0.14002899999999999</v>
      </c>
      <c r="W574">
        <v>3.9002000000000002E-2</v>
      </c>
    </row>
    <row r="575" spans="1:23" x14ac:dyDescent="0.35">
      <c r="A575" t="s">
        <v>0</v>
      </c>
      <c r="B575">
        <v>3750</v>
      </c>
      <c r="C575">
        <v>54</v>
      </c>
      <c r="D575">
        <v>60074</v>
      </c>
      <c r="E575">
        <v>0</v>
      </c>
      <c r="F575">
        <v>1356067626788</v>
      </c>
      <c r="G575">
        <v>2641185203.6700001</v>
      </c>
      <c r="H575">
        <v>1346169297823.46</v>
      </c>
      <c r="I575">
        <v>1352068308488.45</v>
      </c>
      <c r="J575">
        <v>6.2362000000000001E-2</v>
      </c>
      <c r="K575">
        <v>1.1952000000000001E-2</v>
      </c>
      <c r="M575" t="s">
        <v>0</v>
      </c>
      <c r="N575">
        <v>2250</v>
      </c>
      <c r="O575">
        <v>54</v>
      </c>
      <c r="P575">
        <v>10558</v>
      </c>
      <c r="Q575">
        <v>0</v>
      </c>
      <c r="R575">
        <v>270222972444</v>
      </c>
      <c r="S575">
        <v>655155301.25</v>
      </c>
      <c r="T575">
        <v>268531573310.45999</v>
      </c>
      <c r="U575">
        <v>269442585625.14999</v>
      </c>
      <c r="V575">
        <v>4.5059000000000002E-2</v>
      </c>
      <c r="W575">
        <v>5.5469999999999998E-3</v>
      </c>
    </row>
    <row r="576" spans="1:23" x14ac:dyDescent="0.35">
      <c r="A576" t="s">
        <v>3</v>
      </c>
      <c r="B576">
        <v>3500</v>
      </c>
      <c r="C576">
        <v>54</v>
      </c>
      <c r="D576">
        <v>138</v>
      </c>
      <c r="E576">
        <v>0</v>
      </c>
      <c r="F576">
        <v>3208774126</v>
      </c>
      <c r="G576">
        <v>6482396.8600000003</v>
      </c>
      <c r="H576">
        <v>3148204602.1900001</v>
      </c>
      <c r="I576">
        <v>3202291729.1399999</v>
      </c>
      <c r="J576">
        <v>0.184535</v>
      </c>
      <c r="K576">
        <v>0</v>
      </c>
      <c r="M576" t="s">
        <v>2</v>
      </c>
      <c r="N576">
        <v>3250</v>
      </c>
      <c r="O576">
        <v>54</v>
      </c>
      <c r="P576">
        <v>10175</v>
      </c>
      <c r="Q576">
        <v>0</v>
      </c>
      <c r="R576">
        <v>160955869675</v>
      </c>
      <c r="S576">
        <v>339373765.06999999</v>
      </c>
      <c r="T576">
        <v>159588982180.73001</v>
      </c>
      <c r="U576">
        <v>160444132717.20001</v>
      </c>
      <c r="V576">
        <v>7.3972999999999997E-2</v>
      </c>
      <c r="W576">
        <v>1.2775E-2</v>
      </c>
    </row>
    <row r="577" spans="1:23" x14ac:dyDescent="0.35">
      <c r="A577" t="s">
        <v>2</v>
      </c>
      <c r="B577">
        <v>2250</v>
      </c>
      <c r="C577">
        <v>54</v>
      </c>
      <c r="D577">
        <v>533</v>
      </c>
      <c r="E577">
        <v>0</v>
      </c>
      <c r="F577">
        <v>9676230942</v>
      </c>
      <c r="G577">
        <v>23326972.800000001</v>
      </c>
      <c r="H577">
        <v>9557926674.6100006</v>
      </c>
      <c r="I577">
        <v>9628797287.1000004</v>
      </c>
      <c r="J577">
        <v>0.11163099999999999</v>
      </c>
      <c r="K577">
        <v>2.9489999999999999E-2</v>
      </c>
      <c r="M577" t="s">
        <v>1</v>
      </c>
      <c r="N577">
        <v>2250</v>
      </c>
      <c r="O577">
        <v>54</v>
      </c>
      <c r="P577">
        <v>54122</v>
      </c>
      <c r="Q577">
        <v>0</v>
      </c>
      <c r="R577">
        <v>1718463837124</v>
      </c>
      <c r="S577">
        <v>4144050861.3000002</v>
      </c>
      <c r="T577">
        <v>1706114975810.25</v>
      </c>
      <c r="U577">
        <v>1713684181261.6201</v>
      </c>
      <c r="V577">
        <v>5.5813000000000001E-2</v>
      </c>
      <c r="W577">
        <v>4.4289999999999998E-3</v>
      </c>
    </row>
    <row r="578" spans="1:23" x14ac:dyDescent="0.35">
      <c r="A578" t="s">
        <v>1</v>
      </c>
      <c r="B578">
        <v>3250</v>
      </c>
      <c r="C578">
        <v>54</v>
      </c>
      <c r="D578">
        <v>42760</v>
      </c>
      <c r="E578">
        <v>0</v>
      </c>
      <c r="F578">
        <v>1270273132164</v>
      </c>
      <c r="G578">
        <v>2658962905.9499998</v>
      </c>
      <c r="H578">
        <v>1255730496383.49</v>
      </c>
      <c r="I578">
        <v>1265365183250.1899</v>
      </c>
      <c r="J578">
        <v>0.10666299999999999</v>
      </c>
      <c r="K578">
        <v>2.104E-2</v>
      </c>
      <c r="M578" t="s">
        <v>0</v>
      </c>
      <c r="N578">
        <v>3750</v>
      </c>
      <c r="O578">
        <v>54</v>
      </c>
      <c r="P578">
        <v>54962</v>
      </c>
      <c r="Q578">
        <v>0</v>
      </c>
      <c r="R578">
        <v>1201291387874</v>
      </c>
      <c r="S578">
        <v>2343817140.5599999</v>
      </c>
      <c r="T578">
        <v>1192564830423.02</v>
      </c>
      <c r="U578">
        <v>1197663331919.49</v>
      </c>
      <c r="V578">
        <v>6.1927999999999997E-2</v>
      </c>
      <c r="W578">
        <v>1.2753E-2</v>
      </c>
    </row>
    <row r="579" spans="1:23" x14ac:dyDescent="0.35">
      <c r="A579" t="s">
        <v>2</v>
      </c>
      <c r="B579">
        <v>4500</v>
      </c>
      <c r="C579">
        <v>54</v>
      </c>
      <c r="D579">
        <v>554</v>
      </c>
      <c r="E579">
        <v>0</v>
      </c>
      <c r="F579">
        <v>7734301628</v>
      </c>
      <c r="G579">
        <v>13518830.85</v>
      </c>
      <c r="H579">
        <v>7679345546.6899996</v>
      </c>
      <c r="I579">
        <v>7694881324.4799995</v>
      </c>
      <c r="J579">
        <v>6.2429999999999999E-2</v>
      </c>
      <c r="K579">
        <v>3.9454999999999997E-2</v>
      </c>
      <c r="M579" t="s">
        <v>3</v>
      </c>
      <c r="N579">
        <v>3500</v>
      </c>
      <c r="O579">
        <v>54</v>
      </c>
      <c r="P579">
        <v>135</v>
      </c>
      <c r="Q579">
        <v>0</v>
      </c>
      <c r="R579">
        <v>3055876310</v>
      </c>
      <c r="S579">
        <v>6166487.8300000001</v>
      </c>
      <c r="T579">
        <v>3028845804.7399998</v>
      </c>
      <c r="U579">
        <v>3049709822.1700001</v>
      </c>
      <c r="V579">
        <v>7.8922000000000006E-2</v>
      </c>
      <c r="W579">
        <v>0</v>
      </c>
    </row>
    <row r="580" spans="1:23" x14ac:dyDescent="0.35">
      <c r="A580" t="s">
        <v>2</v>
      </c>
      <c r="B580">
        <v>5000</v>
      </c>
      <c r="C580">
        <v>54</v>
      </c>
      <c r="D580">
        <v>75</v>
      </c>
      <c r="E580">
        <v>0</v>
      </c>
      <c r="F580">
        <v>939378233</v>
      </c>
      <c r="G580">
        <v>1569921.4</v>
      </c>
      <c r="H580">
        <v>925435411.38999999</v>
      </c>
      <c r="I580">
        <v>937808311.60000002</v>
      </c>
      <c r="J580">
        <v>0.147095</v>
      </c>
      <c r="K580">
        <v>0</v>
      </c>
      <c r="M580" t="s">
        <v>2</v>
      </c>
      <c r="N580">
        <v>2250</v>
      </c>
      <c r="O580">
        <v>54</v>
      </c>
      <c r="P580">
        <v>810</v>
      </c>
      <c r="Q580">
        <v>0</v>
      </c>
      <c r="R580">
        <v>14869466173</v>
      </c>
      <c r="S580">
        <v>35822808.649999999</v>
      </c>
      <c r="T580">
        <v>14747272426.059999</v>
      </c>
      <c r="U580">
        <v>14833643364.35</v>
      </c>
      <c r="V580">
        <v>6.7518999999999996E-2</v>
      </c>
      <c r="W580">
        <v>0</v>
      </c>
    </row>
    <row r="581" spans="1:23" x14ac:dyDescent="0.35">
      <c r="A581" t="s">
        <v>0</v>
      </c>
      <c r="B581">
        <v>5000</v>
      </c>
      <c r="C581">
        <v>54</v>
      </c>
      <c r="D581">
        <v>1635</v>
      </c>
      <c r="E581">
        <v>0</v>
      </c>
      <c r="F581">
        <v>38286205354</v>
      </c>
      <c r="G581">
        <v>61094122.049999997</v>
      </c>
      <c r="H581">
        <v>37734537405.769997</v>
      </c>
      <c r="I581">
        <v>38103176922.639999</v>
      </c>
      <c r="J581">
        <v>0.143374</v>
      </c>
      <c r="K581">
        <v>3.7554999999999998E-2</v>
      </c>
      <c r="M581" t="s">
        <v>1</v>
      </c>
      <c r="N581">
        <v>3250</v>
      </c>
      <c r="O581">
        <v>54</v>
      </c>
      <c r="P581">
        <v>40565</v>
      </c>
      <c r="Q581">
        <v>0</v>
      </c>
      <c r="R581">
        <v>1163740333648</v>
      </c>
      <c r="S581">
        <v>2437464243.8800001</v>
      </c>
      <c r="T581">
        <v>1150257886033.0901</v>
      </c>
      <c r="U581">
        <v>1159562659079.27</v>
      </c>
      <c r="V581">
        <v>0.10813</v>
      </c>
      <c r="W581">
        <v>1.7797E-2</v>
      </c>
    </row>
    <row r="582" spans="1:23" x14ac:dyDescent="0.35">
      <c r="A582" t="s">
        <v>0</v>
      </c>
      <c r="B582">
        <v>5500</v>
      </c>
      <c r="C582">
        <v>54</v>
      </c>
      <c r="D582">
        <v>371</v>
      </c>
      <c r="E582">
        <v>0</v>
      </c>
      <c r="F582">
        <v>8973833378</v>
      </c>
      <c r="G582">
        <v>13218409.27</v>
      </c>
      <c r="H582">
        <v>8848485833.9099998</v>
      </c>
      <c r="I582">
        <v>8947294182.3700008</v>
      </c>
      <c r="J582">
        <v>0.14005400000000001</v>
      </c>
      <c r="K582">
        <v>1.7668E-2</v>
      </c>
      <c r="M582" t="s">
        <v>1</v>
      </c>
      <c r="N582">
        <v>4000</v>
      </c>
      <c r="O582">
        <v>54</v>
      </c>
      <c r="P582">
        <v>4801</v>
      </c>
      <c r="Q582">
        <v>0</v>
      </c>
      <c r="R582">
        <v>124594284243</v>
      </c>
      <c r="S582">
        <v>232727321.75</v>
      </c>
      <c r="T582">
        <v>123088265228.25999</v>
      </c>
      <c r="U582">
        <v>123947727916.78</v>
      </c>
      <c r="V582">
        <v>0.115971</v>
      </c>
      <c r="W582">
        <v>3.9136999999999998E-2</v>
      </c>
    </row>
    <row r="583" spans="1:23" x14ac:dyDescent="0.35">
      <c r="A583" t="s">
        <v>0</v>
      </c>
      <c r="B583">
        <v>6000</v>
      </c>
      <c r="C583">
        <v>48</v>
      </c>
      <c r="D583">
        <v>9534</v>
      </c>
      <c r="E583">
        <v>0</v>
      </c>
      <c r="F583">
        <v>221595546738</v>
      </c>
      <c r="G583">
        <v>292146792.98000002</v>
      </c>
      <c r="H583">
        <v>218681370480.07999</v>
      </c>
      <c r="I583">
        <v>220420960298.92999</v>
      </c>
      <c r="J583">
        <v>0.133104</v>
      </c>
      <c r="K583">
        <v>4.6753999999999997E-2</v>
      </c>
      <c r="M583" t="s">
        <v>2</v>
      </c>
      <c r="N583">
        <v>4000</v>
      </c>
      <c r="O583">
        <v>48</v>
      </c>
      <c r="P583">
        <v>2246</v>
      </c>
      <c r="Q583">
        <v>0</v>
      </c>
      <c r="R583">
        <v>38836674147</v>
      </c>
      <c r="S583">
        <v>71502496.170000002</v>
      </c>
      <c r="T583">
        <v>38405614343.150002</v>
      </c>
      <c r="U583">
        <v>38638095143.739998</v>
      </c>
      <c r="V583">
        <v>0.105612</v>
      </c>
      <c r="W583">
        <v>3.8566000000000003E-2</v>
      </c>
    </row>
    <row r="584" spans="1:23" x14ac:dyDescent="0.35">
      <c r="A584" t="s">
        <v>2</v>
      </c>
      <c r="B584">
        <v>6000</v>
      </c>
      <c r="C584">
        <v>48</v>
      </c>
      <c r="D584">
        <v>535</v>
      </c>
      <c r="E584">
        <v>0</v>
      </c>
      <c r="F584">
        <v>7610575113</v>
      </c>
      <c r="G584">
        <v>10033892.140000001</v>
      </c>
      <c r="H584">
        <v>7522377117.3699999</v>
      </c>
      <c r="I584">
        <v>7588815976.4499998</v>
      </c>
      <c r="J584">
        <v>0.116517</v>
      </c>
      <c r="K584">
        <v>1.8332000000000001E-2</v>
      </c>
      <c r="M584" t="s">
        <v>2</v>
      </c>
      <c r="N584">
        <v>4500</v>
      </c>
      <c r="O584">
        <v>54</v>
      </c>
      <c r="P584">
        <v>236</v>
      </c>
      <c r="Q584">
        <v>0</v>
      </c>
      <c r="R584">
        <v>3178397560</v>
      </c>
      <c r="S584">
        <v>5626612.1799999997</v>
      </c>
      <c r="T584">
        <v>3136151300.6199999</v>
      </c>
      <c r="U584">
        <v>3172770947.8200002</v>
      </c>
      <c r="V584">
        <v>0.12982399999999999</v>
      </c>
      <c r="W584">
        <v>0</v>
      </c>
    </row>
    <row r="585" spans="1:23" x14ac:dyDescent="0.35">
      <c r="A585" t="s">
        <v>1</v>
      </c>
      <c r="B585">
        <v>2750</v>
      </c>
      <c r="C585">
        <v>54</v>
      </c>
      <c r="D585">
        <v>62132</v>
      </c>
      <c r="E585">
        <v>0</v>
      </c>
      <c r="F585">
        <v>1920086912349</v>
      </c>
      <c r="G585">
        <v>4330773655.3000002</v>
      </c>
      <c r="H585">
        <v>1901508119280.8999</v>
      </c>
      <c r="I585">
        <v>1914571566067.0701</v>
      </c>
      <c r="J585">
        <v>8.5500000000000007E-2</v>
      </c>
      <c r="K585">
        <v>7.378E-3</v>
      </c>
      <c r="M585" t="s">
        <v>0</v>
      </c>
      <c r="N585">
        <v>6000</v>
      </c>
      <c r="O585">
        <v>48</v>
      </c>
      <c r="P585">
        <v>6715</v>
      </c>
      <c r="Q585">
        <v>0</v>
      </c>
      <c r="R585">
        <v>155512288883</v>
      </c>
      <c r="S585">
        <v>204498143.38999999</v>
      </c>
      <c r="T585">
        <v>153858149913.70999</v>
      </c>
      <c r="U585">
        <v>154971010623.59</v>
      </c>
      <c r="V585">
        <v>0.10630000000000001</v>
      </c>
      <c r="W585">
        <v>2.5680000000000001E-2</v>
      </c>
    </row>
    <row r="586" spans="1:23" x14ac:dyDescent="0.35">
      <c r="A586" t="s">
        <v>0</v>
      </c>
      <c r="B586">
        <v>4250</v>
      </c>
      <c r="C586">
        <v>54</v>
      </c>
      <c r="D586">
        <v>24034</v>
      </c>
      <c r="E586">
        <v>0</v>
      </c>
      <c r="F586">
        <v>550137961554</v>
      </c>
      <c r="G586">
        <v>988296377.04999995</v>
      </c>
      <c r="H586">
        <v>545142666634.34998</v>
      </c>
      <c r="I586">
        <v>548266762665.66998</v>
      </c>
      <c r="J586">
        <v>8.3986000000000005E-2</v>
      </c>
      <c r="K586">
        <v>1.9088999999999998E-2</v>
      </c>
      <c r="M586" t="s">
        <v>2</v>
      </c>
      <c r="N586">
        <v>6000</v>
      </c>
      <c r="O586">
        <v>48</v>
      </c>
      <c r="P586">
        <v>369</v>
      </c>
      <c r="Q586">
        <v>0</v>
      </c>
      <c r="R586">
        <v>4960229088</v>
      </c>
      <c r="S586">
        <v>6529079.3499999996</v>
      </c>
      <c r="T586">
        <v>4942185972.3199997</v>
      </c>
      <c r="U586">
        <v>4953700008.6499996</v>
      </c>
      <c r="V586">
        <v>2.7501999999999999E-2</v>
      </c>
      <c r="W586">
        <v>0</v>
      </c>
    </row>
    <row r="587" spans="1:23" x14ac:dyDescent="0.35">
      <c r="A587" t="s">
        <v>2</v>
      </c>
      <c r="B587">
        <v>3750</v>
      </c>
      <c r="C587">
        <v>54</v>
      </c>
      <c r="D587">
        <v>5432</v>
      </c>
      <c r="E587">
        <v>0</v>
      </c>
      <c r="F587">
        <v>83797111764</v>
      </c>
      <c r="G587">
        <v>164513854.05000001</v>
      </c>
      <c r="H587">
        <v>82815948950.220001</v>
      </c>
      <c r="I587">
        <v>83453789682</v>
      </c>
      <c r="J587">
        <v>0.110877</v>
      </c>
      <c r="K587">
        <v>2.5307E-2</v>
      </c>
      <c r="M587" t="s">
        <v>1</v>
      </c>
      <c r="N587">
        <v>2750</v>
      </c>
      <c r="O587">
        <v>54</v>
      </c>
      <c r="P587">
        <v>73542</v>
      </c>
      <c r="Q587">
        <v>0</v>
      </c>
      <c r="R587">
        <v>2252548291700</v>
      </c>
      <c r="S587">
        <v>5076003678.1499996</v>
      </c>
      <c r="T587">
        <v>2232126066242.4902</v>
      </c>
      <c r="U587">
        <v>2245857472280.9102</v>
      </c>
      <c r="V587">
        <v>7.8758999999999996E-2</v>
      </c>
      <c r="W587">
        <v>8.5690000000000002E-3</v>
      </c>
    </row>
    <row r="588" spans="1:23" x14ac:dyDescent="0.35">
      <c r="A588" t="s">
        <v>1</v>
      </c>
      <c r="B588">
        <v>3750</v>
      </c>
      <c r="C588">
        <v>54</v>
      </c>
      <c r="D588">
        <v>22095</v>
      </c>
      <c r="E588">
        <v>0</v>
      </c>
      <c r="F588">
        <v>642710396356</v>
      </c>
      <c r="G588">
        <v>1247609263.1500001</v>
      </c>
      <c r="H588">
        <v>635436761418.09998</v>
      </c>
      <c r="I588">
        <v>640222096082.04004</v>
      </c>
      <c r="J588">
        <v>0.106887</v>
      </c>
      <c r="K588">
        <v>2.2919999999999999E-2</v>
      </c>
      <c r="M588" t="s">
        <v>0</v>
      </c>
      <c r="N588">
        <v>5000</v>
      </c>
      <c r="O588">
        <v>54</v>
      </c>
      <c r="P588">
        <v>542</v>
      </c>
      <c r="Q588">
        <v>0</v>
      </c>
      <c r="R588">
        <v>11902523348</v>
      </c>
      <c r="S588">
        <v>19026096.789999999</v>
      </c>
      <c r="T588">
        <v>11808504430.219999</v>
      </c>
      <c r="U588">
        <v>11883497251.209999</v>
      </c>
      <c r="V588">
        <v>7.3040999999999995E-2</v>
      </c>
      <c r="W588">
        <v>0</v>
      </c>
    </row>
    <row r="589" spans="1:23" x14ac:dyDescent="0.35">
      <c r="A589" t="s">
        <v>0</v>
      </c>
      <c r="B589">
        <v>3750</v>
      </c>
      <c r="C589">
        <v>48</v>
      </c>
      <c r="D589">
        <v>10539</v>
      </c>
      <c r="E589">
        <v>0</v>
      </c>
      <c r="F589">
        <v>268311555589</v>
      </c>
      <c r="G589">
        <v>510860705.20999998</v>
      </c>
      <c r="H589">
        <v>265697150302.32001</v>
      </c>
      <c r="I589">
        <v>267517199024.47</v>
      </c>
      <c r="J589">
        <v>9.0126999999999999E-2</v>
      </c>
      <c r="K589">
        <v>1.2605999999999999E-2</v>
      </c>
      <c r="M589" t="s">
        <v>0</v>
      </c>
      <c r="N589">
        <v>4250</v>
      </c>
      <c r="O589">
        <v>54</v>
      </c>
      <c r="P589">
        <v>14762</v>
      </c>
      <c r="Q589">
        <v>0</v>
      </c>
      <c r="R589">
        <v>326627066346</v>
      </c>
      <c r="S589">
        <v>588132265.79999995</v>
      </c>
      <c r="T589">
        <v>324256236052.41998</v>
      </c>
      <c r="U589">
        <v>325649391391.65002</v>
      </c>
      <c r="V589">
        <v>6.3563999999999996E-2</v>
      </c>
      <c r="W589">
        <v>1.4218E-2</v>
      </c>
    </row>
    <row r="590" spans="1:23" x14ac:dyDescent="0.35">
      <c r="A590" t="s">
        <v>2</v>
      </c>
      <c r="B590">
        <v>3750</v>
      </c>
      <c r="C590">
        <v>48</v>
      </c>
      <c r="D590">
        <v>960</v>
      </c>
      <c r="E590">
        <v>0</v>
      </c>
      <c r="F590">
        <v>17360930516</v>
      </c>
      <c r="G590">
        <v>33256706.66</v>
      </c>
      <c r="H590">
        <v>17156824144.030001</v>
      </c>
      <c r="I590">
        <v>17318677191.419998</v>
      </c>
      <c r="J590">
        <v>0.11190600000000001</v>
      </c>
      <c r="K590">
        <v>6.2009999999999999E-3</v>
      </c>
      <c r="M590" t="s">
        <v>2</v>
      </c>
      <c r="N590">
        <v>3750</v>
      </c>
      <c r="O590">
        <v>54</v>
      </c>
      <c r="P590">
        <v>4609</v>
      </c>
      <c r="Q590">
        <v>0</v>
      </c>
      <c r="R590">
        <v>68994464032</v>
      </c>
      <c r="S590">
        <v>135658994.05000001</v>
      </c>
      <c r="T590">
        <v>68453269107.32</v>
      </c>
      <c r="U590">
        <v>68794359843.270004</v>
      </c>
      <c r="V590">
        <v>6.8297999999999998E-2</v>
      </c>
      <c r="W590">
        <v>1.1150999999999999E-2</v>
      </c>
    </row>
    <row r="591" spans="1:23" x14ac:dyDescent="0.35">
      <c r="A591" t="s">
        <v>1</v>
      </c>
      <c r="B591">
        <v>3000</v>
      </c>
      <c r="C591">
        <v>48</v>
      </c>
      <c r="D591">
        <v>2343</v>
      </c>
      <c r="E591">
        <v>0</v>
      </c>
      <c r="F591">
        <v>86946493233</v>
      </c>
      <c r="G591">
        <v>185530102.68000001</v>
      </c>
      <c r="H591">
        <v>86381517559.830002</v>
      </c>
      <c r="I591">
        <v>86747243808.130005</v>
      </c>
      <c r="J591">
        <v>5.1131000000000003E-2</v>
      </c>
      <c r="K591">
        <v>1.892E-3</v>
      </c>
      <c r="M591" t="s">
        <v>0</v>
      </c>
      <c r="N591">
        <v>5500</v>
      </c>
      <c r="O591">
        <v>54</v>
      </c>
      <c r="P591">
        <v>103</v>
      </c>
      <c r="Q591">
        <v>0</v>
      </c>
      <c r="R591">
        <v>2368628791</v>
      </c>
      <c r="S591">
        <v>3500968.8</v>
      </c>
      <c r="T591">
        <v>2284061461.8600001</v>
      </c>
      <c r="U591">
        <v>2293145520.3000002</v>
      </c>
      <c r="V591">
        <v>0.34156700000000001</v>
      </c>
      <c r="W591">
        <v>0.30949700000000002</v>
      </c>
    </row>
    <row r="592" spans="1:23" x14ac:dyDescent="0.35">
      <c r="A592" t="s">
        <v>0</v>
      </c>
      <c r="B592">
        <v>3500</v>
      </c>
      <c r="C592">
        <v>48</v>
      </c>
      <c r="D592">
        <v>5720</v>
      </c>
      <c r="E592">
        <v>0</v>
      </c>
      <c r="F592">
        <v>143253479239</v>
      </c>
      <c r="G592">
        <v>283328215.72000003</v>
      </c>
      <c r="H592">
        <v>141902315112.88</v>
      </c>
      <c r="I592">
        <v>142804119080.42001</v>
      </c>
      <c r="J592">
        <v>8.5872000000000004E-2</v>
      </c>
      <c r="K592">
        <v>1.3820000000000001E-2</v>
      </c>
      <c r="M592" t="s">
        <v>0</v>
      </c>
      <c r="N592">
        <v>3250</v>
      </c>
      <c r="O592">
        <v>48</v>
      </c>
      <c r="P592">
        <v>10432</v>
      </c>
      <c r="Q592">
        <v>0</v>
      </c>
      <c r="R592">
        <v>249238449618</v>
      </c>
      <c r="S592">
        <v>511189476.25999999</v>
      </c>
      <c r="T592">
        <v>247337834411.54001</v>
      </c>
      <c r="U592">
        <v>248522322091.54001</v>
      </c>
      <c r="V592">
        <v>6.4882999999999996E-2</v>
      </c>
      <c r="W592">
        <v>9.8230000000000001E-3</v>
      </c>
    </row>
    <row r="593" spans="1:23" x14ac:dyDescent="0.35">
      <c r="A593" t="s">
        <v>0</v>
      </c>
      <c r="B593">
        <v>4000</v>
      </c>
      <c r="C593">
        <v>48</v>
      </c>
      <c r="D593">
        <v>14713</v>
      </c>
      <c r="E593">
        <v>0</v>
      </c>
      <c r="F593">
        <v>378481467149</v>
      </c>
      <c r="G593">
        <v>693601992.11000001</v>
      </c>
      <c r="H593">
        <v>375332855911.65997</v>
      </c>
      <c r="I593">
        <v>377369631338.03003</v>
      </c>
      <c r="J593">
        <v>7.5120000000000006E-2</v>
      </c>
      <c r="K593">
        <v>1.3180000000000001E-2</v>
      </c>
      <c r="M593" t="s">
        <v>2</v>
      </c>
      <c r="N593">
        <v>3250</v>
      </c>
      <c r="O593">
        <v>48</v>
      </c>
      <c r="P593">
        <v>889</v>
      </c>
      <c r="Q593">
        <v>0</v>
      </c>
      <c r="R593">
        <v>15678212218</v>
      </c>
      <c r="S593">
        <v>32306526.43</v>
      </c>
      <c r="T593">
        <v>15505285397.280001</v>
      </c>
      <c r="U593">
        <v>15645905691.57</v>
      </c>
      <c r="V593">
        <v>0.102476</v>
      </c>
      <c r="W593">
        <v>0</v>
      </c>
    </row>
    <row r="594" spans="1:23" x14ac:dyDescent="0.35">
      <c r="A594" t="s">
        <v>2</v>
      </c>
      <c r="B594">
        <v>4000</v>
      </c>
      <c r="C594">
        <v>48</v>
      </c>
      <c r="D594">
        <v>1153</v>
      </c>
      <c r="E594">
        <v>0</v>
      </c>
      <c r="F594">
        <v>20842470033</v>
      </c>
      <c r="G594">
        <v>38421897.43</v>
      </c>
      <c r="H594">
        <v>20648205570.810001</v>
      </c>
      <c r="I594">
        <v>20746234070.060001</v>
      </c>
      <c r="J594">
        <v>8.6125999999999994E-2</v>
      </c>
      <c r="K594">
        <v>3.2783E-2</v>
      </c>
      <c r="M594" t="s">
        <v>0</v>
      </c>
      <c r="N594">
        <v>3750</v>
      </c>
      <c r="O594">
        <v>48</v>
      </c>
      <c r="P594">
        <v>23490</v>
      </c>
      <c r="Q594">
        <v>0</v>
      </c>
      <c r="R594">
        <v>584866259282</v>
      </c>
      <c r="S594">
        <v>1113945356.9000001</v>
      </c>
      <c r="T594">
        <v>581104222999.94995</v>
      </c>
      <c r="U594">
        <v>583281537886.78003</v>
      </c>
      <c r="V594">
        <v>5.2998999999999998E-2</v>
      </c>
      <c r="W594">
        <v>9.6170000000000005E-3</v>
      </c>
    </row>
    <row r="595" spans="1:23" x14ac:dyDescent="0.35">
      <c r="A595" t="s">
        <v>1</v>
      </c>
      <c r="B595">
        <v>4000</v>
      </c>
      <c r="C595">
        <v>48</v>
      </c>
      <c r="D595">
        <v>11080</v>
      </c>
      <c r="E595">
        <v>0</v>
      </c>
      <c r="F595">
        <v>388076361075</v>
      </c>
      <c r="G595">
        <v>711148655.75999999</v>
      </c>
      <c r="H595">
        <v>383676800664.56</v>
      </c>
      <c r="I595">
        <v>386942046813.64001</v>
      </c>
      <c r="J595">
        <v>0.108275</v>
      </c>
      <c r="K595">
        <v>1.3006999999999999E-2</v>
      </c>
      <c r="M595" t="s">
        <v>1</v>
      </c>
      <c r="N595">
        <v>3750</v>
      </c>
      <c r="O595">
        <v>48</v>
      </c>
      <c r="P595">
        <v>19051</v>
      </c>
      <c r="Q595">
        <v>0</v>
      </c>
      <c r="R595">
        <v>653380192410</v>
      </c>
      <c r="S595">
        <v>1243732967.1700001</v>
      </c>
      <c r="T595">
        <v>646540076316.06006</v>
      </c>
      <c r="U595">
        <v>651536788439.97998</v>
      </c>
      <c r="V595">
        <v>9.8076999999999998E-2</v>
      </c>
      <c r="W595">
        <v>1.0958000000000001E-2</v>
      </c>
    </row>
    <row r="596" spans="1:23" x14ac:dyDescent="0.35">
      <c r="A596" t="s">
        <v>0</v>
      </c>
      <c r="B596">
        <v>4250</v>
      </c>
      <c r="C596">
        <v>48</v>
      </c>
      <c r="D596">
        <v>20624</v>
      </c>
      <c r="E596">
        <v>0</v>
      </c>
      <c r="F596">
        <v>544790942132</v>
      </c>
      <c r="G596">
        <v>957772763.42999995</v>
      </c>
      <c r="H596">
        <v>540582203576.71002</v>
      </c>
      <c r="I596">
        <v>543442088518.94</v>
      </c>
      <c r="J596">
        <v>6.9304000000000004E-2</v>
      </c>
      <c r="K596">
        <v>8.5800000000000008E-3</v>
      </c>
      <c r="M596" t="s">
        <v>1</v>
      </c>
      <c r="N596">
        <v>2250</v>
      </c>
      <c r="O596">
        <v>48</v>
      </c>
      <c r="P596">
        <v>678</v>
      </c>
      <c r="Q596">
        <v>0</v>
      </c>
      <c r="R596">
        <v>25749935261</v>
      </c>
      <c r="S596">
        <v>60868235.479999997</v>
      </c>
      <c r="T596">
        <v>25585042828.349998</v>
      </c>
      <c r="U596">
        <v>25689067025.52</v>
      </c>
      <c r="V596">
        <v>4.7414999999999999E-2</v>
      </c>
      <c r="W596">
        <v>0</v>
      </c>
    </row>
    <row r="597" spans="1:23" x14ac:dyDescent="0.35">
      <c r="A597" t="s">
        <v>0</v>
      </c>
      <c r="B597">
        <v>4750</v>
      </c>
      <c r="C597">
        <v>48</v>
      </c>
      <c r="D597">
        <v>50172</v>
      </c>
      <c r="E597">
        <v>0</v>
      </c>
      <c r="F597">
        <v>1366679993511</v>
      </c>
      <c r="G597">
        <v>2213562033.5500002</v>
      </c>
      <c r="H597">
        <v>1354824811003.4399</v>
      </c>
      <c r="I597">
        <v>1362398725806.29</v>
      </c>
      <c r="J597">
        <v>8.1448999999999994E-2</v>
      </c>
      <c r="K597">
        <v>1.8005E-2</v>
      </c>
      <c r="M597" t="s">
        <v>2</v>
      </c>
      <c r="N597">
        <v>2750</v>
      </c>
      <c r="O597">
        <v>48</v>
      </c>
      <c r="P597">
        <v>177</v>
      </c>
      <c r="Q597">
        <v>0</v>
      </c>
      <c r="R597">
        <v>3367769725</v>
      </c>
      <c r="S597">
        <v>7490434.8200000003</v>
      </c>
      <c r="T597">
        <v>3360279290.1799998</v>
      </c>
      <c r="U597">
        <v>3360279290.1799998</v>
      </c>
      <c r="V597">
        <v>0</v>
      </c>
      <c r="W597">
        <v>0</v>
      </c>
    </row>
    <row r="598" spans="1:23" x14ac:dyDescent="0.35">
      <c r="A598" t="s">
        <v>0</v>
      </c>
      <c r="B598">
        <v>5250</v>
      </c>
      <c r="C598">
        <v>48</v>
      </c>
      <c r="D598">
        <v>67853</v>
      </c>
      <c r="E598">
        <v>0</v>
      </c>
      <c r="F598">
        <v>1720303505683</v>
      </c>
      <c r="G598">
        <v>2573033684.6900001</v>
      </c>
      <c r="H598">
        <v>1704407781547.3401</v>
      </c>
      <c r="I598">
        <v>1713700968285.1299</v>
      </c>
      <c r="J598">
        <v>8.9075000000000001E-2</v>
      </c>
      <c r="K598">
        <v>2.7748999999999999E-2</v>
      </c>
      <c r="M598" t="s">
        <v>1</v>
      </c>
      <c r="N598">
        <v>2750</v>
      </c>
      <c r="O598">
        <v>48</v>
      </c>
      <c r="P598">
        <v>5730</v>
      </c>
      <c r="Q598">
        <v>0</v>
      </c>
      <c r="R598">
        <v>187268373109</v>
      </c>
      <c r="S598">
        <v>412918521.66000003</v>
      </c>
      <c r="T598">
        <v>185614979773.94</v>
      </c>
      <c r="U598">
        <v>186789519661.76001</v>
      </c>
      <c r="V598">
        <v>7.6656000000000002E-2</v>
      </c>
      <c r="W598">
        <v>4.2170000000000003E-3</v>
      </c>
    </row>
    <row r="599" spans="1:23" x14ac:dyDescent="0.35">
      <c r="A599" t="s">
        <v>2</v>
      </c>
      <c r="B599">
        <v>3000</v>
      </c>
      <c r="C599">
        <v>48</v>
      </c>
      <c r="D599">
        <v>152</v>
      </c>
      <c r="E599">
        <v>0</v>
      </c>
      <c r="F599">
        <v>2768233770</v>
      </c>
      <c r="G599">
        <v>5940521.4800000004</v>
      </c>
      <c r="H599">
        <v>2733940422.8600001</v>
      </c>
      <c r="I599">
        <v>2762293248.52</v>
      </c>
      <c r="J599">
        <v>0.116214</v>
      </c>
      <c r="K599">
        <v>0</v>
      </c>
      <c r="M599" t="s">
        <v>0</v>
      </c>
      <c r="N599">
        <v>4250</v>
      </c>
      <c r="O599">
        <v>48</v>
      </c>
      <c r="P599">
        <v>30186</v>
      </c>
      <c r="Q599">
        <v>0</v>
      </c>
      <c r="R599">
        <v>762361660931</v>
      </c>
      <c r="S599">
        <v>1341756671.5999999</v>
      </c>
      <c r="T599">
        <v>756593300988.59998</v>
      </c>
      <c r="U599">
        <v>760097359494.93994</v>
      </c>
      <c r="V599">
        <v>6.7494999999999999E-2</v>
      </c>
      <c r="W599">
        <v>1.4425E-2</v>
      </c>
    </row>
    <row r="600" spans="1:23" x14ac:dyDescent="0.35">
      <c r="A600" t="s">
        <v>1</v>
      </c>
      <c r="B600">
        <v>3250</v>
      </c>
      <c r="C600">
        <v>48</v>
      </c>
      <c r="D600">
        <v>6182</v>
      </c>
      <c r="E600">
        <v>0</v>
      </c>
      <c r="F600">
        <v>209974577065</v>
      </c>
      <c r="G600">
        <v>430209137.32999998</v>
      </c>
      <c r="H600">
        <v>208027523043.17001</v>
      </c>
      <c r="I600">
        <v>209324230133.17999</v>
      </c>
      <c r="J600">
        <v>8.3324999999999996E-2</v>
      </c>
      <c r="K600">
        <v>1.2508999999999999E-2</v>
      </c>
      <c r="M600" t="s">
        <v>2</v>
      </c>
      <c r="N600">
        <v>3750</v>
      </c>
      <c r="O600">
        <v>48</v>
      </c>
      <c r="P600">
        <v>2248</v>
      </c>
      <c r="Q600">
        <v>0</v>
      </c>
      <c r="R600">
        <v>38878210803</v>
      </c>
      <c r="S600">
        <v>74446501.810000002</v>
      </c>
      <c r="T600">
        <v>38606605592.059998</v>
      </c>
      <c r="U600">
        <v>38785361987.809998</v>
      </c>
      <c r="V600">
        <v>5.9185000000000001E-2</v>
      </c>
      <c r="W600">
        <v>5.6649999999999999E-3</v>
      </c>
    </row>
    <row r="601" spans="1:23" x14ac:dyDescent="0.35">
      <c r="A601" t="s">
        <v>1</v>
      </c>
      <c r="B601">
        <v>3500</v>
      </c>
      <c r="C601">
        <v>48</v>
      </c>
      <c r="D601">
        <v>5708</v>
      </c>
      <c r="E601">
        <v>0</v>
      </c>
      <c r="F601">
        <v>203789091173</v>
      </c>
      <c r="G601">
        <v>403688989.5</v>
      </c>
      <c r="H601">
        <v>201279435033.07999</v>
      </c>
      <c r="I601">
        <v>203066851437.66</v>
      </c>
      <c r="J601">
        <v>0.117198</v>
      </c>
      <c r="K601">
        <v>1.8596999999999999E-2</v>
      </c>
      <c r="M601" t="s">
        <v>0</v>
      </c>
      <c r="N601">
        <v>4750</v>
      </c>
      <c r="O601">
        <v>48</v>
      </c>
      <c r="P601">
        <v>47010</v>
      </c>
      <c r="Q601">
        <v>0</v>
      </c>
      <c r="R601">
        <v>1243788944488</v>
      </c>
      <c r="S601">
        <v>2013746390.6600001</v>
      </c>
      <c r="T601">
        <v>1234089861911.99</v>
      </c>
      <c r="U601">
        <v>1239527868677.21</v>
      </c>
      <c r="V601">
        <v>7.1679000000000007E-2</v>
      </c>
      <c r="W601">
        <v>2.1468000000000001E-2</v>
      </c>
    </row>
    <row r="602" spans="1:23" x14ac:dyDescent="0.35">
      <c r="A602" t="s">
        <v>2</v>
      </c>
      <c r="B602">
        <v>3500</v>
      </c>
      <c r="C602">
        <v>48</v>
      </c>
      <c r="D602">
        <v>546</v>
      </c>
      <c r="E602">
        <v>0</v>
      </c>
      <c r="F602">
        <v>9903622587</v>
      </c>
      <c r="G602">
        <v>19768499.07</v>
      </c>
      <c r="H602">
        <v>9721314849.9699993</v>
      </c>
      <c r="I602">
        <v>9860402652.5799999</v>
      </c>
      <c r="J602">
        <v>0.18010499999999999</v>
      </c>
      <c r="K602">
        <v>2.8048E-2</v>
      </c>
      <c r="M602" t="s">
        <v>0</v>
      </c>
      <c r="N602">
        <v>5250</v>
      </c>
      <c r="O602">
        <v>48</v>
      </c>
      <c r="P602">
        <v>59161</v>
      </c>
      <c r="Q602">
        <v>0</v>
      </c>
      <c r="R602">
        <v>1486615743902</v>
      </c>
      <c r="S602">
        <v>2217767578.3600001</v>
      </c>
      <c r="T602">
        <v>1472897631105.1201</v>
      </c>
      <c r="U602">
        <v>1480256335130.01</v>
      </c>
      <c r="V602">
        <v>8.8981000000000005E-2</v>
      </c>
      <c r="W602">
        <v>3.2924000000000002E-2</v>
      </c>
    </row>
    <row r="603" spans="1:23" x14ac:dyDescent="0.35">
      <c r="A603" t="s">
        <v>1</v>
      </c>
      <c r="B603">
        <v>3750</v>
      </c>
      <c r="C603">
        <v>48</v>
      </c>
      <c r="D603">
        <v>10633</v>
      </c>
      <c r="E603">
        <v>0</v>
      </c>
      <c r="F603">
        <v>376702458566</v>
      </c>
      <c r="G603">
        <v>717080230.62</v>
      </c>
      <c r="H603">
        <v>372500759830.29999</v>
      </c>
      <c r="I603">
        <v>375446241116.38</v>
      </c>
      <c r="J603">
        <v>0.105527</v>
      </c>
      <c r="K603">
        <v>1.704E-2</v>
      </c>
      <c r="M603" t="s">
        <v>1</v>
      </c>
      <c r="N603">
        <v>3250</v>
      </c>
      <c r="O603">
        <v>48</v>
      </c>
      <c r="P603">
        <v>13677</v>
      </c>
      <c r="Q603">
        <v>0</v>
      </c>
      <c r="R603">
        <v>465561462292</v>
      </c>
      <c r="S603">
        <v>953512599.92999995</v>
      </c>
      <c r="T603">
        <v>460995641494.5</v>
      </c>
      <c r="U603">
        <v>464192573882.15002</v>
      </c>
      <c r="V603">
        <v>8.9235999999999996E-2</v>
      </c>
      <c r="W603">
        <v>1.0654E-2</v>
      </c>
    </row>
    <row r="604" spans="1:23" x14ac:dyDescent="0.35">
      <c r="A604" t="s">
        <v>2</v>
      </c>
      <c r="B604">
        <v>4250</v>
      </c>
      <c r="C604">
        <v>48</v>
      </c>
      <c r="D604">
        <v>1625</v>
      </c>
      <c r="E604">
        <v>0</v>
      </c>
      <c r="F604">
        <v>28795294103</v>
      </c>
      <c r="G604">
        <v>51011649.990000002</v>
      </c>
      <c r="H604">
        <v>28474434892.509998</v>
      </c>
      <c r="I604">
        <v>28710999315.610001</v>
      </c>
      <c r="J604">
        <v>0.106836</v>
      </c>
      <c r="K604">
        <v>1.3782000000000001E-2</v>
      </c>
      <c r="M604" t="s">
        <v>2</v>
      </c>
      <c r="N604">
        <v>4250</v>
      </c>
      <c r="O604">
        <v>48</v>
      </c>
      <c r="P604">
        <v>2540</v>
      </c>
      <c r="Q604">
        <v>0</v>
      </c>
      <c r="R604">
        <v>42924122173</v>
      </c>
      <c r="S604">
        <v>76037887.349999994</v>
      </c>
      <c r="T604">
        <v>42626239168.790001</v>
      </c>
      <c r="U604">
        <v>42759556560.529999</v>
      </c>
      <c r="V604">
        <v>6.0287E-2</v>
      </c>
      <c r="W604">
        <v>2.4469999999999999E-2</v>
      </c>
    </row>
    <row r="605" spans="1:23" x14ac:dyDescent="0.35">
      <c r="A605" t="s">
        <v>0</v>
      </c>
      <c r="B605">
        <v>3000</v>
      </c>
      <c r="C605">
        <v>48</v>
      </c>
      <c r="D605">
        <v>2385</v>
      </c>
      <c r="E605">
        <v>0</v>
      </c>
      <c r="F605">
        <v>53545209738</v>
      </c>
      <c r="G605">
        <v>113979881.94</v>
      </c>
      <c r="H605">
        <v>53011408114.169998</v>
      </c>
      <c r="I605">
        <v>53215484190.889999</v>
      </c>
      <c r="J605">
        <v>9.0133000000000005E-2</v>
      </c>
      <c r="K605">
        <v>4.7293000000000002E-2</v>
      </c>
      <c r="M605" t="s">
        <v>0</v>
      </c>
      <c r="N605">
        <v>5750</v>
      </c>
      <c r="O605">
        <v>48</v>
      </c>
      <c r="P605">
        <v>45900</v>
      </c>
      <c r="Q605">
        <v>0</v>
      </c>
      <c r="R605">
        <v>1117809861678</v>
      </c>
      <c r="S605">
        <v>1537405000.25</v>
      </c>
      <c r="T605">
        <v>1107971335582.9199</v>
      </c>
      <c r="U605">
        <v>1113378625035.8799</v>
      </c>
      <c r="V605">
        <v>8.5564000000000001E-2</v>
      </c>
      <c r="W605">
        <v>3.0627999999999999E-2</v>
      </c>
    </row>
    <row r="606" spans="1:23" x14ac:dyDescent="0.35">
      <c r="A606" t="s">
        <v>0</v>
      </c>
      <c r="B606">
        <v>3250</v>
      </c>
      <c r="C606">
        <v>48</v>
      </c>
      <c r="D606">
        <v>4707</v>
      </c>
      <c r="E606">
        <v>0</v>
      </c>
      <c r="F606">
        <v>107314796155</v>
      </c>
      <c r="G606">
        <v>220159579.03</v>
      </c>
      <c r="H606">
        <v>106360531170.33</v>
      </c>
      <c r="I606">
        <v>106752543838.78999</v>
      </c>
      <c r="J606">
        <v>7.9069E-2</v>
      </c>
      <c r="K606">
        <v>3.7588999999999997E-2</v>
      </c>
      <c r="M606" t="s">
        <v>0</v>
      </c>
      <c r="N606">
        <v>6250</v>
      </c>
      <c r="O606">
        <v>48</v>
      </c>
      <c r="P606">
        <v>9903</v>
      </c>
      <c r="Q606">
        <v>0</v>
      </c>
      <c r="R606">
        <v>235472264274</v>
      </c>
      <c r="S606">
        <v>297665347.04000002</v>
      </c>
      <c r="T606">
        <v>232894450918.57999</v>
      </c>
      <c r="U606">
        <v>234267408770.82001</v>
      </c>
      <c r="V606">
        <v>0.110206</v>
      </c>
      <c r="W606">
        <v>4.5265E-2</v>
      </c>
    </row>
    <row r="607" spans="1:23" x14ac:dyDescent="0.35">
      <c r="A607" t="s">
        <v>0</v>
      </c>
      <c r="B607">
        <v>5750</v>
      </c>
      <c r="C607">
        <v>48</v>
      </c>
      <c r="D607">
        <v>56678</v>
      </c>
      <c r="E607">
        <v>0</v>
      </c>
      <c r="F607">
        <v>1383929763157</v>
      </c>
      <c r="G607">
        <v>1908947596.79</v>
      </c>
      <c r="H607">
        <v>1370030095007.5701</v>
      </c>
      <c r="I607">
        <v>1377526373667.72</v>
      </c>
      <c r="J607">
        <v>9.9156999999999995E-2</v>
      </c>
      <c r="K607">
        <v>3.8282999999999998E-2</v>
      </c>
      <c r="M607" t="s">
        <v>1</v>
      </c>
      <c r="N607">
        <v>4250</v>
      </c>
      <c r="O607">
        <v>48</v>
      </c>
      <c r="P607">
        <v>17652</v>
      </c>
      <c r="Q607">
        <v>0</v>
      </c>
      <c r="R607">
        <v>618901435712</v>
      </c>
      <c r="S607">
        <v>1084852572.75</v>
      </c>
      <c r="T607">
        <v>612532938822.07996</v>
      </c>
      <c r="U607">
        <v>617035921466.47998</v>
      </c>
      <c r="V607">
        <v>9.7769999999999996E-2</v>
      </c>
      <c r="W607">
        <v>1.5032E-2</v>
      </c>
    </row>
    <row r="608" spans="1:23" x14ac:dyDescent="0.35">
      <c r="A608" t="s">
        <v>0</v>
      </c>
      <c r="B608">
        <v>6250</v>
      </c>
      <c r="C608">
        <v>48</v>
      </c>
      <c r="D608">
        <v>14126</v>
      </c>
      <c r="E608">
        <v>0</v>
      </c>
      <c r="F608">
        <v>337133962782</v>
      </c>
      <c r="G608">
        <v>427262347.41000003</v>
      </c>
      <c r="H608">
        <v>332267368086.34003</v>
      </c>
      <c r="I608">
        <v>334875815844.58002</v>
      </c>
      <c r="J608">
        <v>0.14705799999999999</v>
      </c>
      <c r="K608">
        <v>6.3256999999999994E-2</v>
      </c>
      <c r="M608" t="s">
        <v>2</v>
      </c>
      <c r="N608">
        <v>4750</v>
      </c>
      <c r="O608">
        <v>48</v>
      </c>
      <c r="P608">
        <v>3026</v>
      </c>
      <c r="Q608">
        <v>0</v>
      </c>
      <c r="R608">
        <v>52047105492</v>
      </c>
      <c r="S608">
        <v>84540458.950000003</v>
      </c>
      <c r="T608">
        <v>51575034735.669998</v>
      </c>
      <c r="U608">
        <v>51829193579.639999</v>
      </c>
      <c r="V608">
        <v>8.5778999999999994E-2</v>
      </c>
      <c r="W608">
        <v>3.032E-2</v>
      </c>
    </row>
    <row r="609" spans="1:23" x14ac:dyDescent="0.35">
      <c r="A609" t="s">
        <v>1</v>
      </c>
      <c r="B609">
        <v>4250</v>
      </c>
      <c r="C609">
        <v>48</v>
      </c>
      <c r="D609">
        <v>15869</v>
      </c>
      <c r="E609">
        <v>0</v>
      </c>
      <c r="F609">
        <v>576914913710</v>
      </c>
      <c r="G609">
        <v>1011707681.55</v>
      </c>
      <c r="H609">
        <v>568754205175.67004</v>
      </c>
      <c r="I609">
        <v>575155779425.96997</v>
      </c>
      <c r="J609">
        <v>0.13897399999999999</v>
      </c>
      <c r="K609">
        <v>1.5436E-2</v>
      </c>
      <c r="M609" t="s">
        <v>2</v>
      </c>
      <c r="N609">
        <v>5250</v>
      </c>
      <c r="O609">
        <v>48</v>
      </c>
      <c r="P609">
        <v>4656</v>
      </c>
      <c r="Q609">
        <v>0</v>
      </c>
      <c r="R609">
        <v>72945312935</v>
      </c>
      <c r="S609">
        <v>109093359.7</v>
      </c>
      <c r="T609">
        <v>72086804226.410004</v>
      </c>
      <c r="U609">
        <v>72588203986.899994</v>
      </c>
      <c r="V609">
        <v>0.116551</v>
      </c>
      <c r="W609">
        <v>4.0045999999999998E-2</v>
      </c>
    </row>
    <row r="610" spans="1:23" x14ac:dyDescent="0.35">
      <c r="A610" t="s">
        <v>2</v>
      </c>
      <c r="B610">
        <v>4750</v>
      </c>
      <c r="C610">
        <v>48</v>
      </c>
      <c r="D610">
        <v>3213</v>
      </c>
      <c r="E610">
        <v>0</v>
      </c>
      <c r="F610">
        <v>57633788551</v>
      </c>
      <c r="G610">
        <v>93632193.420000002</v>
      </c>
      <c r="H610">
        <v>57025559215.879997</v>
      </c>
      <c r="I610">
        <v>57489631878.949997</v>
      </c>
      <c r="J610">
        <v>0.102037</v>
      </c>
      <c r="K610">
        <v>1.0468999999999999E-2</v>
      </c>
      <c r="M610" t="s">
        <v>1</v>
      </c>
      <c r="N610">
        <v>6000</v>
      </c>
      <c r="O610">
        <v>48</v>
      </c>
      <c r="P610">
        <v>2668</v>
      </c>
      <c r="Q610">
        <v>0</v>
      </c>
      <c r="R610">
        <v>70596669121</v>
      </c>
      <c r="S610">
        <v>92813749.219999999</v>
      </c>
      <c r="T610">
        <v>68876066857.399994</v>
      </c>
      <c r="U610">
        <v>69882561424.869995</v>
      </c>
      <c r="V610">
        <v>0.24416399999999999</v>
      </c>
      <c r="W610">
        <v>0.100643</v>
      </c>
    </row>
    <row r="611" spans="1:23" x14ac:dyDescent="0.35">
      <c r="A611" t="s">
        <v>2</v>
      </c>
      <c r="B611">
        <v>5250</v>
      </c>
      <c r="C611">
        <v>48</v>
      </c>
      <c r="D611">
        <v>5333</v>
      </c>
      <c r="E611">
        <v>0</v>
      </c>
      <c r="F611">
        <v>84954325175</v>
      </c>
      <c r="G611">
        <v>127367657.40000001</v>
      </c>
      <c r="H611">
        <v>83984984190.770004</v>
      </c>
      <c r="I611">
        <v>84626331353.179993</v>
      </c>
      <c r="J611">
        <v>0.11265699999999999</v>
      </c>
      <c r="K611">
        <v>2.7973999999999999E-2</v>
      </c>
      <c r="M611" t="s">
        <v>1</v>
      </c>
      <c r="N611">
        <v>5250</v>
      </c>
      <c r="O611">
        <v>48</v>
      </c>
      <c r="P611">
        <v>23957</v>
      </c>
      <c r="Q611">
        <v>0</v>
      </c>
      <c r="R611">
        <v>803847480686</v>
      </c>
      <c r="S611">
        <v>1197492972.21</v>
      </c>
      <c r="T611">
        <v>793375984134.51001</v>
      </c>
      <c r="U611">
        <v>800332018049.06006</v>
      </c>
      <c r="V611">
        <v>0.12998899999999999</v>
      </c>
      <c r="W611">
        <v>3.406E-2</v>
      </c>
    </row>
    <row r="612" spans="1:23" x14ac:dyDescent="0.35">
      <c r="A612" t="s">
        <v>1</v>
      </c>
      <c r="B612">
        <v>6000</v>
      </c>
      <c r="C612">
        <v>48</v>
      </c>
      <c r="D612">
        <v>3699</v>
      </c>
      <c r="E612">
        <v>0</v>
      </c>
      <c r="F612">
        <v>98115701734</v>
      </c>
      <c r="G612">
        <v>129308957.67</v>
      </c>
      <c r="H612">
        <v>96383835404.660004</v>
      </c>
      <c r="I612">
        <v>97587701374.100006</v>
      </c>
      <c r="J612">
        <v>0.179317</v>
      </c>
      <c r="K612">
        <v>4.7687E-2</v>
      </c>
      <c r="M612" t="s">
        <v>0</v>
      </c>
      <c r="N612">
        <v>5000</v>
      </c>
      <c r="O612">
        <v>42</v>
      </c>
      <c r="P612">
        <v>10476</v>
      </c>
      <c r="Q612">
        <v>0</v>
      </c>
      <c r="R612">
        <v>304932548656</v>
      </c>
      <c r="S612">
        <v>460681893.94</v>
      </c>
      <c r="T612">
        <v>301996389592.03003</v>
      </c>
      <c r="U612">
        <v>303800885504.79999</v>
      </c>
      <c r="V612">
        <v>9.3183000000000002E-2</v>
      </c>
      <c r="W612">
        <v>2.6088E-2</v>
      </c>
    </row>
    <row r="613" spans="1:23" x14ac:dyDescent="0.35">
      <c r="A613" t="s">
        <v>1</v>
      </c>
      <c r="B613">
        <v>5250</v>
      </c>
      <c r="C613">
        <v>48</v>
      </c>
      <c r="D613">
        <v>28876</v>
      </c>
      <c r="E613">
        <v>0</v>
      </c>
      <c r="F613">
        <v>972187926338</v>
      </c>
      <c r="G613">
        <v>1452432079.52</v>
      </c>
      <c r="H613">
        <v>958310230446.37</v>
      </c>
      <c r="I613">
        <v>967979811135.42004</v>
      </c>
      <c r="J613">
        <v>0.14303399999999999</v>
      </c>
      <c r="K613">
        <v>3.3488999999999998E-2</v>
      </c>
      <c r="M613" t="s">
        <v>0</v>
      </c>
      <c r="N613">
        <v>7500</v>
      </c>
      <c r="O613">
        <v>42</v>
      </c>
      <c r="P613">
        <v>1534</v>
      </c>
      <c r="Q613">
        <v>0</v>
      </c>
      <c r="R613">
        <v>34238395112</v>
      </c>
      <c r="S613">
        <v>33778357.75</v>
      </c>
      <c r="T613">
        <v>33489944568.080002</v>
      </c>
      <c r="U613">
        <v>34033862909.759998</v>
      </c>
      <c r="V613">
        <v>0.223635</v>
      </c>
      <c r="W613">
        <v>5.8231999999999999E-2</v>
      </c>
    </row>
    <row r="614" spans="1:23" x14ac:dyDescent="0.35">
      <c r="A614" t="s">
        <v>1</v>
      </c>
      <c r="B614">
        <v>5500</v>
      </c>
      <c r="C614">
        <v>54</v>
      </c>
      <c r="D614">
        <v>29</v>
      </c>
      <c r="E614">
        <v>0</v>
      </c>
      <c r="F614">
        <v>844977053</v>
      </c>
      <c r="G614">
        <v>1277271.8600000001</v>
      </c>
      <c r="H614">
        <v>843699781.13999999</v>
      </c>
      <c r="I614">
        <v>843699781.13999999</v>
      </c>
      <c r="J614">
        <v>0</v>
      </c>
      <c r="K614">
        <v>0</v>
      </c>
      <c r="M614" t="s">
        <v>0</v>
      </c>
      <c r="N614">
        <v>7000</v>
      </c>
      <c r="O614">
        <v>42</v>
      </c>
      <c r="P614">
        <v>6897</v>
      </c>
      <c r="Q614">
        <v>0</v>
      </c>
      <c r="R614">
        <v>158762820734</v>
      </c>
      <c r="S614">
        <v>171550423.22999999</v>
      </c>
      <c r="T614">
        <v>155383109695.37</v>
      </c>
      <c r="U614">
        <v>157317479699.14001</v>
      </c>
      <c r="V614">
        <v>0.21727199999999999</v>
      </c>
      <c r="W614">
        <v>9.2142000000000002E-2</v>
      </c>
    </row>
    <row r="615" spans="1:23" x14ac:dyDescent="0.35">
      <c r="A615" t="s">
        <v>0</v>
      </c>
      <c r="B615">
        <v>7500</v>
      </c>
      <c r="C615">
        <v>42</v>
      </c>
      <c r="D615">
        <v>1965</v>
      </c>
      <c r="E615">
        <v>0</v>
      </c>
      <c r="F615">
        <v>44029660466</v>
      </c>
      <c r="G615">
        <v>43543619.859999999</v>
      </c>
      <c r="H615">
        <v>42837953419.279999</v>
      </c>
      <c r="I615">
        <v>43469697379.43</v>
      </c>
      <c r="J615">
        <v>0.27172499999999999</v>
      </c>
      <c r="K615">
        <v>0.13201299999999999</v>
      </c>
      <c r="M615" t="s">
        <v>0</v>
      </c>
      <c r="N615">
        <v>6500</v>
      </c>
      <c r="O615">
        <v>48</v>
      </c>
      <c r="P615">
        <v>1722</v>
      </c>
      <c r="Q615">
        <v>0</v>
      </c>
      <c r="R615">
        <v>40298000972</v>
      </c>
      <c r="S615">
        <v>48726775.490000002</v>
      </c>
      <c r="T615">
        <v>39967109860.839996</v>
      </c>
      <c r="U615">
        <v>40128776977.32</v>
      </c>
      <c r="V615">
        <v>8.0862000000000003E-2</v>
      </c>
      <c r="W615">
        <v>3.5298000000000003E-2</v>
      </c>
    </row>
    <row r="616" spans="1:23" x14ac:dyDescent="0.35">
      <c r="A616" t="s">
        <v>0</v>
      </c>
      <c r="B616">
        <v>7000</v>
      </c>
      <c r="C616">
        <v>42</v>
      </c>
      <c r="D616">
        <v>8173</v>
      </c>
      <c r="E616">
        <v>0</v>
      </c>
      <c r="F616">
        <v>190396814075</v>
      </c>
      <c r="G616">
        <v>206035803.86000001</v>
      </c>
      <c r="H616">
        <v>186284633577.91</v>
      </c>
      <c r="I616">
        <v>188475121322.95999</v>
      </c>
      <c r="J616">
        <v>0.220225</v>
      </c>
      <c r="K616">
        <v>0.10292999999999999</v>
      </c>
      <c r="M616" t="s">
        <v>2</v>
      </c>
      <c r="N616">
        <v>6500</v>
      </c>
      <c r="O616">
        <v>48</v>
      </c>
      <c r="P616">
        <v>61</v>
      </c>
      <c r="Q616">
        <v>0</v>
      </c>
      <c r="R616">
        <v>792325746</v>
      </c>
      <c r="S616">
        <v>957946.14</v>
      </c>
      <c r="T616">
        <v>766303272.85000002</v>
      </c>
      <c r="U616">
        <v>791367799.86000001</v>
      </c>
      <c r="V616">
        <v>0.32005499999999998</v>
      </c>
      <c r="W616">
        <v>0</v>
      </c>
    </row>
    <row r="617" spans="1:23" x14ac:dyDescent="0.35">
      <c r="A617" t="s">
        <v>0</v>
      </c>
      <c r="B617">
        <v>6500</v>
      </c>
      <c r="C617">
        <v>48</v>
      </c>
      <c r="D617">
        <v>2427</v>
      </c>
      <c r="E617">
        <v>0</v>
      </c>
      <c r="F617">
        <v>57453421641</v>
      </c>
      <c r="G617">
        <v>69700619.75</v>
      </c>
      <c r="H617">
        <v>56771423127.699997</v>
      </c>
      <c r="I617">
        <v>57058928500.050003</v>
      </c>
      <c r="J617">
        <v>0.12065099999999999</v>
      </c>
      <c r="K617">
        <v>6.5767999999999993E-2</v>
      </c>
      <c r="M617" t="s">
        <v>1</v>
      </c>
      <c r="N617">
        <v>6500</v>
      </c>
      <c r="O617">
        <v>48</v>
      </c>
      <c r="P617">
        <v>156</v>
      </c>
      <c r="Q617">
        <v>0</v>
      </c>
      <c r="R617">
        <v>3657076205</v>
      </c>
      <c r="S617">
        <v>4411923.55</v>
      </c>
      <c r="T617">
        <v>3456987271.79</v>
      </c>
      <c r="U617">
        <v>3624294817.9899998</v>
      </c>
      <c r="V617">
        <v>0.48309299999999999</v>
      </c>
      <c r="W617">
        <v>8.9218000000000006E-2</v>
      </c>
    </row>
    <row r="618" spans="1:23" x14ac:dyDescent="0.35">
      <c r="A618" t="s">
        <v>2</v>
      </c>
      <c r="B618">
        <v>6500</v>
      </c>
      <c r="C618">
        <v>48</v>
      </c>
      <c r="D618">
        <v>78</v>
      </c>
      <c r="E618">
        <v>0</v>
      </c>
      <c r="F618">
        <v>1060545643</v>
      </c>
      <c r="G618">
        <v>1285213.3</v>
      </c>
      <c r="H618">
        <v>1059260429.7</v>
      </c>
      <c r="I618">
        <v>1059260429.7</v>
      </c>
      <c r="J618">
        <v>0</v>
      </c>
      <c r="K618">
        <v>0</v>
      </c>
      <c r="M618" t="s">
        <v>0</v>
      </c>
      <c r="N618">
        <v>5500</v>
      </c>
      <c r="O618">
        <v>42</v>
      </c>
      <c r="P618">
        <v>18475</v>
      </c>
      <c r="Q618">
        <v>0</v>
      </c>
      <c r="R618">
        <v>496375666587</v>
      </c>
      <c r="S618">
        <v>688359862.10000002</v>
      </c>
      <c r="T618">
        <v>492509112472.64001</v>
      </c>
      <c r="U618">
        <v>494906788703.09003</v>
      </c>
      <c r="V618">
        <v>7.4185000000000001E-2</v>
      </c>
      <c r="W618">
        <v>1.8707000000000001E-2</v>
      </c>
    </row>
    <row r="619" spans="1:23" x14ac:dyDescent="0.35">
      <c r="A619" t="s">
        <v>1</v>
      </c>
      <c r="B619">
        <v>6500</v>
      </c>
      <c r="C619">
        <v>48</v>
      </c>
      <c r="D619">
        <v>277</v>
      </c>
      <c r="E619">
        <v>0</v>
      </c>
      <c r="F619">
        <v>6525751790</v>
      </c>
      <c r="G619">
        <v>7904241.8200000003</v>
      </c>
      <c r="H619">
        <v>6488978736.4899998</v>
      </c>
      <c r="I619">
        <v>6488978736.4899998</v>
      </c>
      <c r="J619">
        <v>5.1812999999999998E-2</v>
      </c>
      <c r="K619">
        <v>5.1812999999999998E-2</v>
      </c>
      <c r="M619" t="s">
        <v>2</v>
      </c>
      <c r="N619">
        <v>5500</v>
      </c>
      <c r="O619">
        <v>42</v>
      </c>
      <c r="P619">
        <v>1115</v>
      </c>
      <c r="Q619">
        <v>0</v>
      </c>
      <c r="R619">
        <v>21289442886</v>
      </c>
      <c r="S619">
        <v>29621440.219999999</v>
      </c>
      <c r="T619">
        <v>21026284968.830002</v>
      </c>
      <c r="U619">
        <v>21218299461.549999</v>
      </c>
      <c r="V619">
        <v>0.123977</v>
      </c>
      <c r="W619">
        <v>2.3154999999999999E-2</v>
      </c>
    </row>
    <row r="620" spans="1:23" x14ac:dyDescent="0.35">
      <c r="A620" t="s">
        <v>0</v>
      </c>
      <c r="B620">
        <v>6000</v>
      </c>
      <c r="C620">
        <v>42</v>
      </c>
      <c r="D620">
        <v>23068</v>
      </c>
      <c r="E620">
        <v>0</v>
      </c>
      <c r="F620">
        <v>606953009892</v>
      </c>
      <c r="G620">
        <v>775688246.97000003</v>
      </c>
      <c r="H620">
        <v>600486789807.77002</v>
      </c>
      <c r="I620">
        <v>604812190599.16003</v>
      </c>
      <c r="J620">
        <v>0.10688300000000001</v>
      </c>
      <c r="K620">
        <v>2.6658000000000001E-2</v>
      </c>
      <c r="M620" t="s">
        <v>1</v>
      </c>
      <c r="N620">
        <v>6000</v>
      </c>
      <c r="O620">
        <v>42</v>
      </c>
      <c r="P620">
        <v>9284</v>
      </c>
      <c r="Q620">
        <v>0</v>
      </c>
      <c r="R620">
        <v>294621639044</v>
      </c>
      <c r="S620">
        <v>376831724.89999998</v>
      </c>
      <c r="T620">
        <v>288027026263.03998</v>
      </c>
      <c r="U620">
        <v>293615110551.78998</v>
      </c>
      <c r="V620">
        <v>0.225829</v>
      </c>
      <c r="W620">
        <v>2.5347999999999999E-2</v>
      </c>
    </row>
    <row r="621" spans="1:23" x14ac:dyDescent="0.35">
      <c r="A621" t="s">
        <v>0</v>
      </c>
      <c r="B621">
        <v>6500</v>
      </c>
      <c r="C621">
        <v>42</v>
      </c>
      <c r="D621">
        <v>15288</v>
      </c>
      <c r="E621">
        <v>0</v>
      </c>
      <c r="F621">
        <v>371499959805</v>
      </c>
      <c r="G621">
        <v>435774840.25</v>
      </c>
      <c r="H621">
        <v>366151349119.19</v>
      </c>
      <c r="I621">
        <v>369446969982.95001</v>
      </c>
      <c r="J621">
        <v>0.147644</v>
      </c>
      <c r="K621">
        <v>5.1006000000000003E-2</v>
      </c>
      <c r="M621" t="s">
        <v>0</v>
      </c>
      <c r="N621">
        <v>6000</v>
      </c>
      <c r="O621">
        <v>42</v>
      </c>
      <c r="P621">
        <v>21066</v>
      </c>
      <c r="Q621">
        <v>0</v>
      </c>
      <c r="R621">
        <v>543284575615</v>
      </c>
      <c r="S621">
        <v>694871246.62</v>
      </c>
      <c r="T621">
        <v>537282409625.28998</v>
      </c>
      <c r="U621">
        <v>541511867648.10999</v>
      </c>
      <c r="V621">
        <v>0.11112900000000001</v>
      </c>
      <c r="W621">
        <v>2.3549E-2</v>
      </c>
    </row>
    <row r="622" spans="1:23" x14ac:dyDescent="0.35">
      <c r="A622" t="s">
        <v>0</v>
      </c>
      <c r="B622">
        <v>7000</v>
      </c>
      <c r="C622">
        <v>48</v>
      </c>
      <c r="D622">
        <v>569</v>
      </c>
      <c r="E622">
        <v>0</v>
      </c>
      <c r="F622">
        <v>11825179322</v>
      </c>
      <c r="G622">
        <v>13215256.960000001</v>
      </c>
      <c r="H622">
        <v>11641002812.17</v>
      </c>
      <c r="I622">
        <v>11661535079.52</v>
      </c>
      <c r="J622">
        <v>0.16033700000000001</v>
      </c>
      <c r="K622">
        <v>0.14241300000000001</v>
      </c>
      <c r="M622" t="s">
        <v>2</v>
      </c>
      <c r="N622">
        <v>6000</v>
      </c>
      <c r="O622">
        <v>42</v>
      </c>
      <c r="P622">
        <v>1229</v>
      </c>
      <c r="Q622">
        <v>0</v>
      </c>
      <c r="R622">
        <v>22011657524</v>
      </c>
      <c r="S622">
        <v>28114036.84</v>
      </c>
      <c r="T622">
        <v>21728707599.990002</v>
      </c>
      <c r="U622">
        <v>21974260123.380001</v>
      </c>
      <c r="V622">
        <v>0.130414</v>
      </c>
      <c r="W622">
        <v>5.0489999999999997E-3</v>
      </c>
    </row>
    <row r="623" spans="1:23" x14ac:dyDescent="0.35">
      <c r="A623" t="s">
        <v>2</v>
      </c>
      <c r="B623">
        <v>7000</v>
      </c>
      <c r="C623">
        <v>48</v>
      </c>
      <c r="D623">
        <v>10</v>
      </c>
      <c r="E623">
        <v>0</v>
      </c>
      <c r="F623">
        <v>132214850</v>
      </c>
      <c r="G623">
        <v>146576.73000000001</v>
      </c>
      <c r="H623">
        <v>132068273.27</v>
      </c>
      <c r="I623">
        <v>132068273.27</v>
      </c>
      <c r="J623">
        <v>0</v>
      </c>
      <c r="K623">
        <v>0</v>
      </c>
      <c r="M623" t="s">
        <v>0</v>
      </c>
      <c r="N623">
        <v>6500</v>
      </c>
      <c r="O623">
        <v>42</v>
      </c>
      <c r="P623">
        <v>12605</v>
      </c>
      <c r="Q623">
        <v>0</v>
      </c>
      <c r="R623">
        <v>304726012376</v>
      </c>
      <c r="S623">
        <v>357295558.30000001</v>
      </c>
      <c r="T623">
        <v>299645805892.28003</v>
      </c>
      <c r="U623">
        <v>303507969703.82001</v>
      </c>
      <c r="V623">
        <v>0.17092399999999999</v>
      </c>
      <c r="W623">
        <v>3.3374000000000001E-2</v>
      </c>
    </row>
    <row r="624" spans="1:23" x14ac:dyDescent="0.35">
      <c r="A624" t="s">
        <v>2</v>
      </c>
      <c r="B624">
        <v>5750</v>
      </c>
      <c r="C624">
        <v>48</v>
      </c>
      <c r="D624">
        <v>4485</v>
      </c>
      <c r="E624">
        <v>0</v>
      </c>
      <c r="F624">
        <v>69935317275</v>
      </c>
      <c r="G624">
        <v>96482307.329999998</v>
      </c>
      <c r="H624">
        <v>69085310001.770004</v>
      </c>
      <c r="I624">
        <v>69593078487</v>
      </c>
      <c r="J624">
        <v>0.121902</v>
      </c>
      <c r="K624">
        <v>4.1362999999999997E-2</v>
      </c>
      <c r="M624" t="s">
        <v>1</v>
      </c>
      <c r="N624">
        <v>6500</v>
      </c>
      <c r="O624">
        <v>42</v>
      </c>
      <c r="P624">
        <v>3746</v>
      </c>
      <c r="Q624">
        <v>0</v>
      </c>
      <c r="R624">
        <v>106369005401</v>
      </c>
      <c r="S624">
        <v>124989239.84</v>
      </c>
      <c r="T624">
        <v>103145690825.8</v>
      </c>
      <c r="U624">
        <v>105802838824.72</v>
      </c>
      <c r="V624">
        <v>0.29863600000000001</v>
      </c>
      <c r="W624">
        <v>4.8652000000000001E-2</v>
      </c>
    </row>
    <row r="625" spans="1:23" x14ac:dyDescent="0.35">
      <c r="A625" t="s">
        <v>1</v>
      </c>
      <c r="B625">
        <v>4750</v>
      </c>
      <c r="C625">
        <v>48</v>
      </c>
      <c r="D625">
        <v>34477</v>
      </c>
      <c r="E625">
        <v>0</v>
      </c>
      <c r="F625">
        <v>1239129202366</v>
      </c>
      <c r="G625">
        <v>2004687867.4300001</v>
      </c>
      <c r="H625">
        <v>1220328638809.8101</v>
      </c>
      <c r="I625">
        <v>1234613900895.3101</v>
      </c>
      <c r="J625">
        <v>0.151061</v>
      </c>
      <c r="K625">
        <v>2.4043999999999999E-2</v>
      </c>
      <c r="M625" t="s">
        <v>2</v>
      </c>
      <c r="N625">
        <v>7000</v>
      </c>
      <c r="O625">
        <v>42</v>
      </c>
      <c r="P625">
        <v>459</v>
      </c>
      <c r="Q625">
        <v>0</v>
      </c>
      <c r="R625">
        <v>6626000609</v>
      </c>
      <c r="S625">
        <v>7159779.4199999999</v>
      </c>
      <c r="T625">
        <v>6530517286.6400003</v>
      </c>
      <c r="U625">
        <v>6613717588.5</v>
      </c>
      <c r="V625">
        <v>0.14873700000000001</v>
      </c>
      <c r="W625">
        <v>9.2390000000000007E-3</v>
      </c>
    </row>
    <row r="626" spans="1:23" x14ac:dyDescent="0.35">
      <c r="A626" t="s">
        <v>3</v>
      </c>
      <c r="B626">
        <v>5000</v>
      </c>
      <c r="C626">
        <v>48</v>
      </c>
      <c r="D626">
        <v>93</v>
      </c>
      <c r="E626">
        <v>0</v>
      </c>
      <c r="F626">
        <v>2166719287</v>
      </c>
      <c r="G626">
        <v>3385347.57</v>
      </c>
      <c r="H626">
        <v>2163333939.4299998</v>
      </c>
      <c r="I626">
        <v>2163333939.4299998</v>
      </c>
      <c r="J626">
        <v>0</v>
      </c>
      <c r="K626">
        <v>0</v>
      </c>
      <c r="M626" t="s">
        <v>0</v>
      </c>
      <c r="N626">
        <v>7000</v>
      </c>
      <c r="O626">
        <v>48</v>
      </c>
      <c r="P626">
        <v>333</v>
      </c>
      <c r="Q626">
        <v>0</v>
      </c>
      <c r="R626">
        <v>6971657447</v>
      </c>
      <c r="S626">
        <v>7763206.2000000002</v>
      </c>
      <c r="T626">
        <v>6833204037.1400003</v>
      </c>
      <c r="U626">
        <v>6833204037.1400003</v>
      </c>
      <c r="V626">
        <v>0.203148</v>
      </c>
      <c r="W626">
        <v>0.203148</v>
      </c>
    </row>
    <row r="627" spans="1:23" x14ac:dyDescent="0.35">
      <c r="A627" t="s">
        <v>0</v>
      </c>
      <c r="B627">
        <v>6750</v>
      </c>
      <c r="C627">
        <v>48</v>
      </c>
      <c r="D627">
        <v>2436</v>
      </c>
      <c r="E627">
        <v>0</v>
      </c>
      <c r="F627">
        <v>58071154291</v>
      </c>
      <c r="G627">
        <v>67540080.75</v>
      </c>
      <c r="H627">
        <v>57089925682.449997</v>
      </c>
      <c r="I627">
        <v>57586448882.150002</v>
      </c>
      <c r="J627">
        <v>0.17329600000000001</v>
      </c>
      <c r="K627">
        <v>8.2878999999999994E-2</v>
      </c>
      <c r="M627" t="s">
        <v>2</v>
      </c>
      <c r="N627">
        <v>5750</v>
      </c>
      <c r="O627">
        <v>48</v>
      </c>
      <c r="P627">
        <v>3433</v>
      </c>
      <c r="Q627">
        <v>0</v>
      </c>
      <c r="R627">
        <v>53453180013</v>
      </c>
      <c r="S627">
        <v>73527350.609999999</v>
      </c>
      <c r="T627">
        <v>52870024865.57</v>
      </c>
      <c r="U627">
        <v>53331450165.300003</v>
      </c>
      <c r="V627">
        <v>0.108596</v>
      </c>
      <c r="W627">
        <v>1.0768E-2</v>
      </c>
    </row>
    <row r="628" spans="1:23" x14ac:dyDescent="0.35">
      <c r="A628" t="s">
        <v>0</v>
      </c>
      <c r="B628">
        <v>5250</v>
      </c>
      <c r="C628">
        <v>42</v>
      </c>
      <c r="D628">
        <v>13450</v>
      </c>
      <c r="E628">
        <v>0</v>
      </c>
      <c r="F628">
        <v>386059821092</v>
      </c>
      <c r="G628">
        <v>557940717.51999998</v>
      </c>
      <c r="H628">
        <v>382608930367.90002</v>
      </c>
      <c r="I628">
        <v>384637696188.09003</v>
      </c>
      <c r="J628">
        <v>8.6306999999999995E-2</v>
      </c>
      <c r="K628">
        <v>2.6533000000000001E-2</v>
      </c>
      <c r="M628" t="s">
        <v>1</v>
      </c>
      <c r="N628">
        <v>4750</v>
      </c>
      <c r="O628">
        <v>48</v>
      </c>
      <c r="P628">
        <v>29349</v>
      </c>
      <c r="Q628">
        <v>0</v>
      </c>
      <c r="R628">
        <v>1049822267468</v>
      </c>
      <c r="S628">
        <v>1695409324.75</v>
      </c>
      <c r="T628">
        <v>1036870905797.8101</v>
      </c>
      <c r="U628">
        <v>1046477137946.6899</v>
      </c>
      <c r="V628">
        <v>0.121339</v>
      </c>
      <c r="W628">
        <v>1.8695E-2</v>
      </c>
    </row>
    <row r="629" spans="1:23" x14ac:dyDescent="0.35">
      <c r="A629" t="s">
        <v>2</v>
      </c>
      <c r="B629">
        <v>5250</v>
      </c>
      <c r="C629">
        <v>42</v>
      </c>
      <c r="D629">
        <v>623</v>
      </c>
      <c r="E629">
        <v>0</v>
      </c>
      <c r="F629">
        <v>12518727886</v>
      </c>
      <c r="G629">
        <v>18128290.960000001</v>
      </c>
      <c r="H629">
        <v>12412000644.6</v>
      </c>
      <c r="I629">
        <v>12500599595.040001</v>
      </c>
      <c r="J629">
        <v>8.1698999999999994E-2</v>
      </c>
      <c r="K629">
        <v>0</v>
      </c>
      <c r="M629" t="s">
        <v>3</v>
      </c>
      <c r="N629">
        <v>5000</v>
      </c>
      <c r="O629">
        <v>48</v>
      </c>
      <c r="P629">
        <v>89</v>
      </c>
      <c r="Q629">
        <v>0</v>
      </c>
      <c r="R629">
        <v>2069174777</v>
      </c>
      <c r="S629">
        <v>3219523.8</v>
      </c>
      <c r="T629">
        <v>2065955253.2</v>
      </c>
      <c r="U629">
        <v>2065955253.2</v>
      </c>
      <c r="V629">
        <v>0</v>
      </c>
      <c r="W629">
        <v>0</v>
      </c>
    </row>
    <row r="630" spans="1:23" x14ac:dyDescent="0.35">
      <c r="A630" t="s">
        <v>0</v>
      </c>
      <c r="B630">
        <v>5500</v>
      </c>
      <c r="C630">
        <v>42</v>
      </c>
      <c r="D630">
        <v>16874</v>
      </c>
      <c r="E630">
        <v>0</v>
      </c>
      <c r="F630">
        <v>470430312056</v>
      </c>
      <c r="G630">
        <v>651414626.32000005</v>
      </c>
      <c r="H630">
        <v>465825413895.95001</v>
      </c>
      <c r="I630">
        <v>468844707062.19</v>
      </c>
      <c r="J630">
        <v>9.6313999999999997E-2</v>
      </c>
      <c r="K630">
        <v>2.3571000000000002E-2</v>
      </c>
      <c r="M630" t="s">
        <v>0</v>
      </c>
      <c r="N630">
        <v>5750</v>
      </c>
      <c r="O630">
        <v>42</v>
      </c>
      <c r="P630">
        <v>38380</v>
      </c>
      <c r="Q630">
        <v>0</v>
      </c>
      <c r="R630">
        <v>1023270046031</v>
      </c>
      <c r="S630">
        <v>1366905060.97</v>
      </c>
      <c r="T630">
        <v>1012900541462.26</v>
      </c>
      <c r="U630">
        <v>1020030458199.55</v>
      </c>
      <c r="V630">
        <v>0.10061299999999999</v>
      </c>
      <c r="W630">
        <v>2.1741E-2</v>
      </c>
    </row>
    <row r="631" spans="1:23" x14ac:dyDescent="0.35">
      <c r="A631" t="s">
        <v>0</v>
      </c>
      <c r="B631">
        <v>4000</v>
      </c>
      <c r="C631">
        <v>42</v>
      </c>
      <c r="D631">
        <v>1204</v>
      </c>
      <c r="E631">
        <v>0</v>
      </c>
      <c r="F631">
        <v>37314934291</v>
      </c>
      <c r="G631">
        <v>65961612.93</v>
      </c>
      <c r="H631">
        <v>37123473703.699997</v>
      </c>
      <c r="I631">
        <v>37176836534.139999</v>
      </c>
      <c r="J631">
        <v>3.9621000000000003E-2</v>
      </c>
      <c r="K631">
        <v>2.2953000000000001E-2</v>
      </c>
      <c r="M631" t="s">
        <v>1</v>
      </c>
      <c r="N631">
        <v>4000</v>
      </c>
      <c r="O631">
        <v>42</v>
      </c>
      <c r="P631">
        <v>1649</v>
      </c>
      <c r="Q631">
        <v>0</v>
      </c>
      <c r="R631">
        <v>60659443966</v>
      </c>
      <c r="S631">
        <v>107778335.40000001</v>
      </c>
      <c r="T631">
        <v>60097513685.129997</v>
      </c>
      <c r="U631">
        <v>60414098613.190002</v>
      </c>
      <c r="V631">
        <v>8.6234000000000005E-2</v>
      </c>
      <c r="W631">
        <v>2.6877000000000002E-2</v>
      </c>
    </row>
    <row r="632" spans="1:23" x14ac:dyDescent="0.35">
      <c r="A632" t="s">
        <v>0</v>
      </c>
      <c r="B632">
        <v>5750</v>
      </c>
      <c r="C632">
        <v>42</v>
      </c>
      <c r="D632">
        <v>33789</v>
      </c>
      <c r="E632">
        <v>0</v>
      </c>
      <c r="F632">
        <v>937866588079</v>
      </c>
      <c r="G632">
        <v>1248493467.8299999</v>
      </c>
      <c r="H632">
        <v>927651470883.28003</v>
      </c>
      <c r="I632">
        <v>934127949033.65002</v>
      </c>
      <c r="J632">
        <v>0.10888299999999999</v>
      </c>
      <c r="K632">
        <v>3.1399999999999997E-2</v>
      </c>
      <c r="M632" t="s">
        <v>1</v>
      </c>
      <c r="N632">
        <v>4250</v>
      </c>
      <c r="O632">
        <v>42</v>
      </c>
      <c r="P632">
        <v>2861</v>
      </c>
      <c r="Q632">
        <v>0</v>
      </c>
      <c r="R632">
        <v>104997763109</v>
      </c>
      <c r="S632">
        <v>179327649.81</v>
      </c>
      <c r="T632">
        <v>104169911550.11</v>
      </c>
      <c r="U632">
        <v>104700673444.86</v>
      </c>
      <c r="V632">
        <v>7.1651999999999993E-2</v>
      </c>
      <c r="W632">
        <v>1.3376000000000001E-2</v>
      </c>
    </row>
    <row r="633" spans="1:23" x14ac:dyDescent="0.35">
      <c r="A633" t="s">
        <v>1</v>
      </c>
      <c r="B633">
        <v>6000</v>
      </c>
      <c r="C633">
        <v>42</v>
      </c>
      <c r="D633">
        <v>9946</v>
      </c>
      <c r="E633">
        <v>0</v>
      </c>
      <c r="F633">
        <v>326677188541</v>
      </c>
      <c r="G633">
        <v>418022277.44</v>
      </c>
      <c r="H633">
        <v>321291247628.34998</v>
      </c>
      <c r="I633">
        <v>325448595608.40002</v>
      </c>
      <c r="J633">
        <v>0.16797300000000001</v>
      </c>
      <c r="K633">
        <v>2.9371999999999999E-2</v>
      </c>
      <c r="M633" t="s">
        <v>2</v>
      </c>
      <c r="N633">
        <v>4250</v>
      </c>
      <c r="O633">
        <v>42</v>
      </c>
      <c r="P633">
        <v>141</v>
      </c>
      <c r="Q633">
        <v>0</v>
      </c>
      <c r="R633">
        <v>2651597264</v>
      </c>
      <c r="S633">
        <v>4632337.6399999997</v>
      </c>
      <c r="T633">
        <v>2617311372.7199998</v>
      </c>
      <c r="U633">
        <v>2637160282.2199998</v>
      </c>
      <c r="V633">
        <v>0.126245</v>
      </c>
      <c r="W633">
        <v>4.3479999999999998E-2</v>
      </c>
    </row>
    <row r="634" spans="1:23" x14ac:dyDescent="0.35">
      <c r="A634" t="s">
        <v>1</v>
      </c>
      <c r="B634">
        <v>6500</v>
      </c>
      <c r="C634">
        <v>42</v>
      </c>
      <c r="D634">
        <v>4323</v>
      </c>
      <c r="E634">
        <v>0</v>
      </c>
      <c r="F634">
        <v>123148251036</v>
      </c>
      <c r="G634">
        <v>144997736.22</v>
      </c>
      <c r="H634">
        <v>119857536980.35001</v>
      </c>
      <c r="I634">
        <v>122529079270.08</v>
      </c>
      <c r="J634">
        <v>0.26692900000000003</v>
      </c>
      <c r="K634">
        <v>4.5239000000000001E-2</v>
      </c>
      <c r="M634" t="s">
        <v>0</v>
      </c>
      <c r="N634">
        <v>4250</v>
      </c>
      <c r="O634">
        <v>42</v>
      </c>
      <c r="P634">
        <v>2684</v>
      </c>
      <c r="Q634">
        <v>0</v>
      </c>
      <c r="R634">
        <v>80402079830</v>
      </c>
      <c r="S634">
        <v>137009006.15000001</v>
      </c>
      <c r="T634">
        <v>79863310936.639999</v>
      </c>
      <c r="U634">
        <v>80223620042.539993</v>
      </c>
      <c r="V634">
        <v>5.8341999999999998E-2</v>
      </c>
      <c r="W634">
        <v>6.169E-3</v>
      </c>
    </row>
    <row r="635" spans="1:23" x14ac:dyDescent="0.35">
      <c r="A635" t="s">
        <v>0</v>
      </c>
      <c r="B635">
        <v>5000</v>
      </c>
      <c r="C635">
        <v>42</v>
      </c>
      <c r="D635">
        <v>8421</v>
      </c>
      <c r="E635">
        <v>0</v>
      </c>
      <c r="F635">
        <v>253699209450</v>
      </c>
      <c r="G635">
        <v>380911803.63999999</v>
      </c>
      <c r="H635">
        <v>251804401871.12</v>
      </c>
      <c r="I635">
        <v>252905437986.81</v>
      </c>
      <c r="J635">
        <v>6.9303000000000003E-2</v>
      </c>
      <c r="K635">
        <v>1.9354E-2</v>
      </c>
      <c r="M635" t="s">
        <v>0</v>
      </c>
      <c r="N635">
        <v>4500</v>
      </c>
      <c r="O635">
        <v>42</v>
      </c>
      <c r="P635">
        <v>5444</v>
      </c>
      <c r="Q635">
        <v>0</v>
      </c>
      <c r="R635">
        <v>164532109777</v>
      </c>
      <c r="S635">
        <v>269796006.88999999</v>
      </c>
      <c r="T635">
        <v>163412409381.59</v>
      </c>
      <c r="U635">
        <v>164083923188.06</v>
      </c>
      <c r="V635">
        <v>6.0255999999999997E-2</v>
      </c>
      <c r="W635">
        <v>1.2933E-2</v>
      </c>
    </row>
    <row r="636" spans="1:23" x14ac:dyDescent="0.35">
      <c r="A636" t="s">
        <v>0</v>
      </c>
      <c r="B636">
        <v>6250</v>
      </c>
      <c r="C636">
        <v>42</v>
      </c>
      <c r="D636">
        <v>42328</v>
      </c>
      <c r="E636">
        <v>0</v>
      </c>
      <c r="F636">
        <v>1107959403742</v>
      </c>
      <c r="G636">
        <v>1358083127.29</v>
      </c>
      <c r="H636">
        <v>1092081520695.36</v>
      </c>
      <c r="I636">
        <v>1102047453226.9399</v>
      </c>
      <c r="J636">
        <v>0.14640600000000001</v>
      </c>
      <c r="K636">
        <v>4.8222000000000001E-2</v>
      </c>
      <c r="M636" t="s">
        <v>2</v>
      </c>
      <c r="N636">
        <v>4500</v>
      </c>
      <c r="O636">
        <v>42</v>
      </c>
      <c r="P636">
        <v>280</v>
      </c>
      <c r="Q636">
        <v>0</v>
      </c>
      <c r="R636">
        <v>6135471695</v>
      </c>
      <c r="S636">
        <v>10134419.18</v>
      </c>
      <c r="T636">
        <v>6047743727.3000002</v>
      </c>
      <c r="U636">
        <v>6100732983.6800003</v>
      </c>
      <c r="V636">
        <v>0.14163700000000001</v>
      </c>
      <c r="W636">
        <v>4.7074999999999999E-2</v>
      </c>
    </row>
    <row r="637" spans="1:23" x14ac:dyDescent="0.35">
      <c r="A637" t="s">
        <v>0</v>
      </c>
      <c r="B637">
        <v>6750</v>
      </c>
      <c r="C637">
        <v>42</v>
      </c>
      <c r="D637">
        <v>33147</v>
      </c>
      <c r="E637">
        <v>0</v>
      </c>
      <c r="F637">
        <v>809365416301</v>
      </c>
      <c r="G637">
        <v>912432384.76999998</v>
      </c>
      <c r="H637">
        <v>792790613262.18994</v>
      </c>
      <c r="I637">
        <v>802960769162.80005</v>
      </c>
      <c r="J637">
        <v>0.20902799999999999</v>
      </c>
      <c r="K637">
        <v>7.8459000000000001E-2</v>
      </c>
      <c r="M637" t="s">
        <v>2</v>
      </c>
      <c r="N637">
        <v>4750</v>
      </c>
      <c r="O637">
        <v>42</v>
      </c>
      <c r="P637">
        <v>705</v>
      </c>
      <c r="Q637">
        <v>0</v>
      </c>
      <c r="R637">
        <v>14747299096</v>
      </c>
      <c r="S637">
        <v>23350523.809999999</v>
      </c>
      <c r="T637">
        <v>14564206082.200001</v>
      </c>
      <c r="U637">
        <v>14666846706.33</v>
      </c>
      <c r="V637">
        <v>0.122513</v>
      </c>
      <c r="W637">
        <v>4.5487E-2</v>
      </c>
    </row>
    <row r="638" spans="1:23" x14ac:dyDescent="0.35">
      <c r="A638" t="s">
        <v>0</v>
      </c>
      <c r="B638">
        <v>7250</v>
      </c>
      <c r="C638">
        <v>42</v>
      </c>
      <c r="D638">
        <v>12025</v>
      </c>
      <c r="E638">
        <v>0</v>
      </c>
      <c r="F638">
        <v>265439012692</v>
      </c>
      <c r="G638">
        <v>275162563</v>
      </c>
      <c r="H638">
        <v>258123232046.66</v>
      </c>
      <c r="I638">
        <v>261856387127.09</v>
      </c>
      <c r="J638">
        <v>0.27572999999999998</v>
      </c>
      <c r="K638">
        <v>0.13969100000000001</v>
      </c>
      <c r="M638" t="s">
        <v>0</v>
      </c>
      <c r="N638">
        <v>4750</v>
      </c>
      <c r="O638">
        <v>42</v>
      </c>
      <c r="P638">
        <v>14318</v>
      </c>
      <c r="Q638">
        <v>0</v>
      </c>
      <c r="R638">
        <v>424324198828</v>
      </c>
      <c r="S638">
        <v>668459815.84000003</v>
      </c>
      <c r="T638">
        <v>420676415011.87</v>
      </c>
      <c r="U638">
        <v>423093025644.41998</v>
      </c>
      <c r="V638">
        <v>8.1076999999999996E-2</v>
      </c>
      <c r="W638">
        <v>1.5798E-2</v>
      </c>
    </row>
    <row r="639" spans="1:23" x14ac:dyDescent="0.35">
      <c r="A639" t="s">
        <v>0</v>
      </c>
      <c r="B639">
        <v>4500</v>
      </c>
      <c r="C639">
        <v>42</v>
      </c>
      <c r="D639">
        <v>2360</v>
      </c>
      <c r="E639">
        <v>0</v>
      </c>
      <c r="F639">
        <v>71827219546</v>
      </c>
      <c r="G639">
        <v>117308891.88</v>
      </c>
      <c r="H639">
        <v>71442025801.25</v>
      </c>
      <c r="I639">
        <v>71630554872.660004</v>
      </c>
      <c r="J639">
        <v>4.3847999999999998E-2</v>
      </c>
      <c r="K639">
        <v>1.3178E-2</v>
      </c>
      <c r="M639" t="s">
        <v>1</v>
      </c>
      <c r="N639">
        <v>4750</v>
      </c>
      <c r="O639">
        <v>42</v>
      </c>
      <c r="P639">
        <v>11073</v>
      </c>
      <c r="Q639">
        <v>0</v>
      </c>
      <c r="R639">
        <v>399411356318</v>
      </c>
      <c r="S639">
        <v>630081807.49000001</v>
      </c>
      <c r="T639">
        <v>395109815813.26001</v>
      </c>
      <c r="U639">
        <v>398154379007.71997</v>
      </c>
      <c r="V639">
        <v>0.104897</v>
      </c>
      <c r="W639">
        <v>1.8672999999999999E-2</v>
      </c>
    </row>
    <row r="640" spans="1:23" x14ac:dyDescent="0.35">
      <c r="A640" t="s">
        <v>0</v>
      </c>
      <c r="B640">
        <v>4750</v>
      </c>
      <c r="C640">
        <v>42</v>
      </c>
      <c r="D640">
        <v>7064</v>
      </c>
      <c r="E640">
        <v>0</v>
      </c>
      <c r="F640">
        <v>214103311326</v>
      </c>
      <c r="G640">
        <v>335080498.32999998</v>
      </c>
      <c r="H640">
        <v>212655083715.03</v>
      </c>
      <c r="I640">
        <v>213441331906.23001</v>
      </c>
      <c r="J640">
        <v>6.0636000000000002E-2</v>
      </c>
      <c r="K640">
        <v>1.8169000000000001E-2</v>
      </c>
      <c r="M640" t="s">
        <v>2</v>
      </c>
      <c r="N640">
        <v>5000</v>
      </c>
      <c r="O640">
        <v>42</v>
      </c>
      <c r="P640">
        <v>472</v>
      </c>
      <c r="Q640">
        <v>0</v>
      </c>
      <c r="R640">
        <v>9283149151</v>
      </c>
      <c r="S640">
        <v>14082895.43</v>
      </c>
      <c r="T640">
        <v>9269066255.5699997</v>
      </c>
      <c r="U640">
        <v>9269066255.5699997</v>
      </c>
      <c r="V640">
        <v>0</v>
      </c>
      <c r="W640">
        <v>0</v>
      </c>
    </row>
    <row r="641" spans="1:23" x14ac:dyDescent="0.35">
      <c r="A641" t="s">
        <v>1</v>
      </c>
      <c r="B641">
        <v>4750</v>
      </c>
      <c r="C641">
        <v>42</v>
      </c>
      <c r="D641">
        <v>5326</v>
      </c>
      <c r="E641">
        <v>0</v>
      </c>
      <c r="F641">
        <v>194156587118</v>
      </c>
      <c r="G641">
        <v>304529980.89999998</v>
      </c>
      <c r="H641">
        <v>191527650767.97</v>
      </c>
      <c r="I641">
        <v>193366625942.56</v>
      </c>
      <c r="J641">
        <v>0.13457</v>
      </c>
      <c r="K641">
        <v>2.9593000000000001E-2</v>
      </c>
      <c r="M641" t="s">
        <v>1</v>
      </c>
      <c r="N641">
        <v>5250</v>
      </c>
      <c r="O641">
        <v>42</v>
      </c>
      <c r="P641">
        <v>13155</v>
      </c>
      <c r="Q641">
        <v>0</v>
      </c>
      <c r="R641">
        <v>470805718549</v>
      </c>
      <c r="S641">
        <v>683406795.5</v>
      </c>
      <c r="T641">
        <v>464901533078.95001</v>
      </c>
      <c r="U641">
        <v>469375440128.34003</v>
      </c>
      <c r="V641">
        <v>0.125245</v>
      </c>
      <c r="W641">
        <v>1.8870999999999999E-2</v>
      </c>
    </row>
    <row r="642" spans="1:23" x14ac:dyDescent="0.35">
      <c r="A642" t="s">
        <v>2</v>
      </c>
      <c r="B642">
        <v>4750</v>
      </c>
      <c r="C642">
        <v>42</v>
      </c>
      <c r="D642">
        <v>250</v>
      </c>
      <c r="E642">
        <v>0</v>
      </c>
      <c r="F642">
        <v>5510984685</v>
      </c>
      <c r="G642">
        <v>8669706.1600000001</v>
      </c>
      <c r="H642">
        <v>5465184949.9899998</v>
      </c>
      <c r="I642">
        <v>5465184949.9899998</v>
      </c>
      <c r="J642">
        <v>7.7920000000000003E-2</v>
      </c>
      <c r="K642">
        <v>7.7920000000000003E-2</v>
      </c>
      <c r="M642" t="s">
        <v>0</v>
      </c>
      <c r="N642">
        <v>5250</v>
      </c>
      <c r="O642">
        <v>42</v>
      </c>
      <c r="P642">
        <v>21705</v>
      </c>
      <c r="Q642">
        <v>0</v>
      </c>
      <c r="R642">
        <v>595271732056</v>
      </c>
      <c r="S642">
        <v>864988451.22000003</v>
      </c>
      <c r="T642">
        <v>590178559449.58997</v>
      </c>
      <c r="U642">
        <v>593208686551.16003</v>
      </c>
      <c r="V642">
        <v>8.1983E-2</v>
      </c>
      <c r="W642">
        <v>2.3886000000000001E-2</v>
      </c>
    </row>
    <row r="643" spans="1:23" x14ac:dyDescent="0.35">
      <c r="A643" t="s">
        <v>1</v>
      </c>
      <c r="B643">
        <v>5000</v>
      </c>
      <c r="C643">
        <v>42</v>
      </c>
      <c r="D643">
        <v>5504</v>
      </c>
      <c r="E643">
        <v>0</v>
      </c>
      <c r="F643">
        <v>203134551909</v>
      </c>
      <c r="G643">
        <v>305551610.19999999</v>
      </c>
      <c r="H643">
        <v>199880962039.85001</v>
      </c>
      <c r="I643">
        <v>202298591158.73999</v>
      </c>
      <c r="J643">
        <v>0.16090299999999999</v>
      </c>
      <c r="K643">
        <v>3.0887000000000001E-2</v>
      </c>
      <c r="M643" t="s">
        <v>2</v>
      </c>
      <c r="N643">
        <v>5250</v>
      </c>
      <c r="O643">
        <v>42</v>
      </c>
      <c r="P643">
        <v>1276</v>
      </c>
      <c r="Q643">
        <v>0</v>
      </c>
      <c r="R643">
        <v>23448853602</v>
      </c>
      <c r="S643">
        <v>34176279.590000004</v>
      </c>
      <c r="T643">
        <v>23238239400.32</v>
      </c>
      <c r="U643">
        <v>23364735450.23</v>
      </c>
      <c r="V643">
        <v>8.6648000000000003E-2</v>
      </c>
      <c r="W643">
        <v>2.5260999999999999E-2</v>
      </c>
    </row>
    <row r="644" spans="1:23" x14ac:dyDescent="0.35">
      <c r="A644" t="s">
        <v>2</v>
      </c>
      <c r="B644">
        <v>5000</v>
      </c>
      <c r="C644">
        <v>42</v>
      </c>
      <c r="D644">
        <v>261</v>
      </c>
      <c r="E644">
        <v>0</v>
      </c>
      <c r="F644">
        <v>5779071665</v>
      </c>
      <c r="G644">
        <v>8720640.5099999998</v>
      </c>
      <c r="H644">
        <v>5696345121.8699999</v>
      </c>
      <c r="I644">
        <v>5770351024.4899998</v>
      </c>
      <c r="J644">
        <v>0.14329600000000001</v>
      </c>
      <c r="K644">
        <v>0</v>
      </c>
      <c r="M644" t="s">
        <v>0</v>
      </c>
      <c r="N644">
        <v>6250</v>
      </c>
      <c r="O644">
        <v>42</v>
      </c>
      <c r="P644">
        <v>37637</v>
      </c>
      <c r="Q644">
        <v>0</v>
      </c>
      <c r="R644">
        <v>963735837628</v>
      </c>
      <c r="S644">
        <v>1181837214.8</v>
      </c>
      <c r="T644">
        <v>949765076667.29004</v>
      </c>
      <c r="U644">
        <v>959132060526.87</v>
      </c>
      <c r="V644">
        <v>0.148119</v>
      </c>
      <c r="W644">
        <v>4.1785999999999997E-2</v>
      </c>
    </row>
    <row r="645" spans="1:23" x14ac:dyDescent="0.35">
      <c r="A645" t="s">
        <v>1</v>
      </c>
      <c r="B645">
        <v>5250</v>
      </c>
      <c r="C645">
        <v>42</v>
      </c>
      <c r="D645">
        <v>9917</v>
      </c>
      <c r="E645">
        <v>0</v>
      </c>
      <c r="F645">
        <v>366489260793</v>
      </c>
      <c r="G645">
        <v>529205927.82999998</v>
      </c>
      <c r="H645">
        <v>361516828644.71002</v>
      </c>
      <c r="I645">
        <v>365305631669.12</v>
      </c>
      <c r="J645">
        <v>0.13616600000000001</v>
      </c>
      <c r="K645">
        <v>2.1218999999999998E-2</v>
      </c>
      <c r="M645" t="s">
        <v>0</v>
      </c>
      <c r="N645">
        <v>6750</v>
      </c>
      <c r="O645">
        <v>42</v>
      </c>
      <c r="P645">
        <v>27025</v>
      </c>
      <c r="Q645">
        <v>0</v>
      </c>
      <c r="R645">
        <v>658548983475</v>
      </c>
      <c r="S645">
        <v>741194931.69000006</v>
      </c>
      <c r="T645">
        <v>644419255622.32996</v>
      </c>
      <c r="U645">
        <v>654365914345.75</v>
      </c>
      <c r="V645">
        <v>0.21845200000000001</v>
      </c>
      <c r="W645">
        <v>6.0946E-2</v>
      </c>
    </row>
    <row r="646" spans="1:23" x14ac:dyDescent="0.35">
      <c r="A646" t="s">
        <v>2</v>
      </c>
      <c r="B646">
        <v>5500</v>
      </c>
      <c r="C646">
        <v>42</v>
      </c>
      <c r="D646">
        <v>842</v>
      </c>
      <c r="E646">
        <v>0</v>
      </c>
      <c r="F646">
        <v>16808333632</v>
      </c>
      <c r="G646">
        <v>23315747.539999999</v>
      </c>
      <c r="H646">
        <v>16716174930.92</v>
      </c>
      <c r="I646">
        <v>16766558399.549999</v>
      </c>
      <c r="J646">
        <v>4.8057000000000002E-2</v>
      </c>
      <c r="K646">
        <v>1.3099E-2</v>
      </c>
      <c r="M646" t="s">
        <v>0</v>
      </c>
      <c r="N646">
        <v>3750</v>
      </c>
      <c r="O646">
        <v>42</v>
      </c>
      <c r="P646">
        <v>427</v>
      </c>
      <c r="Q646">
        <v>0</v>
      </c>
      <c r="R646">
        <v>11547772074</v>
      </c>
      <c r="S646">
        <v>21263557.219999999</v>
      </c>
      <c r="T646">
        <v>11469554172.530001</v>
      </c>
      <c r="U646">
        <v>11526508516.780001</v>
      </c>
      <c r="V646">
        <v>5.7605000000000003E-2</v>
      </c>
      <c r="W646">
        <v>0</v>
      </c>
    </row>
    <row r="647" spans="1:23" x14ac:dyDescent="0.35">
      <c r="A647" t="s">
        <v>1</v>
      </c>
      <c r="B647">
        <v>5750</v>
      </c>
      <c r="C647">
        <v>42</v>
      </c>
      <c r="D647">
        <v>19524</v>
      </c>
      <c r="E647">
        <v>0</v>
      </c>
      <c r="F647">
        <v>685713299498</v>
      </c>
      <c r="G647">
        <v>912903899.85000002</v>
      </c>
      <c r="H647">
        <v>675216516670.18005</v>
      </c>
      <c r="I647">
        <v>683608066397.10999</v>
      </c>
      <c r="J647">
        <v>0.15540799999999999</v>
      </c>
      <c r="K647">
        <v>2.0667000000000001E-2</v>
      </c>
      <c r="M647" t="s">
        <v>0</v>
      </c>
      <c r="N647">
        <v>4000</v>
      </c>
      <c r="O647">
        <v>42</v>
      </c>
      <c r="P647">
        <v>2186</v>
      </c>
      <c r="Q647">
        <v>0</v>
      </c>
      <c r="R647">
        <v>67716970121</v>
      </c>
      <c r="S647">
        <v>119888285.88</v>
      </c>
      <c r="T647">
        <v>67296685294.580002</v>
      </c>
      <c r="U647">
        <v>67431799988.379997</v>
      </c>
      <c r="V647">
        <v>5.1952999999999999E-2</v>
      </c>
      <c r="W647">
        <v>2.8899000000000001E-2</v>
      </c>
    </row>
    <row r="648" spans="1:23" x14ac:dyDescent="0.35">
      <c r="A648" t="s">
        <v>2</v>
      </c>
      <c r="B648">
        <v>5750</v>
      </c>
      <c r="C648">
        <v>42</v>
      </c>
      <c r="D648">
        <v>2160</v>
      </c>
      <c r="E648">
        <v>0</v>
      </c>
      <c r="F648">
        <v>39692417788</v>
      </c>
      <c r="G648">
        <v>52969692.43</v>
      </c>
      <c r="H648">
        <v>39406615636.150002</v>
      </c>
      <c r="I648">
        <v>39587229416.480003</v>
      </c>
      <c r="J648">
        <v>6.8164000000000002E-2</v>
      </c>
      <c r="K648">
        <v>1.5672999999999999E-2</v>
      </c>
      <c r="M648" t="s">
        <v>1</v>
      </c>
      <c r="N648">
        <v>5500</v>
      </c>
      <c r="O648">
        <v>42</v>
      </c>
      <c r="P648">
        <v>10758</v>
      </c>
      <c r="Q648">
        <v>0</v>
      </c>
      <c r="R648">
        <v>384151304907</v>
      </c>
      <c r="S648">
        <v>532568642.58999997</v>
      </c>
      <c r="T648">
        <v>378563076891.15997</v>
      </c>
      <c r="U648">
        <v>383065025287.28998</v>
      </c>
      <c r="V648">
        <v>0.146983</v>
      </c>
      <c r="W648">
        <v>1.7160000000000002E-2</v>
      </c>
    </row>
    <row r="649" spans="1:23" x14ac:dyDescent="0.35">
      <c r="A649" t="s">
        <v>2</v>
      </c>
      <c r="B649">
        <v>6250</v>
      </c>
      <c r="C649">
        <v>42</v>
      </c>
      <c r="D649">
        <v>3249</v>
      </c>
      <c r="E649">
        <v>0</v>
      </c>
      <c r="F649">
        <v>54996616775</v>
      </c>
      <c r="G649">
        <v>67519293.159999996</v>
      </c>
      <c r="H649">
        <v>54373365888.480003</v>
      </c>
      <c r="I649">
        <v>54848470991.610001</v>
      </c>
      <c r="J649">
        <v>0.114741</v>
      </c>
      <c r="K649">
        <v>1.7451000000000001E-2</v>
      </c>
      <c r="M649" t="s">
        <v>0</v>
      </c>
      <c r="N649">
        <v>7250</v>
      </c>
      <c r="O649">
        <v>42</v>
      </c>
      <c r="P649">
        <v>9681</v>
      </c>
      <c r="Q649">
        <v>0</v>
      </c>
      <c r="R649">
        <v>211602813459</v>
      </c>
      <c r="S649">
        <v>218953085.88</v>
      </c>
      <c r="T649">
        <v>206072649599.19</v>
      </c>
      <c r="U649">
        <v>209203013487.89001</v>
      </c>
      <c r="V649">
        <v>0.262909</v>
      </c>
      <c r="W649">
        <v>0.116901</v>
      </c>
    </row>
    <row r="650" spans="1:23" x14ac:dyDescent="0.35">
      <c r="A650" t="s">
        <v>2</v>
      </c>
      <c r="B650">
        <v>6000</v>
      </c>
      <c r="C650">
        <v>42</v>
      </c>
      <c r="D650">
        <v>1285</v>
      </c>
      <c r="E650">
        <v>0</v>
      </c>
      <c r="F650">
        <v>23370405685</v>
      </c>
      <c r="G650">
        <v>29854921.579999998</v>
      </c>
      <c r="H650">
        <v>23035568368.759998</v>
      </c>
      <c r="I650">
        <v>23211946209.68</v>
      </c>
      <c r="J650">
        <v>0.14583399999999999</v>
      </c>
      <c r="K650">
        <v>6.4072000000000004E-2</v>
      </c>
      <c r="M650" t="s">
        <v>1</v>
      </c>
      <c r="N650">
        <v>5000</v>
      </c>
      <c r="O650">
        <v>42</v>
      </c>
      <c r="P650">
        <v>6830</v>
      </c>
      <c r="Q650">
        <v>0</v>
      </c>
      <c r="R650">
        <v>249606096520</v>
      </c>
      <c r="S650">
        <v>377480286.01999998</v>
      </c>
      <c r="T650">
        <v>246233585031.66</v>
      </c>
      <c r="U650">
        <v>248690272713.07999</v>
      </c>
      <c r="V650">
        <v>0.134856</v>
      </c>
      <c r="W650">
        <v>2.5576000000000002E-2</v>
      </c>
    </row>
    <row r="651" spans="1:23" x14ac:dyDescent="0.35">
      <c r="A651" t="s">
        <v>2</v>
      </c>
      <c r="B651">
        <v>6500</v>
      </c>
      <c r="C651">
        <v>42</v>
      </c>
      <c r="D651">
        <v>1169</v>
      </c>
      <c r="E651">
        <v>0</v>
      </c>
      <c r="F651">
        <v>19305986204</v>
      </c>
      <c r="G651">
        <v>22633364.390000001</v>
      </c>
      <c r="H651">
        <v>19057846905.52</v>
      </c>
      <c r="I651">
        <v>19241004165.98</v>
      </c>
      <c r="J651">
        <v>0.13150400000000001</v>
      </c>
      <c r="K651">
        <v>2.6006999999999999E-2</v>
      </c>
      <c r="M651" t="s">
        <v>1</v>
      </c>
      <c r="N651">
        <v>5750</v>
      </c>
      <c r="O651">
        <v>42</v>
      </c>
      <c r="P651">
        <v>19574</v>
      </c>
      <c r="Q651">
        <v>0</v>
      </c>
      <c r="R651">
        <v>658847279720</v>
      </c>
      <c r="S651">
        <v>878811793.53999996</v>
      </c>
      <c r="T651">
        <v>646403111235.59998</v>
      </c>
      <c r="U651">
        <v>656378271295.47998</v>
      </c>
      <c r="V651">
        <v>0.19145400000000001</v>
      </c>
      <c r="W651">
        <v>2.8582E-2</v>
      </c>
    </row>
    <row r="652" spans="1:23" x14ac:dyDescent="0.35">
      <c r="A652" t="s">
        <v>1</v>
      </c>
      <c r="B652">
        <v>7000</v>
      </c>
      <c r="C652">
        <v>42</v>
      </c>
      <c r="D652">
        <v>2185</v>
      </c>
      <c r="E652">
        <v>0</v>
      </c>
      <c r="F652">
        <v>52863768919</v>
      </c>
      <c r="G652">
        <v>57300895.009999998</v>
      </c>
      <c r="H652">
        <v>51180345530.440002</v>
      </c>
      <c r="I652">
        <v>52488613013.57</v>
      </c>
      <c r="J652">
        <v>0.31265799999999999</v>
      </c>
      <c r="K652">
        <v>6.9814000000000001E-2</v>
      </c>
      <c r="M652" t="s">
        <v>2</v>
      </c>
      <c r="N652">
        <v>5750</v>
      </c>
      <c r="O652">
        <v>42</v>
      </c>
      <c r="P652">
        <v>2871</v>
      </c>
      <c r="Q652">
        <v>0</v>
      </c>
      <c r="R652">
        <v>49592330846</v>
      </c>
      <c r="S652">
        <v>66497240.93</v>
      </c>
      <c r="T652">
        <v>48985070666.300003</v>
      </c>
      <c r="U652">
        <v>49394930842.129997</v>
      </c>
      <c r="V652">
        <v>0.123281</v>
      </c>
      <c r="W652">
        <v>3.1219E-2</v>
      </c>
    </row>
    <row r="653" spans="1:23" x14ac:dyDescent="0.35">
      <c r="A653" t="s">
        <v>1</v>
      </c>
      <c r="B653">
        <v>5750</v>
      </c>
      <c r="C653">
        <v>48</v>
      </c>
      <c r="D653">
        <v>18539</v>
      </c>
      <c r="E653">
        <v>0</v>
      </c>
      <c r="F653">
        <v>547013632078</v>
      </c>
      <c r="G653">
        <v>754699208.99000001</v>
      </c>
      <c r="H653">
        <v>537471673449.66998</v>
      </c>
      <c r="I653">
        <v>543165769033.92999</v>
      </c>
      <c r="J653">
        <v>0.176617</v>
      </c>
      <c r="K653">
        <v>6.5784999999999996E-2</v>
      </c>
      <c r="M653" t="s">
        <v>2</v>
      </c>
      <c r="N653">
        <v>6250</v>
      </c>
      <c r="O653">
        <v>42</v>
      </c>
      <c r="P653">
        <v>2904</v>
      </c>
      <c r="Q653">
        <v>0</v>
      </c>
      <c r="R653">
        <v>48015376866</v>
      </c>
      <c r="S653">
        <v>58946168.890000001</v>
      </c>
      <c r="T653">
        <v>47462051058.410004</v>
      </c>
      <c r="U653">
        <v>47832872344.209999</v>
      </c>
      <c r="V653">
        <v>0.11679299999999999</v>
      </c>
      <c r="W653">
        <v>3.0446000000000001E-2</v>
      </c>
    </row>
    <row r="654" spans="1:23" x14ac:dyDescent="0.35">
      <c r="A654" t="s">
        <v>2</v>
      </c>
      <c r="B654">
        <v>4500</v>
      </c>
      <c r="C654">
        <v>42</v>
      </c>
      <c r="D654">
        <v>108</v>
      </c>
      <c r="E654">
        <v>0</v>
      </c>
      <c r="F654">
        <v>2224619854</v>
      </c>
      <c r="G654">
        <v>3697387.48</v>
      </c>
      <c r="H654">
        <v>2185569641.8899999</v>
      </c>
      <c r="I654">
        <v>2220922466.52</v>
      </c>
      <c r="J654">
        <v>0.17488400000000001</v>
      </c>
      <c r="K654">
        <v>0</v>
      </c>
      <c r="M654" t="s">
        <v>2</v>
      </c>
      <c r="N654">
        <v>6500</v>
      </c>
      <c r="O654">
        <v>42</v>
      </c>
      <c r="P654">
        <v>917</v>
      </c>
      <c r="Q654">
        <v>0</v>
      </c>
      <c r="R654">
        <v>14975944814</v>
      </c>
      <c r="S654">
        <v>17532489.34</v>
      </c>
      <c r="T654">
        <v>14822103646.309999</v>
      </c>
      <c r="U654">
        <v>14937933871.879999</v>
      </c>
      <c r="V654">
        <v>0.103917</v>
      </c>
      <c r="W654">
        <v>1.6285999999999998E-2</v>
      </c>
    </row>
    <row r="655" spans="1:23" x14ac:dyDescent="0.35">
      <c r="A655" t="s">
        <v>1</v>
      </c>
      <c r="B655">
        <v>5500</v>
      </c>
      <c r="C655">
        <v>42</v>
      </c>
      <c r="D655">
        <v>10686</v>
      </c>
      <c r="E655">
        <v>0</v>
      </c>
      <c r="F655">
        <v>390864020440</v>
      </c>
      <c r="G655">
        <v>541455460.83000004</v>
      </c>
      <c r="H655">
        <v>385252094331.09998</v>
      </c>
      <c r="I655">
        <v>389594038843.34998</v>
      </c>
      <c r="J655">
        <v>0.14502899999999999</v>
      </c>
      <c r="K655">
        <v>2.2138999999999999E-2</v>
      </c>
      <c r="M655" t="s">
        <v>1</v>
      </c>
      <c r="N655">
        <v>7000</v>
      </c>
      <c r="O655">
        <v>42</v>
      </c>
      <c r="P655">
        <v>1807</v>
      </c>
      <c r="Q655">
        <v>0</v>
      </c>
      <c r="R655">
        <v>43809892052</v>
      </c>
      <c r="S655">
        <v>47346940.340000004</v>
      </c>
      <c r="T655">
        <v>42140756163.82</v>
      </c>
      <c r="U655">
        <v>43563711567.989998</v>
      </c>
      <c r="V655">
        <v>0.36406300000000003</v>
      </c>
      <c r="W655">
        <v>5.3123999999999998E-2</v>
      </c>
    </row>
    <row r="656" spans="1:23" x14ac:dyDescent="0.35">
      <c r="A656" t="s">
        <v>2</v>
      </c>
      <c r="B656">
        <v>5500</v>
      </c>
      <c r="C656">
        <v>36</v>
      </c>
      <c r="D656">
        <v>428</v>
      </c>
      <c r="E656">
        <v>0</v>
      </c>
      <c r="F656">
        <v>9172788571</v>
      </c>
      <c r="G656">
        <v>12292029.84</v>
      </c>
      <c r="H656">
        <v>9097532684.5100002</v>
      </c>
      <c r="I656">
        <v>9160496541.1599998</v>
      </c>
      <c r="J656">
        <v>7.9330999999999999E-2</v>
      </c>
      <c r="K656">
        <v>0</v>
      </c>
      <c r="M656" t="s">
        <v>1</v>
      </c>
      <c r="N656">
        <v>5750</v>
      </c>
      <c r="O656">
        <v>48</v>
      </c>
      <c r="P656">
        <v>14658</v>
      </c>
      <c r="Q656">
        <v>0</v>
      </c>
      <c r="R656">
        <v>432830922244</v>
      </c>
      <c r="S656">
        <v>595528453.13999999</v>
      </c>
      <c r="T656">
        <v>426341937540.39001</v>
      </c>
      <c r="U656">
        <v>430713000134.17999</v>
      </c>
      <c r="V656">
        <v>0.151695</v>
      </c>
      <c r="W656">
        <v>4.1401E-2</v>
      </c>
    </row>
    <row r="657" spans="1:23" x14ac:dyDescent="0.35">
      <c r="A657" t="s">
        <v>0</v>
      </c>
      <c r="B657">
        <v>5500</v>
      </c>
      <c r="C657">
        <v>36</v>
      </c>
      <c r="D657">
        <v>16231</v>
      </c>
      <c r="E657">
        <v>0</v>
      </c>
      <c r="F657">
        <v>511826171508</v>
      </c>
      <c r="G657">
        <v>684838723.67999995</v>
      </c>
      <c r="H657">
        <v>507565813537.47998</v>
      </c>
      <c r="I657">
        <v>510300536617.46002</v>
      </c>
      <c r="J657">
        <v>8.0683000000000005E-2</v>
      </c>
      <c r="K657">
        <v>1.9536000000000001E-2</v>
      </c>
      <c r="M657" t="s">
        <v>2</v>
      </c>
      <c r="N657">
        <v>4000</v>
      </c>
      <c r="O657">
        <v>42</v>
      </c>
      <c r="P657">
        <v>113</v>
      </c>
      <c r="Q657">
        <v>0</v>
      </c>
      <c r="R657">
        <v>2345326858</v>
      </c>
      <c r="S657">
        <v>4247627.21</v>
      </c>
      <c r="T657">
        <v>2305659616.25</v>
      </c>
      <c r="U657">
        <v>2322559912.0300002</v>
      </c>
      <c r="V657">
        <v>0.166906</v>
      </c>
      <c r="W657">
        <v>9.0745999999999993E-2</v>
      </c>
    </row>
    <row r="658" spans="1:23" x14ac:dyDescent="0.35">
      <c r="A658" t="s">
        <v>1</v>
      </c>
      <c r="B658">
        <v>5500</v>
      </c>
      <c r="C658">
        <v>36</v>
      </c>
      <c r="D658">
        <v>11597</v>
      </c>
      <c r="E658">
        <v>0</v>
      </c>
      <c r="F658">
        <v>433467915007</v>
      </c>
      <c r="G658">
        <v>581527975.99000001</v>
      </c>
      <c r="H658">
        <v>426371846542.14001</v>
      </c>
      <c r="I658">
        <v>432110831109.09003</v>
      </c>
      <c r="J658">
        <v>0.166162</v>
      </c>
      <c r="K658">
        <v>2.1260000000000001E-2</v>
      </c>
      <c r="M658" t="s">
        <v>1</v>
      </c>
      <c r="N658">
        <v>4500</v>
      </c>
      <c r="O658">
        <v>42</v>
      </c>
      <c r="P658">
        <v>4609</v>
      </c>
      <c r="Q658">
        <v>0</v>
      </c>
      <c r="R658">
        <v>170290605064</v>
      </c>
      <c r="S658">
        <v>279675120.43000001</v>
      </c>
      <c r="T658">
        <v>168114377272.17999</v>
      </c>
      <c r="U658">
        <v>169617219325.98999</v>
      </c>
      <c r="V658">
        <v>0.12575600000000001</v>
      </c>
      <c r="W658">
        <v>2.7394000000000002E-2</v>
      </c>
    </row>
    <row r="659" spans="1:23" x14ac:dyDescent="0.35">
      <c r="A659" t="s">
        <v>0</v>
      </c>
      <c r="B659">
        <v>6000</v>
      </c>
      <c r="C659">
        <v>36</v>
      </c>
      <c r="D659">
        <v>25355</v>
      </c>
      <c r="E659">
        <v>0</v>
      </c>
      <c r="F659">
        <v>707833411534</v>
      </c>
      <c r="G659">
        <v>872054228.00999999</v>
      </c>
      <c r="H659">
        <v>699600346651.10999</v>
      </c>
      <c r="I659">
        <v>705587610241.51001</v>
      </c>
      <c r="J659">
        <v>0.117896</v>
      </c>
      <c r="K659">
        <v>2.3042E-2</v>
      </c>
      <c r="M659" t="s">
        <v>0</v>
      </c>
      <c r="N659">
        <v>6000</v>
      </c>
      <c r="O659">
        <v>36</v>
      </c>
      <c r="P659">
        <v>28191</v>
      </c>
      <c r="Q659">
        <v>0</v>
      </c>
      <c r="R659">
        <v>778585811341</v>
      </c>
      <c r="S659">
        <v>958357514.40999997</v>
      </c>
      <c r="T659">
        <v>769968864820.40002</v>
      </c>
      <c r="U659">
        <v>776025921984.5</v>
      </c>
      <c r="V659">
        <v>0.111857</v>
      </c>
      <c r="W659">
        <v>2.4406000000000001E-2</v>
      </c>
    </row>
    <row r="660" spans="1:23" x14ac:dyDescent="0.35">
      <c r="A660" t="s">
        <v>1</v>
      </c>
      <c r="B660">
        <v>6000</v>
      </c>
      <c r="C660">
        <v>36</v>
      </c>
      <c r="D660">
        <v>10942</v>
      </c>
      <c r="E660">
        <v>0</v>
      </c>
      <c r="F660">
        <v>393685212271</v>
      </c>
      <c r="G660">
        <v>485477869.18000001</v>
      </c>
      <c r="H660">
        <v>386036564874.84003</v>
      </c>
      <c r="I660">
        <v>392450612489.53998</v>
      </c>
      <c r="J660">
        <v>0.197764</v>
      </c>
      <c r="K660">
        <v>2.2596999999999999E-2</v>
      </c>
      <c r="M660" t="s">
        <v>2</v>
      </c>
      <c r="N660">
        <v>6000</v>
      </c>
      <c r="O660">
        <v>36</v>
      </c>
      <c r="P660">
        <v>1180</v>
      </c>
      <c r="Q660">
        <v>0</v>
      </c>
      <c r="R660">
        <v>22083341538</v>
      </c>
      <c r="S660">
        <v>27228550.129999999</v>
      </c>
      <c r="T660">
        <v>21907349462.02</v>
      </c>
      <c r="U660">
        <v>22056112987.869999</v>
      </c>
      <c r="V660">
        <v>7.7909000000000006E-2</v>
      </c>
      <c r="W660">
        <v>0</v>
      </c>
    </row>
    <row r="661" spans="1:23" x14ac:dyDescent="0.35">
      <c r="A661" t="s">
        <v>2</v>
      </c>
      <c r="B661">
        <v>7000</v>
      </c>
      <c r="C661">
        <v>42</v>
      </c>
      <c r="D661">
        <v>562</v>
      </c>
      <c r="E661">
        <v>0</v>
      </c>
      <c r="F661">
        <v>8204144780</v>
      </c>
      <c r="G661">
        <v>8879773.2100000009</v>
      </c>
      <c r="H661">
        <v>8075084432.9099998</v>
      </c>
      <c r="I661">
        <v>8165273344.8000002</v>
      </c>
      <c r="J661">
        <v>0.16229199999999999</v>
      </c>
      <c r="K661">
        <v>4.2997E-2</v>
      </c>
      <c r="M661" t="s">
        <v>1</v>
      </c>
      <c r="N661">
        <v>6000</v>
      </c>
      <c r="O661">
        <v>36</v>
      </c>
      <c r="P661">
        <v>11900</v>
      </c>
      <c r="Q661">
        <v>0</v>
      </c>
      <c r="R661">
        <v>426707847429</v>
      </c>
      <c r="S661">
        <v>525665179.75</v>
      </c>
      <c r="T661">
        <v>416968190200.06</v>
      </c>
      <c r="U661">
        <v>425443639899.38</v>
      </c>
      <c r="V661">
        <v>0.23045599999999999</v>
      </c>
      <c r="W661">
        <v>2.0573000000000001E-2</v>
      </c>
    </row>
    <row r="662" spans="1:23" x14ac:dyDescent="0.35">
      <c r="A662" t="s">
        <v>0</v>
      </c>
      <c r="B662">
        <v>6500</v>
      </c>
      <c r="C662">
        <v>36</v>
      </c>
      <c r="D662">
        <v>23105</v>
      </c>
      <c r="E662">
        <v>0</v>
      </c>
      <c r="F662">
        <v>584642033105</v>
      </c>
      <c r="G662">
        <v>660049242.34000003</v>
      </c>
      <c r="H662">
        <v>577032537690.34998</v>
      </c>
      <c r="I662">
        <v>581970674965.84998</v>
      </c>
      <c r="J662">
        <v>0.13367399999999999</v>
      </c>
      <c r="K662">
        <v>4.0510999999999998E-2</v>
      </c>
      <c r="M662" t="s">
        <v>2</v>
      </c>
      <c r="N662">
        <v>5000</v>
      </c>
      <c r="O662">
        <v>36</v>
      </c>
      <c r="P662">
        <v>217</v>
      </c>
      <c r="Q662">
        <v>0</v>
      </c>
      <c r="R662">
        <v>5547965829</v>
      </c>
      <c r="S662">
        <v>8076659.2599999998</v>
      </c>
      <c r="T662">
        <v>5510077570.6199999</v>
      </c>
      <c r="U662">
        <v>5539889169.7399998</v>
      </c>
      <c r="V662">
        <v>6.2608999999999998E-2</v>
      </c>
      <c r="W662">
        <v>0</v>
      </c>
    </row>
    <row r="663" spans="1:23" x14ac:dyDescent="0.35">
      <c r="A663" t="s">
        <v>1</v>
      </c>
      <c r="B663">
        <v>6500</v>
      </c>
      <c r="C663">
        <v>36</v>
      </c>
      <c r="D663">
        <v>5721</v>
      </c>
      <c r="E663">
        <v>0</v>
      </c>
      <c r="F663">
        <v>172900764348</v>
      </c>
      <c r="G663">
        <v>194869250.28</v>
      </c>
      <c r="H663">
        <v>168076616976.54999</v>
      </c>
      <c r="I663">
        <v>172213082236.67001</v>
      </c>
      <c r="J663">
        <v>0.27795599999999998</v>
      </c>
      <c r="K663">
        <v>3.3672000000000001E-2</v>
      </c>
      <c r="M663" t="s">
        <v>0</v>
      </c>
      <c r="N663">
        <v>5000</v>
      </c>
      <c r="O663">
        <v>36</v>
      </c>
      <c r="P663">
        <v>10153</v>
      </c>
      <c r="Q663">
        <v>0</v>
      </c>
      <c r="R663">
        <v>330182266405</v>
      </c>
      <c r="S663">
        <v>480359115.23000002</v>
      </c>
      <c r="T663">
        <v>328162426751.97998</v>
      </c>
      <c r="U663">
        <v>329307175209.20001</v>
      </c>
      <c r="V663">
        <v>5.4537000000000002E-2</v>
      </c>
      <c r="W663">
        <v>1.4252000000000001E-2</v>
      </c>
    </row>
    <row r="664" spans="1:23" x14ac:dyDescent="0.35">
      <c r="A664" t="s">
        <v>2</v>
      </c>
      <c r="B664">
        <v>6500</v>
      </c>
      <c r="C664">
        <v>36</v>
      </c>
      <c r="D664">
        <v>1607</v>
      </c>
      <c r="E664">
        <v>0</v>
      </c>
      <c r="F664">
        <v>27673745525</v>
      </c>
      <c r="G664">
        <v>31268617.77</v>
      </c>
      <c r="H664">
        <v>27329187054.41</v>
      </c>
      <c r="I664">
        <v>27610058119.880001</v>
      </c>
      <c r="J664">
        <v>0.12770300000000001</v>
      </c>
      <c r="K664">
        <v>1.3967E-2</v>
      </c>
      <c r="M664" t="s">
        <v>1</v>
      </c>
      <c r="N664">
        <v>5000</v>
      </c>
      <c r="O664">
        <v>36</v>
      </c>
      <c r="P664">
        <v>5786</v>
      </c>
      <c r="Q664">
        <v>0</v>
      </c>
      <c r="R664">
        <v>213302805468</v>
      </c>
      <c r="S664">
        <v>310639553.06999999</v>
      </c>
      <c r="T664">
        <v>210999757131.51999</v>
      </c>
      <c r="U664">
        <v>212723831365.01999</v>
      </c>
      <c r="V664">
        <v>0.106506</v>
      </c>
      <c r="W664">
        <v>1.4992E-2</v>
      </c>
    </row>
    <row r="665" spans="1:23" x14ac:dyDescent="0.35">
      <c r="A665" t="s">
        <v>1</v>
      </c>
      <c r="B665">
        <v>7000</v>
      </c>
      <c r="C665">
        <v>36</v>
      </c>
      <c r="D665">
        <v>3699</v>
      </c>
      <c r="E665">
        <v>0</v>
      </c>
      <c r="F665">
        <v>96714888134</v>
      </c>
      <c r="G665">
        <v>99916301.090000004</v>
      </c>
      <c r="H665">
        <v>93435245492.830002</v>
      </c>
      <c r="I665">
        <v>95978903612.050003</v>
      </c>
      <c r="J665">
        <v>0.33045600000000003</v>
      </c>
      <c r="K665">
        <v>7.6128000000000001E-2</v>
      </c>
      <c r="M665" t="s">
        <v>2</v>
      </c>
      <c r="N665">
        <v>5500</v>
      </c>
      <c r="O665">
        <v>36</v>
      </c>
      <c r="P665">
        <v>538</v>
      </c>
      <c r="Q665">
        <v>0</v>
      </c>
      <c r="R665">
        <v>11245471666</v>
      </c>
      <c r="S665">
        <v>15087024.02</v>
      </c>
      <c r="T665">
        <v>11190576613.360001</v>
      </c>
      <c r="U665">
        <v>11230384641.98</v>
      </c>
      <c r="V665">
        <v>4.1661999999999998E-2</v>
      </c>
      <c r="W665">
        <v>0</v>
      </c>
    </row>
    <row r="666" spans="1:23" x14ac:dyDescent="0.35">
      <c r="A666" t="s">
        <v>0</v>
      </c>
      <c r="B666">
        <v>7000</v>
      </c>
      <c r="C666">
        <v>36</v>
      </c>
      <c r="D666">
        <v>18318</v>
      </c>
      <c r="E666">
        <v>0</v>
      </c>
      <c r="F666">
        <v>461544120640</v>
      </c>
      <c r="G666">
        <v>476582828.56999999</v>
      </c>
      <c r="H666">
        <v>450833557886.28003</v>
      </c>
      <c r="I666">
        <v>456794369447.73999</v>
      </c>
      <c r="J666">
        <v>0.23591400000000001</v>
      </c>
      <c r="K666">
        <v>0.105615</v>
      </c>
      <c r="M666" t="s">
        <v>0</v>
      </c>
      <c r="N666">
        <v>5500</v>
      </c>
      <c r="O666">
        <v>36</v>
      </c>
      <c r="P666">
        <v>17564</v>
      </c>
      <c r="Q666">
        <v>0</v>
      </c>
      <c r="R666">
        <v>542833449344</v>
      </c>
      <c r="S666">
        <v>726034116.13999999</v>
      </c>
      <c r="T666">
        <v>537816407744.35999</v>
      </c>
      <c r="U666">
        <v>540817174112.62</v>
      </c>
      <c r="V666">
        <v>9.0841000000000005E-2</v>
      </c>
      <c r="W666">
        <v>2.8152E-2</v>
      </c>
    </row>
    <row r="667" spans="1:23" x14ac:dyDescent="0.35">
      <c r="A667" t="s">
        <v>2</v>
      </c>
      <c r="B667">
        <v>7000</v>
      </c>
      <c r="C667">
        <v>36</v>
      </c>
      <c r="D667">
        <v>1430</v>
      </c>
      <c r="E667">
        <v>0</v>
      </c>
      <c r="F667">
        <v>23178997670</v>
      </c>
      <c r="G667">
        <v>24006104.350000001</v>
      </c>
      <c r="H667">
        <v>22664043465.599998</v>
      </c>
      <c r="I667">
        <v>22972616759.290001</v>
      </c>
      <c r="J667">
        <v>0.22655400000000001</v>
      </c>
      <c r="K667">
        <v>9.0437000000000003E-2</v>
      </c>
      <c r="M667" t="s">
        <v>1</v>
      </c>
      <c r="N667">
        <v>5500</v>
      </c>
      <c r="O667">
        <v>36</v>
      </c>
      <c r="P667">
        <v>12785</v>
      </c>
      <c r="Q667">
        <v>0</v>
      </c>
      <c r="R667">
        <v>477839890595</v>
      </c>
      <c r="S667">
        <v>640142047.26999998</v>
      </c>
      <c r="T667">
        <v>471182952573.82001</v>
      </c>
      <c r="U667">
        <v>476574027500.15997</v>
      </c>
      <c r="V667">
        <v>0.14106299999999999</v>
      </c>
      <c r="W667">
        <v>1.5601E-2</v>
      </c>
    </row>
    <row r="668" spans="1:23" x14ac:dyDescent="0.35">
      <c r="A668" t="s">
        <v>0</v>
      </c>
      <c r="B668">
        <v>8000</v>
      </c>
      <c r="C668">
        <v>42</v>
      </c>
      <c r="D668">
        <v>135</v>
      </c>
      <c r="E668">
        <v>0</v>
      </c>
      <c r="F668">
        <v>3742533773</v>
      </c>
      <c r="G668">
        <v>3398091.98</v>
      </c>
      <c r="H668">
        <v>3692312962.4499998</v>
      </c>
      <c r="I668">
        <v>3724263390.6199999</v>
      </c>
      <c r="J668">
        <v>0.14022000000000001</v>
      </c>
      <c r="K668">
        <v>4.6657999999999998E-2</v>
      </c>
      <c r="M668" t="s">
        <v>0</v>
      </c>
      <c r="N668">
        <v>6250</v>
      </c>
      <c r="O668">
        <v>36</v>
      </c>
      <c r="P668">
        <v>58781</v>
      </c>
      <c r="Q668">
        <v>0</v>
      </c>
      <c r="R668">
        <v>1719782624207</v>
      </c>
      <c r="S668">
        <v>2031669217.24</v>
      </c>
      <c r="T668">
        <v>1695643580643.3799</v>
      </c>
      <c r="U668">
        <v>1712972867587.0801</v>
      </c>
      <c r="V668">
        <v>0.14380499999999999</v>
      </c>
      <c r="W668">
        <v>3.2835000000000003E-2</v>
      </c>
    </row>
    <row r="669" spans="1:23" x14ac:dyDescent="0.35">
      <c r="A669" t="s">
        <v>2</v>
      </c>
      <c r="B669">
        <v>6000</v>
      </c>
      <c r="C669">
        <v>36</v>
      </c>
      <c r="D669">
        <v>1010</v>
      </c>
      <c r="E669">
        <v>0</v>
      </c>
      <c r="F669">
        <v>19088454316</v>
      </c>
      <c r="G669">
        <v>23564382.350000001</v>
      </c>
      <c r="H669">
        <v>18892330736.049999</v>
      </c>
      <c r="I669">
        <v>19035661534.740002</v>
      </c>
      <c r="J669">
        <v>0.103245</v>
      </c>
      <c r="K669">
        <v>1.8221000000000001E-2</v>
      </c>
      <c r="M669" t="s">
        <v>0</v>
      </c>
      <c r="N669">
        <v>6500</v>
      </c>
      <c r="O669">
        <v>36</v>
      </c>
      <c r="P669">
        <v>23512</v>
      </c>
      <c r="Q669">
        <v>0</v>
      </c>
      <c r="R669">
        <v>588824304247</v>
      </c>
      <c r="S669">
        <v>664510270.99000001</v>
      </c>
      <c r="T669">
        <v>579705330585.97998</v>
      </c>
      <c r="U669">
        <v>586244549571.42004</v>
      </c>
      <c r="V669">
        <v>0.15932299999999999</v>
      </c>
      <c r="W669">
        <v>3.8341E-2</v>
      </c>
    </row>
    <row r="670" spans="1:23" x14ac:dyDescent="0.35">
      <c r="A670" t="s">
        <v>2</v>
      </c>
      <c r="B670">
        <v>6750</v>
      </c>
      <c r="C670">
        <v>42</v>
      </c>
      <c r="D670">
        <v>2956</v>
      </c>
      <c r="E670">
        <v>0</v>
      </c>
      <c r="F670">
        <v>46088276529</v>
      </c>
      <c r="G670">
        <v>52019903.960000001</v>
      </c>
      <c r="H670">
        <v>45492980529.019997</v>
      </c>
      <c r="I670">
        <v>45895037904.120003</v>
      </c>
      <c r="J670">
        <v>0.132633</v>
      </c>
      <c r="K670">
        <v>3.6156000000000001E-2</v>
      </c>
      <c r="M670" t="s">
        <v>2</v>
      </c>
      <c r="N670">
        <v>6500</v>
      </c>
      <c r="O670">
        <v>36</v>
      </c>
      <c r="P670">
        <v>1714</v>
      </c>
      <c r="Q670">
        <v>0</v>
      </c>
      <c r="R670">
        <v>29363578961</v>
      </c>
      <c r="S670">
        <v>33159096.280000001</v>
      </c>
      <c r="T670">
        <v>29108299544.439999</v>
      </c>
      <c r="U670">
        <v>29320969751.599998</v>
      </c>
      <c r="V670">
        <v>8.7091000000000002E-2</v>
      </c>
      <c r="W670">
        <v>3.8549999999999999E-3</v>
      </c>
    </row>
    <row r="671" spans="1:23" x14ac:dyDescent="0.35">
      <c r="A671" t="s">
        <v>0</v>
      </c>
      <c r="B671">
        <v>7750</v>
      </c>
      <c r="C671">
        <v>42</v>
      </c>
      <c r="D671">
        <v>1736</v>
      </c>
      <c r="E671">
        <v>0</v>
      </c>
      <c r="F671">
        <v>36782692169</v>
      </c>
      <c r="G671">
        <v>35058550.969999999</v>
      </c>
      <c r="H671">
        <v>35630297226.699997</v>
      </c>
      <c r="I671">
        <v>36232085210</v>
      </c>
      <c r="J671">
        <v>0.30938399999999999</v>
      </c>
      <c r="K671">
        <v>0.15581400000000001</v>
      </c>
      <c r="M671" t="s">
        <v>0</v>
      </c>
      <c r="N671">
        <v>7000</v>
      </c>
      <c r="O671">
        <v>36</v>
      </c>
      <c r="P671">
        <v>16418</v>
      </c>
      <c r="Q671">
        <v>0</v>
      </c>
      <c r="R671">
        <v>412918894118</v>
      </c>
      <c r="S671">
        <v>426143619.93000001</v>
      </c>
      <c r="T671">
        <v>403942062488.13</v>
      </c>
      <c r="U671">
        <v>409801068826.96002</v>
      </c>
      <c r="V671">
        <v>0.22205800000000001</v>
      </c>
      <c r="W671">
        <v>7.5480000000000005E-2</v>
      </c>
    </row>
    <row r="672" spans="1:23" x14ac:dyDescent="0.35">
      <c r="A672" t="s">
        <v>1</v>
      </c>
      <c r="B672">
        <v>6750</v>
      </c>
      <c r="C672">
        <v>42</v>
      </c>
      <c r="D672">
        <v>9242</v>
      </c>
      <c r="E672">
        <v>0</v>
      </c>
      <c r="F672">
        <v>246720406961</v>
      </c>
      <c r="G672">
        <v>278341767.45999998</v>
      </c>
      <c r="H672">
        <v>239098936702.98001</v>
      </c>
      <c r="I672">
        <v>244838913257.85999</v>
      </c>
      <c r="J672">
        <v>0.30412</v>
      </c>
      <c r="K672">
        <v>7.5246999999999994E-2</v>
      </c>
      <c r="M672" t="s">
        <v>2</v>
      </c>
      <c r="N672">
        <v>7000</v>
      </c>
      <c r="O672">
        <v>36</v>
      </c>
      <c r="P672">
        <v>1238</v>
      </c>
      <c r="Q672">
        <v>0</v>
      </c>
      <c r="R672">
        <v>19754407850</v>
      </c>
      <c r="S672">
        <v>20446196.539999999</v>
      </c>
      <c r="T672">
        <v>19510041143.82</v>
      </c>
      <c r="U672">
        <v>19669142459.080002</v>
      </c>
      <c r="V672">
        <v>0.127855</v>
      </c>
      <c r="W672">
        <v>3.8671999999999998E-2</v>
      </c>
    </row>
    <row r="673" spans="1:23" x14ac:dyDescent="0.35">
      <c r="A673" t="s">
        <v>1</v>
      </c>
      <c r="B673">
        <v>6250</v>
      </c>
      <c r="C673">
        <v>42</v>
      </c>
      <c r="D673">
        <v>15520</v>
      </c>
      <c r="E673">
        <v>0</v>
      </c>
      <c r="F673">
        <v>478773118907</v>
      </c>
      <c r="G673">
        <v>587447612.27999997</v>
      </c>
      <c r="H673">
        <v>467501507794.39001</v>
      </c>
      <c r="I673">
        <v>476896515337.78998</v>
      </c>
      <c r="J673">
        <v>0.23724799999999999</v>
      </c>
      <c r="K673">
        <v>3.1836999999999997E-2</v>
      </c>
      <c r="M673" t="s">
        <v>1</v>
      </c>
      <c r="N673">
        <v>6500</v>
      </c>
      <c r="O673">
        <v>36</v>
      </c>
      <c r="P673">
        <v>5430</v>
      </c>
      <c r="Q673">
        <v>0</v>
      </c>
      <c r="R673">
        <v>161161345811</v>
      </c>
      <c r="S673">
        <v>181867133.16</v>
      </c>
      <c r="T673">
        <v>155750710379.56</v>
      </c>
      <c r="U673">
        <v>160405790124.87</v>
      </c>
      <c r="V673">
        <v>0.32684999999999997</v>
      </c>
      <c r="W673">
        <v>4.1889999999999997E-2</v>
      </c>
    </row>
    <row r="674" spans="1:23" x14ac:dyDescent="0.35">
      <c r="A674" t="s">
        <v>0</v>
      </c>
      <c r="B674">
        <v>5750</v>
      </c>
      <c r="C674">
        <v>36</v>
      </c>
      <c r="D674">
        <v>36284</v>
      </c>
      <c r="E674">
        <v>0</v>
      </c>
      <c r="F674">
        <v>1145522291747</v>
      </c>
      <c r="G674">
        <v>1479619448.74</v>
      </c>
      <c r="H674">
        <v>1134907326809</v>
      </c>
      <c r="I674">
        <v>1142116248719</v>
      </c>
      <c r="J674">
        <v>9.1609999999999997E-2</v>
      </c>
      <c r="K674">
        <v>1.9994999999999999E-2</v>
      </c>
      <c r="M674" t="s">
        <v>1</v>
      </c>
      <c r="N674">
        <v>7000</v>
      </c>
      <c r="O674">
        <v>36</v>
      </c>
      <c r="P674">
        <v>3314</v>
      </c>
      <c r="Q674">
        <v>0</v>
      </c>
      <c r="R674">
        <v>85316908536</v>
      </c>
      <c r="S674">
        <v>88298061.439999998</v>
      </c>
      <c r="T674">
        <v>82747877547.199997</v>
      </c>
      <c r="U674">
        <v>84809052869.600006</v>
      </c>
      <c r="V674">
        <v>0.29819099999999998</v>
      </c>
      <c r="W674">
        <v>5.7440999999999999E-2</v>
      </c>
    </row>
    <row r="675" spans="1:23" x14ac:dyDescent="0.35">
      <c r="A675" t="s">
        <v>1</v>
      </c>
      <c r="B675">
        <v>5750</v>
      </c>
      <c r="C675">
        <v>36</v>
      </c>
      <c r="D675">
        <v>22516</v>
      </c>
      <c r="E675">
        <v>0</v>
      </c>
      <c r="F675">
        <v>871587910453</v>
      </c>
      <c r="G675">
        <v>1125749024.0799999</v>
      </c>
      <c r="H675">
        <v>854806137347.45996</v>
      </c>
      <c r="I675">
        <v>868980920101.69995</v>
      </c>
      <c r="J675">
        <v>0.19548099999999999</v>
      </c>
      <c r="K675">
        <v>2.0204E-2</v>
      </c>
      <c r="M675" t="s">
        <v>0</v>
      </c>
      <c r="N675">
        <v>8000</v>
      </c>
      <c r="O675">
        <v>42</v>
      </c>
      <c r="P675">
        <v>125</v>
      </c>
      <c r="Q675">
        <v>0</v>
      </c>
      <c r="R675">
        <v>3544355911</v>
      </c>
      <c r="S675">
        <v>3198527.82</v>
      </c>
      <c r="T675">
        <v>3332732076.5599999</v>
      </c>
      <c r="U675">
        <v>3517578332.6300001</v>
      </c>
      <c r="V675">
        <v>0.51676699999999998</v>
      </c>
      <c r="W675">
        <v>7.6974000000000001E-2</v>
      </c>
    </row>
    <row r="676" spans="1:23" x14ac:dyDescent="0.35">
      <c r="A676" t="s">
        <v>0</v>
      </c>
      <c r="B676">
        <v>7500</v>
      </c>
      <c r="C676">
        <v>36</v>
      </c>
      <c r="D676">
        <v>6194</v>
      </c>
      <c r="E676">
        <v>0</v>
      </c>
      <c r="F676">
        <v>160921128371</v>
      </c>
      <c r="G676">
        <v>152026249.78</v>
      </c>
      <c r="H676">
        <v>156873301637.54001</v>
      </c>
      <c r="I676">
        <v>158714092107.12</v>
      </c>
      <c r="J676">
        <v>0.25478800000000001</v>
      </c>
      <c r="K676">
        <v>0.142925</v>
      </c>
      <c r="M676" t="s">
        <v>0</v>
      </c>
      <c r="N676">
        <v>7500</v>
      </c>
      <c r="O676">
        <v>36</v>
      </c>
      <c r="P676">
        <v>4910</v>
      </c>
      <c r="Q676">
        <v>0</v>
      </c>
      <c r="R676">
        <v>125667619100</v>
      </c>
      <c r="S676">
        <v>118849973.26000001</v>
      </c>
      <c r="T676">
        <v>123094987517.14999</v>
      </c>
      <c r="U676">
        <v>124496440550.94</v>
      </c>
      <c r="V676">
        <v>0.21071599999999999</v>
      </c>
      <c r="W676">
        <v>9.5986000000000002E-2</v>
      </c>
    </row>
    <row r="677" spans="1:23" x14ac:dyDescent="0.35">
      <c r="A677" t="s">
        <v>0</v>
      </c>
      <c r="B677">
        <v>7250</v>
      </c>
      <c r="C677">
        <v>36</v>
      </c>
      <c r="D677">
        <v>28834</v>
      </c>
      <c r="E677">
        <v>0</v>
      </c>
      <c r="F677">
        <v>709705759152</v>
      </c>
      <c r="G677">
        <v>701996546.01999998</v>
      </c>
      <c r="H677">
        <v>689417641794.33997</v>
      </c>
      <c r="I677">
        <v>700791294564</v>
      </c>
      <c r="J677">
        <v>0.28525200000000001</v>
      </c>
      <c r="K677">
        <v>0.130354</v>
      </c>
      <c r="M677" t="s">
        <v>2</v>
      </c>
      <c r="N677">
        <v>6750</v>
      </c>
      <c r="O677">
        <v>42</v>
      </c>
      <c r="P677">
        <v>2435</v>
      </c>
      <c r="Q677">
        <v>0</v>
      </c>
      <c r="R677">
        <v>37971035449</v>
      </c>
      <c r="S677">
        <v>42751035.060000002</v>
      </c>
      <c r="T677">
        <v>37409117281.940002</v>
      </c>
      <c r="U677">
        <v>37881362948.760002</v>
      </c>
      <c r="V677">
        <v>0.15228</v>
      </c>
      <c r="W677">
        <v>1.4728E-2</v>
      </c>
    </row>
    <row r="678" spans="1:23" x14ac:dyDescent="0.35">
      <c r="A678" t="s">
        <v>0</v>
      </c>
      <c r="B678">
        <v>6750</v>
      </c>
      <c r="C678">
        <v>36</v>
      </c>
      <c r="D678">
        <v>54116</v>
      </c>
      <c r="E678">
        <v>0</v>
      </c>
      <c r="F678">
        <v>1461534818829</v>
      </c>
      <c r="G678">
        <v>1581693553.46</v>
      </c>
      <c r="H678">
        <v>1436671645521.05</v>
      </c>
      <c r="I678">
        <v>1452406264718.97</v>
      </c>
      <c r="J678">
        <v>0.175264</v>
      </c>
      <c r="K678">
        <v>6.0234000000000003E-2</v>
      </c>
      <c r="M678" t="s">
        <v>0</v>
      </c>
      <c r="N678">
        <v>7750</v>
      </c>
      <c r="O678">
        <v>42</v>
      </c>
      <c r="P678">
        <v>1536</v>
      </c>
      <c r="Q678">
        <v>0</v>
      </c>
      <c r="R678">
        <v>32124324641</v>
      </c>
      <c r="S678">
        <v>30523698.379999999</v>
      </c>
      <c r="T678">
        <v>30996594040.849998</v>
      </c>
      <c r="U678">
        <v>31723471010</v>
      </c>
      <c r="V678">
        <v>0.34099400000000002</v>
      </c>
      <c r="W678">
        <v>0.12989400000000001</v>
      </c>
    </row>
    <row r="679" spans="1:23" x14ac:dyDescent="0.35">
      <c r="A679" t="s">
        <v>1</v>
      </c>
      <c r="B679">
        <v>4250</v>
      </c>
      <c r="C679">
        <v>42</v>
      </c>
      <c r="D679">
        <v>1199</v>
      </c>
      <c r="E679">
        <v>0</v>
      </c>
      <c r="F679">
        <v>42967101752</v>
      </c>
      <c r="G679">
        <v>73244777.590000004</v>
      </c>
      <c r="H679">
        <v>42657389776.25</v>
      </c>
      <c r="I679">
        <v>42842382029.269997</v>
      </c>
      <c r="J679">
        <v>6.4078999999999997E-2</v>
      </c>
      <c r="K679">
        <v>1.4282E-2</v>
      </c>
      <c r="M679" t="s">
        <v>1</v>
      </c>
      <c r="N679">
        <v>6750</v>
      </c>
      <c r="O679">
        <v>42</v>
      </c>
      <c r="P679">
        <v>7703</v>
      </c>
      <c r="Q679">
        <v>0</v>
      </c>
      <c r="R679">
        <v>206459395807</v>
      </c>
      <c r="S679">
        <v>232347784.21000001</v>
      </c>
      <c r="T679">
        <v>199703674165.20999</v>
      </c>
      <c r="U679">
        <v>204987041400.56</v>
      </c>
      <c r="V679">
        <v>0.31973699999999999</v>
      </c>
      <c r="W679">
        <v>6.9738999999999995E-2</v>
      </c>
    </row>
    <row r="680" spans="1:23" x14ac:dyDescent="0.35">
      <c r="A680" t="s">
        <v>0</v>
      </c>
      <c r="B680">
        <v>6250</v>
      </c>
      <c r="C680">
        <v>36</v>
      </c>
      <c r="D680">
        <v>53062</v>
      </c>
      <c r="E680">
        <v>0</v>
      </c>
      <c r="F680">
        <v>1571570947618</v>
      </c>
      <c r="G680">
        <v>1859861929.8900001</v>
      </c>
      <c r="H680">
        <v>1552561466265.21</v>
      </c>
      <c r="I680">
        <v>1565647350453.1001</v>
      </c>
      <c r="J680">
        <v>0.12336900000000001</v>
      </c>
      <c r="K680">
        <v>3.0592000000000001E-2</v>
      </c>
      <c r="M680" t="s">
        <v>1</v>
      </c>
      <c r="N680">
        <v>6250</v>
      </c>
      <c r="O680">
        <v>42</v>
      </c>
      <c r="P680">
        <v>13775</v>
      </c>
      <c r="Q680">
        <v>0</v>
      </c>
      <c r="R680">
        <v>413940441375</v>
      </c>
      <c r="S680">
        <v>507768361.32999998</v>
      </c>
      <c r="T680">
        <v>402806394543.45001</v>
      </c>
      <c r="U680">
        <v>411951496271.17999</v>
      </c>
      <c r="V680">
        <v>0.26807399999999998</v>
      </c>
      <c r="W680">
        <v>4.2104000000000003E-2</v>
      </c>
    </row>
    <row r="681" spans="1:23" x14ac:dyDescent="0.35">
      <c r="A681" t="s">
        <v>1</v>
      </c>
      <c r="B681">
        <v>6250</v>
      </c>
      <c r="C681">
        <v>36</v>
      </c>
      <c r="D681">
        <v>19535</v>
      </c>
      <c r="E681">
        <v>0</v>
      </c>
      <c r="F681">
        <v>673952544082</v>
      </c>
      <c r="G681">
        <v>796918776.25</v>
      </c>
      <c r="H681">
        <v>657788919047.28003</v>
      </c>
      <c r="I681">
        <v>671515356304.33997</v>
      </c>
      <c r="J681">
        <v>0.24177699999999999</v>
      </c>
      <c r="K681">
        <v>2.8818E-2</v>
      </c>
      <c r="M681" t="s">
        <v>0</v>
      </c>
      <c r="N681">
        <v>5750</v>
      </c>
      <c r="O681">
        <v>36</v>
      </c>
      <c r="P681">
        <v>42026</v>
      </c>
      <c r="Q681">
        <v>0</v>
      </c>
      <c r="R681">
        <v>1308034564624</v>
      </c>
      <c r="S681">
        <v>1685391905.3900001</v>
      </c>
      <c r="T681">
        <v>1296649658394.8</v>
      </c>
      <c r="U681">
        <v>1304335700906.6499</v>
      </c>
      <c r="V681">
        <v>8.5443000000000005E-2</v>
      </c>
      <c r="W681">
        <v>1.8315999999999999E-2</v>
      </c>
    </row>
    <row r="682" spans="1:23" x14ac:dyDescent="0.35">
      <c r="A682" t="s">
        <v>2</v>
      </c>
      <c r="B682">
        <v>6250</v>
      </c>
      <c r="C682">
        <v>36</v>
      </c>
      <c r="D682">
        <v>2768</v>
      </c>
      <c r="E682">
        <v>0</v>
      </c>
      <c r="F682">
        <v>50865672097</v>
      </c>
      <c r="G682">
        <v>60280360.140000001</v>
      </c>
      <c r="H682">
        <v>50423573291.379997</v>
      </c>
      <c r="I682">
        <v>50711214956.389999</v>
      </c>
      <c r="J682">
        <v>8.6449999999999999E-2</v>
      </c>
      <c r="K682">
        <v>2.1992999999999999E-2</v>
      </c>
      <c r="M682" t="s">
        <v>1</v>
      </c>
      <c r="N682">
        <v>5750</v>
      </c>
      <c r="O682">
        <v>36</v>
      </c>
      <c r="P682">
        <v>26467</v>
      </c>
      <c r="Q682">
        <v>0</v>
      </c>
      <c r="R682">
        <v>1017438634448</v>
      </c>
      <c r="S682">
        <v>1310545077.96</v>
      </c>
      <c r="T682">
        <v>999528564279.03003</v>
      </c>
      <c r="U682">
        <v>1014621525137.89</v>
      </c>
      <c r="V682">
        <v>0.17913399999999999</v>
      </c>
      <c r="W682">
        <v>1.7624999999999998E-2</v>
      </c>
    </row>
    <row r="683" spans="1:23" x14ac:dyDescent="0.35">
      <c r="A683" t="s">
        <v>1</v>
      </c>
      <c r="B683">
        <v>6750</v>
      </c>
      <c r="C683">
        <v>36</v>
      </c>
      <c r="D683">
        <v>12715</v>
      </c>
      <c r="E683">
        <v>0</v>
      </c>
      <c r="F683">
        <v>375452005283</v>
      </c>
      <c r="G683">
        <v>406486393.51999998</v>
      </c>
      <c r="H683">
        <v>362110487170.21997</v>
      </c>
      <c r="I683">
        <v>373275304046.28998</v>
      </c>
      <c r="J683">
        <v>0.34342099999999998</v>
      </c>
      <c r="K683">
        <v>5.5134000000000002E-2</v>
      </c>
      <c r="M683" t="s">
        <v>0</v>
      </c>
      <c r="N683">
        <v>7250</v>
      </c>
      <c r="O683">
        <v>36</v>
      </c>
      <c r="P683">
        <v>24645</v>
      </c>
      <c r="Q683">
        <v>0</v>
      </c>
      <c r="R683">
        <v>596126532502</v>
      </c>
      <c r="S683">
        <v>590050709.78999996</v>
      </c>
      <c r="T683">
        <v>579212378147.18005</v>
      </c>
      <c r="U683">
        <v>590003153093.91003</v>
      </c>
      <c r="V683">
        <v>0.28336299999999998</v>
      </c>
      <c r="W683">
        <v>0.10587199999999999</v>
      </c>
    </row>
    <row r="684" spans="1:23" x14ac:dyDescent="0.35">
      <c r="A684" t="s">
        <v>2</v>
      </c>
      <c r="B684">
        <v>6750</v>
      </c>
      <c r="C684">
        <v>36</v>
      </c>
      <c r="D684">
        <v>3440</v>
      </c>
      <c r="E684">
        <v>0</v>
      </c>
      <c r="F684">
        <v>56788759966</v>
      </c>
      <c r="G684">
        <v>61630158.270000003</v>
      </c>
      <c r="H684">
        <v>56071307843.529999</v>
      </c>
      <c r="I684">
        <v>56527460666.300003</v>
      </c>
      <c r="J684">
        <v>0.130109</v>
      </c>
      <c r="K684">
        <v>4.1385999999999999E-2</v>
      </c>
      <c r="M684" t="s">
        <v>0</v>
      </c>
      <c r="N684">
        <v>6750</v>
      </c>
      <c r="O684">
        <v>36</v>
      </c>
      <c r="P684">
        <v>54163</v>
      </c>
      <c r="Q684">
        <v>0</v>
      </c>
      <c r="R684">
        <v>1434339428333</v>
      </c>
      <c r="S684">
        <v>1551346824.76</v>
      </c>
      <c r="T684">
        <v>1407135446755.6101</v>
      </c>
      <c r="U684">
        <v>1425770014208.3101</v>
      </c>
      <c r="V684">
        <v>0.194714</v>
      </c>
      <c r="W684">
        <v>5.7160000000000002E-2</v>
      </c>
    </row>
    <row r="685" spans="1:23" x14ac:dyDescent="0.35">
      <c r="A685" t="s">
        <v>2</v>
      </c>
      <c r="B685">
        <v>5250</v>
      </c>
      <c r="C685">
        <v>36</v>
      </c>
      <c r="D685">
        <v>345</v>
      </c>
      <c r="E685">
        <v>0</v>
      </c>
      <c r="F685">
        <v>8343088106</v>
      </c>
      <c r="G685">
        <v>11693515.74</v>
      </c>
      <c r="H685">
        <v>8280359208.0200005</v>
      </c>
      <c r="I685">
        <v>8331394590.2600002</v>
      </c>
      <c r="J685">
        <v>7.0985000000000006E-2</v>
      </c>
      <c r="K685">
        <v>0</v>
      </c>
      <c r="M685" t="s">
        <v>2</v>
      </c>
      <c r="N685">
        <v>5750</v>
      </c>
      <c r="O685">
        <v>36</v>
      </c>
      <c r="P685">
        <v>1694</v>
      </c>
      <c r="Q685">
        <v>0</v>
      </c>
      <c r="R685">
        <v>34755493324</v>
      </c>
      <c r="S685">
        <v>44870934.390000001</v>
      </c>
      <c r="T685">
        <v>34369651459.709999</v>
      </c>
      <c r="U685">
        <v>34624970482.330002</v>
      </c>
      <c r="V685">
        <v>0.111578</v>
      </c>
      <c r="W685">
        <v>2.9175E-2</v>
      </c>
    </row>
    <row r="686" spans="1:23" x14ac:dyDescent="0.35">
      <c r="A686" t="s">
        <v>2</v>
      </c>
      <c r="B686">
        <v>7250</v>
      </c>
      <c r="C686">
        <v>36</v>
      </c>
      <c r="D686">
        <v>2346</v>
      </c>
      <c r="E686">
        <v>0</v>
      </c>
      <c r="F686">
        <v>35050225160</v>
      </c>
      <c r="G686">
        <v>34680518.210000001</v>
      </c>
      <c r="H686">
        <v>34709291907.089996</v>
      </c>
      <c r="I686">
        <v>34886750331.269997</v>
      </c>
      <c r="J686">
        <v>9.9956000000000003E-2</v>
      </c>
      <c r="K686">
        <v>4.3214000000000002E-2</v>
      </c>
      <c r="M686" t="s">
        <v>0</v>
      </c>
      <c r="N686">
        <v>5250</v>
      </c>
      <c r="O686">
        <v>36</v>
      </c>
      <c r="P686">
        <v>13521</v>
      </c>
      <c r="Q686">
        <v>0</v>
      </c>
      <c r="R686">
        <v>439209346783</v>
      </c>
      <c r="S686">
        <v>614228164.95000005</v>
      </c>
      <c r="T686">
        <v>436457452755.34998</v>
      </c>
      <c r="U686">
        <v>438017055990.76001</v>
      </c>
      <c r="V686">
        <v>5.6867000000000001E-2</v>
      </c>
      <c r="W686">
        <v>1.5679999999999999E-2</v>
      </c>
    </row>
    <row r="687" spans="1:23" x14ac:dyDescent="0.35">
      <c r="A687" t="s">
        <v>1</v>
      </c>
      <c r="B687">
        <v>7250</v>
      </c>
      <c r="C687">
        <v>36</v>
      </c>
      <c r="D687">
        <v>4837</v>
      </c>
      <c r="E687">
        <v>0</v>
      </c>
      <c r="F687">
        <v>120629698375</v>
      </c>
      <c r="G687">
        <v>119696100.70999999</v>
      </c>
      <c r="H687">
        <v>115796369290.53999</v>
      </c>
      <c r="I687">
        <v>119337817794.21001</v>
      </c>
      <c r="J687">
        <v>0.38017000000000001</v>
      </c>
      <c r="K687">
        <v>0.110572</v>
      </c>
      <c r="M687" t="s">
        <v>1</v>
      </c>
      <c r="N687">
        <v>6250</v>
      </c>
      <c r="O687">
        <v>36</v>
      </c>
      <c r="P687">
        <v>21402</v>
      </c>
      <c r="Q687">
        <v>0</v>
      </c>
      <c r="R687">
        <v>733845127497</v>
      </c>
      <c r="S687">
        <v>866311147.63999999</v>
      </c>
      <c r="T687">
        <v>713420281773.88</v>
      </c>
      <c r="U687">
        <v>731565777046.88</v>
      </c>
      <c r="V687">
        <v>0.27686899999999998</v>
      </c>
      <c r="W687">
        <v>2.2863000000000001E-2</v>
      </c>
    </row>
    <row r="688" spans="1:23" x14ac:dyDescent="0.35">
      <c r="A688" t="s">
        <v>0</v>
      </c>
      <c r="B688">
        <v>7250</v>
      </c>
      <c r="C688">
        <v>30</v>
      </c>
      <c r="D688">
        <v>28407</v>
      </c>
      <c r="E688">
        <v>0</v>
      </c>
      <c r="F688">
        <v>732549203216</v>
      </c>
      <c r="G688">
        <v>700212493.38999999</v>
      </c>
      <c r="H688">
        <v>713440661448.73999</v>
      </c>
      <c r="I688">
        <v>724545916560.42004</v>
      </c>
      <c r="J688">
        <v>0.26317400000000002</v>
      </c>
      <c r="K688">
        <v>0.113286</v>
      </c>
      <c r="M688" t="s">
        <v>2</v>
      </c>
      <c r="N688">
        <v>6250</v>
      </c>
      <c r="O688">
        <v>36</v>
      </c>
      <c r="P688">
        <v>3319</v>
      </c>
      <c r="Q688">
        <v>0</v>
      </c>
      <c r="R688">
        <v>60370050201</v>
      </c>
      <c r="S688">
        <v>71435070.140000001</v>
      </c>
      <c r="T688">
        <v>59438764007.550003</v>
      </c>
      <c r="U688">
        <v>60073139162.260002</v>
      </c>
      <c r="V688">
        <v>0.15814300000000001</v>
      </c>
      <c r="W688">
        <v>4.3908999999999997E-2</v>
      </c>
    </row>
    <row r="689" spans="1:23" x14ac:dyDescent="0.35">
      <c r="A689" t="s">
        <v>0</v>
      </c>
      <c r="B689">
        <v>7500</v>
      </c>
      <c r="C689">
        <v>30</v>
      </c>
      <c r="D689">
        <v>8823</v>
      </c>
      <c r="E689">
        <v>0</v>
      </c>
      <c r="F689">
        <v>218411878791</v>
      </c>
      <c r="G689">
        <v>199401892.41999999</v>
      </c>
      <c r="H689">
        <v>212316930069.26001</v>
      </c>
      <c r="I689">
        <v>215600280690.20999</v>
      </c>
      <c r="J689">
        <v>0.27989999999999998</v>
      </c>
      <c r="K689">
        <v>0.13444500000000001</v>
      </c>
      <c r="M689" t="s">
        <v>1</v>
      </c>
      <c r="N689">
        <v>6750</v>
      </c>
      <c r="O689">
        <v>36</v>
      </c>
      <c r="P689">
        <v>12813</v>
      </c>
      <c r="Q689">
        <v>0</v>
      </c>
      <c r="R689">
        <v>368969421854</v>
      </c>
      <c r="S689">
        <v>399358262.98000002</v>
      </c>
      <c r="T689">
        <v>355652894349.45001</v>
      </c>
      <c r="U689">
        <v>366850407200.79999</v>
      </c>
      <c r="V689">
        <v>0.34795100000000001</v>
      </c>
      <c r="W689">
        <v>5.4517000000000003E-2</v>
      </c>
    </row>
    <row r="690" spans="1:23" x14ac:dyDescent="0.35">
      <c r="A690" t="s">
        <v>2</v>
      </c>
      <c r="B690">
        <v>5750</v>
      </c>
      <c r="C690">
        <v>36</v>
      </c>
      <c r="D690">
        <v>1321</v>
      </c>
      <c r="E690">
        <v>0</v>
      </c>
      <c r="F690">
        <v>27657765833</v>
      </c>
      <c r="G690">
        <v>35771046.43</v>
      </c>
      <c r="H690">
        <v>27308738271.130001</v>
      </c>
      <c r="I690">
        <v>27534603919.389999</v>
      </c>
      <c r="J690">
        <v>0.12775900000000001</v>
      </c>
      <c r="K690">
        <v>3.7265E-2</v>
      </c>
      <c r="M690" t="s">
        <v>2</v>
      </c>
      <c r="N690">
        <v>6750</v>
      </c>
      <c r="O690">
        <v>36</v>
      </c>
      <c r="P690">
        <v>3614</v>
      </c>
      <c r="Q690">
        <v>0</v>
      </c>
      <c r="R690">
        <v>58762161815</v>
      </c>
      <c r="S690">
        <v>63727948.950000003</v>
      </c>
      <c r="T690">
        <v>57923021319.019997</v>
      </c>
      <c r="U690">
        <v>58645378945.089996</v>
      </c>
      <c r="V690">
        <v>0.14734800000000001</v>
      </c>
      <c r="W690">
        <v>1.0781000000000001E-2</v>
      </c>
    </row>
    <row r="691" spans="1:23" x14ac:dyDescent="0.35">
      <c r="A691" t="s">
        <v>1</v>
      </c>
      <c r="B691">
        <v>5250</v>
      </c>
      <c r="C691">
        <v>36</v>
      </c>
      <c r="D691">
        <v>8285</v>
      </c>
      <c r="E691">
        <v>0</v>
      </c>
      <c r="F691">
        <v>313797377629</v>
      </c>
      <c r="G691">
        <v>439421381.88</v>
      </c>
      <c r="H691">
        <v>309699552092.85999</v>
      </c>
      <c r="I691">
        <v>312606442330.92999</v>
      </c>
      <c r="J691">
        <v>0.131271</v>
      </c>
      <c r="K691">
        <v>2.8362999999999999E-2</v>
      </c>
      <c r="M691" t="s">
        <v>0</v>
      </c>
      <c r="N691">
        <v>6750</v>
      </c>
      <c r="O691">
        <v>30</v>
      </c>
      <c r="P691">
        <v>40684</v>
      </c>
      <c r="Q691">
        <v>0</v>
      </c>
      <c r="R691">
        <v>1157375135216</v>
      </c>
      <c r="S691">
        <v>1205663909.6800001</v>
      </c>
      <c r="T691">
        <v>1136480881916.78</v>
      </c>
      <c r="U691">
        <v>1151783919584.78</v>
      </c>
      <c r="V691">
        <v>0.18608</v>
      </c>
      <c r="W691">
        <v>4.4534999999999998E-2</v>
      </c>
    </row>
    <row r="692" spans="1:23" x14ac:dyDescent="0.35">
      <c r="A692" t="s">
        <v>0</v>
      </c>
      <c r="B692">
        <v>6750</v>
      </c>
      <c r="C692">
        <v>30</v>
      </c>
      <c r="D692">
        <v>41859</v>
      </c>
      <c r="E692">
        <v>0</v>
      </c>
      <c r="F692">
        <v>1183369567626</v>
      </c>
      <c r="G692">
        <v>1230089104.0699999</v>
      </c>
      <c r="H692">
        <v>1164429283268.3</v>
      </c>
      <c r="I692">
        <v>1177535926248.1201</v>
      </c>
      <c r="J692">
        <v>0.165521</v>
      </c>
      <c r="K692">
        <v>4.5696000000000001E-2</v>
      </c>
      <c r="M692" t="s">
        <v>0</v>
      </c>
      <c r="N692">
        <v>7000</v>
      </c>
      <c r="O692">
        <v>30</v>
      </c>
      <c r="P692">
        <v>17254</v>
      </c>
      <c r="Q692">
        <v>0</v>
      </c>
      <c r="R692">
        <v>435370278938</v>
      </c>
      <c r="S692">
        <v>434428830.44999999</v>
      </c>
      <c r="T692">
        <v>425489381710.25</v>
      </c>
      <c r="U692">
        <v>432122111144.58002</v>
      </c>
      <c r="V692">
        <v>0.23144000000000001</v>
      </c>
      <c r="W692">
        <v>7.4856000000000006E-2</v>
      </c>
    </row>
    <row r="693" spans="1:23" x14ac:dyDescent="0.35">
      <c r="A693" t="s">
        <v>0</v>
      </c>
      <c r="B693">
        <v>7000</v>
      </c>
      <c r="C693">
        <v>30</v>
      </c>
      <c r="D693">
        <v>15611</v>
      </c>
      <c r="E693">
        <v>0</v>
      </c>
      <c r="F693">
        <v>392098978140</v>
      </c>
      <c r="G693">
        <v>390947002.83999997</v>
      </c>
      <c r="H693">
        <v>383116120139.01001</v>
      </c>
      <c r="I693">
        <v>388292723681.38</v>
      </c>
      <c r="J693">
        <v>0.23346500000000001</v>
      </c>
      <c r="K693">
        <v>9.9658999999999998E-2</v>
      </c>
      <c r="M693" t="s">
        <v>0</v>
      </c>
      <c r="N693">
        <v>7250</v>
      </c>
      <c r="O693">
        <v>30</v>
      </c>
      <c r="P693">
        <v>32329</v>
      </c>
      <c r="Q693">
        <v>0</v>
      </c>
      <c r="R693">
        <v>836030642751</v>
      </c>
      <c r="S693">
        <v>799534893.73000002</v>
      </c>
      <c r="T693">
        <v>812288973130.73999</v>
      </c>
      <c r="U693">
        <v>828478270832.59998</v>
      </c>
      <c r="V693">
        <v>0.28387699999999999</v>
      </c>
      <c r="W693">
        <v>9.2734999999999998E-2</v>
      </c>
    </row>
    <row r="694" spans="1:23" x14ac:dyDescent="0.35">
      <c r="A694" t="s">
        <v>2</v>
      </c>
      <c r="B694">
        <v>7250</v>
      </c>
      <c r="C694">
        <v>30</v>
      </c>
      <c r="D694">
        <v>2151</v>
      </c>
      <c r="E694">
        <v>0</v>
      </c>
      <c r="F694">
        <v>33889002764</v>
      </c>
      <c r="G694">
        <v>32449836.73</v>
      </c>
      <c r="H694">
        <v>33413866328.25</v>
      </c>
      <c r="I694">
        <v>33700295452.169998</v>
      </c>
      <c r="J694">
        <v>0.14596799999999999</v>
      </c>
      <c r="K694">
        <v>5.3948999999999997E-2</v>
      </c>
      <c r="M694" t="s">
        <v>1</v>
      </c>
      <c r="N694">
        <v>5250</v>
      </c>
      <c r="O694">
        <v>36</v>
      </c>
      <c r="P694">
        <v>10206</v>
      </c>
      <c r="Q694">
        <v>0</v>
      </c>
      <c r="R694">
        <v>386385581834</v>
      </c>
      <c r="S694">
        <v>540560579.00999999</v>
      </c>
      <c r="T694">
        <v>381161321511.04999</v>
      </c>
      <c r="U694">
        <v>385302844329.44</v>
      </c>
      <c r="V694">
        <v>0.13614499999999999</v>
      </c>
      <c r="W694">
        <v>1.6709000000000002E-2</v>
      </c>
    </row>
    <row r="695" spans="1:23" x14ac:dyDescent="0.35">
      <c r="A695" t="s">
        <v>1</v>
      </c>
      <c r="B695">
        <v>7500</v>
      </c>
      <c r="C695">
        <v>30</v>
      </c>
      <c r="D695">
        <v>1413</v>
      </c>
      <c r="E695">
        <v>0</v>
      </c>
      <c r="F695">
        <v>34777052396</v>
      </c>
      <c r="G695">
        <v>31984393.239999998</v>
      </c>
      <c r="H695">
        <v>33649964482.75</v>
      </c>
      <c r="I695">
        <v>34400146322.610001</v>
      </c>
      <c r="J695">
        <v>0.31883299999999998</v>
      </c>
      <c r="K695">
        <v>0.112735</v>
      </c>
      <c r="M695" t="s">
        <v>2</v>
      </c>
      <c r="N695">
        <v>5250</v>
      </c>
      <c r="O695">
        <v>36</v>
      </c>
      <c r="P695">
        <v>442</v>
      </c>
      <c r="Q695">
        <v>0</v>
      </c>
      <c r="R695">
        <v>10408863728</v>
      </c>
      <c r="S695">
        <v>14586245.140000001</v>
      </c>
      <c r="T695">
        <v>10340653925</v>
      </c>
      <c r="U695">
        <v>10373805876.969999</v>
      </c>
      <c r="V695">
        <v>6.0099E-2</v>
      </c>
      <c r="W695">
        <v>2.3347E-2</v>
      </c>
    </row>
    <row r="696" spans="1:23" x14ac:dyDescent="0.35">
      <c r="A696" t="s">
        <v>0</v>
      </c>
      <c r="B696">
        <v>7750</v>
      </c>
      <c r="C696">
        <v>30</v>
      </c>
      <c r="D696">
        <v>15423</v>
      </c>
      <c r="E696">
        <v>0</v>
      </c>
      <c r="F696">
        <v>369549645807</v>
      </c>
      <c r="G696">
        <v>323898033.38</v>
      </c>
      <c r="H696">
        <v>357291550096.83002</v>
      </c>
      <c r="I696">
        <v>364499344383.76001</v>
      </c>
      <c r="J696">
        <v>0.32559300000000002</v>
      </c>
      <c r="K696">
        <v>0.143127</v>
      </c>
      <c r="M696" t="s">
        <v>2</v>
      </c>
      <c r="N696">
        <v>7250</v>
      </c>
      <c r="O696">
        <v>36</v>
      </c>
      <c r="P696">
        <v>1895</v>
      </c>
      <c r="Q696">
        <v>0</v>
      </c>
      <c r="R696">
        <v>27774256119</v>
      </c>
      <c r="S696">
        <v>27513228.640000001</v>
      </c>
      <c r="T696">
        <v>27243357051.279999</v>
      </c>
      <c r="U696">
        <v>27606537134.77</v>
      </c>
      <c r="V696">
        <v>0.19706799999999999</v>
      </c>
      <c r="W696">
        <v>5.8923000000000003E-2</v>
      </c>
    </row>
    <row r="697" spans="1:23" x14ac:dyDescent="0.35">
      <c r="A697" t="s">
        <v>2</v>
      </c>
      <c r="B697">
        <v>7500</v>
      </c>
      <c r="C697">
        <v>30</v>
      </c>
      <c r="D697">
        <v>631</v>
      </c>
      <c r="E697">
        <v>0</v>
      </c>
      <c r="F697">
        <v>9795923664</v>
      </c>
      <c r="G697">
        <v>8947630.8599999994</v>
      </c>
      <c r="H697">
        <v>9630549751.6000004</v>
      </c>
      <c r="I697">
        <v>9719229687.7999992</v>
      </c>
      <c r="J697">
        <v>0.17565700000000001</v>
      </c>
      <c r="K697">
        <v>7.9904000000000003E-2</v>
      </c>
      <c r="M697" t="s">
        <v>1</v>
      </c>
      <c r="N697">
        <v>6500</v>
      </c>
      <c r="O697">
        <v>30</v>
      </c>
      <c r="P697">
        <v>5482</v>
      </c>
      <c r="Q697">
        <v>0</v>
      </c>
      <c r="R697">
        <v>175315052490</v>
      </c>
      <c r="S697">
        <v>190841054.30000001</v>
      </c>
      <c r="T697">
        <v>169573399760.70999</v>
      </c>
      <c r="U697">
        <v>174578615138.07001</v>
      </c>
      <c r="V697">
        <v>0.32028899999999999</v>
      </c>
      <c r="W697">
        <v>3.6712000000000002E-2</v>
      </c>
    </row>
    <row r="698" spans="1:23" x14ac:dyDescent="0.35">
      <c r="A698" t="s">
        <v>0</v>
      </c>
      <c r="B698">
        <v>6500</v>
      </c>
      <c r="C698">
        <v>30</v>
      </c>
      <c r="D698">
        <v>17840</v>
      </c>
      <c r="E698">
        <v>0</v>
      </c>
      <c r="F698">
        <v>491072350178</v>
      </c>
      <c r="G698">
        <v>532783559.91000003</v>
      </c>
      <c r="H698">
        <v>483322433016.12</v>
      </c>
      <c r="I698">
        <v>488581302827.02002</v>
      </c>
      <c r="J698">
        <v>0.16278000000000001</v>
      </c>
      <c r="K698">
        <v>4.6816999999999998E-2</v>
      </c>
      <c r="M698" t="s">
        <v>1</v>
      </c>
      <c r="N698">
        <v>6750</v>
      </c>
      <c r="O698">
        <v>30</v>
      </c>
      <c r="P698">
        <v>11396</v>
      </c>
      <c r="Q698">
        <v>0</v>
      </c>
      <c r="R698">
        <v>344769412501</v>
      </c>
      <c r="S698">
        <v>359741636.31</v>
      </c>
      <c r="T698">
        <v>332456073251.97998</v>
      </c>
      <c r="U698">
        <v>343020164457.28003</v>
      </c>
      <c r="V698">
        <v>0.34520899999999999</v>
      </c>
      <c r="W698">
        <v>4.7305E-2</v>
      </c>
    </row>
    <row r="699" spans="1:23" x14ac:dyDescent="0.35">
      <c r="A699" t="s">
        <v>2</v>
      </c>
      <c r="B699">
        <v>7000</v>
      </c>
      <c r="C699">
        <v>30</v>
      </c>
      <c r="D699">
        <v>1013</v>
      </c>
      <c r="E699">
        <v>0</v>
      </c>
      <c r="F699">
        <v>16796202303</v>
      </c>
      <c r="G699">
        <v>16752390.91</v>
      </c>
      <c r="H699">
        <v>16585516195.809999</v>
      </c>
      <c r="I699">
        <v>16727895084.32</v>
      </c>
      <c r="J699">
        <v>0.13008700000000001</v>
      </c>
      <c r="K699">
        <v>3.6218E-2</v>
      </c>
      <c r="M699" t="s">
        <v>1</v>
      </c>
      <c r="N699">
        <v>7000</v>
      </c>
      <c r="O699">
        <v>30</v>
      </c>
      <c r="P699">
        <v>3782</v>
      </c>
      <c r="Q699">
        <v>0</v>
      </c>
      <c r="R699">
        <v>105708160855</v>
      </c>
      <c r="S699">
        <v>105792435.44</v>
      </c>
      <c r="T699">
        <v>101450589877.05</v>
      </c>
      <c r="U699">
        <v>104841256219.17</v>
      </c>
      <c r="V699">
        <v>0.38172099999999998</v>
      </c>
      <c r="W699">
        <v>8.3060999999999996E-2</v>
      </c>
    </row>
    <row r="700" spans="1:23" x14ac:dyDescent="0.35">
      <c r="A700" t="s">
        <v>0</v>
      </c>
      <c r="B700">
        <v>5000</v>
      </c>
      <c r="C700">
        <v>36</v>
      </c>
      <c r="D700">
        <v>8766</v>
      </c>
      <c r="E700">
        <v>0</v>
      </c>
      <c r="F700">
        <v>287274529112</v>
      </c>
      <c r="G700">
        <v>418016220.55000001</v>
      </c>
      <c r="H700">
        <v>285445557420.14001</v>
      </c>
      <c r="I700">
        <v>286371886581.65997</v>
      </c>
      <c r="J700">
        <v>5.7371999999999999E-2</v>
      </c>
      <c r="K700">
        <v>2.0056999999999998E-2</v>
      </c>
      <c r="M700" t="s">
        <v>2</v>
      </c>
      <c r="N700">
        <v>7000</v>
      </c>
      <c r="O700">
        <v>30</v>
      </c>
      <c r="P700">
        <v>1181</v>
      </c>
      <c r="Q700">
        <v>0</v>
      </c>
      <c r="R700">
        <v>19888411602</v>
      </c>
      <c r="S700">
        <v>19885494.030000001</v>
      </c>
      <c r="T700">
        <v>19663138721.25</v>
      </c>
      <c r="U700">
        <v>19853172463.59</v>
      </c>
      <c r="V700">
        <v>0.117122</v>
      </c>
      <c r="W700">
        <v>9.2250000000000006E-3</v>
      </c>
    </row>
    <row r="701" spans="1:23" x14ac:dyDescent="0.35">
      <c r="A701" t="s">
        <v>2</v>
      </c>
      <c r="B701">
        <v>5500</v>
      </c>
      <c r="C701">
        <v>30</v>
      </c>
      <c r="D701">
        <v>169</v>
      </c>
      <c r="E701">
        <v>0</v>
      </c>
      <c r="F701">
        <v>4061317944</v>
      </c>
      <c r="G701">
        <v>5232798.22</v>
      </c>
      <c r="H701">
        <v>4056085145.7800002</v>
      </c>
      <c r="I701">
        <v>4056085145.7800002</v>
      </c>
      <c r="J701">
        <v>0</v>
      </c>
      <c r="K701">
        <v>0</v>
      </c>
      <c r="M701" t="s">
        <v>1</v>
      </c>
      <c r="N701">
        <v>7250</v>
      </c>
      <c r="O701">
        <v>30</v>
      </c>
      <c r="P701">
        <v>5327</v>
      </c>
      <c r="Q701">
        <v>0</v>
      </c>
      <c r="R701">
        <v>142815861083</v>
      </c>
      <c r="S701">
        <v>136731430.56</v>
      </c>
      <c r="T701">
        <v>136439182867</v>
      </c>
      <c r="U701">
        <v>141379830469.84</v>
      </c>
      <c r="V701">
        <v>0.41497800000000001</v>
      </c>
      <c r="W701">
        <v>0.10387200000000001</v>
      </c>
    </row>
    <row r="702" spans="1:23" x14ac:dyDescent="0.35">
      <c r="A702" t="s">
        <v>0</v>
      </c>
      <c r="B702">
        <v>5500</v>
      </c>
      <c r="C702">
        <v>30</v>
      </c>
      <c r="D702">
        <v>8596</v>
      </c>
      <c r="E702">
        <v>0</v>
      </c>
      <c r="F702">
        <v>286577475291</v>
      </c>
      <c r="G702">
        <v>368865036.16000003</v>
      </c>
      <c r="H702">
        <v>284648845959.90997</v>
      </c>
      <c r="I702">
        <v>285829343839.25</v>
      </c>
      <c r="J702">
        <v>6.3393000000000005E-2</v>
      </c>
      <c r="K702">
        <v>1.5765999999999999E-2</v>
      </c>
      <c r="M702" t="s">
        <v>0</v>
      </c>
      <c r="N702">
        <v>6500</v>
      </c>
      <c r="O702">
        <v>30</v>
      </c>
      <c r="P702">
        <v>17722</v>
      </c>
      <c r="Q702">
        <v>0</v>
      </c>
      <c r="R702">
        <v>490666508212</v>
      </c>
      <c r="S702">
        <v>533236772.99000001</v>
      </c>
      <c r="T702">
        <v>482473310714.09003</v>
      </c>
      <c r="U702">
        <v>488584781246.77002</v>
      </c>
      <c r="V702">
        <v>0.17205899999999999</v>
      </c>
      <c r="W702">
        <v>3.7220000000000003E-2</v>
      </c>
    </row>
    <row r="703" spans="1:23" x14ac:dyDescent="0.35">
      <c r="A703" t="s">
        <v>0</v>
      </c>
      <c r="B703">
        <v>5500</v>
      </c>
      <c r="C703">
        <v>24</v>
      </c>
      <c r="D703">
        <v>8091</v>
      </c>
      <c r="E703">
        <v>0</v>
      </c>
      <c r="F703">
        <v>277071239858</v>
      </c>
      <c r="G703">
        <v>346840128.08999997</v>
      </c>
      <c r="H703">
        <v>275295464139.62</v>
      </c>
      <c r="I703">
        <v>276273036220.19</v>
      </c>
      <c r="J703">
        <v>6.0162E-2</v>
      </c>
      <c r="K703">
        <v>1.9373999999999999E-2</v>
      </c>
      <c r="M703" t="s">
        <v>2</v>
      </c>
      <c r="N703">
        <v>6750</v>
      </c>
      <c r="O703">
        <v>30</v>
      </c>
      <c r="P703">
        <v>2190</v>
      </c>
      <c r="Q703">
        <v>0</v>
      </c>
      <c r="R703">
        <v>39012763922</v>
      </c>
      <c r="S703">
        <v>40656586.729999997</v>
      </c>
      <c r="T703">
        <v>38531870856.720001</v>
      </c>
      <c r="U703">
        <v>38883513016.160004</v>
      </c>
      <c r="V703">
        <v>0.12731700000000001</v>
      </c>
      <c r="W703">
        <v>2.6912999999999999E-2</v>
      </c>
    </row>
    <row r="704" spans="1:23" x14ac:dyDescent="0.35">
      <c r="A704" t="s">
        <v>2</v>
      </c>
      <c r="B704">
        <v>5500</v>
      </c>
      <c r="C704">
        <v>24</v>
      </c>
      <c r="D704">
        <v>173</v>
      </c>
      <c r="E704">
        <v>0</v>
      </c>
      <c r="F704">
        <v>4084861175</v>
      </c>
      <c r="G704">
        <v>5120443.16</v>
      </c>
      <c r="H704">
        <v>4022892948.48</v>
      </c>
      <c r="I704">
        <v>4049602621.3499999</v>
      </c>
      <c r="J704">
        <v>0.15479299999999999</v>
      </c>
      <c r="K704">
        <v>8.5029999999999994E-2</v>
      </c>
      <c r="M704" t="s">
        <v>2</v>
      </c>
      <c r="N704">
        <v>7250</v>
      </c>
      <c r="O704">
        <v>30</v>
      </c>
      <c r="P704">
        <v>2563</v>
      </c>
      <c r="Q704">
        <v>0</v>
      </c>
      <c r="R704">
        <v>40340721886</v>
      </c>
      <c r="S704">
        <v>38664015.82</v>
      </c>
      <c r="T704">
        <v>39316186348.529999</v>
      </c>
      <c r="U704">
        <v>40097973271.449997</v>
      </c>
      <c r="V704">
        <v>0.256886</v>
      </c>
      <c r="W704">
        <v>5.9047000000000002E-2</v>
      </c>
    </row>
    <row r="705" spans="1:23" x14ac:dyDescent="0.35">
      <c r="A705" t="s">
        <v>1</v>
      </c>
      <c r="B705">
        <v>5500</v>
      </c>
      <c r="C705">
        <v>24</v>
      </c>
      <c r="D705">
        <v>4077</v>
      </c>
      <c r="E705">
        <v>0</v>
      </c>
      <c r="F705">
        <v>157068403459</v>
      </c>
      <c r="G705">
        <v>196653720.56</v>
      </c>
      <c r="H705">
        <v>155630764088.35999</v>
      </c>
      <c r="I705">
        <v>156731460640.13</v>
      </c>
      <c r="J705">
        <v>9.0798000000000004E-2</v>
      </c>
      <c r="K705">
        <v>1.0666E-2</v>
      </c>
      <c r="M705" t="s">
        <v>0</v>
      </c>
      <c r="N705">
        <v>7500</v>
      </c>
      <c r="O705">
        <v>30</v>
      </c>
      <c r="P705">
        <v>10061</v>
      </c>
      <c r="Q705">
        <v>0</v>
      </c>
      <c r="R705">
        <v>251460425241</v>
      </c>
      <c r="S705">
        <v>229266483.24000001</v>
      </c>
      <c r="T705">
        <v>244805665632.67001</v>
      </c>
      <c r="U705">
        <v>248797047795.09</v>
      </c>
      <c r="V705">
        <v>0.26700600000000002</v>
      </c>
      <c r="W705">
        <v>0.11017</v>
      </c>
    </row>
    <row r="706" spans="1:23" x14ac:dyDescent="0.35">
      <c r="A706" t="s">
        <v>0</v>
      </c>
      <c r="B706">
        <v>7750</v>
      </c>
      <c r="C706">
        <v>36</v>
      </c>
      <c r="D706">
        <v>6299</v>
      </c>
      <c r="E706">
        <v>0</v>
      </c>
      <c r="F706">
        <v>155971810326</v>
      </c>
      <c r="G706">
        <v>141047914.27000001</v>
      </c>
      <c r="H706">
        <v>150716122746.20999</v>
      </c>
      <c r="I706">
        <v>153072380543.25</v>
      </c>
      <c r="J706">
        <v>0.32974799999999999</v>
      </c>
      <c r="K706">
        <v>0.192749</v>
      </c>
      <c r="M706" t="s">
        <v>1</v>
      </c>
      <c r="N706">
        <v>7250</v>
      </c>
      <c r="O706">
        <v>36</v>
      </c>
      <c r="P706">
        <v>4236</v>
      </c>
      <c r="Q706">
        <v>0</v>
      </c>
      <c r="R706">
        <v>102890526504</v>
      </c>
      <c r="S706">
        <v>102192688.55</v>
      </c>
      <c r="T706">
        <v>98755831027.199997</v>
      </c>
      <c r="U706">
        <v>101929248451.21001</v>
      </c>
      <c r="V706">
        <v>0.38107400000000002</v>
      </c>
      <c r="W706">
        <v>9.5718999999999999E-2</v>
      </c>
    </row>
    <row r="707" spans="1:23" x14ac:dyDescent="0.35">
      <c r="A707" t="s">
        <v>1</v>
      </c>
      <c r="B707">
        <v>7250</v>
      </c>
      <c r="C707">
        <v>30</v>
      </c>
      <c r="D707">
        <v>4759</v>
      </c>
      <c r="E707">
        <v>0</v>
      </c>
      <c r="F707">
        <v>126275232991</v>
      </c>
      <c r="G707">
        <v>120863339.09</v>
      </c>
      <c r="H707">
        <v>120479933946.10001</v>
      </c>
      <c r="I707">
        <v>124667694563.95</v>
      </c>
      <c r="J707">
        <v>0.42405100000000001</v>
      </c>
      <c r="K707">
        <v>0.13248099999999999</v>
      </c>
      <c r="M707" t="s">
        <v>1</v>
      </c>
      <c r="N707">
        <v>6250</v>
      </c>
      <c r="O707">
        <v>30</v>
      </c>
      <c r="P707">
        <v>13560</v>
      </c>
      <c r="Q707">
        <v>0</v>
      </c>
      <c r="R707">
        <v>462614945533</v>
      </c>
      <c r="S707">
        <v>522834611.10000002</v>
      </c>
      <c r="T707">
        <v>449960178779.13</v>
      </c>
      <c r="U707">
        <v>460896129127.48999</v>
      </c>
      <c r="V707">
        <v>0.27304899999999999</v>
      </c>
      <c r="W707">
        <v>3.0585999999999999E-2</v>
      </c>
    </row>
    <row r="708" spans="1:23" x14ac:dyDescent="0.35">
      <c r="A708" t="s">
        <v>0</v>
      </c>
      <c r="B708">
        <v>8000</v>
      </c>
      <c r="C708">
        <v>36</v>
      </c>
      <c r="D708">
        <v>506</v>
      </c>
      <c r="E708">
        <v>0</v>
      </c>
      <c r="F708">
        <v>13446904575</v>
      </c>
      <c r="G708">
        <v>11582367.949999999</v>
      </c>
      <c r="H708">
        <v>13268913006.91</v>
      </c>
      <c r="I708">
        <v>13312517770.76</v>
      </c>
      <c r="J708">
        <v>0.13880100000000001</v>
      </c>
      <c r="K708">
        <v>0.10425</v>
      </c>
      <c r="M708" t="s">
        <v>2</v>
      </c>
      <c r="N708">
        <v>6500</v>
      </c>
      <c r="O708">
        <v>30</v>
      </c>
      <c r="P708">
        <v>964</v>
      </c>
      <c r="Q708">
        <v>0</v>
      </c>
      <c r="R708">
        <v>17552513379</v>
      </c>
      <c r="S708">
        <v>19034303.399999999</v>
      </c>
      <c r="T708">
        <v>17269745151.619999</v>
      </c>
      <c r="U708">
        <v>17503557429.400002</v>
      </c>
      <c r="V708">
        <v>0.166126</v>
      </c>
      <c r="W708">
        <v>2.0265999999999999E-2</v>
      </c>
    </row>
    <row r="709" spans="1:23" x14ac:dyDescent="0.35">
      <c r="A709" t="s">
        <v>1</v>
      </c>
      <c r="B709">
        <v>6750</v>
      </c>
      <c r="C709">
        <v>30</v>
      </c>
      <c r="D709">
        <v>11658</v>
      </c>
      <c r="E709">
        <v>0</v>
      </c>
      <c r="F709">
        <v>347641909815</v>
      </c>
      <c r="G709">
        <v>361802107.33999997</v>
      </c>
      <c r="H709">
        <v>337718018589.29999</v>
      </c>
      <c r="I709">
        <v>346063344832.33002</v>
      </c>
      <c r="J709">
        <v>0.284441</v>
      </c>
      <c r="K709">
        <v>4.1201000000000002E-2</v>
      </c>
      <c r="M709" t="s">
        <v>0</v>
      </c>
      <c r="N709">
        <v>6000</v>
      </c>
      <c r="O709">
        <v>30</v>
      </c>
      <c r="P709">
        <v>18980</v>
      </c>
      <c r="Q709">
        <v>0</v>
      </c>
      <c r="R709">
        <v>592195675247</v>
      </c>
      <c r="S709">
        <v>699297647.24000001</v>
      </c>
      <c r="T709">
        <v>586485339223.81995</v>
      </c>
      <c r="U709">
        <v>590688740048.22998</v>
      </c>
      <c r="V709">
        <v>9.6947000000000005E-2</v>
      </c>
      <c r="W709">
        <v>1.6243E-2</v>
      </c>
    </row>
    <row r="710" spans="1:23" x14ac:dyDescent="0.35">
      <c r="A710" t="s">
        <v>1</v>
      </c>
      <c r="B710">
        <v>7000</v>
      </c>
      <c r="C710">
        <v>30</v>
      </c>
      <c r="D710">
        <v>3155</v>
      </c>
      <c r="E710">
        <v>0</v>
      </c>
      <c r="F710">
        <v>88483728199</v>
      </c>
      <c r="G710">
        <v>88610650.930000007</v>
      </c>
      <c r="H710">
        <v>85502597029.410004</v>
      </c>
      <c r="I710">
        <v>87667544437.190002</v>
      </c>
      <c r="J710">
        <v>0.32889699999999999</v>
      </c>
      <c r="K710">
        <v>9.4329999999999997E-2</v>
      </c>
      <c r="M710" t="s">
        <v>0</v>
      </c>
      <c r="N710">
        <v>6250</v>
      </c>
      <c r="O710">
        <v>30</v>
      </c>
      <c r="P710">
        <v>29344</v>
      </c>
      <c r="Q710">
        <v>0</v>
      </c>
      <c r="R710">
        <v>922822602644</v>
      </c>
      <c r="S710">
        <v>1043805254.76</v>
      </c>
      <c r="T710">
        <v>910902971231.09998</v>
      </c>
      <c r="U710">
        <v>919907716023.87</v>
      </c>
      <c r="V710">
        <v>0.132608</v>
      </c>
      <c r="W710">
        <v>2.4060999999999999E-2</v>
      </c>
    </row>
    <row r="711" spans="1:23" x14ac:dyDescent="0.35">
      <c r="A711" t="s">
        <v>2</v>
      </c>
      <c r="B711">
        <v>7750</v>
      </c>
      <c r="C711">
        <v>36</v>
      </c>
      <c r="D711">
        <v>179</v>
      </c>
      <c r="E711">
        <v>0</v>
      </c>
      <c r="F711">
        <v>2592552098</v>
      </c>
      <c r="G711">
        <v>2337190.9500000002</v>
      </c>
      <c r="H711">
        <v>2505502124.1599998</v>
      </c>
      <c r="I711">
        <v>2551617210.75</v>
      </c>
      <c r="J711">
        <v>0.32877699999999999</v>
      </c>
      <c r="K711">
        <v>0.16472800000000001</v>
      </c>
      <c r="M711" t="s">
        <v>1</v>
      </c>
      <c r="N711">
        <v>7500</v>
      </c>
      <c r="O711">
        <v>30</v>
      </c>
      <c r="P711">
        <v>1563</v>
      </c>
      <c r="Q711">
        <v>0</v>
      </c>
      <c r="R711">
        <v>38835221440</v>
      </c>
      <c r="S711">
        <v>35562962.520000003</v>
      </c>
      <c r="T711">
        <v>37405576012.290001</v>
      </c>
      <c r="U711">
        <v>38479402414.529999</v>
      </c>
      <c r="V711">
        <v>0.35511999999999999</v>
      </c>
      <c r="W711">
        <v>9.4590999999999995E-2</v>
      </c>
    </row>
    <row r="712" spans="1:23" x14ac:dyDescent="0.35">
      <c r="A712" t="s">
        <v>0</v>
      </c>
      <c r="B712">
        <v>8250</v>
      </c>
      <c r="C712">
        <v>36</v>
      </c>
      <c r="D712">
        <v>664</v>
      </c>
      <c r="E712">
        <v>0</v>
      </c>
      <c r="F712">
        <v>16088036232</v>
      </c>
      <c r="G712">
        <v>13207785.32</v>
      </c>
      <c r="H712">
        <v>15940898752.5</v>
      </c>
      <c r="I712">
        <v>15995198772.59</v>
      </c>
      <c r="J712">
        <v>9.5448000000000005E-2</v>
      </c>
      <c r="K712">
        <v>5.7805000000000002E-2</v>
      </c>
      <c r="M712" t="s">
        <v>0</v>
      </c>
      <c r="N712">
        <v>7750</v>
      </c>
      <c r="O712">
        <v>30</v>
      </c>
      <c r="P712">
        <v>16576</v>
      </c>
      <c r="Q712">
        <v>0</v>
      </c>
      <c r="R712">
        <v>398603724771</v>
      </c>
      <c r="S712">
        <v>348490146.72000003</v>
      </c>
      <c r="T712">
        <v>386773549313.95001</v>
      </c>
      <c r="U712">
        <v>394390909108.08002</v>
      </c>
      <c r="V712">
        <v>0.29582799999999998</v>
      </c>
      <c r="W712">
        <v>0.110329</v>
      </c>
    </row>
    <row r="713" spans="1:23" x14ac:dyDescent="0.35">
      <c r="A713" t="s">
        <v>0</v>
      </c>
      <c r="B713">
        <v>8500</v>
      </c>
      <c r="C713">
        <v>30</v>
      </c>
      <c r="D713">
        <v>411</v>
      </c>
      <c r="E713">
        <v>0</v>
      </c>
      <c r="F713">
        <v>9450073110</v>
      </c>
      <c r="G713">
        <v>7235449.0199999996</v>
      </c>
      <c r="H713">
        <v>9250385333.2199993</v>
      </c>
      <c r="I713">
        <v>9296756169.6399994</v>
      </c>
      <c r="J713">
        <v>0.21878500000000001</v>
      </c>
      <c r="K713">
        <v>0.170513</v>
      </c>
      <c r="M713" t="s">
        <v>2</v>
      </c>
      <c r="N713">
        <v>7500</v>
      </c>
      <c r="O713">
        <v>30</v>
      </c>
      <c r="P713">
        <v>632</v>
      </c>
      <c r="Q713">
        <v>0</v>
      </c>
      <c r="R713">
        <v>10001380220</v>
      </c>
      <c r="S713">
        <v>9105570.6099999994</v>
      </c>
      <c r="T713">
        <v>9882573495.6599998</v>
      </c>
      <c r="U713">
        <v>9960161659.2399998</v>
      </c>
      <c r="V713">
        <v>0.12396600000000001</v>
      </c>
      <c r="W713">
        <v>3.7857000000000002E-2</v>
      </c>
    </row>
    <row r="714" spans="1:23" x14ac:dyDescent="0.35">
      <c r="A714" t="s">
        <v>0</v>
      </c>
      <c r="B714">
        <v>8000</v>
      </c>
      <c r="C714">
        <v>30</v>
      </c>
      <c r="D714">
        <v>2455</v>
      </c>
      <c r="E714">
        <v>0</v>
      </c>
      <c r="F714">
        <v>59171556556</v>
      </c>
      <c r="G714">
        <v>49573969.57</v>
      </c>
      <c r="H714">
        <v>57812479136.580002</v>
      </c>
      <c r="I714">
        <v>58538473435.639999</v>
      </c>
      <c r="J714">
        <v>0.235513</v>
      </c>
      <c r="K714">
        <v>0.112124</v>
      </c>
      <c r="M714" t="s">
        <v>0</v>
      </c>
      <c r="N714">
        <v>5000</v>
      </c>
      <c r="O714">
        <v>30</v>
      </c>
      <c r="P714">
        <v>7742</v>
      </c>
      <c r="Q714">
        <v>0</v>
      </c>
      <c r="R714">
        <v>254706613066</v>
      </c>
      <c r="S714">
        <v>356297633.06</v>
      </c>
      <c r="T714">
        <v>253280396384.10999</v>
      </c>
      <c r="U714">
        <v>254034885113.67001</v>
      </c>
      <c r="V714">
        <v>4.9258999999999997E-2</v>
      </c>
      <c r="W714">
        <v>1.4760000000000001E-2</v>
      </c>
    </row>
    <row r="715" spans="1:23" x14ac:dyDescent="0.35">
      <c r="A715" t="s">
        <v>1</v>
      </c>
      <c r="B715">
        <v>8000</v>
      </c>
      <c r="C715">
        <v>36</v>
      </c>
      <c r="D715">
        <v>29</v>
      </c>
      <c r="E715">
        <v>0</v>
      </c>
      <c r="F715">
        <v>662035209</v>
      </c>
      <c r="G715">
        <v>565716.39</v>
      </c>
      <c r="H715">
        <v>661469492.61000001</v>
      </c>
      <c r="I715">
        <v>661469492.61000001</v>
      </c>
      <c r="J715">
        <v>0</v>
      </c>
      <c r="K715">
        <v>0</v>
      </c>
      <c r="M715" t="s">
        <v>1</v>
      </c>
      <c r="N715">
        <v>5500</v>
      </c>
      <c r="O715">
        <v>30</v>
      </c>
      <c r="P715">
        <v>5129</v>
      </c>
      <c r="Q715">
        <v>0</v>
      </c>
      <c r="R715">
        <v>195355252886</v>
      </c>
      <c r="S715">
        <v>251121419.41</v>
      </c>
      <c r="T715">
        <v>192958497621.98999</v>
      </c>
      <c r="U715">
        <v>194835913934.14999</v>
      </c>
      <c r="V715">
        <v>0.124122</v>
      </c>
      <c r="W715">
        <v>1.6351999999999998E-2</v>
      </c>
    </row>
    <row r="716" spans="1:23" x14ac:dyDescent="0.35">
      <c r="A716" t="s">
        <v>1</v>
      </c>
      <c r="B716">
        <v>6250</v>
      </c>
      <c r="C716">
        <v>30</v>
      </c>
      <c r="D716">
        <v>15988</v>
      </c>
      <c r="E716">
        <v>0</v>
      </c>
      <c r="F716">
        <v>549750334878</v>
      </c>
      <c r="G716">
        <v>620334970.12</v>
      </c>
      <c r="H716">
        <v>536355377156.06</v>
      </c>
      <c r="I716">
        <v>547750738985.66998</v>
      </c>
      <c r="J716">
        <v>0.24582899999999999</v>
      </c>
      <c r="K716">
        <v>2.9694999999999999E-2</v>
      </c>
      <c r="M716" t="s">
        <v>0</v>
      </c>
      <c r="N716">
        <v>5500</v>
      </c>
      <c r="O716">
        <v>30</v>
      </c>
      <c r="P716">
        <v>8959</v>
      </c>
      <c r="Q716">
        <v>0</v>
      </c>
      <c r="R716">
        <v>299717033276</v>
      </c>
      <c r="S716">
        <v>386013976.12</v>
      </c>
      <c r="T716">
        <v>297539954516.25</v>
      </c>
      <c r="U716">
        <v>298714263015.57001</v>
      </c>
      <c r="V716">
        <v>6.9400000000000003E-2</v>
      </c>
      <c r="W716">
        <v>2.4416E-2</v>
      </c>
    </row>
    <row r="717" spans="1:23" x14ac:dyDescent="0.35">
      <c r="A717" t="s">
        <v>1</v>
      </c>
      <c r="B717">
        <v>6500</v>
      </c>
      <c r="C717">
        <v>30</v>
      </c>
      <c r="D717">
        <v>5118</v>
      </c>
      <c r="E717">
        <v>0</v>
      </c>
      <c r="F717">
        <v>162549749092</v>
      </c>
      <c r="G717">
        <v>176528560.59999999</v>
      </c>
      <c r="H717">
        <v>158214865017.81</v>
      </c>
      <c r="I717">
        <v>161432377407.67001</v>
      </c>
      <c r="J717">
        <v>0.26727099999999998</v>
      </c>
      <c r="K717">
        <v>6.7287E-2</v>
      </c>
      <c r="M717" t="s">
        <v>2</v>
      </c>
      <c r="N717">
        <v>5500</v>
      </c>
      <c r="O717">
        <v>30</v>
      </c>
      <c r="P717">
        <v>178</v>
      </c>
      <c r="Q717">
        <v>0</v>
      </c>
      <c r="R717">
        <v>4311334200</v>
      </c>
      <c r="S717">
        <v>5558964.4800000004</v>
      </c>
      <c r="T717">
        <v>4305775235.5200005</v>
      </c>
      <c r="U717">
        <v>4305775235.5200005</v>
      </c>
      <c r="V717">
        <v>0</v>
      </c>
      <c r="W717">
        <v>0</v>
      </c>
    </row>
    <row r="718" spans="1:23" x14ac:dyDescent="0.35">
      <c r="A718" t="s">
        <v>2</v>
      </c>
      <c r="B718">
        <v>6500</v>
      </c>
      <c r="C718">
        <v>30</v>
      </c>
      <c r="D718">
        <v>1108</v>
      </c>
      <c r="E718">
        <v>0</v>
      </c>
      <c r="F718">
        <v>20422778397</v>
      </c>
      <c r="G718">
        <v>22094324.239999998</v>
      </c>
      <c r="H718">
        <v>20212183604.330002</v>
      </c>
      <c r="I718">
        <v>20354662634.93</v>
      </c>
      <c r="J718">
        <v>0.105306</v>
      </c>
      <c r="K718">
        <v>2.6709E-2</v>
      </c>
      <c r="M718" t="s">
        <v>0</v>
      </c>
      <c r="N718">
        <v>5500</v>
      </c>
      <c r="O718">
        <v>24</v>
      </c>
      <c r="P718">
        <v>7840</v>
      </c>
      <c r="Q718">
        <v>0</v>
      </c>
      <c r="R718">
        <v>267077059464</v>
      </c>
      <c r="S718">
        <v>334155653.50999999</v>
      </c>
      <c r="T718">
        <v>265492005897.81</v>
      </c>
      <c r="U718">
        <v>266383324543.67001</v>
      </c>
      <c r="V718">
        <v>5.4778E-2</v>
      </c>
      <c r="W718">
        <v>1.6036999999999999E-2</v>
      </c>
    </row>
    <row r="719" spans="1:23" x14ac:dyDescent="0.35">
      <c r="A719" t="s">
        <v>2</v>
      </c>
      <c r="B719">
        <v>6750</v>
      </c>
      <c r="C719">
        <v>30</v>
      </c>
      <c r="D719">
        <v>2379</v>
      </c>
      <c r="E719">
        <v>0</v>
      </c>
      <c r="F719">
        <v>42373313950</v>
      </c>
      <c r="G719">
        <v>44042498.289999999</v>
      </c>
      <c r="H719">
        <v>42049590074.580002</v>
      </c>
      <c r="I719">
        <v>42264599989.610001</v>
      </c>
      <c r="J719">
        <v>7.6392000000000002E-2</v>
      </c>
      <c r="K719">
        <v>1.8162000000000001E-2</v>
      </c>
      <c r="M719" t="s">
        <v>2</v>
      </c>
      <c r="N719">
        <v>5500</v>
      </c>
      <c r="O719">
        <v>24</v>
      </c>
      <c r="P719">
        <v>168</v>
      </c>
      <c r="Q719">
        <v>0</v>
      </c>
      <c r="R719">
        <v>4051410958</v>
      </c>
      <c r="S719">
        <v>5075122.0599999996</v>
      </c>
      <c r="T719">
        <v>4023177040.1599998</v>
      </c>
      <c r="U719">
        <v>4046335835.9400001</v>
      </c>
      <c r="V719">
        <v>6.6478999999999996E-2</v>
      </c>
      <c r="W719">
        <v>0</v>
      </c>
    </row>
    <row r="720" spans="1:23" x14ac:dyDescent="0.35">
      <c r="A720" t="s">
        <v>1</v>
      </c>
      <c r="B720">
        <v>7500</v>
      </c>
      <c r="C720">
        <v>36</v>
      </c>
      <c r="D720">
        <v>634</v>
      </c>
      <c r="E720">
        <v>0</v>
      </c>
      <c r="F720">
        <v>15696480597</v>
      </c>
      <c r="G720">
        <v>14800009.09</v>
      </c>
      <c r="H720">
        <v>15062411390.6</v>
      </c>
      <c r="I720">
        <v>15423027160.93</v>
      </c>
      <c r="J720">
        <v>0.38308599999999998</v>
      </c>
      <c r="K720">
        <v>0.18076800000000001</v>
      </c>
      <c r="M720" t="s">
        <v>1</v>
      </c>
      <c r="N720">
        <v>5500</v>
      </c>
      <c r="O720">
        <v>24</v>
      </c>
      <c r="P720">
        <v>4140</v>
      </c>
      <c r="Q720">
        <v>0</v>
      </c>
      <c r="R720">
        <v>158922768998</v>
      </c>
      <c r="S720">
        <v>199085230.13</v>
      </c>
      <c r="T720">
        <v>156634530608.32999</v>
      </c>
      <c r="U720">
        <v>157901614142.59</v>
      </c>
      <c r="V720">
        <v>0.14682799999999999</v>
      </c>
      <c r="W720">
        <v>6.0337000000000002E-2</v>
      </c>
    </row>
    <row r="721" spans="1:23" x14ac:dyDescent="0.35">
      <c r="A721" t="s">
        <v>0</v>
      </c>
      <c r="B721">
        <v>6250</v>
      </c>
      <c r="C721">
        <v>30</v>
      </c>
      <c r="D721">
        <v>34333</v>
      </c>
      <c r="E721">
        <v>0</v>
      </c>
      <c r="F721">
        <v>1081534923234</v>
      </c>
      <c r="G721">
        <v>1221290652.8199999</v>
      </c>
      <c r="H721">
        <v>1068878883366.8101</v>
      </c>
      <c r="I721">
        <v>1077968790842.15</v>
      </c>
      <c r="J721">
        <v>0.11974899999999999</v>
      </c>
      <c r="K721">
        <v>2.5708999999999999E-2</v>
      </c>
      <c r="M721" t="s">
        <v>0</v>
      </c>
      <c r="N721">
        <v>5500</v>
      </c>
      <c r="O721">
        <v>20</v>
      </c>
      <c r="P721">
        <v>4496</v>
      </c>
      <c r="Q721">
        <v>0</v>
      </c>
      <c r="R721">
        <v>156892273236</v>
      </c>
      <c r="S721">
        <v>193030531.69999999</v>
      </c>
      <c r="T721">
        <v>156036791596.17001</v>
      </c>
      <c r="U721">
        <v>156622217152.84</v>
      </c>
      <c r="V721">
        <v>4.9508000000000003E-2</v>
      </c>
      <c r="W721">
        <v>5.875E-3</v>
      </c>
    </row>
    <row r="722" spans="1:23" x14ac:dyDescent="0.35">
      <c r="A722" t="s">
        <v>2</v>
      </c>
      <c r="B722">
        <v>7750</v>
      </c>
      <c r="C722">
        <v>30</v>
      </c>
      <c r="D722">
        <v>1308</v>
      </c>
      <c r="E722">
        <v>0</v>
      </c>
      <c r="F722">
        <v>18788368985</v>
      </c>
      <c r="G722">
        <v>16533666.15</v>
      </c>
      <c r="H722">
        <v>18327622365.32</v>
      </c>
      <c r="I722">
        <v>18617591980.860001</v>
      </c>
      <c r="J722">
        <v>0.249581</v>
      </c>
      <c r="K722">
        <v>9.4186000000000006E-2</v>
      </c>
      <c r="M722" t="s">
        <v>2</v>
      </c>
      <c r="N722">
        <v>5500</v>
      </c>
      <c r="O722">
        <v>20</v>
      </c>
      <c r="P722">
        <v>117</v>
      </c>
      <c r="Q722">
        <v>0</v>
      </c>
      <c r="R722">
        <v>2699212274</v>
      </c>
      <c r="S722">
        <v>3315580.52</v>
      </c>
      <c r="T722">
        <v>2695896693.48</v>
      </c>
      <c r="U722">
        <v>2695896693.48</v>
      </c>
      <c r="V722">
        <v>0</v>
      </c>
      <c r="W722">
        <v>0</v>
      </c>
    </row>
    <row r="723" spans="1:23" x14ac:dyDescent="0.35">
      <c r="A723" t="s">
        <v>0</v>
      </c>
      <c r="B723">
        <v>6750</v>
      </c>
      <c r="C723">
        <v>24</v>
      </c>
      <c r="D723">
        <v>48711</v>
      </c>
      <c r="E723">
        <v>0</v>
      </c>
      <c r="F723">
        <v>1439082332364</v>
      </c>
      <c r="G723">
        <v>1448254381.6800001</v>
      </c>
      <c r="H723">
        <v>1412208187883.3999</v>
      </c>
      <c r="I723">
        <v>1431809813305</v>
      </c>
      <c r="J723">
        <v>0.192581</v>
      </c>
      <c r="K723">
        <v>4.7500000000000001E-2</v>
      </c>
      <c r="M723" t="s">
        <v>1</v>
      </c>
      <c r="N723">
        <v>5500</v>
      </c>
      <c r="O723">
        <v>20</v>
      </c>
      <c r="P723">
        <v>3257</v>
      </c>
      <c r="Q723">
        <v>0</v>
      </c>
      <c r="R723">
        <v>133475122692</v>
      </c>
      <c r="S723">
        <v>164223648.06999999</v>
      </c>
      <c r="T723">
        <v>132318182892.87</v>
      </c>
      <c r="U723">
        <v>133064572185.7</v>
      </c>
      <c r="V723">
        <v>8.5688E-2</v>
      </c>
      <c r="W723">
        <v>2.1922000000000001E-2</v>
      </c>
    </row>
    <row r="724" spans="1:23" x14ac:dyDescent="0.35">
      <c r="A724" t="s">
        <v>1</v>
      </c>
      <c r="B724">
        <v>6750</v>
      </c>
      <c r="C724">
        <v>24</v>
      </c>
      <c r="D724">
        <v>15407</v>
      </c>
      <c r="E724">
        <v>0</v>
      </c>
      <c r="F724">
        <v>509129839536</v>
      </c>
      <c r="G724">
        <v>513135157.63999999</v>
      </c>
      <c r="H724">
        <v>492135262156.53003</v>
      </c>
      <c r="I724">
        <v>507003657027.02002</v>
      </c>
      <c r="J724">
        <v>0.32624500000000001</v>
      </c>
      <c r="K724">
        <v>3.7363E-2</v>
      </c>
      <c r="M724" t="s">
        <v>0</v>
      </c>
      <c r="N724">
        <v>7750</v>
      </c>
      <c r="O724">
        <v>36</v>
      </c>
      <c r="P724">
        <v>4558</v>
      </c>
      <c r="Q724">
        <v>0</v>
      </c>
      <c r="R724">
        <v>112615014731</v>
      </c>
      <c r="S724">
        <v>101850247.27</v>
      </c>
      <c r="T724">
        <v>109811920260.87</v>
      </c>
      <c r="U724">
        <v>111284237514.05</v>
      </c>
      <c r="V724">
        <v>0.25274400000000002</v>
      </c>
      <c r="W724">
        <v>0.12337099999999999</v>
      </c>
    </row>
    <row r="725" spans="1:23" x14ac:dyDescent="0.35">
      <c r="A725" t="s">
        <v>2</v>
      </c>
      <c r="B725">
        <v>6750</v>
      </c>
      <c r="C725">
        <v>24</v>
      </c>
      <c r="D725">
        <v>2922</v>
      </c>
      <c r="E725">
        <v>0</v>
      </c>
      <c r="F725">
        <v>53563393392</v>
      </c>
      <c r="G725">
        <v>54017484.340000004</v>
      </c>
      <c r="H725">
        <v>52967871377.949997</v>
      </c>
      <c r="I725">
        <v>53389829848.660004</v>
      </c>
      <c r="J725">
        <v>0.11479200000000001</v>
      </c>
      <c r="K725">
        <v>2.6456E-2</v>
      </c>
      <c r="M725" t="s">
        <v>0</v>
      </c>
      <c r="N725">
        <v>8000</v>
      </c>
      <c r="O725">
        <v>36</v>
      </c>
      <c r="P725">
        <v>276</v>
      </c>
      <c r="Q725">
        <v>0</v>
      </c>
      <c r="R725">
        <v>7345177651</v>
      </c>
      <c r="S725">
        <v>6339018.8300000001</v>
      </c>
      <c r="T725">
        <v>7186601539.9799995</v>
      </c>
      <c r="U725">
        <v>7293479276.2799997</v>
      </c>
      <c r="V725">
        <v>0.22223200000000001</v>
      </c>
      <c r="W725">
        <v>7.1638999999999994E-2</v>
      </c>
    </row>
    <row r="726" spans="1:23" x14ac:dyDescent="0.35">
      <c r="A726" t="s">
        <v>0</v>
      </c>
      <c r="B726">
        <v>7000</v>
      </c>
      <c r="C726">
        <v>24</v>
      </c>
      <c r="D726">
        <v>17185</v>
      </c>
      <c r="E726">
        <v>0</v>
      </c>
      <c r="F726">
        <v>436458965044</v>
      </c>
      <c r="G726">
        <v>419042392.04000002</v>
      </c>
      <c r="H726">
        <v>426328453238.84998</v>
      </c>
      <c r="I726">
        <v>432597922574.71997</v>
      </c>
      <c r="J726">
        <v>0.23663799999999999</v>
      </c>
      <c r="K726">
        <v>9.0635999999999994E-2</v>
      </c>
      <c r="M726" t="s">
        <v>2</v>
      </c>
      <c r="N726">
        <v>7750</v>
      </c>
      <c r="O726">
        <v>36</v>
      </c>
      <c r="P726">
        <v>86</v>
      </c>
      <c r="Q726">
        <v>0</v>
      </c>
      <c r="R726">
        <v>1165264681</v>
      </c>
      <c r="S726">
        <v>1054454.97</v>
      </c>
      <c r="T726">
        <v>1148042422.7</v>
      </c>
      <c r="U726">
        <v>1148042422.7</v>
      </c>
      <c r="V726">
        <v>0.154362</v>
      </c>
      <c r="W726">
        <v>0.154362</v>
      </c>
    </row>
    <row r="727" spans="1:23" x14ac:dyDescent="0.35">
      <c r="A727" t="s">
        <v>1</v>
      </c>
      <c r="B727">
        <v>7000</v>
      </c>
      <c r="C727">
        <v>24</v>
      </c>
      <c r="D727">
        <v>2821</v>
      </c>
      <c r="E727">
        <v>0</v>
      </c>
      <c r="F727">
        <v>79701917238</v>
      </c>
      <c r="G727">
        <v>76837516.359999999</v>
      </c>
      <c r="H727">
        <v>76052197609.860001</v>
      </c>
      <c r="I727">
        <v>79135793415.770004</v>
      </c>
      <c r="J727">
        <v>0.42326200000000003</v>
      </c>
      <c r="K727">
        <v>7.1230000000000002E-2</v>
      </c>
      <c r="M727" t="s">
        <v>0</v>
      </c>
      <c r="N727">
        <v>8250</v>
      </c>
      <c r="O727">
        <v>36</v>
      </c>
      <c r="P727">
        <v>328</v>
      </c>
      <c r="Q727">
        <v>0</v>
      </c>
      <c r="R727">
        <v>8096110179</v>
      </c>
      <c r="S727">
        <v>6651035.6799999997</v>
      </c>
      <c r="T727">
        <v>8007773358.8800001</v>
      </c>
      <c r="U727">
        <v>8025150981.4399996</v>
      </c>
      <c r="V727">
        <v>0.114576</v>
      </c>
      <c r="W727">
        <v>9.1260999999999995E-2</v>
      </c>
    </row>
    <row r="728" spans="1:23" x14ac:dyDescent="0.35">
      <c r="A728" t="s">
        <v>0</v>
      </c>
      <c r="B728">
        <v>8250</v>
      </c>
      <c r="C728">
        <v>30</v>
      </c>
      <c r="D728">
        <v>2756</v>
      </c>
      <c r="E728">
        <v>0</v>
      </c>
      <c r="F728">
        <v>66829185759</v>
      </c>
      <c r="G728">
        <v>53367990.810000002</v>
      </c>
      <c r="H728">
        <v>64355660029.589996</v>
      </c>
      <c r="I728">
        <v>65360130902.480003</v>
      </c>
      <c r="J728">
        <v>0.357657</v>
      </c>
      <c r="K728">
        <v>0.22658200000000001</v>
      </c>
      <c r="M728" t="s">
        <v>0</v>
      </c>
      <c r="N728">
        <v>8500</v>
      </c>
      <c r="O728">
        <v>30</v>
      </c>
      <c r="P728">
        <v>415</v>
      </c>
      <c r="Q728">
        <v>0</v>
      </c>
      <c r="R728">
        <v>9538962962</v>
      </c>
      <c r="S728">
        <v>7257489.5599999996</v>
      </c>
      <c r="T728">
        <v>9409391419.1000004</v>
      </c>
      <c r="U728">
        <v>9466922300.3299999</v>
      </c>
      <c r="V728">
        <v>0.14346999999999999</v>
      </c>
      <c r="W728">
        <v>7.8520999999999994E-2</v>
      </c>
    </row>
    <row r="729" spans="1:23" x14ac:dyDescent="0.35">
      <c r="A729" t="s">
        <v>2</v>
      </c>
      <c r="B729">
        <v>6250</v>
      </c>
      <c r="C729">
        <v>30</v>
      </c>
      <c r="D729">
        <v>1481</v>
      </c>
      <c r="E729">
        <v>0</v>
      </c>
      <c r="F729">
        <v>29959291576</v>
      </c>
      <c r="G729">
        <v>33782026.020000003</v>
      </c>
      <c r="H729">
        <v>29658467302.43</v>
      </c>
      <c r="I729">
        <v>29854671527.060001</v>
      </c>
      <c r="J729">
        <v>0.101871</v>
      </c>
      <c r="K729">
        <v>2.8008000000000002E-2</v>
      </c>
      <c r="M729" t="s">
        <v>0</v>
      </c>
      <c r="N729">
        <v>8000</v>
      </c>
      <c r="O729">
        <v>30</v>
      </c>
      <c r="P729">
        <v>2599</v>
      </c>
      <c r="Q729">
        <v>0</v>
      </c>
      <c r="R729">
        <v>63269169569</v>
      </c>
      <c r="S729">
        <v>52801837.840000004</v>
      </c>
      <c r="T729">
        <v>62103488805.300003</v>
      </c>
      <c r="U729">
        <v>62778356021.639999</v>
      </c>
      <c r="V729">
        <v>0.191806</v>
      </c>
      <c r="W729">
        <v>7.9984E-2</v>
      </c>
    </row>
    <row r="730" spans="1:23" x14ac:dyDescent="0.35">
      <c r="A730" t="s">
        <v>0</v>
      </c>
      <c r="B730">
        <v>5750</v>
      </c>
      <c r="C730">
        <v>30</v>
      </c>
      <c r="D730">
        <v>16710</v>
      </c>
      <c r="E730">
        <v>0</v>
      </c>
      <c r="F730">
        <v>565714037121</v>
      </c>
      <c r="G730">
        <v>696176020.75</v>
      </c>
      <c r="H730">
        <v>560656212464.38</v>
      </c>
      <c r="I730">
        <v>564072137118.32996</v>
      </c>
      <c r="J730">
        <v>8.8695999999999997E-2</v>
      </c>
      <c r="K730">
        <v>1.9876999999999999E-2</v>
      </c>
      <c r="M730" t="s">
        <v>1</v>
      </c>
      <c r="N730">
        <v>8000</v>
      </c>
      <c r="O730">
        <v>36</v>
      </c>
      <c r="P730">
        <v>7</v>
      </c>
      <c r="Q730">
        <v>0</v>
      </c>
      <c r="R730">
        <v>185225143</v>
      </c>
      <c r="S730">
        <v>160407.17000000001</v>
      </c>
      <c r="T730">
        <v>185064735.83000001</v>
      </c>
      <c r="U730">
        <v>185064735.83000001</v>
      </c>
      <c r="V730">
        <v>0</v>
      </c>
      <c r="W730">
        <v>0</v>
      </c>
    </row>
    <row r="731" spans="1:23" x14ac:dyDescent="0.35">
      <c r="A731" t="s">
        <v>0</v>
      </c>
      <c r="B731">
        <v>6000</v>
      </c>
      <c r="C731">
        <v>30</v>
      </c>
      <c r="D731">
        <v>21236</v>
      </c>
      <c r="E731">
        <v>0</v>
      </c>
      <c r="F731">
        <v>659337068334</v>
      </c>
      <c r="G731">
        <v>778353689.46000004</v>
      </c>
      <c r="H731">
        <v>652854408249.29004</v>
      </c>
      <c r="I731">
        <v>657063426799.09998</v>
      </c>
      <c r="J731">
        <v>9.9018999999999996E-2</v>
      </c>
      <c r="K731">
        <v>2.6877000000000002E-2</v>
      </c>
      <c r="M731" t="s">
        <v>2</v>
      </c>
      <c r="N731">
        <v>7750</v>
      </c>
      <c r="O731">
        <v>30</v>
      </c>
      <c r="P731">
        <v>1378</v>
      </c>
      <c r="Q731">
        <v>0</v>
      </c>
      <c r="R731">
        <v>19895057700</v>
      </c>
      <c r="S731">
        <v>17420199.100000001</v>
      </c>
      <c r="T731">
        <v>19522267812.330002</v>
      </c>
      <c r="U731">
        <v>19701234505.950001</v>
      </c>
      <c r="V731">
        <v>0.194493</v>
      </c>
      <c r="W731">
        <v>0.10136199999999999</v>
      </c>
    </row>
    <row r="732" spans="1:23" x14ac:dyDescent="0.35">
      <c r="A732" t="s">
        <v>1</v>
      </c>
      <c r="B732">
        <v>6000</v>
      </c>
      <c r="C732">
        <v>30</v>
      </c>
      <c r="D732">
        <v>10354</v>
      </c>
      <c r="E732">
        <v>0</v>
      </c>
      <c r="F732">
        <v>366066409522</v>
      </c>
      <c r="G732">
        <v>432243312.75999999</v>
      </c>
      <c r="H732">
        <v>359437644692.28998</v>
      </c>
      <c r="I732">
        <v>364821128642.88</v>
      </c>
      <c r="J732">
        <v>0.18524399999999999</v>
      </c>
      <c r="K732">
        <v>2.6329000000000002E-2</v>
      </c>
      <c r="M732" t="s">
        <v>0</v>
      </c>
      <c r="N732">
        <v>6750</v>
      </c>
      <c r="O732">
        <v>24</v>
      </c>
      <c r="P732">
        <v>47063</v>
      </c>
      <c r="Q732">
        <v>0</v>
      </c>
      <c r="R732">
        <v>1375893555044</v>
      </c>
      <c r="S732">
        <v>1384819467.6400001</v>
      </c>
      <c r="T732">
        <v>1346966308111.6899</v>
      </c>
      <c r="U732">
        <v>1369726897569.3501</v>
      </c>
      <c r="V732">
        <v>0.21545500000000001</v>
      </c>
      <c r="W732">
        <v>4.0917000000000002E-2</v>
      </c>
    </row>
    <row r="733" spans="1:23" x14ac:dyDescent="0.35">
      <c r="A733" t="s">
        <v>2</v>
      </c>
      <c r="B733">
        <v>6000</v>
      </c>
      <c r="C733">
        <v>30</v>
      </c>
      <c r="D733">
        <v>628</v>
      </c>
      <c r="E733">
        <v>0</v>
      </c>
      <c r="F733">
        <v>13360921753</v>
      </c>
      <c r="G733">
        <v>15725888.18</v>
      </c>
      <c r="H733">
        <v>13183549669.450001</v>
      </c>
      <c r="I733">
        <v>13284832375.889999</v>
      </c>
      <c r="J733">
        <v>0.13589999999999999</v>
      </c>
      <c r="K733">
        <v>5.2887999999999998E-2</v>
      </c>
      <c r="M733" t="s">
        <v>1</v>
      </c>
      <c r="N733">
        <v>6750</v>
      </c>
      <c r="O733">
        <v>24</v>
      </c>
      <c r="P733">
        <v>14774</v>
      </c>
      <c r="Q733">
        <v>0</v>
      </c>
      <c r="R733">
        <v>484650821622</v>
      </c>
      <c r="S733">
        <v>488009346.02999997</v>
      </c>
      <c r="T733">
        <v>465335667335.77002</v>
      </c>
      <c r="U733">
        <v>482310705402.31</v>
      </c>
      <c r="V733">
        <v>0.37840000000000001</v>
      </c>
      <c r="W733">
        <v>4.4907000000000002E-2</v>
      </c>
    </row>
    <row r="734" spans="1:23" x14ac:dyDescent="0.35">
      <c r="A734" t="s">
        <v>1</v>
      </c>
      <c r="B734">
        <v>7750</v>
      </c>
      <c r="C734">
        <v>30</v>
      </c>
      <c r="D734">
        <v>1973</v>
      </c>
      <c r="E734">
        <v>0</v>
      </c>
      <c r="F734">
        <v>45902725857</v>
      </c>
      <c r="G734">
        <v>40322906.009999998</v>
      </c>
      <c r="H734">
        <v>43619642273.660004</v>
      </c>
      <c r="I734">
        <v>45235556086.25</v>
      </c>
      <c r="J734">
        <v>0.45179999999999998</v>
      </c>
      <c r="K734">
        <v>0.15210699999999999</v>
      </c>
      <c r="M734" t="s">
        <v>0</v>
      </c>
      <c r="N734">
        <v>6500</v>
      </c>
      <c r="O734">
        <v>24</v>
      </c>
      <c r="P734">
        <v>19265</v>
      </c>
      <c r="Q734">
        <v>0</v>
      </c>
      <c r="R734">
        <v>551499256290</v>
      </c>
      <c r="S734">
        <v>578503814.51999998</v>
      </c>
      <c r="T734">
        <v>541183480009.35999</v>
      </c>
      <c r="U734">
        <v>549483502194.09998</v>
      </c>
      <c r="V734">
        <v>0.19246199999999999</v>
      </c>
      <c r="W734">
        <v>3.0828999999999999E-2</v>
      </c>
    </row>
    <row r="735" spans="1:23" x14ac:dyDescent="0.35">
      <c r="A735" t="s">
        <v>2</v>
      </c>
      <c r="B735">
        <v>7000</v>
      </c>
      <c r="C735">
        <v>24</v>
      </c>
      <c r="D735">
        <v>1216</v>
      </c>
      <c r="E735">
        <v>0</v>
      </c>
      <c r="F735">
        <v>20846630344</v>
      </c>
      <c r="G735">
        <v>20088658.170000002</v>
      </c>
      <c r="H735">
        <v>20456937437.060001</v>
      </c>
      <c r="I735">
        <v>20691991601.529999</v>
      </c>
      <c r="J735">
        <v>0.193188</v>
      </c>
      <c r="K735">
        <v>7.4759999999999993E-2</v>
      </c>
      <c r="M735" t="s">
        <v>2</v>
      </c>
      <c r="N735">
        <v>6750</v>
      </c>
      <c r="O735">
        <v>24</v>
      </c>
      <c r="P735">
        <v>2938</v>
      </c>
      <c r="Q735">
        <v>0</v>
      </c>
      <c r="R735">
        <v>53415375509</v>
      </c>
      <c r="S735">
        <v>53835163.299999997</v>
      </c>
      <c r="T735">
        <v>52828527139.07</v>
      </c>
      <c r="U735">
        <v>53267127248.849998</v>
      </c>
      <c r="V735">
        <v>0.113386</v>
      </c>
      <c r="W735">
        <v>2.1004999999999999E-2</v>
      </c>
    </row>
    <row r="736" spans="1:23" x14ac:dyDescent="0.35">
      <c r="A736" t="s">
        <v>0</v>
      </c>
      <c r="B736">
        <v>7500</v>
      </c>
      <c r="C736">
        <v>24</v>
      </c>
      <c r="D736">
        <v>4524</v>
      </c>
      <c r="E736">
        <v>0</v>
      </c>
      <c r="F736">
        <v>116173678525</v>
      </c>
      <c r="G736">
        <v>102122162.11</v>
      </c>
      <c r="H736">
        <v>113491410830</v>
      </c>
      <c r="I736">
        <v>114550978937.75</v>
      </c>
      <c r="J736">
        <v>0.23625099999999999</v>
      </c>
      <c r="K736">
        <v>0.14623800000000001</v>
      </c>
      <c r="M736" t="s">
        <v>0</v>
      </c>
      <c r="N736">
        <v>7000</v>
      </c>
      <c r="O736">
        <v>24</v>
      </c>
      <c r="P736">
        <v>15852</v>
      </c>
      <c r="Q736">
        <v>0</v>
      </c>
      <c r="R736">
        <v>400731085311</v>
      </c>
      <c r="S736">
        <v>384294943.44</v>
      </c>
      <c r="T736">
        <v>391636404800.45001</v>
      </c>
      <c r="U736">
        <v>398059353436.70001</v>
      </c>
      <c r="V736">
        <v>0.23180500000000001</v>
      </c>
      <c r="W736">
        <v>6.6388000000000003E-2</v>
      </c>
    </row>
    <row r="737" spans="1:23" x14ac:dyDescent="0.35">
      <c r="A737" t="s">
        <v>0</v>
      </c>
      <c r="B737">
        <v>6500</v>
      </c>
      <c r="C737">
        <v>24</v>
      </c>
      <c r="D737">
        <v>19743</v>
      </c>
      <c r="E737">
        <v>0</v>
      </c>
      <c r="F737">
        <v>569276595858</v>
      </c>
      <c r="G737">
        <v>597651058.69000006</v>
      </c>
      <c r="H737">
        <v>560748389440.18005</v>
      </c>
      <c r="I737">
        <v>566936448102.5</v>
      </c>
      <c r="J737">
        <v>0.15493899999999999</v>
      </c>
      <c r="K737">
        <v>3.6118999999999998E-2</v>
      </c>
      <c r="M737" t="s">
        <v>1</v>
      </c>
      <c r="N737">
        <v>7000</v>
      </c>
      <c r="O737">
        <v>24</v>
      </c>
      <c r="P737">
        <v>2788</v>
      </c>
      <c r="Q737">
        <v>0</v>
      </c>
      <c r="R737">
        <v>79938716665</v>
      </c>
      <c r="S737">
        <v>76923064.340000004</v>
      </c>
      <c r="T737">
        <v>76230118363.610001</v>
      </c>
      <c r="U737">
        <v>79324938930.009995</v>
      </c>
      <c r="V737">
        <v>0.42761399999999999</v>
      </c>
      <c r="W737">
        <v>7.7678999999999998E-2</v>
      </c>
    </row>
    <row r="738" spans="1:23" x14ac:dyDescent="0.35">
      <c r="A738" t="s">
        <v>1</v>
      </c>
      <c r="B738">
        <v>6500</v>
      </c>
      <c r="C738">
        <v>24</v>
      </c>
      <c r="D738">
        <v>7579</v>
      </c>
      <c r="E738">
        <v>0</v>
      </c>
      <c r="F738">
        <v>262870857568</v>
      </c>
      <c r="G738">
        <v>276270087.27999997</v>
      </c>
      <c r="H738">
        <v>255236095567.97</v>
      </c>
      <c r="I738">
        <v>262234172126.73999</v>
      </c>
      <c r="J738">
        <v>0.28873100000000002</v>
      </c>
      <c r="K738">
        <v>1.6329E-2</v>
      </c>
      <c r="M738" t="s">
        <v>0</v>
      </c>
      <c r="N738">
        <v>8250</v>
      </c>
      <c r="O738">
        <v>30</v>
      </c>
      <c r="P738">
        <v>3009</v>
      </c>
      <c r="Q738">
        <v>0</v>
      </c>
      <c r="R738">
        <v>72804697409</v>
      </c>
      <c r="S738">
        <v>57958683.25</v>
      </c>
      <c r="T738">
        <v>70682808742.279999</v>
      </c>
      <c r="U738">
        <v>72119403095.910004</v>
      </c>
      <c r="V738">
        <v>0.29185100000000003</v>
      </c>
      <c r="W738">
        <v>9.8638000000000003E-2</v>
      </c>
    </row>
    <row r="739" spans="1:23" x14ac:dyDescent="0.35">
      <c r="A739" t="s">
        <v>2</v>
      </c>
      <c r="B739">
        <v>6500</v>
      </c>
      <c r="C739">
        <v>24</v>
      </c>
      <c r="D739">
        <v>1537</v>
      </c>
      <c r="E739">
        <v>0</v>
      </c>
      <c r="F739">
        <v>29491719446</v>
      </c>
      <c r="G739">
        <v>31003509.899999999</v>
      </c>
      <c r="H739">
        <v>29176588606.849998</v>
      </c>
      <c r="I739">
        <v>29355472570.349998</v>
      </c>
      <c r="J739">
        <v>0.109676</v>
      </c>
      <c r="K739">
        <v>4.1992000000000002E-2</v>
      </c>
      <c r="M739" t="s">
        <v>2</v>
      </c>
      <c r="N739">
        <v>6250</v>
      </c>
      <c r="O739">
        <v>30</v>
      </c>
      <c r="P739">
        <v>1151</v>
      </c>
      <c r="Q739">
        <v>0</v>
      </c>
      <c r="R739">
        <v>23224593989</v>
      </c>
      <c r="S739">
        <v>26242761.239999998</v>
      </c>
      <c r="T739">
        <v>23015441519.450001</v>
      </c>
      <c r="U739">
        <v>23165544971.549999</v>
      </c>
      <c r="V739">
        <v>9.0520000000000003E-2</v>
      </c>
      <c r="W739">
        <v>1.6820000000000002E-2</v>
      </c>
    </row>
    <row r="740" spans="1:23" x14ac:dyDescent="0.35">
      <c r="A740" t="s">
        <v>0</v>
      </c>
      <c r="B740">
        <v>6500</v>
      </c>
      <c r="C740">
        <v>20</v>
      </c>
      <c r="D740">
        <v>8210</v>
      </c>
      <c r="E740">
        <v>0</v>
      </c>
      <c r="F740">
        <v>213521849737</v>
      </c>
      <c r="G740">
        <v>220059850.02000001</v>
      </c>
      <c r="H740">
        <v>210828183712.23001</v>
      </c>
      <c r="I740">
        <v>212613828919.76001</v>
      </c>
      <c r="J740">
        <v>0.130493</v>
      </c>
      <c r="K740">
        <v>3.7985999999999999E-2</v>
      </c>
      <c r="M740" t="s">
        <v>0</v>
      </c>
      <c r="N740">
        <v>5750</v>
      </c>
      <c r="O740">
        <v>30</v>
      </c>
      <c r="P740">
        <v>14758</v>
      </c>
      <c r="Q740">
        <v>0</v>
      </c>
      <c r="R740">
        <v>498131075024</v>
      </c>
      <c r="S740">
        <v>613019071.33000004</v>
      </c>
      <c r="T740">
        <v>493937760414.42999</v>
      </c>
      <c r="U740">
        <v>496666783335.84998</v>
      </c>
      <c r="V740">
        <v>8.2919999999999994E-2</v>
      </c>
      <c r="W740">
        <v>2.0316000000000001E-2</v>
      </c>
    </row>
    <row r="741" spans="1:23" x14ac:dyDescent="0.35">
      <c r="A741" t="s">
        <v>1</v>
      </c>
      <c r="B741">
        <v>5500</v>
      </c>
      <c r="C741">
        <v>30</v>
      </c>
      <c r="D741">
        <v>5126</v>
      </c>
      <c r="E741">
        <v>0</v>
      </c>
      <c r="F741">
        <v>195775890462</v>
      </c>
      <c r="G741">
        <v>251465096.38999999</v>
      </c>
      <c r="H741">
        <v>193556894767.54001</v>
      </c>
      <c r="I741">
        <v>195157278215.76999</v>
      </c>
      <c r="J741">
        <v>0.114151</v>
      </c>
      <c r="K741">
        <v>2.2273000000000001E-2</v>
      </c>
      <c r="M741" t="s">
        <v>1</v>
      </c>
      <c r="N741">
        <v>6000</v>
      </c>
      <c r="O741">
        <v>30</v>
      </c>
      <c r="P741">
        <v>9415</v>
      </c>
      <c r="Q741">
        <v>0</v>
      </c>
      <c r="R741">
        <v>333425730860</v>
      </c>
      <c r="S741">
        <v>393985468.89999998</v>
      </c>
      <c r="T741">
        <v>326123747809.65997</v>
      </c>
      <c r="U741">
        <v>332431980362.16998</v>
      </c>
      <c r="V741">
        <v>0.22215699999999999</v>
      </c>
      <c r="W741">
        <v>2.1373E-2</v>
      </c>
    </row>
    <row r="742" spans="1:23" x14ac:dyDescent="0.35">
      <c r="A742" t="s">
        <v>1</v>
      </c>
      <c r="B742">
        <v>5750</v>
      </c>
      <c r="C742">
        <v>30</v>
      </c>
      <c r="D742">
        <v>10706</v>
      </c>
      <c r="E742">
        <v>0</v>
      </c>
      <c r="F742">
        <v>411332667240</v>
      </c>
      <c r="G742">
        <v>505829539.99000001</v>
      </c>
      <c r="H742">
        <v>405526509730.89001</v>
      </c>
      <c r="I742">
        <v>409345856755.15997</v>
      </c>
      <c r="J742">
        <v>0.14412700000000001</v>
      </c>
      <c r="K742">
        <v>4.2360000000000002E-2</v>
      </c>
      <c r="M742" t="s">
        <v>2</v>
      </c>
      <c r="N742">
        <v>6000</v>
      </c>
      <c r="O742">
        <v>30</v>
      </c>
      <c r="P742">
        <v>542</v>
      </c>
      <c r="Q742">
        <v>0</v>
      </c>
      <c r="R742">
        <v>11467804713</v>
      </c>
      <c r="S742">
        <v>13507366.09</v>
      </c>
      <c r="T742">
        <v>11362098617.360001</v>
      </c>
      <c r="U742">
        <v>11425103981.85</v>
      </c>
      <c r="V742">
        <v>9.2324000000000003E-2</v>
      </c>
      <c r="W742">
        <v>3.0124000000000001E-2</v>
      </c>
    </row>
    <row r="743" spans="1:23" x14ac:dyDescent="0.35">
      <c r="A743" t="s">
        <v>2</v>
      </c>
      <c r="B743">
        <v>5750</v>
      </c>
      <c r="C743">
        <v>30</v>
      </c>
      <c r="D743">
        <v>404</v>
      </c>
      <c r="E743">
        <v>0</v>
      </c>
      <c r="F743">
        <v>9300201255</v>
      </c>
      <c r="G743">
        <v>11453048.550000001</v>
      </c>
      <c r="H743">
        <v>9195796732.6700001</v>
      </c>
      <c r="I743">
        <v>9288748206.4500008</v>
      </c>
      <c r="J743">
        <v>0.11355700000000001</v>
      </c>
      <c r="K743">
        <v>0</v>
      </c>
      <c r="M743" t="s">
        <v>1</v>
      </c>
      <c r="N743">
        <v>7750</v>
      </c>
      <c r="O743">
        <v>30</v>
      </c>
      <c r="P743">
        <v>2224</v>
      </c>
      <c r="Q743">
        <v>0</v>
      </c>
      <c r="R743">
        <v>52051899954</v>
      </c>
      <c r="S743">
        <v>45667225.469999999</v>
      </c>
      <c r="T743">
        <v>48969982646.129997</v>
      </c>
      <c r="U743">
        <v>51257139629.730003</v>
      </c>
      <c r="V743">
        <v>0.51384099999999999</v>
      </c>
      <c r="W743">
        <v>0.159661</v>
      </c>
    </row>
    <row r="744" spans="1:23" x14ac:dyDescent="0.35">
      <c r="A744" t="s">
        <v>0</v>
      </c>
      <c r="B744">
        <v>5250</v>
      </c>
      <c r="C744">
        <v>30</v>
      </c>
      <c r="D744">
        <v>4028</v>
      </c>
      <c r="E744">
        <v>0</v>
      </c>
      <c r="F744">
        <v>136737766377</v>
      </c>
      <c r="G744">
        <v>183461213.78</v>
      </c>
      <c r="H744">
        <v>136017389622.72</v>
      </c>
      <c r="I744">
        <v>136385280862.23</v>
      </c>
      <c r="J744">
        <v>4.6115000000000003E-2</v>
      </c>
      <c r="K744">
        <v>1.4733E-2</v>
      </c>
      <c r="M744" t="s">
        <v>2</v>
      </c>
      <c r="N744">
        <v>7000</v>
      </c>
      <c r="O744">
        <v>24</v>
      </c>
      <c r="P744">
        <v>1122</v>
      </c>
      <c r="Q744">
        <v>0</v>
      </c>
      <c r="R744">
        <v>19011303689</v>
      </c>
      <c r="S744">
        <v>18281417.5</v>
      </c>
      <c r="T744">
        <v>18798584974.720001</v>
      </c>
      <c r="U744">
        <v>18902787636.650002</v>
      </c>
      <c r="V744">
        <v>0.11605600000000001</v>
      </c>
      <c r="W744">
        <v>5.5493000000000001E-2</v>
      </c>
    </row>
    <row r="745" spans="1:23" x14ac:dyDescent="0.35">
      <c r="A745" t="s">
        <v>1</v>
      </c>
      <c r="B745">
        <v>5250</v>
      </c>
      <c r="C745">
        <v>30</v>
      </c>
      <c r="D745">
        <v>2356</v>
      </c>
      <c r="E745">
        <v>0</v>
      </c>
      <c r="F745">
        <v>90862445798</v>
      </c>
      <c r="G745">
        <v>121723247.66</v>
      </c>
      <c r="H745">
        <v>89256773057.660004</v>
      </c>
      <c r="I745">
        <v>90488760044.600006</v>
      </c>
      <c r="J745">
        <v>0.17930199999999999</v>
      </c>
      <c r="K745">
        <v>3.2772999999999997E-2</v>
      </c>
      <c r="M745" t="s">
        <v>0</v>
      </c>
      <c r="N745">
        <v>7500</v>
      </c>
      <c r="O745">
        <v>24</v>
      </c>
      <c r="P745">
        <v>4382</v>
      </c>
      <c r="Q745">
        <v>0</v>
      </c>
      <c r="R745">
        <v>113671175003</v>
      </c>
      <c r="S745">
        <v>99788664.599999994</v>
      </c>
      <c r="T745">
        <v>111151625459.63</v>
      </c>
      <c r="U745">
        <v>112684722214.00999</v>
      </c>
      <c r="V745">
        <v>0.22756399999999999</v>
      </c>
      <c r="W745">
        <v>8.9690000000000006E-2</v>
      </c>
    </row>
    <row r="746" spans="1:23" x14ac:dyDescent="0.35">
      <c r="A746" t="s">
        <v>2</v>
      </c>
      <c r="B746">
        <v>5750</v>
      </c>
      <c r="C746">
        <v>24</v>
      </c>
      <c r="D746">
        <v>300</v>
      </c>
      <c r="E746">
        <v>0</v>
      </c>
      <c r="F746">
        <v>6518500117</v>
      </c>
      <c r="G746">
        <v>7828640.5999999996</v>
      </c>
      <c r="H746">
        <v>6414691333.7399998</v>
      </c>
      <c r="I746">
        <v>6510671476.3999996</v>
      </c>
      <c r="J746">
        <v>0.16306200000000001</v>
      </c>
      <c r="K746">
        <v>0</v>
      </c>
      <c r="M746" t="s">
        <v>0</v>
      </c>
      <c r="N746">
        <v>6750</v>
      </c>
      <c r="O746">
        <v>20</v>
      </c>
      <c r="P746">
        <v>24748</v>
      </c>
      <c r="Q746">
        <v>0</v>
      </c>
      <c r="R746">
        <v>722112478840</v>
      </c>
      <c r="S746">
        <v>712929816.62</v>
      </c>
      <c r="T746">
        <v>708350924623.93994</v>
      </c>
      <c r="U746">
        <v>718343573009.5</v>
      </c>
      <c r="V746">
        <v>0.19653699999999999</v>
      </c>
      <c r="W746">
        <v>4.9618000000000002E-2</v>
      </c>
    </row>
    <row r="747" spans="1:23" x14ac:dyDescent="0.35">
      <c r="A747" t="s">
        <v>0</v>
      </c>
      <c r="B747">
        <v>5750</v>
      </c>
      <c r="C747">
        <v>24</v>
      </c>
      <c r="D747">
        <v>10995</v>
      </c>
      <c r="E747">
        <v>0</v>
      </c>
      <c r="F747">
        <v>371043295339</v>
      </c>
      <c r="G747">
        <v>445906531.83999997</v>
      </c>
      <c r="H747">
        <v>368491545336.08002</v>
      </c>
      <c r="I747">
        <v>370109401741.75</v>
      </c>
      <c r="J747">
        <v>6.6018999999999994E-2</v>
      </c>
      <c r="K747">
        <v>1.5668000000000001E-2</v>
      </c>
      <c r="M747" t="s">
        <v>0</v>
      </c>
      <c r="N747">
        <v>6500</v>
      </c>
      <c r="O747">
        <v>20</v>
      </c>
      <c r="P747">
        <v>9102</v>
      </c>
      <c r="Q747">
        <v>0</v>
      </c>
      <c r="R747">
        <v>250022092720</v>
      </c>
      <c r="S747">
        <v>257311783.12</v>
      </c>
      <c r="T747">
        <v>246258641700.25</v>
      </c>
      <c r="U747">
        <v>249113021331.76999</v>
      </c>
      <c r="V747">
        <v>0.155889</v>
      </c>
      <c r="W747">
        <v>3.0837E-2</v>
      </c>
    </row>
    <row r="748" spans="1:23" x14ac:dyDescent="0.35">
      <c r="A748" t="s">
        <v>1</v>
      </c>
      <c r="B748">
        <v>5750</v>
      </c>
      <c r="C748">
        <v>24</v>
      </c>
      <c r="D748">
        <v>7757</v>
      </c>
      <c r="E748">
        <v>0</v>
      </c>
      <c r="F748">
        <v>308788790505</v>
      </c>
      <c r="G748">
        <v>370558390.94</v>
      </c>
      <c r="H748">
        <v>304685193828.21002</v>
      </c>
      <c r="I748">
        <v>307662963372.48999</v>
      </c>
      <c r="J748">
        <v>0.13580400000000001</v>
      </c>
      <c r="K748">
        <v>2.8958999999999999E-2</v>
      </c>
      <c r="M748" t="s">
        <v>1</v>
      </c>
      <c r="N748">
        <v>6750</v>
      </c>
      <c r="O748">
        <v>20</v>
      </c>
      <c r="P748">
        <v>7229</v>
      </c>
      <c r="Q748">
        <v>0</v>
      </c>
      <c r="R748">
        <v>228278502998</v>
      </c>
      <c r="S748">
        <v>225948894.13999999</v>
      </c>
      <c r="T748">
        <v>219303815039.17001</v>
      </c>
      <c r="U748">
        <v>227443641774.39001</v>
      </c>
      <c r="V748">
        <v>0.37433699999999998</v>
      </c>
      <c r="W748">
        <v>3.1543000000000002E-2</v>
      </c>
    </row>
    <row r="749" spans="1:23" x14ac:dyDescent="0.35">
      <c r="A749" t="s">
        <v>1</v>
      </c>
      <c r="B749">
        <v>6000</v>
      </c>
      <c r="C749">
        <v>24</v>
      </c>
      <c r="D749">
        <v>9319</v>
      </c>
      <c r="E749">
        <v>0</v>
      </c>
      <c r="F749">
        <v>353841745828</v>
      </c>
      <c r="G749">
        <v>406341387.32999998</v>
      </c>
      <c r="H749">
        <v>346758454261.72998</v>
      </c>
      <c r="I749">
        <v>352688632856.72998</v>
      </c>
      <c r="J749">
        <v>0.20435500000000001</v>
      </c>
      <c r="K749">
        <v>2.5034000000000001E-2</v>
      </c>
      <c r="M749" t="s">
        <v>1</v>
      </c>
      <c r="N749">
        <v>6500</v>
      </c>
      <c r="O749">
        <v>20</v>
      </c>
      <c r="P749">
        <v>3044</v>
      </c>
      <c r="Q749">
        <v>0</v>
      </c>
      <c r="R749">
        <v>101652063254</v>
      </c>
      <c r="S749">
        <v>104802576.76000001</v>
      </c>
      <c r="T749">
        <v>98458298465.179993</v>
      </c>
      <c r="U749">
        <v>101214612297.33</v>
      </c>
      <c r="V749">
        <v>0.309477</v>
      </c>
      <c r="W749">
        <v>3.857E-2</v>
      </c>
    </row>
    <row r="750" spans="1:23" x14ac:dyDescent="0.35">
      <c r="A750" t="s">
        <v>0</v>
      </c>
      <c r="B750">
        <v>6000</v>
      </c>
      <c r="C750">
        <v>24</v>
      </c>
      <c r="D750">
        <v>17177</v>
      </c>
      <c r="E750">
        <v>0</v>
      </c>
      <c r="F750">
        <v>549269555233</v>
      </c>
      <c r="G750">
        <v>631343214.05999994</v>
      </c>
      <c r="H750">
        <v>543789644669.53998</v>
      </c>
      <c r="I750">
        <v>547793831732.94</v>
      </c>
      <c r="J750">
        <v>0.10093299999999999</v>
      </c>
      <c r="K750">
        <v>1.8291999999999999E-2</v>
      </c>
      <c r="M750" t="s">
        <v>2</v>
      </c>
      <c r="N750">
        <v>6500</v>
      </c>
      <c r="O750">
        <v>20</v>
      </c>
      <c r="P750">
        <v>851</v>
      </c>
      <c r="Q750">
        <v>0</v>
      </c>
      <c r="R750">
        <v>16247928155</v>
      </c>
      <c r="S750">
        <v>16764640.84</v>
      </c>
      <c r="T750">
        <v>16148251198.200001</v>
      </c>
      <c r="U750">
        <v>16231163514.16</v>
      </c>
      <c r="V750">
        <v>5.9546000000000002E-2</v>
      </c>
      <c r="W750">
        <v>0</v>
      </c>
    </row>
    <row r="751" spans="1:23" x14ac:dyDescent="0.35">
      <c r="A751" t="s">
        <v>0</v>
      </c>
      <c r="B751">
        <v>6250</v>
      </c>
      <c r="C751">
        <v>24</v>
      </c>
      <c r="D751">
        <v>33827</v>
      </c>
      <c r="E751">
        <v>0</v>
      </c>
      <c r="F751">
        <v>1109558713891</v>
      </c>
      <c r="G751">
        <v>1220042690.9400001</v>
      </c>
      <c r="H751">
        <v>1096178797682.41</v>
      </c>
      <c r="I751">
        <v>1105993949767.48</v>
      </c>
      <c r="J751">
        <v>0.123866</v>
      </c>
      <c r="K751">
        <v>2.5066000000000001E-2</v>
      </c>
      <c r="M751" t="s">
        <v>0</v>
      </c>
      <c r="N751">
        <v>7000</v>
      </c>
      <c r="O751">
        <v>20</v>
      </c>
      <c r="P751">
        <v>7681</v>
      </c>
      <c r="Q751">
        <v>0</v>
      </c>
      <c r="R751">
        <v>196643434018</v>
      </c>
      <c r="S751">
        <v>185444553.77000001</v>
      </c>
      <c r="T751">
        <v>192619315578.66</v>
      </c>
      <c r="U751">
        <v>195248722774.35001</v>
      </c>
      <c r="V751">
        <v>0.21066799999999999</v>
      </c>
      <c r="W751">
        <v>7.1348999999999996E-2</v>
      </c>
    </row>
    <row r="752" spans="1:23" x14ac:dyDescent="0.35">
      <c r="A752" t="s">
        <v>2</v>
      </c>
      <c r="B752">
        <v>6250</v>
      </c>
      <c r="C752">
        <v>24</v>
      </c>
      <c r="D752">
        <v>1308</v>
      </c>
      <c r="E752">
        <v>0</v>
      </c>
      <c r="F752">
        <v>26973308115</v>
      </c>
      <c r="G752">
        <v>29682779.48</v>
      </c>
      <c r="H752">
        <v>26813863409.380001</v>
      </c>
      <c r="I752">
        <v>26917669708.400002</v>
      </c>
      <c r="J752">
        <v>5.6225999999999998E-2</v>
      </c>
      <c r="K752">
        <v>1.1486E-2</v>
      </c>
      <c r="M752" t="s">
        <v>1</v>
      </c>
      <c r="N752">
        <v>5750</v>
      </c>
      <c r="O752">
        <v>30</v>
      </c>
      <c r="P752">
        <v>9127</v>
      </c>
      <c r="Q752">
        <v>0</v>
      </c>
      <c r="R752">
        <v>350832303536</v>
      </c>
      <c r="S752">
        <v>431330934.85000002</v>
      </c>
      <c r="T752">
        <v>344733327833.58002</v>
      </c>
      <c r="U752">
        <v>349351716530.45001</v>
      </c>
      <c r="V752">
        <v>0.17752799999999999</v>
      </c>
      <c r="W752">
        <v>3.5305000000000003E-2</v>
      </c>
    </row>
    <row r="753" spans="1:23" x14ac:dyDescent="0.35">
      <c r="A753" t="s">
        <v>1</v>
      </c>
      <c r="B753">
        <v>6250</v>
      </c>
      <c r="C753">
        <v>24</v>
      </c>
      <c r="D753">
        <v>19774</v>
      </c>
      <c r="E753">
        <v>0</v>
      </c>
      <c r="F753">
        <v>748166992488</v>
      </c>
      <c r="G753">
        <v>822601283.32000005</v>
      </c>
      <c r="H753">
        <v>730489932113.23999</v>
      </c>
      <c r="I753">
        <v>745574226499.44995</v>
      </c>
      <c r="J753">
        <v>0.239229</v>
      </c>
      <c r="K753">
        <v>2.8025000000000001E-2</v>
      </c>
      <c r="M753" t="s">
        <v>2</v>
      </c>
      <c r="N753">
        <v>5750</v>
      </c>
      <c r="O753">
        <v>30</v>
      </c>
      <c r="P753">
        <v>346</v>
      </c>
      <c r="Q753">
        <v>0</v>
      </c>
      <c r="R753">
        <v>7714369465</v>
      </c>
      <c r="S753">
        <v>9506363.3200000003</v>
      </c>
      <c r="T753">
        <v>7704863101.6800003</v>
      </c>
      <c r="U753">
        <v>7704863101.6800003</v>
      </c>
      <c r="V753">
        <v>0</v>
      </c>
      <c r="W753">
        <v>0</v>
      </c>
    </row>
    <row r="754" spans="1:23" x14ac:dyDescent="0.35">
      <c r="A754" t="s">
        <v>0</v>
      </c>
      <c r="B754">
        <v>7250</v>
      </c>
      <c r="C754">
        <v>24</v>
      </c>
      <c r="D754">
        <v>24403</v>
      </c>
      <c r="E754">
        <v>0</v>
      </c>
      <c r="F754">
        <v>643321570521</v>
      </c>
      <c r="G754">
        <v>592023261.29999995</v>
      </c>
      <c r="H754">
        <v>625754479109.79004</v>
      </c>
      <c r="I754">
        <v>635951225936.57996</v>
      </c>
      <c r="J754">
        <v>0.27449800000000002</v>
      </c>
      <c r="K754">
        <v>0.119362</v>
      </c>
      <c r="M754" t="s">
        <v>0</v>
      </c>
      <c r="N754">
        <v>5250</v>
      </c>
      <c r="O754">
        <v>30</v>
      </c>
      <c r="P754">
        <v>3938</v>
      </c>
      <c r="Q754">
        <v>0</v>
      </c>
      <c r="R754">
        <v>133658770222</v>
      </c>
      <c r="S754">
        <v>179609764.31999999</v>
      </c>
      <c r="T754">
        <v>132887931520.78999</v>
      </c>
      <c r="U754">
        <v>133303687424.84</v>
      </c>
      <c r="V754">
        <v>5.1808E-2</v>
      </c>
      <c r="W754">
        <v>1.5640999999999999E-2</v>
      </c>
    </row>
    <row r="755" spans="1:23" x14ac:dyDescent="0.35">
      <c r="A755" t="s">
        <v>2</v>
      </c>
      <c r="B755">
        <v>6000</v>
      </c>
      <c r="C755">
        <v>24</v>
      </c>
      <c r="D755">
        <v>532</v>
      </c>
      <c r="E755">
        <v>0</v>
      </c>
      <c r="F755">
        <v>11448156076</v>
      </c>
      <c r="G755">
        <v>13149350.43</v>
      </c>
      <c r="H755">
        <v>11305157880.67</v>
      </c>
      <c r="I755">
        <v>11435006725.57</v>
      </c>
      <c r="J755">
        <v>0.12792999999999999</v>
      </c>
      <c r="K755">
        <v>0</v>
      </c>
      <c r="M755" t="s">
        <v>1</v>
      </c>
      <c r="N755">
        <v>5250</v>
      </c>
      <c r="O755">
        <v>30</v>
      </c>
      <c r="P755">
        <v>2320</v>
      </c>
      <c r="Q755">
        <v>0</v>
      </c>
      <c r="R755">
        <v>88243116030</v>
      </c>
      <c r="S755">
        <v>118385364.98</v>
      </c>
      <c r="T755">
        <v>87454590350.440002</v>
      </c>
      <c r="U755">
        <v>87989640463.869995</v>
      </c>
      <c r="V755">
        <v>8.7418999999999997E-2</v>
      </c>
      <c r="W755">
        <v>1.8217000000000001E-2</v>
      </c>
    </row>
    <row r="756" spans="1:23" x14ac:dyDescent="0.35">
      <c r="A756" t="s">
        <v>1</v>
      </c>
      <c r="B756">
        <v>8000</v>
      </c>
      <c r="C756">
        <v>30</v>
      </c>
      <c r="D756">
        <v>297</v>
      </c>
      <c r="E756">
        <v>0</v>
      </c>
      <c r="F756">
        <v>6440887540</v>
      </c>
      <c r="G756">
        <v>5402308.0599999996</v>
      </c>
      <c r="H756">
        <v>6028435415.3199997</v>
      </c>
      <c r="I756">
        <v>6253725310.3999996</v>
      </c>
      <c r="J756">
        <v>0.54314899999999999</v>
      </c>
      <c r="K756">
        <v>0.29072100000000001</v>
      </c>
      <c r="M756" t="s">
        <v>0</v>
      </c>
      <c r="N756">
        <v>6000</v>
      </c>
      <c r="O756">
        <v>24</v>
      </c>
      <c r="P756">
        <v>17804</v>
      </c>
      <c r="Q756">
        <v>0</v>
      </c>
      <c r="R756">
        <v>557703060025</v>
      </c>
      <c r="S756">
        <v>641194263.38</v>
      </c>
      <c r="T756">
        <v>551883025937.5</v>
      </c>
      <c r="U756">
        <v>556217902559.05005</v>
      </c>
      <c r="V756">
        <v>0.10591399999999999</v>
      </c>
      <c r="W756">
        <v>1.8009000000000001E-2</v>
      </c>
    </row>
    <row r="757" spans="1:23" x14ac:dyDescent="0.35">
      <c r="A757" t="s">
        <v>1</v>
      </c>
      <c r="B757">
        <v>7500</v>
      </c>
      <c r="C757">
        <v>24</v>
      </c>
      <c r="D757">
        <v>568</v>
      </c>
      <c r="E757">
        <v>0</v>
      </c>
      <c r="F757">
        <v>14490550036</v>
      </c>
      <c r="G757">
        <v>12983333.23</v>
      </c>
      <c r="H757">
        <v>13450887689.129999</v>
      </c>
      <c r="I757">
        <v>14028392154.75</v>
      </c>
      <c r="J757">
        <v>0.58597999999999995</v>
      </c>
      <c r="K757">
        <v>0.31467400000000001</v>
      </c>
      <c r="M757" t="s">
        <v>0</v>
      </c>
      <c r="N757">
        <v>6250</v>
      </c>
      <c r="O757">
        <v>24</v>
      </c>
      <c r="P757">
        <v>34135</v>
      </c>
      <c r="Q757">
        <v>0</v>
      </c>
      <c r="R757">
        <v>1103977898815</v>
      </c>
      <c r="S757">
        <v>1215295497.71</v>
      </c>
      <c r="T757">
        <v>1089311359493.61</v>
      </c>
      <c r="U757">
        <v>1100102739013.8601</v>
      </c>
      <c r="V757">
        <v>0.13680100000000001</v>
      </c>
      <c r="W757">
        <v>2.8531999999999998E-2</v>
      </c>
    </row>
    <row r="758" spans="1:23" x14ac:dyDescent="0.35">
      <c r="A758" t="s">
        <v>2</v>
      </c>
      <c r="B758">
        <v>7500</v>
      </c>
      <c r="C758">
        <v>24</v>
      </c>
      <c r="D758">
        <v>256</v>
      </c>
      <c r="E758">
        <v>0</v>
      </c>
      <c r="F758">
        <v>3697004011</v>
      </c>
      <c r="G758">
        <v>3259467.01</v>
      </c>
      <c r="H758">
        <v>3621027465.6999998</v>
      </c>
      <c r="I758">
        <v>3646723284.4699998</v>
      </c>
      <c r="J758">
        <v>0.21209900000000001</v>
      </c>
      <c r="K758">
        <v>0.14238799999999999</v>
      </c>
      <c r="M758" t="s">
        <v>1</v>
      </c>
      <c r="N758">
        <v>5250</v>
      </c>
      <c r="O758">
        <v>24</v>
      </c>
      <c r="P758">
        <v>1835</v>
      </c>
      <c r="Q758">
        <v>0</v>
      </c>
      <c r="R758">
        <v>70327398068</v>
      </c>
      <c r="S758">
        <v>92081651.799999997</v>
      </c>
      <c r="T758">
        <v>69558318654.990005</v>
      </c>
      <c r="U758">
        <v>70101883119.210007</v>
      </c>
      <c r="V758">
        <v>0.109593</v>
      </c>
      <c r="W758">
        <v>2.2532E-2</v>
      </c>
    </row>
    <row r="759" spans="1:23" x14ac:dyDescent="0.35">
      <c r="A759" t="s">
        <v>1</v>
      </c>
      <c r="B759">
        <v>6500</v>
      </c>
      <c r="C759">
        <v>20</v>
      </c>
      <c r="D759">
        <v>1871</v>
      </c>
      <c r="E759">
        <v>0</v>
      </c>
      <c r="F759">
        <v>58836530164</v>
      </c>
      <c r="G759">
        <v>60821142.409999996</v>
      </c>
      <c r="H759">
        <v>57293642822.209999</v>
      </c>
      <c r="I759">
        <v>58632646187.839996</v>
      </c>
      <c r="J759">
        <v>0.26372200000000001</v>
      </c>
      <c r="K759">
        <v>2.8791000000000001E-2</v>
      </c>
      <c r="M759" t="s">
        <v>0</v>
      </c>
      <c r="N759">
        <v>5750</v>
      </c>
      <c r="O759">
        <v>24</v>
      </c>
      <c r="P759">
        <v>12039</v>
      </c>
      <c r="Q759">
        <v>0</v>
      </c>
      <c r="R759">
        <v>403369545998</v>
      </c>
      <c r="S759">
        <v>485280804.92000002</v>
      </c>
      <c r="T759">
        <v>399960473676.20001</v>
      </c>
      <c r="U759">
        <v>402029339861.53003</v>
      </c>
      <c r="V759">
        <v>8.3596000000000004E-2</v>
      </c>
      <c r="W759">
        <v>2.5139000000000002E-2</v>
      </c>
    </row>
    <row r="760" spans="1:23" x14ac:dyDescent="0.35">
      <c r="A760" t="s">
        <v>2</v>
      </c>
      <c r="B760">
        <v>6500</v>
      </c>
      <c r="C760">
        <v>20</v>
      </c>
      <c r="D760">
        <v>756</v>
      </c>
      <c r="E760">
        <v>0</v>
      </c>
      <c r="F760">
        <v>13905504914</v>
      </c>
      <c r="G760">
        <v>14364158.41</v>
      </c>
      <c r="H760">
        <v>13729145465.93</v>
      </c>
      <c r="I760">
        <v>13833934387.559999</v>
      </c>
      <c r="J760">
        <v>0.13117799999999999</v>
      </c>
      <c r="K760">
        <v>4.8265000000000002E-2</v>
      </c>
      <c r="M760" t="s">
        <v>1</v>
      </c>
      <c r="N760">
        <v>6000</v>
      </c>
      <c r="O760">
        <v>24</v>
      </c>
      <c r="P760">
        <v>8952</v>
      </c>
      <c r="Q760">
        <v>0</v>
      </c>
      <c r="R760">
        <v>336193400374</v>
      </c>
      <c r="S760">
        <v>386490884.5</v>
      </c>
      <c r="T760">
        <v>326930203298.77002</v>
      </c>
      <c r="U760">
        <v>335064156939.77002</v>
      </c>
      <c r="V760">
        <v>0.27465000000000001</v>
      </c>
      <c r="W760">
        <v>2.6192E-2</v>
      </c>
    </row>
    <row r="761" spans="1:23" x14ac:dyDescent="0.35">
      <c r="A761" t="s">
        <v>0</v>
      </c>
      <c r="B761">
        <v>7000</v>
      </c>
      <c r="C761">
        <v>20</v>
      </c>
      <c r="D761">
        <v>5254</v>
      </c>
      <c r="E761">
        <v>0</v>
      </c>
      <c r="F761">
        <v>133335185024</v>
      </c>
      <c r="G761">
        <v>125986542.05</v>
      </c>
      <c r="H761">
        <v>130832556629.96001</v>
      </c>
      <c r="I761">
        <v>132173862364.64999</v>
      </c>
      <c r="J761">
        <v>0.19412299999999999</v>
      </c>
      <c r="K761">
        <v>8.9301000000000005E-2</v>
      </c>
      <c r="M761" t="s">
        <v>2</v>
      </c>
      <c r="N761">
        <v>6000</v>
      </c>
      <c r="O761">
        <v>24</v>
      </c>
      <c r="P761">
        <v>537</v>
      </c>
      <c r="Q761">
        <v>0</v>
      </c>
      <c r="R761">
        <v>11528335279</v>
      </c>
      <c r="S761">
        <v>13253175.34</v>
      </c>
      <c r="T761">
        <v>11487297676.01</v>
      </c>
      <c r="U761">
        <v>11515082103.66</v>
      </c>
      <c r="V761">
        <v>2.8541E-2</v>
      </c>
      <c r="W761">
        <v>0</v>
      </c>
    </row>
    <row r="762" spans="1:23" x14ac:dyDescent="0.35">
      <c r="A762" t="s">
        <v>1</v>
      </c>
      <c r="B762">
        <v>7000</v>
      </c>
      <c r="C762">
        <v>20</v>
      </c>
      <c r="D762">
        <v>539</v>
      </c>
      <c r="E762">
        <v>0</v>
      </c>
      <c r="F762">
        <v>14679116077</v>
      </c>
      <c r="G762">
        <v>13888324.869999999</v>
      </c>
      <c r="H762">
        <v>14024233401.77</v>
      </c>
      <c r="I762">
        <v>14508197063.290001</v>
      </c>
      <c r="J762">
        <v>0.41479300000000002</v>
      </c>
      <c r="K762">
        <v>0.12108099999999999</v>
      </c>
      <c r="M762" t="s">
        <v>2</v>
      </c>
      <c r="N762">
        <v>6500</v>
      </c>
      <c r="O762">
        <v>24</v>
      </c>
      <c r="P762">
        <v>1481</v>
      </c>
      <c r="Q762">
        <v>0</v>
      </c>
      <c r="R762">
        <v>28367549776</v>
      </c>
      <c r="S762">
        <v>29837215.280000001</v>
      </c>
      <c r="T762">
        <v>28109654943.650002</v>
      </c>
      <c r="U762">
        <v>28337712560.720001</v>
      </c>
      <c r="V762">
        <v>9.2318999999999998E-2</v>
      </c>
      <c r="W762">
        <v>0</v>
      </c>
    </row>
    <row r="763" spans="1:23" x14ac:dyDescent="0.35">
      <c r="A763" t="s">
        <v>2</v>
      </c>
      <c r="B763">
        <v>7000</v>
      </c>
      <c r="C763">
        <v>20</v>
      </c>
      <c r="D763">
        <v>332</v>
      </c>
      <c r="E763">
        <v>0</v>
      </c>
      <c r="F763">
        <v>5160414842</v>
      </c>
      <c r="G763">
        <v>4880453.01</v>
      </c>
      <c r="H763">
        <v>5076243841.1800003</v>
      </c>
      <c r="I763">
        <v>5076243841.1800003</v>
      </c>
      <c r="J763">
        <v>0.169571</v>
      </c>
      <c r="K763">
        <v>0.169571</v>
      </c>
      <c r="M763" t="s">
        <v>0</v>
      </c>
      <c r="N763">
        <v>7250</v>
      </c>
      <c r="O763">
        <v>24</v>
      </c>
      <c r="P763">
        <v>23595</v>
      </c>
      <c r="Q763">
        <v>0</v>
      </c>
      <c r="R763">
        <v>622091536560</v>
      </c>
      <c r="S763">
        <v>572066740.86000001</v>
      </c>
      <c r="T763">
        <v>603596749212.87</v>
      </c>
      <c r="U763">
        <v>616059296622.18005</v>
      </c>
      <c r="V763">
        <v>0.29587799999999997</v>
      </c>
      <c r="W763">
        <v>0.100387</v>
      </c>
    </row>
    <row r="764" spans="1:23" x14ac:dyDescent="0.35">
      <c r="A764" t="s">
        <v>0</v>
      </c>
      <c r="B764">
        <v>6500</v>
      </c>
      <c r="C764">
        <v>18</v>
      </c>
      <c r="D764">
        <v>7186</v>
      </c>
      <c r="E764">
        <v>0</v>
      </c>
      <c r="F764">
        <v>188686947832</v>
      </c>
      <c r="G764">
        <v>192264078.34999999</v>
      </c>
      <c r="H764">
        <v>186259089421.85001</v>
      </c>
      <c r="I764">
        <v>187637568680.42999</v>
      </c>
      <c r="J764">
        <v>0.133269</v>
      </c>
      <c r="K764">
        <v>5.3169000000000001E-2</v>
      </c>
      <c r="M764" t="s">
        <v>1</v>
      </c>
      <c r="N764">
        <v>7250</v>
      </c>
      <c r="O764">
        <v>24</v>
      </c>
      <c r="P764">
        <v>4777</v>
      </c>
      <c r="Q764">
        <v>0</v>
      </c>
      <c r="R764">
        <v>128595892493</v>
      </c>
      <c r="S764">
        <v>118719110.27</v>
      </c>
      <c r="T764">
        <v>122093960281</v>
      </c>
      <c r="U764">
        <v>126972023122.64999</v>
      </c>
      <c r="V764">
        <v>0.45716200000000001</v>
      </c>
      <c r="W764">
        <v>0.13175600000000001</v>
      </c>
    </row>
    <row r="765" spans="1:23" x14ac:dyDescent="0.35">
      <c r="A765" t="s">
        <v>1</v>
      </c>
      <c r="B765">
        <v>6500</v>
      </c>
      <c r="C765">
        <v>18</v>
      </c>
      <c r="D765">
        <v>1226</v>
      </c>
      <c r="E765">
        <v>0</v>
      </c>
      <c r="F765">
        <v>37598723350</v>
      </c>
      <c r="G765">
        <v>38348820.600000001</v>
      </c>
      <c r="H765">
        <v>36769249741.970001</v>
      </c>
      <c r="I765">
        <v>37473497009.830002</v>
      </c>
      <c r="J765">
        <v>0.22523000000000001</v>
      </c>
      <c r="K765">
        <v>2.7378E-2</v>
      </c>
      <c r="M765" t="s">
        <v>2</v>
      </c>
      <c r="N765">
        <v>5750</v>
      </c>
      <c r="O765">
        <v>24</v>
      </c>
      <c r="P765">
        <v>328</v>
      </c>
      <c r="Q765">
        <v>0</v>
      </c>
      <c r="R765">
        <v>7434522390</v>
      </c>
      <c r="S765">
        <v>8956468.3800000008</v>
      </c>
      <c r="T765">
        <v>7392154373.54</v>
      </c>
      <c r="U765">
        <v>7425565921.6199999</v>
      </c>
      <c r="V765">
        <v>5.2616000000000003E-2</v>
      </c>
      <c r="W765">
        <v>0</v>
      </c>
    </row>
    <row r="766" spans="1:23" x14ac:dyDescent="0.35">
      <c r="A766" t="s">
        <v>2</v>
      </c>
      <c r="B766">
        <v>6500</v>
      </c>
      <c r="C766">
        <v>18</v>
      </c>
      <c r="D766">
        <v>654</v>
      </c>
      <c r="E766">
        <v>0</v>
      </c>
      <c r="F766">
        <v>11603083273</v>
      </c>
      <c r="G766">
        <v>11842501.75</v>
      </c>
      <c r="H766">
        <v>11496615721.52</v>
      </c>
      <c r="I766">
        <v>11591240771.25</v>
      </c>
      <c r="J766">
        <v>9.3590000000000007E-2</v>
      </c>
      <c r="K766">
        <v>0</v>
      </c>
      <c r="M766" t="s">
        <v>1</v>
      </c>
      <c r="N766">
        <v>5750</v>
      </c>
      <c r="O766">
        <v>24</v>
      </c>
      <c r="P766">
        <v>7833</v>
      </c>
      <c r="Q766">
        <v>0</v>
      </c>
      <c r="R766">
        <v>307644569791</v>
      </c>
      <c r="S766">
        <v>370081931.52999997</v>
      </c>
      <c r="T766">
        <v>302214084062.23999</v>
      </c>
      <c r="U766">
        <v>306618871947.28998</v>
      </c>
      <c r="V766">
        <v>0.18047299999999999</v>
      </c>
      <c r="W766">
        <v>2.5274999999999999E-2</v>
      </c>
    </row>
    <row r="767" spans="1:23" x14ac:dyDescent="0.35">
      <c r="A767" t="s">
        <v>0</v>
      </c>
      <c r="B767">
        <v>6750</v>
      </c>
      <c r="C767">
        <v>20</v>
      </c>
      <c r="D767">
        <v>19000</v>
      </c>
      <c r="E767">
        <v>0</v>
      </c>
      <c r="F767">
        <v>534375095021</v>
      </c>
      <c r="G767">
        <v>528503529.88999999</v>
      </c>
      <c r="H767">
        <v>526746092989.02002</v>
      </c>
      <c r="I767">
        <v>532226116464.98999</v>
      </c>
      <c r="J767">
        <v>0.14829800000000001</v>
      </c>
      <c r="K767">
        <v>3.5789000000000001E-2</v>
      </c>
      <c r="M767" t="s">
        <v>2</v>
      </c>
      <c r="N767">
        <v>6250</v>
      </c>
      <c r="O767">
        <v>24</v>
      </c>
      <c r="P767">
        <v>1503</v>
      </c>
      <c r="Q767">
        <v>0</v>
      </c>
      <c r="R767">
        <v>30927612759</v>
      </c>
      <c r="S767">
        <v>34063593.289999999</v>
      </c>
      <c r="T767">
        <v>30686564616.150002</v>
      </c>
      <c r="U767">
        <v>30884896642.380001</v>
      </c>
      <c r="V767">
        <v>7.7419000000000002E-2</v>
      </c>
      <c r="W767">
        <v>3.3519999999999999E-3</v>
      </c>
    </row>
    <row r="768" spans="1:23" x14ac:dyDescent="0.35">
      <c r="A768" t="s">
        <v>0</v>
      </c>
      <c r="B768">
        <v>7750</v>
      </c>
      <c r="C768">
        <v>24</v>
      </c>
      <c r="D768">
        <v>6617</v>
      </c>
      <c r="E768">
        <v>0</v>
      </c>
      <c r="F768">
        <v>170369202981</v>
      </c>
      <c r="G768">
        <v>142999380.97</v>
      </c>
      <c r="H768">
        <v>165003089639.29001</v>
      </c>
      <c r="I768">
        <v>167471833663.75</v>
      </c>
      <c r="J768">
        <v>0.31178099999999997</v>
      </c>
      <c r="K768">
        <v>0.177651</v>
      </c>
      <c r="M768" t="s">
        <v>1</v>
      </c>
      <c r="N768">
        <v>6250</v>
      </c>
      <c r="O768">
        <v>24</v>
      </c>
      <c r="P768">
        <v>18504</v>
      </c>
      <c r="Q768">
        <v>0</v>
      </c>
      <c r="R768">
        <v>689808548773</v>
      </c>
      <c r="S768">
        <v>759243035.03999996</v>
      </c>
      <c r="T768">
        <v>669274891519.39001</v>
      </c>
      <c r="U768">
        <v>687244060961.5</v>
      </c>
      <c r="V768">
        <v>0.29462500000000003</v>
      </c>
      <c r="W768">
        <v>3.0956000000000001E-2</v>
      </c>
    </row>
    <row r="769" spans="1:23" x14ac:dyDescent="0.35">
      <c r="A769" t="s">
        <v>2</v>
      </c>
      <c r="B769">
        <v>7250</v>
      </c>
      <c r="C769">
        <v>24</v>
      </c>
      <c r="D769">
        <v>1664</v>
      </c>
      <c r="E769">
        <v>0</v>
      </c>
      <c r="F769">
        <v>25607392388</v>
      </c>
      <c r="G769">
        <v>23640686.370000001</v>
      </c>
      <c r="H769">
        <v>25007931424.380001</v>
      </c>
      <c r="I769">
        <v>25313447017.939999</v>
      </c>
      <c r="J769">
        <v>0.238845</v>
      </c>
      <c r="K769">
        <v>0.11956799999999999</v>
      </c>
      <c r="M769" t="s">
        <v>1</v>
      </c>
      <c r="N769">
        <v>6500</v>
      </c>
      <c r="O769">
        <v>24</v>
      </c>
      <c r="P769">
        <v>7109</v>
      </c>
      <c r="Q769">
        <v>0</v>
      </c>
      <c r="R769">
        <v>246634809069</v>
      </c>
      <c r="S769">
        <v>258779083.09999999</v>
      </c>
      <c r="T769">
        <v>237405545034.45999</v>
      </c>
      <c r="U769">
        <v>245674700313.19</v>
      </c>
      <c r="V769">
        <v>0.35891499999999998</v>
      </c>
      <c r="W769">
        <v>3.3593999999999999E-2</v>
      </c>
    </row>
    <row r="770" spans="1:23" x14ac:dyDescent="0.35">
      <c r="A770" t="s">
        <v>0</v>
      </c>
      <c r="B770">
        <v>8000</v>
      </c>
      <c r="C770">
        <v>24</v>
      </c>
      <c r="D770">
        <v>698</v>
      </c>
      <c r="E770">
        <v>0</v>
      </c>
      <c r="F770">
        <v>17818390854</v>
      </c>
      <c r="G770">
        <v>14341782.6</v>
      </c>
      <c r="H770">
        <v>17262360351.490002</v>
      </c>
      <c r="I770">
        <v>17537593015.09</v>
      </c>
      <c r="J770">
        <v>0.30958799999999997</v>
      </c>
      <c r="K770">
        <v>0.16539999999999999</v>
      </c>
      <c r="M770" t="s">
        <v>1</v>
      </c>
      <c r="N770">
        <v>8000</v>
      </c>
      <c r="O770">
        <v>30</v>
      </c>
      <c r="P770">
        <v>326</v>
      </c>
      <c r="Q770">
        <v>0</v>
      </c>
      <c r="R770">
        <v>7113113443</v>
      </c>
      <c r="S770">
        <v>5933976.8799999999</v>
      </c>
      <c r="T770">
        <v>6704169058.8500004</v>
      </c>
      <c r="U770">
        <v>6976326925.2399998</v>
      </c>
      <c r="V770">
        <v>0.50336899999999996</v>
      </c>
      <c r="W770">
        <v>0.19973099999999999</v>
      </c>
    </row>
    <row r="771" spans="1:23" x14ac:dyDescent="0.35">
      <c r="A771" t="s">
        <v>1</v>
      </c>
      <c r="B771">
        <v>7250</v>
      </c>
      <c r="C771">
        <v>24</v>
      </c>
      <c r="D771">
        <v>4961</v>
      </c>
      <c r="E771">
        <v>0</v>
      </c>
      <c r="F771">
        <v>132901825874</v>
      </c>
      <c r="G771">
        <v>122780634.72</v>
      </c>
      <c r="H771">
        <v>126839268389.53</v>
      </c>
      <c r="I771">
        <v>131028571313.67999</v>
      </c>
      <c r="J771">
        <v>0.42228199999999999</v>
      </c>
      <c r="K771">
        <v>0.147093</v>
      </c>
      <c r="M771" t="s">
        <v>1</v>
      </c>
      <c r="N771">
        <v>7500</v>
      </c>
      <c r="O771">
        <v>24</v>
      </c>
      <c r="P771">
        <v>607</v>
      </c>
      <c r="Q771">
        <v>0</v>
      </c>
      <c r="R771">
        <v>15490215737</v>
      </c>
      <c r="S771">
        <v>13925464.119999999</v>
      </c>
      <c r="T771">
        <v>14610649342.93</v>
      </c>
      <c r="U771">
        <v>15033692945.610001</v>
      </c>
      <c r="V771">
        <v>0.49845600000000001</v>
      </c>
      <c r="W771">
        <v>0.29380699999999998</v>
      </c>
    </row>
    <row r="772" spans="1:23" x14ac:dyDescent="0.35">
      <c r="A772" t="s">
        <v>1</v>
      </c>
      <c r="B772">
        <v>8000</v>
      </c>
      <c r="C772">
        <v>24</v>
      </c>
      <c r="D772">
        <v>251</v>
      </c>
      <c r="E772">
        <v>0</v>
      </c>
      <c r="F772">
        <v>5863455704</v>
      </c>
      <c r="G772">
        <v>4698871.2</v>
      </c>
      <c r="H772">
        <v>5455050384.8299999</v>
      </c>
      <c r="I772">
        <v>5802027671.9200001</v>
      </c>
      <c r="J772">
        <v>0.57515700000000003</v>
      </c>
      <c r="K772">
        <v>0.11011700000000001</v>
      </c>
      <c r="M772" t="s">
        <v>2</v>
      </c>
      <c r="N772">
        <v>7500</v>
      </c>
      <c r="O772">
        <v>24</v>
      </c>
      <c r="P772">
        <v>259</v>
      </c>
      <c r="Q772">
        <v>0</v>
      </c>
      <c r="R772">
        <v>3722985098</v>
      </c>
      <c r="S772">
        <v>3270540.34</v>
      </c>
      <c r="T772">
        <v>3530394199.9400001</v>
      </c>
      <c r="U772">
        <v>3633989286.4499998</v>
      </c>
      <c r="V772">
        <v>0.46542499999999998</v>
      </c>
      <c r="W772">
        <v>0.24387</v>
      </c>
    </row>
    <row r="773" spans="1:23" x14ac:dyDescent="0.35">
      <c r="A773" t="s">
        <v>1</v>
      </c>
      <c r="B773">
        <v>5250</v>
      </c>
      <c r="C773">
        <v>20</v>
      </c>
      <c r="D773">
        <v>7951</v>
      </c>
      <c r="E773">
        <v>0</v>
      </c>
      <c r="F773">
        <v>334783637623</v>
      </c>
      <c r="G773">
        <v>430046078.69</v>
      </c>
      <c r="H773">
        <v>330632323434.12</v>
      </c>
      <c r="I773">
        <v>333722613253.28998</v>
      </c>
      <c r="J773">
        <v>0.125526</v>
      </c>
      <c r="K773">
        <v>2.2384000000000001E-2</v>
      </c>
      <c r="M773" t="s">
        <v>2</v>
      </c>
      <c r="N773">
        <v>7000</v>
      </c>
      <c r="O773">
        <v>20</v>
      </c>
      <c r="P773">
        <v>509</v>
      </c>
      <c r="Q773">
        <v>0</v>
      </c>
      <c r="R773">
        <v>8382752982</v>
      </c>
      <c r="S773">
        <v>7920272.0899999999</v>
      </c>
      <c r="T773">
        <v>8272017662.4300003</v>
      </c>
      <c r="U773">
        <v>8342359856.3199997</v>
      </c>
      <c r="V773">
        <v>0.13764699999999999</v>
      </c>
      <c r="W773">
        <v>4.5508E-2</v>
      </c>
    </row>
    <row r="774" spans="1:23" x14ac:dyDescent="0.35">
      <c r="A774" t="s">
        <v>2</v>
      </c>
      <c r="B774">
        <v>5500</v>
      </c>
      <c r="C774">
        <v>20</v>
      </c>
      <c r="D774">
        <v>217</v>
      </c>
      <c r="E774">
        <v>0</v>
      </c>
      <c r="F774">
        <v>4832315577</v>
      </c>
      <c r="G774">
        <v>5937960.7199999997</v>
      </c>
      <c r="H774">
        <v>4802091677.0900002</v>
      </c>
      <c r="I774">
        <v>4826377616.2799997</v>
      </c>
      <c r="J774">
        <v>5.8668999999999999E-2</v>
      </c>
      <c r="K774">
        <v>0</v>
      </c>
      <c r="M774" t="s">
        <v>1</v>
      </c>
      <c r="N774">
        <v>7000</v>
      </c>
      <c r="O774">
        <v>20</v>
      </c>
      <c r="P774">
        <v>972</v>
      </c>
      <c r="Q774">
        <v>0</v>
      </c>
      <c r="R774">
        <v>26529146869</v>
      </c>
      <c r="S774">
        <v>25094331.760000002</v>
      </c>
      <c r="T774">
        <v>25395296965.130001</v>
      </c>
      <c r="U774">
        <v>26178826890.470001</v>
      </c>
      <c r="V774">
        <v>0.400889</v>
      </c>
      <c r="W774">
        <v>0.13758600000000001</v>
      </c>
    </row>
    <row r="775" spans="1:23" x14ac:dyDescent="0.35">
      <c r="A775" t="s">
        <v>0</v>
      </c>
      <c r="B775">
        <v>5500</v>
      </c>
      <c r="C775">
        <v>20</v>
      </c>
      <c r="D775">
        <v>6592</v>
      </c>
      <c r="E775">
        <v>0</v>
      </c>
      <c r="F775">
        <v>228466006074</v>
      </c>
      <c r="G775">
        <v>280988947.99000001</v>
      </c>
      <c r="H775">
        <v>227090659157.57001</v>
      </c>
      <c r="I775">
        <v>228033141503.16</v>
      </c>
      <c r="J775">
        <v>5.5989999999999998E-2</v>
      </c>
      <c r="K775">
        <v>7.9480000000000002E-3</v>
      </c>
      <c r="M775" t="s">
        <v>0</v>
      </c>
      <c r="N775">
        <v>6500</v>
      </c>
      <c r="O775">
        <v>18</v>
      </c>
      <c r="P775">
        <v>7158</v>
      </c>
      <c r="Q775">
        <v>0</v>
      </c>
      <c r="R775">
        <v>182129790094</v>
      </c>
      <c r="S775">
        <v>185732938.78</v>
      </c>
      <c r="T775">
        <v>179447050665.17999</v>
      </c>
      <c r="U775">
        <v>181493895391.73999</v>
      </c>
      <c r="V775">
        <v>0.152665</v>
      </c>
      <c r="W775">
        <v>2.9260000000000001E-2</v>
      </c>
    </row>
    <row r="776" spans="1:23" x14ac:dyDescent="0.35">
      <c r="A776" t="s">
        <v>1</v>
      </c>
      <c r="B776">
        <v>5750</v>
      </c>
      <c r="C776">
        <v>20</v>
      </c>
      <c r="D776">
        <v>20202</v>
      </c>
      <c r="E776">
        <v>0</v>
      </c>
      <c r="F776">
        <v>809370063292</v>
      </c>
      <c r="G776">
        <v>955652572.36000001</v>
      </c>
      <c r="H776">
        <v>799311869576.59998</v>
      </c>
      <c r="I776">
        <v>806082282941.39001</v>
      </c>
      <c r="J776">
        <v>0.126915</v>
      </c>
      <c r="K776">
        <v>3.4034000000000002E-2</v>
      </c>
      <c r="M776" t="s">
        <v>2</v>
      </c>
      <c r="N776">
        <v>6500</v>
      </c>
      <c r="O776">
        <v>18</v>
      </c>
      <c r="P776">
        <v>608</v>
      </c>
      <c r="Q776">
        <v>0</v>
      </c>
      <c r="R776">
        <v>10306119125</v>
      </c>
      <c r="S776">
        <v>10521234.300000001</v>
      </c>
      <c r="T776">
        <v>10273710372.620001</v>
      </c>
      <c r="U776">
        <v>10295597890.700001</v>
      </c>
      <c r="V776">
        <v>2.5189E-2</v>
      </c>
      <c r="W776">
        <v>0</v>
      </c>
    </row>
    <row r="777" spans="1:23" x14ac:dyDescent="0.35">
      <c r="A777" t="s">
        <v>0</v>
      </c>
      <c r="B777">
        <v>5750</v>
      </c>
      <c r="C777">
        <v>20</v>
      </c>
      <c r="D777">
        <v>20068</v>
      </c>
      <c r="E777">
        <v>0</v>
      </c>
      <c r="F777">
        <v>711603329771</v>
      </c>
      <c r="G777">
        <v>838861036.96000004</v>
      </c>
      <c r="H777">
        <v>705435842291.87</v>
      </c>
      <c r="I777">
        <v>709369196332.65002</v>
      </c>
      <c r="J777">
        <v>8.6248000000000005E-2</v>
      </c>
      <c r="K777">
        <v>2.3276999999999999E-2</v>
      </c>
      <c r="M777" t="s">
        <v>1</v>
      </c>
      <c r="N777">
        <v>6500</v>
      </c>
      <c r="O777">
        <v>18</v>
      </c>
      <c r="P777">
        <v>1135</v>
      </c>
      <c r="Q777">
        <v>0</v>
      </c>
      <c r="R777">
        <v>32201214895</v>
      </c>
      <c r="S777">
        <v>32954282.219999999</v>
      </c>
      <c r="T777">
        <v>31502862630.529999</v>
      </c>
      <c r="U777">
        <v>32128803075.889999</v>
      </c>
      <c r="V777">
        <v>0.221637</v>
      </c>
      <c r="W777">
        <v>1.4605E-2</v>
      </c>
    </row>
    <row r="778" spans="1:23" x14ac:dyDescent="0.35">
      <c r="A778" t="s">
        <v>2</v>
      </c>
      <c r="B778">
        <v>5750</v>
      </c>
      <c r="C778">
        <v>20</v>
      </c>
      <c r="D778">
        <v>540</v>
      </c>
      <c r="E778">
        <v>0</v>
      </c>
      <c r="F778">
        <v>12016001386</v>
      </c>
      <c r="G778">
        <v>14190362.529999999</v>
      </c>
      <c r="H778">
        <v>11917371187.43</v>
      </c>
      <c r="I778">
        <v>12001811023.469999</v>
      </c>
      <c r="J778">
        <v>8.1143000000000007E-2</v>
      </c>
      <c r="K778">
        <v>0</v>
      </c>
      <c r="M778" t="s">
        <v>0</v>
      </c>
      <c r="N778">
        <v>7000</v>
      </c>
      <c r="O778">
        <v>18</v>
      </c>
      <c r="P778">
        <v>3347</v>
      </c>
      <c r="Q778">
        <v>0</v>
      </c>
      <c r="R778">
        <v>85530623531</v>
      </c>
      <c r="S778">
        <v>79778980.189999998</v>
      </c>
      <c r="T778">
        <v>83965051233.369995</v>
      </c>
      <c r="U778">
        <v>84962215560.529999</v>
      </c>
      <c r="V778">
        <v>0.18965000000000001</v>
      </c>
      <c r="W778">
        <v>6.6441E-2</v>
      </c>
    </row>
    <row r="779" spans="1:23" x14ac:dyDescent="0.35">
      <c r="A779" t="s">
        <v>2</v>
      </c>
      <c r="B779">
        <v>6000</v>
      </c>
      <c r="C779">
        <v>20</v>
      </c>
      <c r="D779">
        <v>507</v>
      </c>
      <c r="E779">
        <v>0</v>
      </c>
      <c r="F779">
        <v>10236417112</v>
      </c>
      <c r="G779">
        <v>11543967.43</v>
      </c>
      <c r="H779">
        <v>10170679210.309999</v>
      </c>
      <c r="I779">
        <v>10224873144.57</v>
      </c>
      <c r="J779">
        <v>6.1712999999999997E-2</v>
      </c>
      <c r="K779">
        <v>0</v>
      </c>
      <c r="M779" t="s">
        <v>2</v>
      </c>
      <c r="N779">
        <v>7000</v>
      </c>
      <c r="O779">
        <v>18</v>
      </c>
      <c r="P779">
        <v>156</v>
      </c>
      <c r="Q779">
        <v>0</v>
      </c>
      <c r="R779">
        <v>2254404852</v>
      </c>
      <c r="S779">
        <v>2101331.5</v>
      </c>
      <c r="T779">
        <v>2231256649.3299999</v>
      </c>
      <c r="U779">
        <v>2240396961.2800002</v>
      </c>
      <c r="V779">
        <v>0.10645300000000001</v>
      </c>
      <c r="W779">
        <v>6.1568999999999999E-2</v>
      </c>
    </row>
    <row r="780" spans="1:23" x14ac:dyDescent="0.35">
      <c r="A780" t="s">
        <v>0</v>
      </c>
      <c r="B780">
        <v>6000</v>
      </c>
      <c r="C780">
        <v>20</v>
      </c>
      <c r="D780">
        <v>8837</v>
      </c>
      <c r="E780">
        <v>0</v>
      </c>
      <c r="F780">
        <v>269752842126</v>
      </c>
      <c r="G780">
        <v>304201147.43000001</v>
      </c>
      <c r="H780">
        <v>267032858609.01001</v>
      </c>
      <c r="I780">
        <v>268800551684.85001</v>
      </c>
      <c r="J780">
        <v>0.102328</v>
      </c>
      <c r="K780">
        <v>2.8452000000000002E-2</v>
      </c>
      <c r="M780" t="s">
        <v>0</v>
      </c>
      <c r="N780">
        <v>7750</v>
      </c>
      <c r="O780">
        <v>24</v>
      </c>
      <c r="P780">
        <v>6586</v>
      </c>
      <c r="Q780">
        <v>0</v>
      </c>
      <c r="R780">
        <v>169161949782</v>
      </c>
      <c r="S780">
        <v>141873956.84</v>
      </c>
      <c r="T780">
        <v>164497821363.29999</v>
      </c>
      <c r="U780">
        <v>167684265842.07001</v>
      </c>
      <c r="V780">
        <v>0.27759200000000001</v>
      </c>
      <c r="W780">
        <v>9.0749999999999997E-2</v>
      </c>
    </row>
    <row r="781" spans="1:23" x14ac:dyDescent="0.35">
      <c r="A781" t="s">
        <v>0</v>
      </c>
      <c r="B781">
        <v>7250</v>
      </c>
      <c r="C781">
        <v>20</v>
      </c>
      <c r="D781">
        <v>6432</v>
      </c>
      <c r="E781">
        <v>0</v>
      </c>
      <c r="F781">
        <v>162087324047</v>
      </c>
      <c r="G781">
        <v>146179170.69</v>
      </c>
      <c r="H781">
        <v>157455764644.95999</v>
      </c>
      <c r="I781">
        <v>160181576685.60001</v>
      </c>
      <c r="J781">
        <v>0.28591499999999997</v>
      </c>
      <c r="K781">
        <v>0.122765</v>
      </c>
      <c r="M781" t="s">
        <v>2</v>
      </c>
      <c r="N781">
        <v>7250</v>
      </c>
      <c r="O781">
        <v>24</v>
      </c>
      <c r="P781">
        <v>1664</v>
      </c>
      <c r="Q781">
        <v>0</v>
      </c>
      <c r="R781">
        <v>25717342470</v>
      </c>
      <c r="S781">
        <v>23706442.23</v>
      </c>
      <c r="T781">
        <v>25269555860.470001</v>
      </c>
      <c r="U781">
        <v>25556067413.43</v>
      </c>
      <c r="V781">
        <v>0.18088499999999999</v>
      </c>
      <c r="W781">
        <v>6.2336000000000003E-2</v>
      </c>
    </row>
    <row r="782" spans="1:23" x14ac:dyDescent="0.35">
      <c r="A782" t="s">
        <v>0</v>
      </c>
      <c r="B782">
        <v>7500</v>
      </c>
      <c r="C782">
        <v>20</v>
      </c>
      <c r="D782">
        <v>1377</v>
      </c>
      <c r="E782">
        <v>0</v>
      </c>
      <c r="F782">
        <v>35015110075</v>
      </c>
      <c r="G782">
        <v>30215478.34</v>
      </c>
      <c r="H782">
        <v>34144637395.560001</v>
      </c>
      <c r="I782">
        <v>34568522805.989998</v>
      </c>
      <c r="J782">
        <v>0.25284000000000001</v>
      </c>
      <c r="K782">
        <v>0.13372200000000001</v>
      </c>
      <c r="M782" t="s">
        <v>0</v>
      </c>
      <c r="N782">
        <v>8000</v>
      </c>
      <c r="O782">
        <v>24</v>
      </c>
      <c r="P782">
        <v>714</v>
      </c>
      <c r="Q782">
        <v>0</v>
      </c>
      <c r="R782">
        <v>18096342860</v>
      </c>
      <c r="S782">
        <v>14535602.359999999</v>
      </c>
      <c r="T782">
        <v>17682414802.32</v>
      </c>
      <c r="U782">
        <v>17913263620.610001</v>
      </c>
      <c r="V782">
        <v>0.23494699999999999</v>
      </c>
      <c r="W782">
        <v>0.106213</v>
      </c>
    </row>
    <row r="783" spans="1:23" x14ac:dyDescent="0.35">
      <c r="A783" t="s">
        <v>2</v>
      </c>
      <c r="B783">
        <v>6250</v>
      </c>
      <c r="C783">
        <v>20</v>
      </c>
      <c r="D783">
        <v>1141</v>
      </c>
      <c r="E783">
        <v>0</v>
      </c>
      <c r="F783">
        <v>22648103327</v>
      </c>
      <c r="G783">
        <v>24485998.850000001</v>
      </c>
      <c r="H783">
        <v>22505825877.220001</v>
      </c>
      <c r="I783">
        <v>22606556333.880001</v>
      </c>
      <c r="J783">
        <v>6.0657000000000003E-2</v>
      </c>
      <c r="K783">
        <v>9.0019999999999996E-3</v>
      </c>
      <c r="M783" t="s">
        <v>1</v>
      </c>
      <c r="N783">
        <v>8000</v>
      </c>
      <c r="O783">
        <v>24</v>
      </c>
      <c r="P783">
        <v>214</v>
      </c>
      <c r="Q783">
        <v>0</v>
      </c>
      <c r="R783">
        <v>4925448941</v>
      </c>
      <c r="S783">
        <v>3938304.54</v>
      </c>
      <c r="T783">
        <v>4622816816.9399996</v>
      </c>
      <c r="U783">
        <v>4829797902.8599997</v>
      </c>
      <c r="V783">
        <v>0.52797099999999997</v>
      </c>
      <c r="W783">
        <v>0.20192199999999999</v>
      </c>
    </row>
    <row r="784" spans="1:23" x14ac:dyDescent="0.35">
      <c r="A784" t="s">
        <v>2</v>
      </c>
      <c r="B784">
        <v>5000</v>
      </c>
      <c r="C784">
        <v>20</v>
      </c>
      <c r="D784">
        <v>121</v>
      </c>
      <c r="E784">
        <v>0</v>
      </c>
      <c r="F784">
        <v>3047457397</v>
      </c>
      <c r="G784">
        <v>4092009.67</v>
      </c>
      <c r="H784">
        <v>3043365387.3299999</v>
      </c>
      <c r="I784">
        <v>3043365387.3299999</v>
      </c>
      <c r="J784">
        <v>0</v>
      </c>
      <c r="K784">
        <v>0</v>
      </c>
      <c r="M784" t="s">
        <v>1</v>
      </c>
      <c r="N784">
        <v>5750</v>
      </c>
      <c r="O784">
        <v>20</v>
      </c>
      <c r="P784">
        <v>10565</v>
      </c>
      <c r="Q784">
        <v>0</v>
      </c>
      <c r="R784">
        <v>428648778177</v>
      </c>
      <c r="S784">
        <v>505007502.02999997</v>
      </c>
      <c r="T784">
        <v>422140005897.46997</v>
      </c>
      <c r="U784">
        <v>427195447929.98999</v>
      </c>
      <c r="V784">
        <v>0.15571299999999999</v>
      </c>
      <c r="W784">
        <v>2.6228000000000001E-2</v>
      </c>
    </row>
    <row r="785" spans="1:23" x14ac:dyDescent="0.35">
      <c r="A785" t="s">
        <v>0</v>
      </c>
      <c r="B785">
        <v>5250</v>
      </c>
      <c r="C785">
        <v>20</v>
      </c>
      <c r="D785">
        <v>5357</v>
      </c>
      <c r="E785">
        <v>0</v>
      </c>
      <c r="F785">
        <v>194251535500</v>
      </c>
      <c r="G785">
        <v>249809043.80000001</v>
      </c>
      <c r="H785">
        <v>193277683412.29001</v>
      </c>
      <c r="I785">
        <v>193933063823.06</v>
      </c>
      <c r="J785">
        <v>4.3823000000000001E-2</v>
      </c>
      <c r="K785">
        <v>4.2329999999999998E-3</v>
      </c>
      <c r="M785" t="s">
        <v>2</v>
      </c>
      <c r="N785">
        <v>5750</v>
      </c>
      <c r="O785">
        <v>20</v>
      </c>
      <c r="P785">
        <v>262</v>
      </c>
      <c r="Q785">
        <v>0</v>
      </c>
      <c r="R785">
        <v>5826579148</v>
      </c>
      <c r="S785">
        <v>6867916.3799999999</v>
      </c>
      <c r="T785">
        <v>5745555569.8000002</v>
      </c>
      <c r="U785">
        <v>5819711231.6199999</v>
      </c>
      <c r="V785">
        <v>0.14247599999999999</v>
      </c>
      <c r="W785">
        <v>0</v>
      </c>
    </row>
    <row r="786" spans="1:23" x14ac:dyDescent="0.35">
      <c r="A786" t="s">
        <v>1</v>
      </c>
      <c r="B786">
        <v>5500</v>
      </c>
      <c r="C786">
        <v>20</v>
      </c>
      <c r="D786">
        <v>6630</v>
      </c>
      <c r="E786">
        <v>0</v>
      </c>
      <c r="F786">
        <v>270116782939</v>
      </c>
      <c r="G786">
        <v>332689920.49000001</v>
      </c>
      <c r="H786">
        <v>266745661926.51999</v>
      </c>
      <c r="I786">
        <v>269081334689.79999</v>
      </c>
      <c r="J786">
        <v>0.12693699999999999</v>
      </c>
      <c r="K786">
        <v>3.0776999999999999E-2</v>
      </c>
      <c r="M786" t="s">
        <v>0</v>
      </c>
      <c r="N786">
        <v>5750</v>
      </c>
      <c r="O786">
        <v>20</v>
      </c>
      <c r="P786">
        <v>9560</v>
      </c>
      <c r="Q786">
        <v>0</v>
      </c>
      <c r="R786">
        <v>337790280346</v>
      </c>
      <c r="S786">
        <v>398060460.49000001</v>
      </c>
      <c r="T786">
        <v>335578644037.79999</v>
      </c>
      <c r="U786">
        <v>336874979533.77002</v>
      </c>
      <c r="V786">
        <v>6.2558000000000002E-2</v>
      </c>
      <c r="W786">
        <v>1.8221000000000001E-2</v>
      </c>
    </row>
    <row r="787" spans="1:23" x14ac:dyDescent="0.35">
      <c r="A787" t="s">
        <v>1</v>
      </c>
      <c r="B787">
        <v>6000</v>
      </c>
      <c r="C787">
        <v>20</v>
      </c>
      <c r="D787">
        <v>6021</v>
      </c>
      <c r="E787">
        <v>0</v>
      </c>
      <c r="F787">
        <v>215272106826</v>
      </c>
      <c r="G787">
        <v>243037688.78</v>
      </c>
      <c r="H787">
        <v>212517925373.06</v>
      </c>
      <c r="I787">
        <v>214550063936.13</v>
      </c>
      <c r="J787">
        <v>0.13133900000000001</v>
      </c>
      <c r="K787">
        <v>2.6377000000000001E-2</v>
      </c>
      <c r="M787" t="s">
        <v>2</v>
      </c>
      <c r="N787">
        <v>6000</v>
      </c>
      <c r="O787">
        <v>20</v>
      </c>
      <c r="P787">
        <v>367</v>
      </c>
      <c r="Q787">
        <v>0</v>
      </c>
      <c r="R787">
        <v>7810214615</v>
      </c>
      <c r="S787">
        <v>8810736.0099999998</v>
      </c>
      <c r="T787">
        <v>7759026123.7799997</v>
      </c>
      <c r="U787">
        <v>7777014580.0699997</v>
      </c>
      <c r="V787">
        <v>6.3202999999999995E-2</v>
      </c>
      <c r="W787">
        <v>3.6836000000000001E-2</v>
      </c>
    </row>
    <row r="788" spans="1:23" x14ac:dyDescent="0.35">
      <c r="A788" t="s">
        <v>0</v>
      </c>
      <c r="B788">
        <v>6250</v>
      </c>
      <c r="C788">
        <v>20</v>
      </c>
      <c r="D788">
        <v>25210</v>
      </c>
      <c r="E788">
        <v>0</v>
      </c>
      <c r="F788">
        <v>805256142883</v>
      </c>
      <c r="G788">
        <v>870222470.00999999</v>
      </c>
      <c r="H788">
        <v>795904690881.18005</v>
      </c>
      <c r="I788">
        <v>802130232577.18994</v>
      </c>
      <c r="J788">
        <v>0.11931799999999999</v>
      </c>
      <c r="K788">
        <v>3.3100999999999998E-2</v>
      </c>
      <c r="M788" t="s">
        <v>0</v>
      </c>
      <c r="N788">
        <v>6000</v>
      </c>
      <c r="O788">
        <v>20</v>
      </c>
      <c r="P788">
        <v>9219</v>
      </c>
      <c r="Q788">
        <v>0</v>
      </c>
      <c r="R788">
        <v>295220814176</v>
      </c>
      <c r="S788">
        <v>332998204.61000001</v>
      </c>
      <c r="T788">
        <v>292293594880.09003</v>
      </c>
      <c r="U788">
        <v>294394802762.40997</v>
      </c>
      <c r="V788">
        <v>0.100499</v>
      </c>
      <c r="W788">
        <v>1.9857E-2</v>
      </c>
    </row>
    <row r="789" spans="1:23" x14ac:dyDescent="0.35">
      <c r="A789" t="s">
        <v>1</v>
      </c>
      <c r="B789">
        <v>6250</v>
      </c>
      <c r="C789">
        <v>20</v>
      </c>
      <c r="D789">
        <v>12869</v>
      </c>
      <c r="E789">
        <v>0</v>
      </c>
      <c r="F789">
        <v>456800313484</v>
      </c>
      <c r="G789">
        <v>494200568.08999997</v>
      </c>
      <c r="H789">
        <v>446766801863.66998</v>
      </c>
      <c r="I789">
        <v>454693981357.38</v>
      </c>
      <c r="J789">
        <v>0.22372500000000001</v>
      </c>
      <c r="K789">
        <v>4.1537999999999999E-2</v>
      </c>
      <c r="M789" t="s">
        <v>0</v>
      </c>
      <c r="N789">
        <v>6250</v>
      </c>
      <c r="O789">
        <v>20</v>
      </c>
      <c r="P789">
        <v>23188</v>
      </c>
      <c r="Q789">
        <v>0</v>
      </c>
      <c r="R789">
        <v>774252857677</v>
      </c>
      <c r="S789">
        <v>835462275.26999998</v>
      </c>
      <c r="T789">
        <v>763750782803.90002</v>
      </c>
      <c r="U789">
        <v>771597788344.66003</v>
      </c>
      <c r="V789">
        <v>0.13994899999999999</v>
      </c>
      <c r="W789">
        <v>2.784E-2</v>
      </c>
    </row>
    <row r="790" spans="1:23" x14ac:dyDescent="0.35">
      <c r="A790" t="s">
        <v>1</v>
      </c>
      <c r="B790">
        <v>6750</v>
      </c>
      <c r="C790">
        <v>20</v>
      </c>
      <c r="D790">
        <v>4624</v>
      </c>
      <c r="E790">
        <v>0</v>
      </c>
      <c r="F790">
        <v>136424767143</v>
      </c>
      <c r="G790">
        <v>135162547.25</v>
      </c>
      <c r="H790">
        <v>131880662716.82001</v>
      </c>
      <c r="I790">
        <v>135877399011.99001</v>
      </c>
      <c r="J790">
        <v>0.325793</v>
      </c>
      <c r="K790">
        <v>3.5660999999999998E-2</v>
      </c>
      <c r="M790" t="s">
        <v>2</v>
      </c>
      <c r="N790">
        <v>6250</v>
      </c>
      <c r="O790">
        <v>20</v>
      </c>
      <c r="P790">
        <v>812</v>
      </c>
      <c r="Q790">
        <v>0</v>
      </c>
      <c r="R790">
        <v>16857491804</v>
      </c>
      <c r="S790">
        <v>18186731.82</v>
      </c>
      <c r="T790">
        <v>16691003469.530001</v>
      </c>
      <c r="U790">
        <v>16822267683.530001</v>
      </c>
      <c r="V790">
        <v>0.100607</v>
      </c>
      <c r="W790">
        <v>1.2061000000000001E-2</v>
      </c>
    </row>
    <row r="791" spans="1:23" x14ac:dyDescent="0.35">
      <c r="A791" t="s">
        <v>1</v>
      </c>
      <c r="B791">
        <v>4750</v>
      </c>
      <c r="C791">
        <v>18</v>
      </c>
      <c r="D791">
        <v>2490</v>
      </c>
      <c r="E791">
        <v>0</v>
      </c>
      <c r="F791">
        <v>109506621086</v>
      </c>
      <c r="G791">
        <v>151853832.24000001</v>
      </c>
      <c r="H791">
        <v>108615647199.36</v>
      </c>
      <c r="I791">
        <v>109170229414.17</v>
      </c>
      <c r="J791">
        <v>7.8053999999999998E-2</v>
      </c>
      <c r="K791">
        <v>2.0036000000000002E-2</v>
      </c>
      <c r="M791" t="s">
        <v>0</v>
      </c>
      <c r="N791">
        <v>7250</v>
      </c>
      <c r="O791">
        <v>20</v>
      </c>
      <c r="P791">
        <v>10454</v>
      </c>
      <c r="Q791">
        <v>0</v>
      </c>
      <c r="R791">
        <v>269438531456</v>
      </c>
      <c r="S791">
        <v>242873546.72999999</v>
      </c>
      <c r="T791">
        <v>261337958343.67001</v>
      </c>
      <c r="U791">
        <v>266624914025.57001</v>
      </c>
      <c r="V791">
        <v>0.29894100000000001</v>
      </c>
      <c r="W791">
        <v>0.108672</v>
      </c>
    </row>
    <row r="792" spans="1:23" x14ac:dyDescent="0.35">
      <c r="A792" t="s">
        <v>1</v>
      </c>
      <c r="B792">
        <v>4750</v>
      </c>
      <c r="C792">
        <v>20</v>
      </c>
      <c r="D792">
        <v>1035</v>
      </c>
      <c r="E792">
        <v>0</v>
      </c>
      <c r="F792">
        <v>40225336975</v>
      </c>
      <c r="G792">
        <v>56258975.409999996</v>
      </c>
      <c r="H792">
        <v>40121360324.790001</v>
      </c>
      <c r="I792">
        <v>40169077999.589996</v>
      </c>
      <c r="J792">
        <v>1.4142999999999999E-2</v>
      </c>
      <c r="K792">
        <v>0</v>
      </c>
      <c r="M792" t="s">
        <v>0</v>
      </c>
      <c r="N792">
        <v>7500</v>
      </c>
      <c r="O792">
        <v>20</v>
      </c>
      <c r="P792">
        <v>1906</v>
      </c>
      <c r="Q792">
        <v>0</v>
      </c>
      <c r="R792">
        <v>48991086778</v>
      </c>
      <c r="S792">
        <v>42241202.850000001</v>
      </c>
      <c r="T792">
        <v>47885670676.110001</v>
      </c>
      <c r="U792">
        <v>48491185895.790001</v>
      </c>
      <c r="V792">
        <v>0.23147599999999999</v>
      </c>
      <c r="W792">
        <v>0.106516</v>
      </c>
    </row>
    <row r="793" spans="1:23" x14ac:dyDescent="0.35">
      <c r="A793" t="s">
        <v>0</v>
      </c>
      <c r="B793">
        <v>4750</v>
      </c>
      <c r="C793">
        <v>20</v>
      </c>
      <c r="D793">
        <v>1660</v>
      </c>
      <c r="E793">
        <v>0</v>
      </c>
      <c r="F793">
        <v>56504121872</v>
      </c>
      <c r="G793">
        <v>79137969.890000001</v>
      </c>
      <c r="H793">
        <v>56324043313.150002</v>
      </c>
      <c r="I793">
        <v>56394102810.169998</v>
      </c>
      <c r="J793">
        <v>2.1228E-2</v>
      </c>
      <c r="K793">
        <v>6.5389999999999997E-3</v>
      </c>
      <c r="M793" t="s">
        <v>1</v>
      </c>
      <c r="N793">
        <v>5250</v>
      </c>
      <c r="O793">
        <v>20</v>
      </c>
      <c r="P793">
        <v>2345</v>
      </c>
      <c r="Q793">
        <v>0</v>
      </c>
      <c r="R793">
        <v>99721796851</v>
      </c>
      <c r="S793">
        <v>127962931.53</v>
      </c>
      <c r="T793">
        <v>98669700819.710007</v>
      </c>
      <c r="U793">
        <v>99422939712.169998</v>
      </c>
      <c r="V793">
        <v>0.105709</v>
      </c>
      <c r="W793">
        <v>2.0372000000000001E-2</v>
      </c>
    </row>
    <row r="794" spans="1:23" x14ac:dyDescent="0.35">
      <c r="A794" t="s">
        <v>0</v>
      </c>
      <c r="B794">
        <v>5000</v>
      </c>
      <c r="C794">
        <v>20</v>
      </c>
      <c r="D794">
        <v>5637</v>
      </c>
      <c r="E794">
        <v>0</v>
      </c>
      <c r="F794">
        <v>194279609666</v>
      </c>
      <c r="G794">
        <v>260937938.31999999</v>
      </c>
      <c r="H794">
        <v>193636688240.19</v>
      </c>
      <c r="I794">
        <v>193903512097.31</v>
      </c>
      <c r="J794">
        <v>2.334E-2</v>
      </c>
      <c r="K794">
        <v>7.0899999999999999E-3</v>
      </c>
      <c r="M794" t="s">
        <v>1</v>
      </c>
      <c r="N794">
        <v>6000</v>
      </c>
      <c r="O794">
        <v>20</v>
      </c>
      <c r="P794">
        <v>6361</v>
      </c>
      <c r="Q794">
        <v>0</v>
      </c>
      <c r="R794">
        <v>242190622173</v>
      </c>
      <c r="S794">
        <v>273257843.41000003</v>
      </c>
      <c r="T794">
        <v>236168157833.72</v>
      </c>
      <c r="U794">
        <v>241234528044.37</v>
      </c>
      <c r="V794">
        <v>0.25046000000000002</v>
      </c>
      <c r="W794">
        <v>3.3313000000000002E-2</v>
      </c>
    </row>
    <row r="795" spans="1:23" x14ac:dyDescent="0.35">
      <c r="A795" t="s">
        <v>0</v>
      </c>
      <c r="B795">
        <v>5000</v>
      </c>
      <c r="C795">
        <v>18</v>
      </c>
      <c r="D795">
        <v>6116</v>
      </c>
      <c r="E795">
        <v>0</v>
      </c>
      <c r="F795">
        <v>212505846102</v>
      </c>
      <c r="G795">
        <v>282709344.39999998</v>
      </c>
      <c r="H795">
        <v>211600362002.38</v>
      </c>
      <c r="I795">
        <v>212112442101.23001</v>
      </c>
      <c r="J795">
        <v>3.4605999999999998E-2</v>
      </c>
      <c r="K795">
        <v>6.2329999999999998E-3</v>
      </c>
      <c r="M795" t="s">
        <v>0</v>
      </c>
      <c r="N795">
        <v>6750</v>
      </c>
      <c r="O795">
        <v>18</v>
      </c>
      <c r="P795">
        <v>13443</v>
      </c>
      <c r="Q795">
        <v>0</v>
      </c>
      <c r="R795">
        <v>366677534239</v>
      </c>
      <c r="S795">
        <v>358482043.73000002</v>
      </c>
      <c r="T795">
        <v>360270324707.84003</v>
      </c>
      <c r="U795">
        <v>364325097277.87</v>
      </c>
      <c r="V795">
        <v>0.18094399999999999</v>
      </c>
      <c r="W795">
        <v>6.3338000000000005E-2</v>
      </c>
    </row>
    <row r="796" spans="1:23" x14ac:dyDescent="0.35">
      <c r="A796" t="s">
        <v>1</v>
      </c>
      <c r="B796">
        <v>5000</v>
      </c>
      <c r="C796">
        <v>20</v>
      </c>
      <c r="D796">
        <v>3399</v>
      </c>
      <c r="E796">
        <v>0</v>
      </c>
      <c r="F796">
        <v>131618920366</v>
      </c>
      <c r="G796">
        <v>176681355.47999999</v>
      </c>
      <c r="H796">
        <v>130140192567.10001</v>
      </c>
      <c r="I796">
        <v>131261698190.09</v>
      </c>
      <c r="J796">
        <v>0.11246</v>
      </c>
      <c r="K796">
        <v>1.6337000000000001E-2</v>
      </c>
      <c r="M796" t="s">
        <v>0</v>
      </c>
      <c r="N796">
        <v>7250</v>
      </c>
      <c r="O796">
        <v>18</v>
      </c>
      <c r="P796">
        <v>3615</v>
      </c>
      <c r="Q796">
        <v>0</v>
      </c>
      <c r="R796">
        <v>91081177992</v>
      </c>
      <c r="S796">
        <v>80960451.569999993</v>
      </c>
      <c r="T796">
        <v>88933719200.619995</v>
      </c>
      <c r="U796">
        <v>90313672424.729996</v>
      </c>
      <c r="V796">
        <v>0.240731</v>
      </c>
      <c r="W796">
        <v>8.6794999999999997E-2</v>
      </c>
    </row>
    <row r="797" spans="1:23" x14ac:dyDescent="0.35">
      <c r="A797" t="s">
        <v>1</v>
      </c>
      <c r="B797">
        <v>5000</v>
      </c>
      <c r="C797">
        <v>18</v>
      </c>
      <c r="D797">
        <v>8695</v>
      </c>
      <c r="E797">
        <v>0</v>
      </c>
      <c r="F797">
        <v>335974016686</v>
      </c>
      <c r="G797">
        <v>446848668.54000002</v>
      </c>
      <c r="H797">
        <v>332698618358.96997</v>
      </c>
      <c r="I797">
        <v>334933760089.82001</v>
      </c>
      <c r="J797">
        <v>9.6477999999999994E-2</v>
      </c>
      <c r="K797">
        <v>2.0990000000000002E-2</v>
      </c>
      <c r="M797" t="s">
        <v>2</v>
      </c>
      <c r="N797">
        <v>5000</v>
      </c>
      <c r="O797">
        <v>20</v>
      </c>
      <c r="P797">
        <v>80</v>
      </c>
      <c r="Q797">
        <v>0</v>
      </c>
      <c r="R797">
        <v>2101190389</v>
      </c>
      <c r="S797">
        <v>2820126.44</v>
      </c>
      <c r="T797">
        <v>2098370262.5599999</v>
      </c>
      <c r="U797">
        <v>2098370262.5599999</v>
      </c>
      <c r="V797">
        <v>0</v>
      </c>
      <c r="W797">
        <v>0</v>
      </c>
    </row>
    <row r="798" spans="1:23" x14ac:dyDescent="0.35">
      <c r="A798" t="s">
        <v>0</v>
      </c>
      <c r="B798">
        <v>5250</v>
      </c>
      <c r="C798">
        <v>18</v>
      </c>
      <c r="D798">
        <v>10142</v>
      </c>
      <c r="E798">
        <v>0</v>
      </c>
      <c r="F798">
        <v>358385428976</v>
      </c>
      <c r="G798">
        <v>456486660.26999998</v>
      </c>
      <c r="H798">
        <v>356060104799.67999</v>
      </c>
      <c r="I798">
        <v>357738874049.95001</v>
      </c>
      <c r="J798">
        <v>6.0810999999999997E-2</v>
      </c>
      <c r="K798">
        <v>6.3460000000000001E-3</v>
      </c>
      <c r="M798" t="s">
        <v>0</v>
      </c>
      <c r="N798">
        <v>5250</v>
      </c>
      <c r="O798">
        <v>18</v>
      </c>
      <c r="P798">
        <v>11119</v>
      </c>
      <c r="Q798">
        <v>0</v>
      </c>
      <c r="R798">
        <v>400055789863</v>
      </c>
      <c r="S798">
        <v>508699535.39999998</v>
      </c>
      <c r="T798">
        <v>397594290060.67999</v>
      </c>
      <c r="U798">
        <v>399143104017.15997</v>
      </c>
      <c r="V798">
        <v>5.7029000000000003E-2</v>
      </c>
      <c r="W798">
        <v>1.2050999999999999E-2</v>
      </c>
    </row>
    <row r="799" spans="1:23" x14ac:dyDescent="0.35">
      <c r="A799" t="s">
        <v>2</v>
      </c>
      <c r="B799">
        <v>5250</v>
      </c>
      <c r="C799">
        <v>20</v>
      </c>
      <c r="D799">
        <v>162</v>
      </c>
      <c r="E799">
        <v>0</v>
      </c>
      <c r="F799">
        <v>3895472111</v>
      </c>
      <c r="G799">
        <v>5002744.93</v>
      </c>
      <c r="H799">
        <v>3843227703.6300001</v>
      </c>
      <c r="I799">
        <v>3860709018.9499998</v>
      </c>
      <c r="J799">
        <v>0.13620299999999999</v>
      </c>
      <c r="K799">
        <v>8.7920999999999999E-2</v>
      </c>
      <c r="M799" t="s">
        <v>0</v>
      </c>
      <c r="N799">
        <v>5250</v>
      </c>
      <c r="O799">
        <v>20</v>
      </c>
      <c r="P799">
        <v>2338</v>
      </c>
      <c r="Q799">
        <v>0</v>
      </c>
      <c r="R799">
        <v>84311000642</v>
      </c>
      <c r="S799">
        <v>108410435.48999999</v>
      </c>
      <c r="T799">
        <v>83697796945.910004</v>
      </c>
      <c r="U799">
        <v>84088246444.729996</v>
      </c>
      <c r="V799">
        <v>6.9528000000000006E-2</v>
      </c>
      <c r="W799">
        <v>1.6154000000000002E-2</v>
      </c>
    </row>
    <row r="800" spans="1:23" x14ac:dyDescent="0.35">
      <c r="A800" t="s">
        <v>2</v>
      </c>
      <c r="B800">
        <v>5250</v>
      </c>
      <c r="C800">
        <v>18</v>
      </c>
      <c r="D800">
        <v>281</v>
      </c>
      <c r="E800">
        <v>0</v>
      </c>
      <c r="F800">
        <v>6589766759</v>
      </c>
      <c r="G800">
        <v>8396244.9800000004</v>
      </c>
      <c r="H800">
        <v>6560854265.1300001</v>
      </c>
      <c r="I800">
        <v>6561164382.4099998</v>
      </c>
      <c r="J800">
        <v>3.6727000000000003E-2</v>
      </c>
      <c r="K800">
        <v>3.6180999999999998E-2</v>
      </c>
      <c r="M800" t="s">
        <v>0</v>
      </c>
      <c r="N800">
        <v>5500</v>
      </c>
      <c r="O800">
        <v>18</v>
      </c>
      <c r="P800">
        <v>8572</v>
      </c>
      <c r="Q800">
        <v>0</v>
      </c>
      <c r="R800">
        <v>287289314584</v>
      </c>
      <c r="S800">
        <v>349298309.91000003</v>
      </c>
      <c r="T800">
        <v>285524181704.46002</v>
      </c>
      <c r="U800">
        <v>286570477747.82001</v>
      </c>
      <c r="V800">
        <v>5.7562000000000002E-2</v>
      </c>
      <c r="W800">
        <v>1.5327E-2</v>
      </c>
    </row>
    <row r="801" spans="1:23" x14ac:dyDescent="0.35">
      <c r="A801" t="s">
        <v>0</v>
      </c>
      <c r="B801">
        <v>5500</v>
      </c>
      <c r="C801">
        <v>18</v>
      </c>
      <c r="D801">
        <v>7133</v>
      </c>
      <c r="E801">
        <v>0</v>
      </c>
      <c r="F801">
        <v>232961565841</v>
      </c>
      <c r="G801">
        <v>283605306.33999997</v>
      </c>
      <c r="H801">
        <v>231236169356.85001</v>
      </c>
      <c r="I801">
        <v>232530257004.78</v>
      </c>
      <c r="J801">
        <v>7.1790999999999994E-2</v>
      </c>
      <c r="K801">
        <v>7.5820000000000002E-3</v>
      </c>
      <c r="M801" t="s">
        <v>1</v>
      </c>
      <c r="N801">
        <v>5500</v>
      </c>
      <c r="O801">
        <v>18</v>
      </c>
      <c r="P801">
        <v>9633</v>
      </c>
      <c r="Q801">
        <v>0</v>
      </c>
      <c r="R801">
        <v>384345880934</v>
      </c>
      <c r="S801">
        <v>468632322.11000001</v>
      </c>
      <c r="T801">
        <v>380338299718.84003</v>
      </c>
      <c r="U801">
        <v>383314493912.94</v>
      </c>
      <c r="V801">
        <v>0.10506500000000001</v>
      </c>
      <c r="W801">
        <v>1.7429E-2</v>
      </c>
    </row>
    <row r="802" spans="1:23" x14ac:dyDescent="0.35">
      <c r="A802" t="s">
        <v>0</v>
      </c>
      <c r="B802">
        <v>5750</v>
      </c>
      <c r="C802">
        <v>18</v>
      </c>
      <c r="D802">
        <v>28629</v>
      </c>
      <c r="E802">
        <v>0</v>
      </c>
      <c r="F802">
        <v>968194712038</v>
      </c>
      <c r="G802">
        <v>1130677851.26</v>
      </c>
      <c r="H802">
        <v>960079708833.80005</v>
      </c>
      <c r="I802">
        <v>965579567370.17004</v>
      </c>
      <c r="J802">
        <v>8.3211999999999994E-2</v>
      </c>
      <c r="K802">
        <v>1.8244E-2</v>
      </c>
      <c r="M802" t="s">
        <v>2</v>
      </c>
      <c r="N802">
        <v>5500</v>
      </c>
      <c r="O802">
        <v>18</v>
      </c>
      <c r="P802">
        <v>384</v>
      </c>
      <c r="Q802">
        <v>0</v>
      </c>
      <c r="R802">
        <v>8277411613</v>
      </c>
      <c r="S802">
        <v>10055881.029999999</v>
      </c>
      <c r="T802">
        <v>8250070806.71</v>
      </c>
      <c r="U802">
        <v>8267355731.9700003</v>
      </c>
      <c r="V802">
        <v>2.4773E-2</v>
      </c>
      <c r="W802">
        <v>0</v>
      </c>
    </row>
    <row r="803" spans="1:23" x14ac:dyDescent="0.35">
      <c r="A803" t="s">
        <v>2</v>
      </c>
      <c r="B803">
        <v>5750</v>
      </c>
      <c r="C803">
        <v>18</v>
      </c>
      <c r="D803">
        <v>1028</v>
      </c>
      <c r="E803">
        <v>0</v>
      </c>
      <c r="F803">
        <v>22032723252</v>
      </c>
      <c r="G803">
        <v>25800657.640000001</v>
      </c>
      <c r="H803">
        <v>21962772721.66</v>
      </c>
      <c r="I803">
        <v>21989200644.349998</v>
      </c>
      <c r="J803">
        <v>2.3782999999999999E-2</v>
      </c>
      <c r="K803">
        <v>9.6100000000000005E-3</v>
      </c>
      <c r="M803" t="s">
        <v>0</v>
      </c>
      <c r="N803">
        <v>5750</v>
      </c>
      <c r="O803">
        <v>18</v>
      </c>
      <c r="P803">
        <v>31913</v>
      </c>
      <c r="Q803">
        <v>0</v>
      </c>
      <c r="R803">
        <v>1106445566240</v>
      </c>
      <c r="S803">
        <v>1290677327.9100001</v>
      </c>
      <c r="T803">
        <v>1098201873608.46</v>
      </c>
      <c r="U803">
        <v>1103627416817.3799</v>
      </c>
      <c r="V803">
        <v>7.2857000000000005E-2</v>
      </c>
      <c r="W803">
        <v>1.6441000000000001E-2</v>
      </c>
    </row>
    <row r="804" spans="1:23" x14ac:dyDescent="0.35">
      <c r="A804" t="s">
        <v>0</v>
      </c>
      <c r="B804">
        <v>6000</v>
      </c>
      <c r="C804">
        <v>18</v>
      </c>
      <c r="D804">
        <v>10017</v>
      </c>
      <c r="E804">
        <v>0</v>
      </c>
      <c r="F804">
        <v>289933478321</v>
      </c>
      <c r="G804">
        <v>323508070.95999998</v>
      </c>
      <c r="H804">
        <v>287222123703.96997</v>
      </c>
      <c r="I804">
        <v>288941833737.03003</v>
      </c>
      <c r="J804">
        <v>9.4474000000000002E-2</v>
      </c>
      <c r="K804">
        <v>2.7306E-2</v>
      </c>
      <c r="M804" t="s">
        <v>2</v>
      </c>
      <c r="N804">
        <v>5750</v>
      </c>
      <c r="O804">
        <v>18</v>
      </c>
      <c r="P804">
        <v>1068</v>
      </c>
      <c r="Q804">
        <v>0</v>
      </c>
      <c r="R804">
        <v>23209083059</v>
      </c>
      <c r="S804">
        <v>27141976.809999999</v>
      </c>
      <c r="T804">
        <v>23094870858.41</v>
      </c>
      <c r="U804">
        <v>23181941082.189999</v>
      </c>
      <c r="V804">
        <v>4.4101000000000001E-2</v>
      </c>
      <c r="W804">
        <v>0</v>
      </c>
    </row>
    <row r="805" spans="1:23" x14ac:dyDescent="0.35">
      <c r="A805" t="s">
        <v>0</v>
      </c>
      <c r="B805">
        <v>6250</v>
      </c>
      <c r="C805">
        <v>18</v>
      </c>
      <c r="D805">
        <v>25051</v>
      </c>
      <c r="E805">
        <v>0</v>
      </c>
      <c r="F805">
        <v>770138725583</v>
      </c>
      <c r="G805">
        <v>822143323</v>
      </c>
      <c r="H805">
        <v>761811255970.91003</v>
      </c>
      <c r="I805">
        <v>767124001757.05005</v>
      </c>
      <c r="J805">
        <v>0.110876</v>
      </c>
      <c r="K805">
        <v>3.3633999999999997E-2</v>
      </c>
      <c r="M805" t="s">
        <v>2</v>
      </c>
      <c r="N805">
        <v>6000</v>
      </c>
      <c r="O805">
        <v>18</v>
      </c>
      <c r="P805">
        <v>697</v>
      </c>
      <c r="Q805">
        <v>0</v>
      </c>
      <c r="R805">
        <v>13559699602</v>
      </c>
      <c r="S805">
        <v>15106989.65</v>
      </c>
      <c r="T805">
        <v>13380973418.690001</v>
      </c>
      <c r="U805">
        <v>13505870065.959999</v>
      </c>
      <c r="V805">
        <v>0.13556499999999999</v>
      </c>
      <c r="W805">
        <v>3.3735000000000001E-2</v>
      </c>
    </row>
    <row r="806" spans="1:23" x14ac:dyDescent="0.35">
      <c r="A806" t="s">
        <v>0</v>
      </c>
      <c r="B806">
        <v>7000</v>
      </c>
      <c r="C806">
        <v>18</v>
      </c>
      <c r="D806">
        <v>3442</v>
      </c>
      <c r="E806">
        <v>0</v>
      </c>
      <c r="F806">
        <v>90214773151</v>
      </c>
      <c r="G806">
        <v>83922873.890000001</v>
      </c>
      <c r="H806">
        <v>88564145569.839996</v>
      </c>
      <c r="I806">
        <v>89615234714.710007</v>
      </c>
      <c r="J806">
        <v>0.18959999999999999</v>
      </c>
      <c r="K806">
        <v>6.6470000000000001E-2</v>
      </c>
      <c r="M806" t="s">
        <v>0</v>
      </c>
      <c r="N806">
        <v>6000</v>
      </c>
      <c r="O806">
        <v>18</v>
      </c>
      <c r="P806">
        <v>9037</v>
      </c>
      <c r="Q806">
        <v>0</v>
      </c>
      <c r="R806">
        <v>261353642442</v>
      </c>
      <c r="S806">
        <v>291383635.70999998</v>
      </c>
      <c r="T806">
        <v>258923545679.39999</v>
      </c>
      <c r="U806">
        <v>260724333880.79001</v>
      </c>
      <c r="V806">
        <v>9.3896999999999994E-2</v>
      </c>
      <c r="W806">
        <v>1.5406E-2</v>
      </c>
    </row>
    <row r="807" spans="1:23" x14ac:dyDescent="0.35">
      <c r="A807" t="s">
        <v>0</v>
      </c>
      <c r="B807">
        <v>7250</v>
      </c>
      <c r="C807">
        <v>18</v>
      </c>
      <c r="D807">
        <v>3532</v>
      </c>
      <c r="E807">
        <v>0</v>
      </c>
      <c r="F807">
        <v>91465501951</v>
      </c>
      <c r="G807">
        <v>81287737.920000002</v>
      </c>
      <c r="H807">
        <v>89382175864.149994</v>
      </c>
      <c r="I807">
        <v>90768134407.179993</v>
      </c>
      <c r="J807">
        <v>0.233238</v>
      </c>
      <c r="K807">
        <v>7.7899999999999997E-2</v>
      </c>
      <c r="M807" t="s">
        <v>1</v>
      </c>
      <c r="N807">
        <v>6250</v>
      </c>
      <c r="O807">
        <v>18</v>
      </c>
      <c r="P807">
        <v>9566</v>
      </c>
      <c r="Q807">
        <v>0</v>
      </c>
      <c r="R807">
        <v>320027676549</v>
      </c>
      <c r="S807">
        <v>342174232.37</v>
      </c>
      <c r="T807">
        <v>311239187245.13</v>
      </c>
      <c r="U807">
        <v>318189020526.84003</v>
      </c>
      <c r="V807">
        <v>0.27455000000000002</v>
      </c>
      <c r="W807">
        <v>5.4691999999999998E-2</v>
      </c>
    </row>
    <row r="808" spans="1:23" x14ac:dyDescent="0.35">
      <c r="A808" t="s">
        <v>0</v>
      </c>
      <c r="B808">
        <v>6750</v>
      </c>
      <c r="C808">
        <v>18</v>
      </c>
      <c r="D808">
        <v>13958</v>
      </c>
      <c r="E808">
        <v>0</v>
      </c>
      <c r="F808">
        <v>379101680526</v>
      </c>
      <c r="G808">
        <v>370321925</v>
      </c>
      <c r="H808">
        <v>371956681314.72998</v>
      </c>
      <c r="I808">
        <v>376764171879.59998</v>
      </c>
      <c r="J808">
        <v>0.194574</v>
      </c>
      <c r="K808">
        <v>6.0521999999999999E-2</v>
      </c>
      <c r="M808" t="s">
        <v>0</v>
      </c>
      <c r="N808">
        <v>6250</v>
      </c>
      <c r="O808">
        <v>18</v>
      </c>
      <c r="P808">
        <v>24458</v>
      </c>
      <c r="Q808">
        <v>0</v>
      </c>
      <c r="R808">
        <v>739245992442</v>
      </c>
      <c r="S808">
        <v>789803598.02999997</v>
      </c>
      <c r="T808">
        <v>729370535743.85999</v>
      </c>
      <c r="U808">
        <v>736632419710.34998</v>
      </c>
      <c r="V808">
        <v>0.13791300000000001</v>
      </c>
      <c r="W808">
        <v>2.9205999999999999E-2</v>
      </c>
    </row>
    <row r="809" spans="1:23" x14ac:dyDescent="0.35">
      <c r="A809" t="s">
        <v>2</v>
      </c>
      <c r="B809">
        <v>5000</v>
      </c>
      <c r="C809">
        <v>18</v>
      </c>
      <c r="D809">
        <v>155</v>
      </c>
      <c r="E809">
        <v>0</v>
      </c>
      <c r="F809">
        <v>3731062620</v>
      </c>
      <c r="G809">
        <v>4956510.79</v>
      </c>
      <c r="H809">
        <v>3726106109.21</v>
      </c>
      <c r="I809">
        <v>3726106109.21</v>
      </c>
      <c r="J809">
        <v>0</v>
      </c>
      <c r="K809">
        <v>0</v>
      </c>
      <c r="M809" t="s">
        <v>1</v>
      </c>
      <c r="N809">
        <v>6250</v>
      </c>
      <c r="O809">
        <v>20</v>
      </c>
      <c r="P809">
        <v>14398</v>
      </c>
      <c r="Q809">
        <v>0</v>
      </c>
      <c r="R809">
        <v>538115559334</v>
      </c>
      <c r="S809">
        <v>581296079.89999998</v>
      </c>
      <c r="T809">
        <v>522516682699.71997</v>
      </c>
      <c r="U809">
        <v>536091456544.12</v>
      </c>
      <c r="V809">
        <v>0.28798400000000002</v>
      </c>
      <c r="W809">
        <v>3.1704000000000003E-2</v>
      </c>
    </row>
    <row r="810" spans="1:23" x14ac:dyDescent="0.35">
      <c r="A810" t="s">
        <v>1</v>
      </c>
      <c r="B810">
        <v>5250</v>
      </c>
      <c r="C810">
        <v>18</v>
      </c>
      <c r="D810">
        <v>14752</v>
      </c>
      <c r="E810">
        <v>0</v>
      </c>
      <c r="F810">
        <v>602323548362</v>
      </c>
      <c r="G810">
        <v>767516287.36000001</v>
      </c>
      <c r="H810">
        <v>594793016839.64001</v>
      </c>
      <c r="I810">
        <v>600574510990.77002</v>
      </c>
      <c r="J810">
        <v>0.126721</v>
      </c>
      <c r="K810">
        <v>1.9380000000000001E-2</v>
      </c>
      <c r="M810" t="s">
        <v>1</v>
      </c>
      <c r="N810">
        <v>4750</v>
      </c>
      <c r="O810">
        <v>18</v>
      </c>
      <c r="P810">
        <v>2606</v>
      </c>
      <c r="Q810">
        <v>0</v>
      </c>
      <c r="R810">
        <v>113785382181</v>
      </c>
      <c r="S810">
        <v>157295379.91</v>
      </c>
      <c r="T810">
        <v>112642549645</v>
      </c>
      <c r="U810">
        <v>113463063083.35001</v>
      </c>
      <c r="V810">
        <v>9.9125000000000005E-2</v>
      </c>
      <c r="W810">
        <v>1.7266E-2</v>
      </c>
    </row>
    <row r="811" spans="1:23" x14ac:dyDescent="0.35">
      <c r="A811" t="s">
        <v>2</v>
      </c>
      <c r="B811">
        <v>5500</v>
      </c>
      <c r="C811">
        <v>18</v>
      </c>
      <c r="D811">
        <v>372</v>
      </c>
      <c r="E811">
        <v>0</v>
      </c>
      <c r="F811">
        <v>7912441522</v>
      </c>
      <c r="G811">
        <v>9632340.4299999997</v>
      </c>
      <c r="H811">
        <v>7902809181.5699997</v>
      </c>
      <c r="I811">
        <v>7902809181.5699997</v>
      </c>
      <c r="J811">
        <v>0</v>
      </c>
      <c r="K811">
        <v>0</v>
      </c>
      <c r="M811" t="s">
        <v>0</v>
      </c>
      <c r="N811">
        <v>4750</v>
      </c>
      <c r="O811">
        <v>18</v>
      </c>
      <c r="P811">
        <v>2356</v>
      </c>
      <c r="Q811">
        <v>0</v>
      </c>
      <c r="R811">
        <v>83086376988</v>
      </c>
      <c r="S811">
        <v>115137091.17</v>
      </c>
      <c r="T811">
        <v>82921026755.169998</v>
      </c>
      <c r="U811">
        <v>82971239896.830002</v>
      </c>
      <c r="V811">
        <v>7.228E-3</v>
      </c>
      <c r="W811">
        <v>0</v>
      </c>
    </row>
    <row r="812" spans="1:23" x14ac:dyDescent="0.35">
      <c r="A812" t="s">
        <v>1</v>
      </c>
      <c r="B812">
        <v>6000</v>
      </c>
      <c r="C812">
        <v>18</v>
      </c>
      <c r="D812">
        <v>4538</v>
      </c>
      <c r="E812">
        <v>0</v>
      </c>
      <c r="F812">
        <v>159209549483</v>
      </c>
      <c r="G812">
        <v>177566332.47999999</v>
      </c>
      <c r="H812">
        <v>156829590632.85001</v>
      </c>
      <c r="I812">
        <v>158732036200.89001</v>
      </c>
      <c r="J812">
        <v>0.15393399999999999</v>
      </c>
      <c r="K812">
        <v>2.2374999999999999E-2</v>
      </c>
      <c r="M812" t="s">
        <v>0</v>
      </c>
      <c r="N812">
        <v>5000</v>
      </c>
      <c r="O812">
        <v>18</v>
      </c>
      <c r="P812">
        <v>6974</v>
      </c>
      <c r="Q812">
        <v>0</v>
      </c>
      <c r="R812">
        <v>242205858268</v>
      </c>
      <c r="S812">
        <v>322008731.25999999</v>
      </c>
      <c r="T812">
        <v>241090856954.09</v>
      </c>
      <c r="U812">
        <v>241675994707.01999</v>
      </c>
      <c r="V812">
        <v>3.8588999999999998E-2</v>
      </c>
      <c r="W812">
        <v>1.025E-2</v>
      </c>
    </row>
    <row r="813" spans="1:23" x14ac:dyDescent="0.35">
      <c r="A813" t="s">
        <v>2</v>
      </c>
      <c r="B813">
        <v>6000</v>
      </c>
      <c r="C813">
        <v>18</v>
      </c>
      <c r="D813">
        <v>811</v>
      </c>
      <c r="E813">
        <v>0</v>
      </c>
      <c r="F813">
        <v>16172545365</v>
      </c>
      <c r="G813">
        <v>18026123.260000002</v>
      </c>
      <c r="H813">
        <v>16021823333.15</v>
      </c>
      <c r="I813">
        <v>16138286201.629999</v>
      </c>
      <c r="J813">
        <v>9.4135999999999997E-2</v>
      </c>
      <c r="K813">
        <v>1.1979E-2</v>
      </c>
      <c r="M813" t="s">
        <v>1</v>
      </c>
      <c r="N813">
        <v>5000</v>
      </c>
      <c r="O813">
        <v>18</v>
      </c>
      <c r="P813">
        <v>8217</v>
      </c>
      <c r="Q813">
        <v>0</v>
      </c>
      <c r="R813">
        <v>320913421379</v>
      </c>
      <c r="S813">
        <v>425941096.60000002</v>
      </c>
      <c r="T813">
        <v>318337082303.69</v>
      </c>
      <c r="U813">
        <v>320093521739.65002</v>
      </c>
      <c r="V813">
        <v>7.7511999999999998E-2</v>
      </c>
      <c r="W813">
        <v>1.4631999999999999E-2</v>
      </c>
    </row>
    <row r="814" spans="1:23" x14ac:dyDescent="0.35">
      <c r="A814" t="s">
        <v>0</v>
      </c>
      <c r="B814">
        <v>6000</v>
      </c>
      <c r="C814">
        <v>16</v>
      </c>
      <c r="D814">
        <v>9541</v>
      </c>
      <c r="E814">
        <v>0</v>
      </c>
      <c r="F814">
        <v>299507198211</v>
      </c>
      <c r="G814">
        <v>330123677.19</v>
      </c>
      <c r="H814">
        <v>296729079859.41998</v>
      </c>
      <c r="I814">
        <v>298786366093.46997</v>
      </c>
      <c r="J814">
        <v>9.3789999999999998E-2</v>
      </c>
      <c r="K814">
        <v>1.5542E-2</v>
      </c>
      <c r="M814" t="s">
        <v>1</v>
      </c>
      <c r="N814">
        <v>5250</v>
      </c>
      <c r="O814">
        <v>18</v>
      </c>
      <c r="P814">
        <v>16721</v>
      </c>
      <c r="Q814">
        <v>0</v>
      </c>
      <c r="R814">
        <v>697546795042</v>
      </c>
      <c r="S814">
        <v>887071604.16999996</v>
      </c>
      <c r="T814">
        <v>688674732420.89001</v>
      </c>
      <c r="U814">
        <v>695551179956.77002</v>
      </c>
      <c r="V814">
        <v>0.12903999999999999</v>
      </c>
      <c r="W814">
        <v>1.8905000000000002E-2</v>
      </c>
    </row>
    <row r="815" spans="1:23" x14ac:dyDescent="0.35">
      <c r="A815" t="s">
        <v>1</v>
      </c>
      <c r="B815">
        <v>6750</v>
      </c>
      <c r="C815">
        <v>18</v>
      </c>
      <c r="D815">
        <v>3196</v>
      </c>
      <c r="E815">
        <v>0</v>
      </c>
      <c r="F815">
        <v>94300534561</v>
      </c>
      <c r="G815">
        <v>92270705.799999997</v>
      </c>
      <c r="H815">
        <v>91345248733</v>
      </c>
      <c r="I815">
        <v>93266987604.369995</v>
      </c>
      <c r="J815">
        <v>0.30924600000000002</v>
      </c>
      <c r="K815">
        <v>0.113418</v>
      </c>
      <c r="M815" t="s">
        <v>2</v>
      </c>
      <c r="N815">
        <v>5250</v>
      </c>
      <c r="O815">
        <v>18</v>
      </c>
      <c r="P815">
        <v>323</v>
      </c>
      <c r="Q815">
        <v>0</v>
      </c>
      <c r="R815">
        <v>7639195745</v>
      </c>
      <c r="S815">
        <v>9719527.5600000005</v>
      </c>
      <c r="T815">
        <v>7584516710.9300003</v>
      </c>
      <c r="U815">
        <v>7629476217.4399996</v>
      </c>
      <c r="V815">
        <v>6.8382999999999999E-2</v>
      </c>
      <c r="W815">
        <v>0</v>
      </c>
    </row>
    <row r="816" spans="1:23" x14ac:dyDescent="0.35">
      <c r="A816" t="s">
        <v>0</v>
      </c>
      <c r="B816">
        <v>6750</v>
      </c>
      <c r="C816">
        <v>16</v>
      </c>
      <c r="D816">
        <v>18857</v>
      </c>
      <c r="E816">
        <v>0</v>
      </c>
      <c r="F816">
        <v>530652596394</v>
      </c>
      <c r="G816">
        <v>511572916.72000003</v>
      </c>
      <c r="H816">
        <v>521926746738.81</v>
      </c>
      <c r="I816">
        <v>528183798054.67999</v>
      </c>
      <c r="J816">
        <v>0.17072799999999999</v>
      </c>
      <c r="K816">
        <v>4.3373000000000002E-2</v>
      </c>
      <c r="M816" t="s">
        <v>1</v>
      </c>
      <c r="N816">
        <v>5750</v>
      </c>
      <c r="O816">
        <v>18</v>
      </c>
      <c r="P816">
        <v>25369</v>
      </c>
      <c r="Q816">
        <v>0</v>
      </c>
      <c r="R816">
        <v>995651920222</v>
      </c>
      <c r="S816">
        <v>1163617332.9200001</v>
      </c>
      <c r="T816">
        <v>981194216044.64001</v>
      </c>
      <c r="U816">
        <v>992854508265.26001</v>
      </c>
      <c r="V816">
        <v>0.14896799999999999</v>
      </c>
      <c r="W816">
        <v>1.9514E-2</v>
      </c>
    </row>
    <row r="817" spans="1:23" x14ac:dyDescent="0.35">
      <c r="A817" t="s">
        <v>1</v>
      </c>
      <c r="B817">
        <v>7000</v>
      </c>
      <c r="C817">
        <v>18</v>
      </c>
      <c r="D817">
        <v>444</v>
      </c>
      <c r="E817">
        <v>0</v>
      </c>
      <c r="F817">
        <v>12796966055</v>
      </c>
      <c r="G817">
        <v>11935712.9</v>
      </c>
      <c r="H817">
        <v>12425568405.68</v>
      </c>
      <c r="I817">
        <v>12756442627.219999</v>
      </c>
      <c r="J817">
        <v>0.28958099999999998</v>
      </c>
      <c r="K817">
        <v>2.648E-2</v>
      </c>
      <c r="M817" t="s">
        <v>1</v>
      </c>
      <c r="N817">
        <v>6000</v>
      </c>
      <c r="O817">
        <v>18</v>
      </c>
      <c r="P817">
        <v>4823</v>
      </c>
      <c r="Q817">
        <v>0</v>
      </c>
      <c r="R817">
        <v>160628659229</v>
      </c>
      <c r="S817">
        <v>179160005.13999999</v>
      </c>
      <c r="T817">
        <v>157186339734.73001</v>
      </c>
      <c r="U817">
        <v>159773866506.59</v>
      </c>
      <c r="V817">
        <v>0.218304</v>
      </c>
      <c r="W817">
        <v>4.9322999999999999E-2</v>
      </c>
    </row>
    <row r="818" spans="1:23" x14ac:dyDescent="0.35">
      <c r="A818" t="s">
        <v>1</v>
      </c>
      <c r="B818">
        <v>7000</v>
      </c>
      <c r="C818">
        <v>16</v>
      </c>
      <c r="D818">
        <v>718</v>
      </c>
      <c r="E818">
        <v>0</v>
      </c>
      <c r="F818">
        <v>18826166549</v>
      </c>
      <c r="G818">
        <v>17366954.559999999</v>
      </c>
      <c r="H818">
        <v>18303179853.630001</v>
      </c>
      <c r="I818">
        <v>18667792234.849998</v>
      </c>
      <c r="J818">
        <v>0.278696</v>
      </c>
      <c r="K818">
        <v>8.6267999999999997E-2</v>
      </c>
      <c r="M818" t="s">
        <v>0</v>
      </c>
      <c r="N818">
        <v>6500</v>
      </c>
      <c r="O818">
        <v>16</v>
      </c>
      <c r="P818">
        <v>8859</v>
      </c>
      <c r="Q818">
        <v>0</v>
      </c>
      <c r="R818">
        <v>240169127059</v>
      </c>
      <c r="S818">
        <v>241305739.93000001</v>
      </c>
      <c r="T818">
        <v>236298879103.45001</v>
      </c>
      <c r="U818">
        <v>239424657976.62</v>
      </c>
      <c r="V818">
        <v>0.16698499999999999</v>
      </c>
      <c r="W818">
        <v>2.4853E-2</v>
      </c>
    </row>
    <row r="819" spans="1:23" x14ac:dyDescent="0.35">
      <c r="A819" t="s">
        <v>2</v>
      </c>
      <c r="B819">
        <v>4500</v>
      </c>
      <c r="C819">
        <v>20</v>
      </c>
      <c r="D819">
        <v>66</v>
      </c>
      <c r="E819">
        <v>0</v>
      </c>
      <c r="F819">
        <v>1652856295</v>
      </c>
      <c r="G819">
        <v>2413694.69</v>
      </c>
      <c r="H819">
        <v>1650442600.3099999</v>
      </c>
      <c r="I819">
        <v>1650442600.3099999</v>
      </c>
      <c r="J819">
        <v>0</v>
      </c>
      <c r="K819">
        <v>0</v>
      </c>
      <c r="M819" t="s">
        <v>0</v>
      </c>
      <c r="N819">
        <v>6750</v>
      </c>
      <c r="O819">
        <v>16</v>
      </c>
      <c r="P819">
        <v>18487</v>
      </c>
      <c r="Q819">
        <v>0</v>
      </c>
      <c r="R819">
        <v>515186378039</v>
      </c>
      <c r="S819">
        <v>496528109.88999999</v>
      </c>
      <c r="T819">
        <v>504468060640.42999</v>
      </c>
      <c r="U819">
        <v>513075661534.53003</v>
      </c>
      <c r="V819">
        <v>0.213754</v>
      </c>
      <c r="W819">
        <v>3.6956999999999997E-2</v>
      </c>
    </row>
    <row r="820" spans="1:23" x14ac:dyDescent="0.35">
      <c r="A820" t="s">
        <v>0</v>
      </c>
      <c r="B820">
        <v>4500</v>
      </c>
      <c r="C820">
        <v>20</v>
      </c>
      <c r="D820">
        <v>1745</v>
      </c>
      <c r="E820">
        <v>0</v>
      </c>
      <c r="F820">
        <v>56770441435</v>
      </c>
      <c r="G820">
        <v>82823045.920000002</v>
      </c>
      <c r="H820">
        <v>56580874957.410004</v>
      </c>
      <c r="I820">
        <v>56687618389.080002</v>
      </c>
      <c r="J820">
        <v>2.2331E-2</v>
      </c>
      <c r="K820">
        <v>0</v>
      </c>
      <c r="M820" t="s">
        <v>0</v>
      </c>
      <c r="N820">
        <v>7000</v>
      </c>
      <c r="O820">
        <v>16</v>
      </c>
      <c r="P820">
        <v>4710</v>
      </c>
      <c r="Q820">
        <v>0</v>
      </c>
      <c r="R820">
        <v>123476624213</v>
      </c>
      <c r="S820">
        <v>113291767.92</v>
      </c>
      <c r="T820">
        <v>121090635532.49001</v>
      </c>
      <c r="U820">
        <v>122517578872.00999</v>
      </c>
      <c r="V820">
        <v>0.19982800000000001</v>
      </c>
      <c r="W820">
        <v>7.9167000000000001E-2</v>
      </c>
    </row>
    <row r="821" spans="1:23" x14ac:dyDescent="0.35">
      <c r="A821" t="s">
        <v>0</v>
      </c>
      <c r="B821">
        <v>5500</v>
      </c>
      <c r="C821">
        <v>16</v>
      </c>
      <c r="D821">
        <v>3488</v>
      </c>
      <c r="E821">
        <v>0</v>
      </c>
      <c r="F821">
        <v>115181732573</v>
      </c>
      <c r="G821">
        <v>138858462.37</v>
      </c>
      <c r="H821">
        <v>114285202910.85001</v>
      </c>
      <c r="I821">
        <v>114876912431.92</v>
      </c>
      <c r="J821">
        <v>7.6142000000000001E-2</v>
      </c>
      <c r="K821">
        <v>1.7153999999999999E-2</v>
      </c>
      <c r="M821" t="s">
        <v>1</v>
      </c>
      <c r="N821">
        <v>5000</v>
      </c>
      <c r="O821">
        <v>16</v>
      </c>
      <c r="P821">
        <v>4236</v>
      </c>
      <c r="Q821">
        <v>0</v>
      </c>
      <c r="R821">
        <v>162232843934</v>
      </c>
      <c r="S821">
        <v>213319131.68000001</v>
      </c>
      <c r="T821">
        <v>160729581148.20999</v>
      </c>
      <c r="U821">
        <v>161831872362.10001</v>
      </c>
      <c r="V821">
        <v>9.1350000000000001E-2</v>
      </c>
      <c r="W821">
        <v>1.3792E-2</v>
      </c>
    </row>
    <row r="822" spans="1:23" x14ac:dyDescent="0.35">
      <c r="A822" t="s">
        <v>2</v>
      </c>
      <c r="B822">
        <v>5500</v>
      </c>
      <c r="C822">
        <v>16</v>
      </c>
      <c r="D822">
        <v>144</v>
      </c>
      <c r="E822">
        <v>0</v>
      </c>
      <c r="F822">
        <v>3237794035</v>
      </c>
      <c r="G822">
        <v>3891389.81</v>
      </c>
      <c r="H822">
        <v>3233902645.1900001</v>
      </c>
      <c r="I822">
        <v>3233902645.1900001</v>
      </c>
      <c r="J822">
        <v>0</v>
      </c>
      <c r="K822">
        <v>0</v>
      </c>
      <c r="M822" t="s">
        <v>2</v>
      </c>
      <c r="N822">
        <v>5000</v>
      </c>
      <c r="O822">
        <v>18</v>
      </c>
      <c r="P822">
        <v>171</v>
      </c>
      <c r="Q822">
        <v>0</v>
      </c>
      <c r="R822">
        <v>4145948791</v>
      </c>
      <c r="S822">
        <v>5510906.6600000001</v>
      </c>
      <c r="T822">
        <v>4140437884.3400002</v>
      </c>
      <c r="U822">
        <v>4140437884.3400002</v>
      </c>
      <c r="V822">
        <v>0</v>
      </c>
      <c r="W822">
        <v>0</v>
      </c>
    </row>
    <row r="823" spans="1:23" x14ac:dyDescent="0.35">
      <c r="A823" t="s">
        <v>1</v>
      </c>
      <c r="B823">
        <v>4500</v>
      </c>
      <c r="C823">
        <v>16</v>
      </c>
      <c r="D823">
        <v>811</v>
      </c>
      <c r="E823">
        <v>0</v>
      </c>
      <c r="F823">
        <v>27454987477</v>
      </c>
      <c r="G823">
        <v>39286241.659999996</v>
      </c>
      <c r="H823">
        <v>27327903579.759998</v>
      </c>
      <c r="I823">
        <v>27394376584.209999</v>
      </c>
      <c r="J823">
        <v>3.7706999999999997E-2</v>
      </c>
      <c r="K823">
        <v>9.2809999999999993E-3</v>
      </c>
      <c r="M823" t="s">
        <v>2</v>
      </c>
      <c r="N823">
        <v>5250</v>
      </c>
      <c r="O823">
        <v>16</v>
      </c>
      <c r="P823">
        <v>127</v>
      </c>
      <c r="Q823">
        <v>0</v>
      </c>
      <c r="R823">
        <v>2929202371</v>
      </c>
      <c r="S823">
        <v>3684290.46</v>
      </c>
      <c r="T823">
        <v>2925518080.54</v>
      </c>
      <c r="U823">
        <v>2925518080.54</v>
      </c>
      <c r="V823">
        <v>0</v>
      </c>
      <c r="W823">
        <v>0</v>
      </c>
    </row>
    <row r="824" spans="1:23" x14ac:dyDescent="0.35">
      <c r="A824" t="s">
        <v>2</v>
      </c>
      <c r="B824">
        <v>4500</v>
      </c>
      <c r="C824">
        <v>16</v>
      </c>
      <c r="D824">
        <v>84</v>
      </c>
      <c r="E824">
        <v>0</v>
      </c>
      <c r="F824">
        <v>2216713349</v>
      </c>
      <c r="G824">
        <v>3167530.21</v>
      </c>
      <c r="H824">
        <v>2183465713.6100001</v>
      </c>
      <c r="I824">
        <v>2213545818.79</v>
      </c>
      <c r="J824">
        <v>0.15121699999999999</v>
      </c>
      <c r="K824">
        <v>0</v>
      </c>
      <c r="M824" t="s">
        <v>0</v>
      </c>
      <c r="N824">
        <v>5250</v>
      </c>
      <c r="O824">
        <v>16</v>
      </c>
      <c r="P824">
        <v>4443</v>
      </c>
      <c r="Q824">
        <v>0</v>
      </c>
      <c r="R824">
        <v>151542216651</v>
      </c>
      <c r="S824">
        <v>190799816.50999999</v>
      </c>
      <c r="T824">
        <v>150708859109.39001</v>
      </c>
      <c r="U824">
        <v>151253458373.45001</v>
      </c>
      <c r="V824">
        <v>4.9711999999999999E-2</v>
      </c>
      <c r="W824">
        <v>7.7289999999999998E-3</v>
      </c>
    </row>
    <row r="825" spans="1:23" x14ac:dyDescent="0.35">
      <c r="A825" t="s">
        <v>0</v>
      </c>
      <c r="B825">
        <v>4500</v>
      </c>
      <c r="C825">
        <v>16</v>
      </c>
      <c r="D825">
        <v>1978</v>
      </c>
      <c r="E825">
        <v>0</v>
      </c>
      <c r="F825">
        <v>63755305306</v>
      </c>
      <c r="G825">
        <v>91198102.239999995</v>
      </c>
      <c r="H825">
        <v>63573869558.580002</v>
      </c>
      <c r="I825">
        <v>63637876192.099998</v>
      </c>
      <c r="J825">
        <v>1.6853E-2</v>
      </c>
      <c r="K825">
        <v>4.9259999999999998E-3</v>
      </c>
      <c r="M825" t="s">
        <v>1</v>
      </c>
      <c r="N825">
        <v>5250</v>
      </c>
      <c r="O825">
        <v>16</v>
      </c>
      <c r="P825">
        <v>5568</v>
      </c>
      <c r="Q825">
        <v>0</v>
      </c>
      <c r="R825">
        <v>217387238406</v>
      </c>
      <c r="S825">
        <v>273855658.19999999</v>
      </c>
      <c r="T825">
        <v>214894990571.41</v>
      </c>
      <c r="U825">
        <v>216613867674.20999</v>
      </c>
      <c r="V825">
        <v>0.115813</v>
      </c>
      <c r="W825">
        <v>2.7227999999999999E-2</v>
      </c>
    </row>
    <row r="826" spans="1:23" x14ac:dyDescent="0.35">
      <c r="A826" t="s">
        <v>0</v>
      </c>
      <c r="B826">
        <v>5000</v>
      </c>
      <c r="C826">
        <v>10</v>
      </c>
      <c r="D826">
        <v>2737</v>
      </c>
      <c r="E826">
        <v>0</v>
      </c>
      <c r="F826">
        <v>97857723023</v>
      </c>
      <c r="G826">
        <v>124875467.77</v>
      </c>
      <c r="H826">
        <v>97634595098.850006</v>
      </c>
      <c r="I826">
        <v>97697326305.350006</v>
      </c>
      <c r="J826">
        <v>1.1982E-2</v>
      </c>
      <c r="K826">
        <v>4.3470000000000002E-3</v>
      </c>
      <c r="M826" t="s">
        <v>0</v>
      </c>
      <c r="N826">
        <v>5500</v>
      </c>
      <c r="O826">
        <v>16</v>
      </c>
      <c r="P826">
        <v>4794</v>
      </c>
      <c r="Q826">
        <v>0</v>
      </c>
      <c r="R826">
        <v>157491692531</v>
      </c>
      <c r="S826">
        <v>189618570.59999999</v>
      </c>
      <c r="T826">
        <v>156451835482.32001</v>
      </c>
      <c r="U826">
        <v>157221938586.04001</v>
      </c>
      <c r="V826">
        <v>6.2894000000000005E-2</v>
      </c>
      <c r="W826">
        <v>6.0889999999999998E-3</v>
      </c>
    </row>
    <row r="827" spans="1:23" x14ac:dyDescent="0.35">
      <c r="A827" t="s">
        <v>2</v>
      </c>
      <c r="B827">
        <v>5000</v>
      </c>
      <c r="C827">
        <v>10</v>
      </c>
      <c r="D827">
        <v>52</v>
      </c>
      <c r="E827">
        <v>0</v>
      </c>
      <c r="F827">
        <v>1460949459</v>
      </c>
      <c r="G827">
        <v>1861459.2</v>
      </c>
      <c r="H827">
        <v>1459087999.8</v>
      </c>
      <c r="I827">
        <v>1459087999.8</v>
      </c>
      <c r="J827">
        <v>0</v>
      </c>
      <c r="K827">
        <v>0</v>
      </c>
      <c r="M827" t="s">
        <v>2</v>
      </c>
      <c r="N827">
        <v>6750</v>
      </c>
      <c r="O827">
        <v>20</v>
      </c>
      <c r="P827">
        <v>1240</v>
      </c>
      <c r="Q827">
        <v>0</v>
      </c>
      <c r="R827">
        <v>22823209643</v>
      </c>
      <c r="S827">
        <v>22613597.920000002</v>
      </c>
      <c r="T827">
        <v>22684624866.57</v>
      </c>
      <c r="U827">
        <v>22790325728.209999</v>
      </c>
      <c r="V827">
        <v>5.9299999999999999E-2</v>
      </c>
      <c r="W827">
        <v>5.3870000000000003E-3</v>
      </c>
    </row>
    <row r="828" spans="1:23" x14ac:dyDescent="0.35">
      <c r="A828" t="s">
        <v>1</v>
      </c>
      <c r="B828">
        <v>5000</v>
      </c>
      <c r="C828">
        <v>10</v>
      </c>
      <c r="D828">
        <v>1152</v>
      </c>
      <c r="E828">
        <v>0</v>
      </c>
      <c r="F828">
        <v>44838904288</v>
      </c>
      <c r="G828">
        <v>57177955.280000001</v>
      </c>
      <c r="H828">
        <v>44692475966.910004</v>
      </c>
      <c r="I828">
        <v>44739273238.970001</v>
      </c>
      <c r="J828">
        <v>2.3626000000000001E-2</v>
      </c>
      <c r="K828">
        <v>1.1303000000000001E-2</v>
      </c>
      <c r="M828" t="s">
        <v>0</v>
      </c>
      <c r="N828">
        <v>6000</v>
      </c>
      <c r="O828">
        <v>16</v>
      </c>
      <c r="P828">
        <v>10703</v>
      </c>
      <c r="Q828">
        <v>0</v>
      </c>
      <c r="R828">
        <v>326320046483</v>
      </c>
      <c r="S828">
        <v>359516456.07999998</v>
      </c>
      <c r="T828">
        <v>322949876252.41998</v>
      </c>
      <c r="U828">
        <v>325676171321.5</v>
      </c>
      <c r="V828">
        <v>0.105264</v>
      </c>
      <c r="W828">
        <v>1.0407E-2</v>
      </c>
    </row>
    <row r="829" spans="1:23" x14ac:dyDescent="0.35">
      <c r="A829" t="s">
        <v>1</v>
      </c>
      <c r="B829">
        <v>5500</v>
      </c>
      <c r="C829">
        <v>10</v>
      </c>
      <c r="D829">
        <v>807</v>
      </c>
      <c r="E829">
        <v>0</v>
      </c>
      <c r="F829">
        <v>31895787003</v>
      </c>
      <c r="G829">
        <v>37173995.649999999</v>
      </c>
      <c r="H829">
        <v>31621000287.43</v>
      </c>
      <c r="I829">
        <v>31803233320.279999</v>
      </c>
      <c r="J829">
        <v>8.5822999999999997E-2</v>
      </c>
      <c r="K829">
        <v>2.0636999999999999E-2</v>
      </c>
      <c r="M829" t="s">
        <v>1</v>
      </c>
      <c r="N829">
        <v>6000</v>
      </c>
      <c r="O829">
        <v>16</v>
      </c>
      <c r="P829">
        <v>5566</v>
      </c>
      <c r="Q829">
        <v>0</v>
      </c>
      <c r="R829">
        <v>209321996356</v>
      </c>
      <c r="S829">
        <v>230652485.16999999</v>
      </c>
      <c r="T829">
        <v>205886365457.54001</v>
      </c>
      <c r="U829">
        <v>208769574379.51001</v>
      </c>
      <c r="V829">
        <v>0.16902500000000001</v>
      </c>
      <c r="W829">
        <v>1.8291000000000002E-2</v>
      </c>
    </row>
    <row r="830" spans="1:23" x14ac:dyDescent="0.35">
      <c r="A830" t="s">
        <v>0</v>
      </c>
      <c r="B830">
        <v>5500</v>
      </c>
      <c r="C830">
        <v>10</v>
      </c>
      <c r="D830">
        <v>1282</v>
      </c>
      <c r="E830">
        <v>0</v>
      </c>
      <c r="F830">
        <v>44676726586</v>
      </c>
      <c r="G830">
        <v>52161993.369999997</v>
      </c>
      <c r="H830">
        <v>44419889774.150002</v>
      </c>
      <c r="I830">
        <v>44624564592.629997</v>
      </c>
      <c r="J830">
        <v>5.3610999999999999E-2</v>
      </c>
      <c r="K830">
        <v>0</v>
      </c>
      <c r="M830" t="s">
        <v>2</v>
      </c>
      <c r="N830">
        <v>6000</v>
      </c>
      <c r="O830">
        <v>16</v>
      </c>
      <c r="P830">
        <v>669</v>
      </c>
      <c r="Q830">
        <v>0</v>
      </c>
      <c r="R830">
        <v>13823621147</v>
      </c>
      <c r="S830">
        <v>15237332.470000001</v>
      </c>
      <c r="T830">
        <v>13688739786.26</v>
      </c>
      <c r="U830">
        <v>13752365177.76</v>
      </c>
      <c r="V830">
        <v>9.9056000000000005E-2</v>
      </c>
      <c r="W830">
        <v>4.7558999999999997E-2</v>
      </c>
    </row>
    <row r="831" spans="1:23" x14ac:dyDescent="0.35">
      <c r="A831" t="s">
        <v>2</v>
      </c>
      <c r="B831">
        <v>5500</v>
      </c>
      <c r="C831">
        <v>12</v>
      </c>
      <c r="D831">
        <v>151</v>
      </c>
      <c r="E831">
        <v>0</v>
      </c>
      <c r="F831">
        <v>3405009465</v>
      </c>
      <c r="G831">
        <v>4007660.35</v>
      </c>
      <c r="H831">
        <v>3401001804.6500001</v>
      </c>
      <c r="I831">
        <v>3401001804.6500001</v>
      </c>
      <c r="J831">
        <v>0</v>
      </c>
      <c r="K831">
        <v>0</v>
      </c>
      <c r="M831" t="s">
        <v>1</v>
      </c>
      <c r="N831">
        <v>6750</v>
      </c>
      <c r="O831">
        <v>16</v>
      </c>
      <c r="P831">
        <v>5027</v>
      </c>
      <c r="Q831">
        <v>0</v>
      </c>
      <c r="R831">
        <v>154570345220</v>
      </c>
      <c r="S831">
        <v>149093762.90000001</v>
      </c>
      <c r="T831">
        <v>146720549311.04001</v>
      </c>
      <c r="U831">
        <v>153327835497.07001</v>
      </c>
      <c r="V831">
        <v>0.45840999999999998</v>
      </c>
      <c r="W831">
        <v>8.1660999999999997E-2</v>
      </c>
    </row>
    <row r="832" spans="1:23" x14ac:dyDescent="0.35">
      <c r="A832" t="s">
        <v>0</v>
      </c>
      <c r="B832">
        <v>6000</v>
      </c>
      <c r="C832">
        <v>14</v>
      </c>
      <c r="D832">
        <v>10531</v>
      </c>
      <c r="E832">
        <v>0</v>
      </c>
      <c r="F832">
        <v>345214415798</v>
      </c>
      <c r="G832">
        <v>375754328</v>
      </c>
      <c r="H832">
        <v>341952163561.09998</v>
      </c>
      <c r="I832">
        <v>344432936970.35999</v>
      </c>
      <c r="J832">
        <v>9.5849000000000004E-2</v>
      </c>
      <c r="K832">
        <v>1.4012999999999999E-2</v>
      </c>
      <c r="M832" t="s">
        <v>1</v>
      </c>
      <c r="N832">
        <v>7000</v>
      </c>
      <c r="O832">
        <v>16</v>
      </c>
      <c r="P832">
        <v>696</v>
      </c>
      <c r="Q832">
        <v>0</v>
      </c>
      <c r="R832">
        <v>18169534886</v>
      </c>
      <c r="S832">
        <v>16689811.890000001</v>
      </c>
      <c r="T832">
        <v>17375975346.580002</v>
      </c>
      <c r="U832">
        <v>18011258022.209999</v>
      </c>
      <c r="V832">
        <v>0.40807300000000002</v>
      </c>
      <c r="W832">
        <v>8.9605000000000004E-2</v>
      </c>
    </row>
    <row r="833" spans="1:23" x14ac:dyDescent="0.35">
      <c r="A833" t="s">
        <v>0</v>
      </c>
      <c r="B833">
        <v>6000</v>
      </c>
      <c r="C833">
        <v>12</v>
      </c>
      <c r="D833">
        <v>15708</v>
      </c>
      <c r="E833">
        <v>0</v>
      </c>
      <c r="F833">
        <v>506438164125</v>
      </c>
      <c r="G833">
        <v>544679066.28999996</v>
      </c>
      <c r="H833">
        <v>502045950128.90002</v>
      </c>
      <c r="I833">
        <v>505541836203.94</v>
      </c>
      <c r="J833">
        <v>8.7452000000000002E-2</v>
      </c>
      <c r="K833">
        <v>8.3009999999999994E-3</v>
      </c>
      <c r="M833" t="s">
        <v>0</v>
      </c>
      <c r="N833">
        <v>7250</v>
      </c>
      <c r="O833">
        <v>16</v>
      </c>
      <c r="P833">
        <v>4877</v>
      </c>
      <c r="Q833">
        <v>0</v>
      </c>
      <c r="R833">
        <v>127665082819</v>
      </c>
      <c r="S833">
        <v>111999220.94</v>
      </c>
      <c r="T833">
        <v>123632864224.56</v>
      </c>
      <c r="U833">
        <v>126449207925.28999</v>
      </c>
      <c r="V833">
        <v>0.31220199999999998</v>
      </c>
      <c r="W833">
        <v>9.8964999999999997E-2</v>
      </c>
    </row>
    <row r="834" spans="1:23" x14ac:dyDescent="0.35">
      <c r="A834" t="s">
        <v>0</v>
      </c>
      <c r="B834">
        <v>6000</v>
      </c>
      <c r="C834">
        <v>10</v>
      </c>
      <c r="D834">
        <v>5561</v>
      </c>
      <c r="E834">
        <v>0</v>
      </c>
      <c r="F834">
        <v>178706993314</v>
      </c>
      <c r="G834">
        <v>190666418.80000001</v>
      </c>
      <c r="H834">
        <v>177589868863.70001</v>
      </c>
      <c r="I834">
        <v>178413145887.59</v>
      </c>
      <c r="J834">
        <v>6.0467E-2</v>
      </c>
      <c r="K834">
        <v>6.9069999999999999E-3</v>
      </c>
      <c r="M834" t="s">
        <v>0</v>
      </c>
      <c r="N834">
        <v>5000</v>
      </c>
      <c r="O834">
        <v>20</v>
      </c>
      <c r="P834">
        <v>4550</v>
      </c>
      <c r="Q834">
        <v>0</v>
      </c>
      <c r="R834">
        <v>153385132177</v>
      </c>
      <c r="S834">
        <v>205855376.84</v>
      </c>
      <c r="T834">
        <v>152841489966.63</v>
      </c>
      <c r="U834">
        <v>153021800489.13</v>
      </c>
      <c r="V834">
        <v>2.6109E-2</v>
      </c>
      <c r="W834">
        <v>1.2251E-2</v>
      </c>
    </row>
    <row r="835" spans="1:23" x14ac:dyDescent="0.35">
      <c r="A835" t="s">
        <v>1</v>
      </c>
      <c r="B835">
        <v>6000</v>
      </c>
      <c r="C835">
        <v>10</v>
      </c>
      <c r="D835">
        <v>4163</v>
      </c>
      <c r="E835">
        <v>0</v>
      </c>
      <c r="F835">
        <v>170862967575</v>
      </c>
      <c r="G835">
        <v>182031386.84</v>
      </c>
      <c r="H835">
        <v>168843369009.67999</v>
      </c>
      <c r="I835">
        <v>170610253036.60001</v>
      </c>
      <c r="J835">
        <v>0.12168900000000001</v>
      </c>
      <c r="K835">
        <v>4.9529999999999999E-3</v>
      </c>
      <c r="M835" t="s">
        <v>1</v>
      </c>
      <c r="N835">
        <v>5000</v>
      </c>
      <c r="O835">
        <v>20</v>
      </c>
      <c r="P835">
        <v>1816</v>
      </c>
      <c r="Q835">
        <v>0</v>
      </c>
      <c r="R835">
        <v>67739243563</v>
      </c>
      <c r="S835">
        <v>90968767.340000004</v>
      </c>
      <c r="T835">
        <v>67305244672</v>
      </c>
      <c r="U835">
        <v>67648274795.660004</v>
      </c>
      <c r="V835">
        <v>5.9103999999999997E-2</v>
      </c>
      <c r="W835">
        <v>0</v>
      </c>
    </row>
    <row r="836" spans="1:23" x14ac:dyDescent="0.35">
      <c r="A836" t="s">
        <v>2</v>
      </c>
      <c r="B836">
        <v>5500</v>
      </c>
      <c r="C836">
        <v>9</v>
      </c>
      <c r="D836">
        <v>43</v>
      </c>
      <c r="E836">
        <v>0</v>
      </c>
      <c r="F836">
        <v>1041772577</v>
      </c>
      <c r="G836">
        <v>1206822.32</v>
      </c>
      <c r="H836">
        <v>1040565754.6799999</v>
      </c>
      <c r="I836">
        <v>1040565754.6799999</v>
      </c>
      <c r="J836">
        <v>0</v>
      </c>
      <c r="K836">
        <v>0</v>
      </c>
      <c r="M836" t="s">
        <v>2</v>
      </c>
      <c r="N836">
        <v>4500</v>
      </c>
      <c r="O836">
        <v>18</v>
      </c>
      <c r="P836">
        <v>63</v>
      </c>
      <c r="Q836">
        <v>0</v>
      </c>
      <c r="R836">
        <v>1598284268</v>
      </c>
      <c r="S836">
        <v>2314650.69</v>
      </c>
      <c r="T836">
        <v>1589707782.3</v>
      </c>
      <c r="U836">
        <v>1589707782.3</v>
      </c>
      <c r="V836">
        <v>4.6013999999999999E-2</v>
      </c>
      <c r="W836">
        <v>4.6013999999999999E-2</v>
      </c>
    </row>
    <row r="837" spans="1:23" x14ac:dyDescent="0.35">
      <c r="A837" t="s">
        <v>0</v>
      </c>
      <c r="B837">
        <v>5500</v>
      </c>
      <c r="C837">
        <v>9</v>
      </c>
      <c r="D837">
        <v>1344</v>
      </c>
      <c r="E837">
        <v>0</v>
      </c>
      <c r="F837">
        <v>46127803195</v>
      </c>
      <c r="G837">
        <v>53577307.469999999</v>
      </c>
      <c r="H837">
        <v>45964573205.629997</v>
      </c>
      <c r="I837">
        <v>46074225887.529999</v>
      </c>
      <c r="J837">
        <v>2.8156E-2</v>
      </c>
      <c r="K837">
        <v>0</v>
      </c>
      <c r="M837" t="s">
        <v>0</v>
      </c>
      <c r="N837">
        <v>4500</v>
      </c>
      <c r="O837">
        <v>18</v>
      </c>
      <c r="P837">
        <v>1790</v>
      </c>
      <c r="Q837">
        <v>0</v>
      </c>
      <c r="R837">
        <v>59859532046</v>
      </c>
      <c r="S837">
        <v>86555262.040000007</v>
      </c>
      <c r="T837">
        <v>59727549277.309998</v>
      </c>
      <c r="U837">
        <v>59772976783.959999</v>
      </c>
      <c r="V837">
        <v>9.0690000000000007E-3</v>
      </c>
      <c r="W837">
        <v>0</v>
      </c>
    </row>
    <row r="838" spans="1:23" x14ac:dyDescent="0.35">
      <c r="A838" t="s">
        <v>1</v>
      </c>
      <c r="B838">
        <v>5500</v>
      </c>
      <c r="C838">
        <v>9</v>
      </c>
      <c r="D838">
        <v>847</v>
      </c>
      <c r="E838">
        <v>0</v>
      </c>
      <c r="F838">
        <v>34707801203</v>
      </c>
      <c r="G838">
        <v>40289044.119999997</v>
      </c>
      <c r="H838">
        <v>34512048488.139999</v>
      </c>
      <c r="I838">
        <v>34667512158.879997</v>
      </c>
      <c r="J838">
        <v>5.2446E-2</v>
      </c>
      <c r="K838">
        <v>0</v>
      </c>
      <c r="M838" t="s">
        <v>2</v>
      </c>
      <c r="N838">
        <v>5500</v>
      </c>
      <c r="O838">
        <v>16</v>
      </c>
      <c r="P838">
        <v>220</v>
      </c>
      <c r="Q838">
        <v>0</v>
      </c>
      <c r="R838">
        <v>4739311238</v>
      </c>
      <c r="S838">
        <v>5698684.0999999996</v>
      </c>
      <c r="T838">
        <v>4733612553.8999996</v>
      </c>
      <c r="U838">
        <v>4733612553.8999996</v>
      </c>
      <c r="V838">
        <v>0</v>
      </c>
      <c r="W838">
        <v>0</v>
      </c>
    </row>
    <row r="839" spans="1:23" x14ac:dyDescent="0.35">
      <c r="A839" t="s">
        <v>0</v>
      </c>
      <c r="B839">
        <v>6000</v>
      </c>
      <c r="C839">
        <v>9</v>
      </c>
      <c r="D839">
        <v>6631</v>
      </c>
      <c r="E839">
        <v>0</v>
      </c>
      <c r="F839">
        <v>214874385471</v>
      </c>
      <c r="G839">
        <v>227873443.74000001</v>
      </c>
      <c r="H839">
        <v>213575831131.23001</v>
      </c>
      <c r="I839">
        <v>214580211418.82001</v>
      </c>
      <c r="J839">
        <v>5.8181999999999998E-2</v>
      </c>
      <c r="K839">
        <v>3.6960000000000001E-3</v>
      </c>
      <c r="M839" t="s">
        <v>1</v>
      </c>
      <c r="N839">
        <v>4500</v>
      </c>
      <c r="O839">
        <v>14</v>
      </c>
      <c r="P839">
        <v>670</v>
      </c>
      <c r="Q839">
        <v>0</v>
      </c>
      <c r="R839">
        <v>22086746600</v>
      </c>
      <c r="S839">
        <v>31258933.41</v>
      </c>
      <c r="T839">
        <v>21994754370.049999</v>
      </c>
      <c r="U839">
        <v>22055487666.59</v>
      </c>
      <c r="V839">
        <v>3.2502999999999997E-2</v>
      </c>
      <c r="W839">
        <v>0</v>
      </c>
    </row>
    <row r="840" spans="1:23" x14ac:dyDescent="0.35">
      <c r="A840" t="s">
        <v>1</v>
      </c>
      <c r="B840">
        <v>6000</v>
      </c>
      <c r="C840">
        <v>9</v>
      </c>
      <c r="D840">
        <v>5005</v>
      </c>
      <c r="E840">
        <v>0</v>
      </c>
      <c r="F840">
        <v>211789844653</v>
      </c>
      <c r="G840">
        <v>224480064.93000001</v>
      </c>
      <c r="H840">
        <v>208914952601.94</v>
      </c>
      <c r="I840">
        <v>211360008213.01001</v>
      </c>
      <c r="J840">
        <v>0.14025499999999999</v>
      </c>
      <c r="K840">
        <v>1.1573999999999999E-2</v>
      </c>
      <c r="M840" t="s">
        <v>2</v>
      </c>
      <c r="N840">
        <v>4500</v>
      </c>
      <c r="O840">
        <v>14</v>
      </c>
      <c r="P840">
        <v>87</v>
      </c>
      <c r="Q840">
        <v>0</v>
      </c>
      <c r="R840">
        <v>2383318391</v>
      </c>
      <c r="S840">
        <v>3367323.83</v>
      </c>
      <c r="T840">
        <v>2379951067.1700001</v>
      </c>
      <c r="U840">
        <v>2379951067.1700001</v>
      </c>
      <c r="V840">
        <v>0</v>
      </c>
      <c r="W840">
        <v>0</v>
      </c>
    </row>
    <row r="841" spans="1:23" x14ac:dyDescent="0.35">
      <c r="A841" t="s">
        <v>0</v>
      </c>
      <c r="B841">
        <v>6000</v>
      </c>
      <c r="C841">
        <v>8</v>
      </c>
      <c r="D841">
        <v>7955</v>
      </c>
      <c r="E841">
        <v>0</v>
      </c>
      <c r="F841">
        <v>256585727131</v>
      </c>
      <c r="G841">
        <v>270467470.12</v>
      </c>
      <c r="H841">
        <v>255045341451.84</v>
      </c>
      <c r="I841">
        <v>256233496477.10001</v>
      </c>
      <c r="J841">
        <v>5.7800999999999998E-2</v>
      </c>
      <c r="K841">
        <v>3.8170000000000001E-3</v>
      </c>
      <c r="M841" t="s">
        <v>0</v>
      </c>
      <c r="N841">
        <v>4500</v>
      </c>
      <c r="O841">
        <v>16</v>
      </c>
      <c r="P841">
        <v>2214</v>
      </c>
      <c r="Q841">
        <v>0</v>
      </c>
      <c r="R841">
        <v>73869245226</v>
      </c>
      <c r="S841">
        <v>105664525.34999999</v>
      </c>
      <c r="T841">
        <v>73721875299.649994</v>
      </c>
      <c r="U841">
        <v>73763580700.649994</v>
      </c>
      <c r="V841">
        <v>6.7539999999999996E-3</v>
      </c>
      <c r="W841">
        <v>0</v>
      </c>
    </row>
    <row r="842" spans="1:23" x14ac:dyDescent="0.35">
      <c r="A842" t="s">
        <v>2</v>
      </c>
      <c r="B842">
        <v>7000</v>
      </c>
      <c r="C842">
        <v>18</v>
      </c>
      <c r="D842">
        <v>282</v>
      </c>
      <c r="E842">
        <v>0</v>
      </c>
      <c r="F842">
        <v>4176236033</v>
      </c>
      <c r="G842">
        <v>3884490.26</v>
      </c>
      <c r="H842">
        <v>4055434441.8299999</v>
      </c>
      <c r="I842">
        <v>4087336343.23</v>
      </c>
      <c r="J842">
        <v>0.28875800000000001</v>
      </c>
      <c r="K842">
        <v>0.21870600000000001</v>
      </c>
      <c r="M842" t="s">
        <v>2</v>
      </c>
      <c r="N842">
        <v>4500</v>
      </c>
      <c r="O842">
        <v>16</v>
      </c>
      <c r="P842">
        <v>72</v>
      </c>
      <c r="Q842">
        <v>0</v>
      </c>
      <c r="R842">
        <v>1822893444</v>
      </c>
      <c r="S842">
        <v>2604685.73</v>
      </c>
      <c r="T842">
        <v>1820288758.27</v>
      </c>
      <c r="U842">
        <v>1820288758.27</v>
      </c>
      <c r="V842">
        <v>0</v>
      </c>
      <c r="W842">
        <v>0</v>
      </c>
    </row>
    <row r="843" spans="1:23" x14ac:dyDescent="0.35">
      <c r="A843" t="s">
        <v>1</v>
      </c>
      <c r="B843">
        <v>6000</v>
      </c>
      <c r="C843">
        <v>16</v>
      </c>
      <c r="D843">
        <v>5333</v>
      </c>
      <c r="E843">
        <v>0</v>
      </c>
      <c r="F843">
        <v>203390074867</v>
      </c>
      <c r="G843">
        <v>224045252.22999999</v>
      </c>
      <c r="H843">
        <v>200189056813.76001</v>
      </c>
      <c r="I843">
        <v>202315646619.35001</v>
      </c>
      <c r="J843">
        <v>0.16216900000000001</v>
      </c>
      <c r="K843">
        <v>4.9035000000000002E-2</v>
      </c>
      <c r="M843" t="s">
        <v>0</v>
      </c>
      <c r="N843">
        <v>4500</v>
      </c>
      <c r="O843">
        <v>14</v>
      </c>
      <c r="P843">
        <v>1868</v>
      </c>
      <c r="Q843">
        <v>0</v>
      </c>
      <c r="R843">
        <v>58758547906</v>
      </c>
      <c r="S843">
        <v>83094613</v>
      </c>
      <c r="T843">
        <v>58611466452.980003</v>
      </c>
      <c r="U843">
        <v>58675453293</v>
      </c>
      <c r="V843">
        <v>1.299E-2</v>
      </c>
      <c r="W843">
        <v>0</v>
      </c>
    </row>
    <row r="844" spans="1:23" x14ac:dyDescent="0.35">
      <c r="A844" t="s">
        <v>2</v>
      </c>
      <c r="B844">
        <v>6000</v>
      </c>
      <c r="C844">
        <v>16</v>
      </c>
      <c r="D844">
        <v>441</v>
      </c>
      <c r="E844">
        <v>0</v>
      </c>
      <c r="F844">
        <v>9345279590</v>
      </c>
      <c r="G844">
        <v>10291316.57</v>
      </c>
      <c r="H844">
        <v>9282206909.1000004</v>
      </c>
      <c r="I844">
        <v>9305243557.4699993</v>
      </c>
      <c r="J844">
        <v>6.5709000000000004E-2</v>
      </c>
      <c r="K844">
        <v>3.7532999999999997E-2</v>
      </c>
      <c r="M844" t="s">
        <v>0</v>
      </c>
      <c r="N844">
        <v>5000</v>
      </c>
      <c r="O844">
        <v>9</v>
      </c>
      <c r="P844">
        <v>2739</v>
      </c>
      <c r="Q844">
        <v>0</v>
      </c>
      <c r="R844">
        <v>98072100926</v>
      </c>
      <c r="S844">
        <v>124476028.48999999</v>
      </c>
      <c r="T844">
        <v>97877961343.270004</v>
      </c>
      <c r="U844">
        <v>97922002521.320007</v>
      </c>
      <c r="V844">
        <v>8.4910000000000003E-3</v>
      </c>
      <c r="W844">
        <v>3.1310000000000001E-3</v>
      </c>
    </row>
    <row r="845" spans="1:23" x14ac:dyDescent="0.35">
      <c r="A845" t="s">
        <v>0</v>
      </c>
      <c r="B845">
        <v>6500</v>
      </c>
      <c r="C845">
        <v>16</v>
      </c>
      <c r="D845">
        <v>9351</v>
      </c>
      <c r="E845">
        <v>0</v>
      </c>
      <c r="F845">
        <v>259479723775</v>
      </c>
      <c r="G845">
        <v>260783297.63999999</v>
      </c>
      <c r="H845">
        <v>256207861324.51001</v>
      </c>
      <c r="I845">
        <v>258502127859.73999</v>
      </c>
      <c r="J845">
        <v>0.13069900000000001</v>
      </c>
      <c r="K845">
        <v>3.2650999999999999E-2</v>
      </c>
      <c r="M845" t="s">
        <v>2</v>
      </c>
      <c r="N845">
        <v>5000</v>
      </c>
      <c r="O845">
        <v>9</v>
      </c>
      <c r="P845">
        <v>52</v>
      </c>
      <c r="Q845">
        <v>0</v>
      </c>
      <c r="R845">
        <v>1462862969</v>
      </c>
      <c r="S845">
        <v>1853851.04</v>
      </c>
      <c r="T845">
        <v>1461009117.96</v>
      </c>
      <c r="U845">
        <v>1461009117.96</v>
      </c>
      <c r="V845">
        <v>0</v>
      </c>
      <c r="W845">
        <v>0</v>
      </c>
    </row>
    <row r="846" spans="1:23" x14ac:dyDescent="0.35">
      <c r="A846" t="s">
        <v>1</v>
      </c>
      <c r="B846">
        <v>6500</v>
      </c>
      <c r="C846">
        <v>16</v>
      </c>
      <c r="D846">
        <v>2633</v>
      </c>
      <c r="E846">
        <v>0</v>
      </c>
      <c r="F846">
        <v>86824874720</v>
      </c>
      <c r="G846">
        <v>87468187.409999996</v>
      </c>
      <c r="H846">
        <v>84558755888.720001</v>
      </c>
      <c r="I846">
        <v>86424836522.539993</v>
      </c>
      <c r="J846">
        <v>0.26284099999999999</v>
      </c>
      <c r="K846">
        <v>4.2354999999999997E-2</v>
      </c>
      <c r="M846" t="s">
        <v>1</v>
      </c>
      <c r="N846">
        <v>5000</v>
      </c>
      <c r="O846">
        <v>9</v>
      </c>
      <c r="P846">
        <v>1155</v>
      </c>
      <c r="Q846">
        <v>0</v>
      </c>
      <c r="R846">
        <v>45020557069</v>
      </c>
      <c r="S846">
        <v>57099777.439999998</v>
      </c>
      <c r="T846">
        <v>44861668218.739998</v>
      </c>
      <c r="U846">
        <v>44963457291.559998</v>
      </c>
      <c r="V846">
        <v>2.6797000000000001E-2</v>
      </c>
      <c r="W846">
        <v>0</v>
      </c>
    </row>
    <row r="847" spans="1:23" x14ac:dyDescent="0.35">
      <c r="A847" t="s">
        <v>2</v>
      </c>
      <c r="B847">
        <v>6500</v>
      </c>
      <c r="C847">
        <v>16</v>
      </c>
      <c r="D847">
        <v>816</v>
      </c>
      <c r="E847">
        <v>0</v>
      </c>
      <c r="F847">
        <v>15774751802</v>
      </c>
      <c r="G847">
        <v>15879715.27</v>
      </c>
      <c r="H847">
        <v>15726675481.27</v>
      </c>
      <c r="I847">
        <v>15748227521.459999</v>
      </c>
      <c r="J847">
        <v>2.4219000000000001E-2</v>
      </c>
      <c r="K847">
        <v>8.0669999999999995E-3</v>
      </c>
      <c r="M847" t="s">
        <v>1</v>
      </c>
      <c r="N847">
        <v>5500</v>
      </c>
      <c r="O847">
        <v>9</v>
      </c>
      <c r="P847">
        <v>808</v>
      </c>
      <c r="Q847">
        <v>0</v>
      </c>
      <c r="R847">
        <v>31995081298</v>
      </c>
      <c r="S847">
        <v>37078679.960000001</v>
      </c>
      <c r="T847">
        <v>31902600374.25</v>
      </c>
      <c r="U847">
        <v>31958002618.040001</v>
      </c>
      <c r="V847">
        <v>2.0582E-2</v>
      </c>
      <c r="W847">
        <v>0</v>
      </c>
    </row>
    <row r="848" spans="1:23" x14ac:dyDescent="0.35">
      <c r="A848" t="s">
        <v>0</v>
      </c>
      <c r="B848">
        <v>7000</v>
      </c>
      <c r="C848">
        <v>16</v>
      </c>
      <c r="D848">
        <v>5102</v>
      </c>
      <c r="E848">
        <v>0</v>
      </c>
      <c r="F848">
        <v>131886069565</v>
      </c>
      <c r="G848">
        <v>121138765.76000001</v>
      </c>
      <c r="H848">
        <v>129192129623.60001</v>
      </c>
      <c r="I848">
        <v>130794972067.74001</v>
      </c>
      <c r="J848">
        <v>0.21054</v>
      </c>
      <c r="K848">
        <v>8.4769999999999998E-2</v>
      </c>
      <c r="M848" t="s">
        <v>0</v>
      </c>
      <c r="N848">
        <v>5500</v>
      </c>
      <c r="O848">
        <v>9</v>
      </c>
      <c r="P848">
        <v>1287</v>
      </c>
      <c r="Q848">
        <v>0</v>
      </c>
      <c r="R848">
        <v>44846811318</v>
      </c>
      <c r="S848">
        <v>52067415.829999998</v>
      </c>
      <c r="T848">
        <v>44701372678.290001</v>
      </c>
      <c r="U848">
        <v>44794743902.169998</v>
      </c>
      <c r="V848">
        <v>2.47E-2</v>
      </c>
      <c r="W848">
        <v>0</v>
      </c>
    </row>
    <row r="849" spans="1:23" x14ac:dyDescent="0.35">
      <c r="A849" t="s">
        <v>1</v>
      </c>
      <c r="B849">
        <v>6000</v>
      </c>
      <c r="C849">
        <v>14</v>
      </c>
      <c r="D849">
        <v>6722</v>
      </c>
      <c r="E849">
        <v>0</v>
      </c>
      <c r="F849">
        <v>266838572261</v>
      </c>
      <c r="G849">
        <v>290101702.51999998</v>
      </c>
      <c r="H849">
        <v>263040287071.16</v>
      </c>
      <c r="I849">
        <v>266191025013.19</v>
      </c>
      <c r="J849">
        <v>0.146844</v>
      </c>
      <c r="K849">
        <v>1.5956999999999999E-2</v>
      </c>
      <c r="M849" t="s">
        <v>2</v>
      </c>
      <c r="N849">
        <v>5500</v>
      </c>
      <c r="O849">
        <v>10</v>
      </c>
      <c r="P849">
        <v>49</v>
      </c>
      <c r="Q849">
        <v>0</v>
      </c>
      <c r="R849">
        <v>1103747379</v>
      </c>
      <c r="S849">
        <v>1288104.3600000001</v>
      </c>
      <c r="T849">
        <v>1102459274.6400001</v>
      </c>
      <c r="U849">
        <v>1102459274.6400001</v>
      </c>
      <c r="V849">
        <v>0</v>
      </c>
      <c r="W849">
        <v>0</v>
      </c>
    </row>
    <row r="850" spans="1:23" x14ac:dyDescent="0.35">
      <c r="A850" t="s">
        <v>2</v>
      </c>
      <c r="B850">
        <v>6000</v>
      </c>
      <c r="C850">
        <v>14</v>
      </c>
      <c r="D850">
        <v>428</v>
      </c>
      <c r="E850">
        <v>0</v>
      </c>
      <c r="F850">
        <v>9610176399</v>
      </c>
      <c r="G850">
        <v>10465064.25</v>
      </c>
      <c r="H850">
        <v>9571163940.9300003</v>
      </c>
      <c r="I850">
        <v>9571163940.9300003</v>
      </c>
      <c r="J850">
        <v>3.5069999999999997E-2</v>
      </c>
      <c r="K850">
        <v>3.5069999999999997E-2</v>
      </c>
      <c r="M850" t="s">
        <v>0</v>
      </c>
      <c r="N850">
        <v>6000</v>
      </c>
      <c r="O850">
        <v>12</v>
      </c>
      <c r="P850">
        <v>15357</v>
      </c>
      <c r="Q850">
        <v>0</v>
      </c>
      <c r="R850">
        <v>498566253115</v>
      </c>
      <c r="S850">
        <v>536029516.93000001</v>
      </c>
      <c r="T850">
        <v>494466748441.67999</v>
      </c>
      <c r="U850">
        <v>497806624853.32001</v>
      </c>
      <c r="V850">
        <v>8.2476999999999995E-2</v>
      </c>
      <c r="W850">
        <v>5.3689999999999996E-3</v>
      </c>
    </row>
    <row r="851" spans="1:23" x14ac:dyDescent="0.35">
      <c r="A851" t="s">
        <v>1</v>
      </c>
      <c r="B851">
        <v>6500</v>
      </c>
      <c r="C851">
        <v>14</v>
      </c>
      <c r="D851">
        <v>4269</v>
      </c>
      <c r="E851">
        <v>0</v>
      </c>
      <c r="F851">
        <v>144634305643</v>
      </c>
      <c r="G851">
        <v>143621256.25</v>
      </c>
      <c r="H851">
        <v>140429607035.16</v>
      </c>
      <c r="I851">
        <v>144057470279.79001</v>
      </c>
      <c r="J851">
        <v>0.28948099999999999</v>
      </c>
      <c r="K851">
        <v>3.5357E-2</v>
      </c>
      <c r="M851" t="s">
        <v>0</v>
      </c>
      <c r="N851">
        <v>6000</v>
      </c>
      <c r="O851">
        <v>10</v>
      </c>
      <c r="P851">
        <v>7110</v>
      </c>
      <c r="Q851">
        <v>0</v>
      </c>
      <c r="R851">
        <v>230829049138</v>
      </c>
      <c r="S851">
        <v>245961646.44</v>
      </c>
      <c r="T851">
        <v>228840514944.82999</v>
      </c>
      <c r="U851">
        <v>230265499057.70001</v>
      </c>
      <c r="V851">
        <v>8.6921999999999999E-2</v>
      </c>
      <c r="W851">
        <v>1.6386000000000001E-2</v>
      </c>
    </row>
    <row r="852" spans="1:23" x14ac:dyDescent="0.35">
      <c r="A852" t="s">
        <v>0</v>
      </c>
      <c r="B852">
        <v>6500</v>
      </c>
      <c r="C852">
        <v>14</v>
      </c>
      <c r="D852">
        <v>14495</v>
      </c>
      <c r="E852">
        <v>0</v>
      </c>
      <c r="F852">
        <v>432384063011</v>
      </c>
      <c r="G852">
        <v>429142692.25</v>
      </c>
      <c r="H852">
        <v>427318184975.09003</v>
      </c>
      <c r="I852">
        <v>431196637988.37</v>
      </c>
      <c r="J852">
        <v>0.12135899999999999</v>
      </c>
      <c r="K852">
        <v>2.0843E-2</v>
      </c>
      <c r="M852" t="s">
        <v>0</v>
      </c>
      <c r="N852">
        <v>6000</v>
      </c>
      <c r="O852">
        <v>9</v>
      </c>
      <c r="P852">
        <v>5597</v>
      </c>
      <c r="Q852">
        <v>0</v>
      </c>
      <c r="R852">
        <v>180039944579</v>
      </c>
      <c r="S852">
        <v>190941177.46000001</v>
      </c>
      <c r="T852">
        <v>178722974684.39001</v>
      </c>
      <c r="U852">
        <v>179778639497.75</v>
      </c>
      <c r="V852">
        <v>7.2523000000000004E-2</v>
      </c>
      <c r="W852">
        <v>4.6800000000000001E-3</v>
      </c>
    </row>
    <row r="853" spans="1:23" x14ac:dyDescent="0.35">
      <c r="A853" t="s">
        <v>2</v>
      </c>
      <c r="B853">
        <v>6500</v>
      </c>
      <c r="C853">
        <v>14</v>
      </c>
      <c r="D853">
        <v>1096</v>
      </c>
      <c r="E853">
        <v>0</v>
      </c>
      <c r="F853">
        <v>22323302188</v>
      </c>
      <c r="G853">
        <v>22219883.239999998</v>
      </c>
      <c r="H853">
        <v>22182048716.150002</v>
      </c>
      <c r="I853">
        <v>22282220736.209999</v>
      </c>
      <c r="J853">
        <v>6.2142999999999997E-2</v>
      </c>
      <c r="K853">
        <v>1.0092E-2</v>
      </c>
      <c r="M853" t="s">
        <v>1</v>
      </c>
      <c r="N853">
        <v>6000</v>
      </c>
      <c r="O853">
        <v>9</v>
      </c>
      <c r="P853">
        <v>4244</v>
      </c>
      <c r="Q853">
        <v>0</v>
      </c>
      <c r="R853">
        <v>174577322545</v>
      </c>
      <c r="S853">
        <v>184871948.22999999</v>
      </c>
      <c r="T853">
        <v>170921480375.01001</v>
      </c>
      <c r="U853">
        <v>174122425827.42999</v>
      </c>
      <c r="V853">
        <v>0.21415000000000001</v>
      </c>
      <c r="W853">
        <v>1.8404E-2</v>
      </c>
    </row>
    <row r="854" spans="1:23" x14ac:dyDescent="0.35">
      <c r="A854" t="s">
        <v>2</v>
      </c>
      <c r="B854">
        <v>6000</v>
      </c>
      <c r="C854">
        <v>12</v>
      </c>
      <c r="D854">
        <v>798</v>
      </c>
      <c r="E854">
        <v>0</v>
      </c>
      <c r="F854">
        <v>17452374433</v>
      </c>
      <c r="G854">
        <v>18774453.420000002</v>
      </c>
      <c r="H854">
        <v>17388464768.779999</v>
      </c>
      <c r="I854">
        <v>17422313393.68</v>
      </c>
      <c r="J854">
        <v>3.0596999999999999E-2</v>
      </c>
      <c r="K854">
        <v>7.7330000000000003E-3</v>
      </c>
      <c r="M854" t="s">
        <v>2</v>
      </c>
      <c r="N854">
        <v>5500</v>
      </c>
      <c r="O854">
        <v>8</v>
      </c>
      <c r="P854">
        <v>43</v>
      </c>
      <c r="Q854">
        <v>0</v>
      </c>
      <c r="R854">
        <v>1043170313</v>
      </c>
      <c r="S854">
        <v>1201574.75</v>
      </c>
      <c r="T854">
        <v>1041968738.25</v>
      </c>
      <c r="U854">
        <v>1041968738.25</v>
      </c>
      <c r="V854">
        <v>0</v>
      </c>
      <c r="W854">
        <v>0</v>
      </c>
    </row>
    <row r="855" spans="1:23" x14ac:dyDescent="0.35">
      <c r="A855" t="s">
        <v>0</v>
      </c>
      <c r="B855">
        <v>6500</v>
      </c>
      <c r="C855">
        <v>12</v>
      </c>
      <c r="D855">
        <v>20650</v>
      </c>
      <c r="E855">
        <v>0</v>
      </c>
      <c r="F855">
        <v>614359232426</v>
      </c>
      <c r="G855">
        <v>602997903.97000003</v>
      </c>
      <c r="H855">
        <v>606476356363.60999</v>
      </c>
      <c r="I855">
        <v>612684286409.95996</v>
      </c>
      <c r="J855">
        <v>0.13328400000000001</v>
      </c>
      <c r="K855">
        <v>2.0737999999999999E-2</v>
      </c>
      <c r="M855" t="s">
        <v>0</v>
      </c>
      <c r="N855">
        <v>5500</v>
      </c>
      <c r="O855">
        <v>8</v>
      </c>
      <c r="P855">
        <v>1353</v>
      </c>
      <c r="Q855">
        <v>0</v>
      </c>
      <c r="R855">
        <v>46407733250</v>
      </c>
      <c r="S855">
        <v>53597792.689999998</v>
      </c>
      <c r="T855">
        <v>46218906617.790001</v>
      </c>
      <c r="U855">
        <v>46354135457.309998</v>
      </c>
      <c r="V855">
        <v>3.4411999999999998E-2</v>
      </c>
      <c r="W855">
        <v>0</v>
      </c>
    </row>
    <row r="856" spans="1:23" x14ac:dyDescent="0.35">
      <c r="A856" t="s">
        <v>2</v>
      </c>
      <c r="B856">
        <v>6500</v>
      </c>
      <c r="C856">
        <v>12</v>
      </c>
      <c r="D856">
        <v>1312</v>
      </c>
      <c r="E856">
        <v>0</v>
      </c>
      <c r="F856">
        <v>26028026004</v>
      </c>
      <c r="G856">
        <v>25604826.989999998</v>
      </c>
      <c r="H856">
        <v>25877046613.400002</v>
      </c>
      <c r="I856">
        <v>25962725925.950001</v>
      </c>
      <c r="J856">
        <v>5.6295999999999999E-2</v>
      </c>
      <c r="K856">
        <v>1.8148000000000001E-2</v>
      </c>
      <c r="M856" t="s">
        <v>1</v>
      </c>
      <c r="N856">
        <v>5500</v>
      </c>
      <c r="O856">
        <v>8</v>
      </c>
      <c r="P856">
        <v>850</v>
      </c>
      <c r="Q856">
        <v>0</v>
      </c>
      <c r="R856">
        <v>34901313094</v>
      </c>
      <c r="S856">
        <v>40282985.619999997</v>
      </c>
      <c r="T856">
        <v>34700085777.980003</v>
      </c>
      <c r="U856">
        <v>34861030108.379997</v>
      </c>
      <c r="V856">
        <v>5.3955000000000003E-2</v>
      </c>
      <c r="W856">
        <v>0</v>
      </c>
    </row>
    <row r="857" spans="1:23" x14ac:dyDescent="0.35">
      <c r="A857" t="s">
        <v>1</v>
      </c>
      <c r="B857">
        <v>6000</v>
      </c>
      <c r="C857">
        <v>12</v>
      </c>
      <c r="D857">
        <v>12315</v>
      </c>
      <c r="E857">
        <v>0</v>
      </c>
      <c r="F857">
        <v>492740185508</v>
      </c>
      <c r="G857">
        <v>530146728.42000002</v>
      </c>
      <c r="H857">
        <v>486428915515.53003</v>
      </c>
      <c r="I857">
        <v>491339971012.59003</v>
      </c>
      <c r="J857">
        <v>0.132052</v>
      </c>
      <c r="K857">
        <v>2.0985E-2</v>
      </c>
      <c r="M857" t="s">
        <v>0</v>
      </c>
      <c r="N857">
        <v>6000</v>
      </c>
      <c r="O857">
        <v>8</v>
      </c>
      <c r="P857">
        <v>6678</v>
      </c>
      <c r="Q857">
        <v>0</v>
      </c>
      <c r="R857">
        <v>216617592071</v>
      </c>
      <c r="S857">
        <v>228339700.15000001</v>
      </c>
      <c r="T857">
        <v>214946375952.10999</v>
      </c>
      <c r="U857">
        <v>216314226684.04001</v>
      </c>
      <c r="V857">
        <v>7.7066999999999997E-2</v>
      </c>
      <c r="W857">
        <v>4.1479999999999998E-3</v>
      </c>
    </row>
    <row r="858" spans="1:23" x14ac:dyDescent="0.35">
      <c r="A858" t="s">
        <v>2</v>
      </c>
      <c r="B858">
        <v>6000</v>
      </c>
      <c r="C858">
        <v>10</v>
      </c>
      <c r="D858">
        <v>264</v>
      </c>
      <c r="E858">
        <v>0</v>
      </c>
      <c r="F858">
        <v>5973263361</v>
      </c>
      <c r="G858">
        <v>6367651.5700000003</v>
      </c>
      <c r="H858">
        <v>5908921722.1800003</v>
      </c>
      <c r="I858">
        <v>5966895709.4300003</v>
      </c>
      <c r="J858">
        <v>0.110447</v>
      </c>
      <c r="K858">
        <v>0</v>
      </c>
      <c r="M858" t="s">
        <v>1</v>
      </c>
      <c r="N858">
        <v>6000</v>
      </c>
      <c r="O858">
        <v>8</v>
      </c>
      <c r="P858">
        <v>5120</v>
      </c>
      <c r="Q858">
        <v>0</v>
      </c>
      <c r="R858">
        <v>217744039334</v>
      </c>
      <c r="S858">
        <v>229409080.06999999</v>
      </c>
      <c r="T858">
        <v>212010164845.32999</v>
      </c>
      <c r="U858">
        <v>217395275433.53</v>
      </c>
      <c r="V858">
        <v>0.26453700000000002</v>
      </c>
      <c r="W858">
        <v>6.5579999999999996E-3</v>
      </c>
    </row>
    <row r="859" spans="1:23" x14ac:dyDescent="0.35">
      <c r="A859" t="s">
        <v>0</v>
      </c>
      <c r="B859">
        <v>6500</v>
      </c>
      <c r="C859">
        <v>10</v>
      </c>
      <c r="D859">
        <v>11878</v>
      </c>
      <c r="E859">
        <v>0</v>
      </c>
      <c r="F859">
        <v>364141183556</v>
      </c>
      <c r="G859">
        <v>353855958.36000001</v>
      </c>
      <c r="H859">
        <v>358991041195.02002</v>
      </c>
      <c r="I859">
        <v>362845866089.40002</v>
      </c>
      <c r="J859">
        <v>0.147096</v>
      </c>
      <c r="K859">
        <v>3.0588000000000001E-2</v>
      </c>
      <c r="M859" t="s">
        <v>0</v>
      </c>
      <c r="N859">
        <v>6000</v>
      </c>
      <c r="O859">
        <v>7</v>
      </c>
      <c r="P859">
        <v>8035</v>
      </c>
      <c r="Q859">
        <v>0</v>
      </c>
      <c r="R859">
        <v>259487178853</v>
      </c>
      <c r="S859">
        <v>271897022.14999998</v>
      </c>
      <c r="T859">
        <v>256617754223.12</v>
      </c>
      <c r="U859">
        <v>259128138494.5</v>
      </c>
      <c r="V859">
        <v>0.11372500000000001</v>
      </c>
      <c r="W859">
        <v>4.0229999999999997E-3</v>
      </c>
    </row>
    <row r="860" spans="1:23" x14ac:dyDescent="0.35">
      <c r="A860" t="s">
        <v>1</v>
      </c>
      <c r="B860">
        <v>6500</v>
      </c>
      <c r="C860">
        <v>10</v>
      </c>
      <c r="D860">
        <v>4450</v>
      </c>
      <c r="E860">
        <v>0</v>
      </c>
      <c r="F860">
        <v>161474662032</v>
      </c>
      <c r="G860">
        <v>156742464.46000001</v>
      </c>
      <c r="H860">
        <v>156666860659.38</v>
      </c>
      <c r="I860">
        <v>161073959975.85999</v>
      </c>
      <c r="J860">
        <v>0.295819</v>
      </c>
      <c r="K860">
        <v>1.7979999999999999E-2</v>
      </c>
      <c r="M860" t="s">
        <v>0</v>
      </c>
      <c r="N860">
        <v>7750</v>
      </c>
      <c r="O860">
        <v>20</v>
      </c>
      <c r="P860">
        <v>2846</v>
      </c>
      <c r="Q860">
        <v>0</v>
      </c>
      <c r="R860">
        <v>72937465784</v>
      </c>
      <c r="S860">
        <v>59905263.509999998</v>
      </c>
      <c r="T860">
        <v>71279301895.210007</v>
      </c>
      <c r="U860">
        <v>72436791851.630005</v>
      </c>
      <c r="V860">
        <v>0.23346600000000001</v>
      </c>
      <c r="W860">
        <v>7.0154999999999995E-2</v>
      </c>
    </row>
    <row r="861" spans="1:23" x14ac:dyDescent="0.35">
      <c r="A861" t="s">
        <v>2</v>
      </c>
      <c r="B861">
        <v>6000</v>
      </c>
      <c r="C861">
        <v>9</v>
      </c>
      <c r="D861">
        <v>293</v>
      </c>
      <c r="E861">
        <v>0</v>
      </c>
      <c r="F861">
        <v>6836430601</v>
      </c>
      <c r="G861">
        <v>7248578.8200000003</v>
      </c>
      <c r="H861">
        <v>6829182022.1800003</v>
      </c>
      <c r="I861">
        <v>6829182022.1800003</v>
      </c>
      <c r="J861">
        <v>0</v>
      </c>
      <c r="K861">
        <v>0</v>
      </c>
      <c r="M861" t="s">
        <v>1</v>
      </c>
      <c r="N861">
        <v>7000</v>
      </c>
      <c r="O861">
        <v>18</v>
      </c>
      <c r="P861">
        <v>359</v>
      </c>
      <c r="Q861">
        <v>0</v>
      </c>
      <c r="R861">
        <v>10364321400</v>
      </c>
      <c r="S861">
        <v>9696803.6600000001</v>
      </c>
      <c r="T861">
        <v>9650784920.7199993</v>
      </c>
      <c r="U861">
        <v>10109855126.6</v>
      </c>
      <c r="V861">
        <v>0.56997399999999998</v>
      </c>
      <c r="W861">
        <v>0.249337</v>
      </c>
    </row>
    <row r="862" spans="1:23" x14ac:dyDescent="0.35">
      <c r="A862" t="s">
        <v>0</v>
      </c>
      <c r="B862">
        <v>6500</v>
      </c>
      <c r="C862">
        <v>9</v>
      </c>
      <c r="D862">
        <v>11222</v>
      </c>
      <c r="E862">
        <v>0</v>
      </c>
      <c r="F862">
        <v>340830812164</v>
      </c>
      <c r="G862">
        <v>329312006.69999999</v>
      </c>
      <c r="H862">
        <v>336342573545.12</v>
      </c>
      <c r="I862">
        <v>340099174460.31</v>
      </c>
      <c r="J862">
        <v>0.13699</v>
      </c>
      <c r="K862">
        <v>1.4074E-2</v>
      </c>
      <c r="M862" t="s">
        <v>2</v>
      </c>
      <c r="N862">
        <v>6500</v>
      </c>
      <c r="O862">
        <v>16</v>
      </c>
      <c r="P862">
        <v>788</v>
      </c>
      <c r="Q862">
        <v>0</v>
      </c>
      <c r="R862">
        <v>15027941287</v>
      </c>
      <c r="S862">
        <v>15134007.24</v>
      </c>
      <c r="T862">
        <v>14828698032.540001</v>
      </c>
      <c r="U862">
        <v>14984322875.870001</v>
      </c>
      <c r="V862">
        <v>0.13750100000000001</v>
      </c>
      <c r="W862">
        <v>2.2509999999999999E-2</v>
      </c>
    </row>
    <row r="863" spans="1:23" x14ac:dyDescent="0.35">
      <c r="A863" t="s">
        <v>2</v>
      </c>
      <c r="B863">
        <v>6500</v>
      </c>
      <c r="C863">
        <v>9</v>
      </c>
      <c r="D863">
        <v>830</v>
      </c>
      <c r="E863">
        <v>0</v>
      </c>
      <c r="F863">
        <v>16615978932</v>
      </c>
      <c r="G863">
        <v>16105774.23</v>
      </c>
      <c r="H863">
        <v>16572368837.360001</v>
      </c>
      <c r="I863">
        <v>16599873157.77</v>
      </c>
      <c r="J863">
        <v>1.9684E-2</v>
      </c>
      <c r="K863">
        <v>0</v>
      </c>
      <c r="M863" t="s">
        <v>1</v>
      </c>
      <c r="N863">
        <v>6500</v>
      </c>
      <c r="O863">
        <v>16</v>
      </c>
      <c r="P863">
        <v>2038</v>
      </c>
      <c r="Q863">
        <v>0</v>
      </c>
      <c r="R863">
        <v>66004777874</v>
      </c>
      <c r="S863">
        <v>66468452.710000001</v>
      </c>
      <c r="T863">
        <v>63588067398.540001</v>
      </c>
      <c r="U863">
        <v>65755403846.589996</v>
      </c>
      <c r="V863">
        <v>0.35278599999999999</v>
      </c>
      <c r="W863">
        <v>3.2751000000000002E-2</v>
      </c>
    </row>
    <row r="864" spans="1:23" x14ac:dyDescent="0.35">
      <c r="A864" t="s">
        <v>1</v>
      </c>
      <c r="B864">
        <v>6250</v>
      </c>
      <c r="C864">
        <v>18</v>
      </c>
      <c r="D864">
        <v>9175</v>
      </c>
      <c r="E864">
        <v>0</v>
      </c>
      <c r="F864">
        <v>313186160825</v>
      </c>
      <c r="G864">
        <v>334272719.25</v>
      </c>
      <c r="H864">
        <v>307281921884.82001</v>
      </c>
      <c r="I864">
        <v>311848098597.70001</v>
      </c>
      <c r="J864">
        <v>0.19373199999999999</v>
      </c>
      <c r="K864">
        <v>3.7789999999999997E-2</v>
      </c>
      <c r="M864" t="s">
        <v>2</v>
      </c>
      <c r="N864">
        <v>7000</v>
      </c>
      <c r="O864">
        <v>16</v>
      </c>
      <c r="P864">
        <v>455</v>
      </c>
      <c r="Q864">
        <v>0</v>
      </c>
      <c r="R864">
        <v>7067118607</v>
      </c>
      <c r="S864">
        <v>6510419.5199999996</v>
      </c>
      <c r="T864">
        <v>7005929521.3900003</v>
      </c>
      <c r="U864">
        <v>7027710934.8500004</v>
      </c>
      <c r="V864">
        <v>8.8994000000000004E-2</v>
      </c>
      <c r="W864">
        <v>5.4452E-2</v>
      </c>
    </row>
    <row r="865" spans="1:23" x14ac:dyDescent="0.35">
      <c r="A865" t="s">
        <v>1</v>
      </c>
      <c r="B865">
        <v>5750</v>
      </c>
      <c r="C865">
        <v>18</v>
      </c>
      <c r="D865">
        <v>19652</v>
      </c>
      <c r="E865">
        <v>0</v>
      </c>
      <c r="F865">
        <v>761007028663</v>
      </c>
      <c r="G865">
        <v>889690999.22000003</v>
      </c>
      <c r="H865">
        <v>751217772274.31995</v>
      </c>
      <c r="I865">
        <v>758543707925.53003</v>
      </c>
      <c r="J865">
        <v>0.13164999999999999</v>
      </c>
      <c r="K865">
        <v>2.4534E-2</v>
      </c>
      <c r="M865" t="s">
        <v>0</v>
      </c>
      <c r="N865">
        <v>6000</v>
      </c>
      <c r="O865">
        <v>14</v>
      </c>
      <c r="P865">
        <v>8192</v>
      </c>
      <c r="Q865">
        <v>0</v>
      </c>
      <c r="R865">
        <v>262063537564</v>
      </c>
      <c r="S865">
        <v>285461348.25999999</v>
      </c>
      <c r="T865">
        <v>259355505490.03</v>
      </c>
      <c r="U865">
        <v>261465857548.82001</v>
      </c>
      <c r="V865">
        <v>0.105461</v>
      </c>
      <c r="W865">
        <v>1.4203E-2</v>
      </c>
    </row>
    <row r="866" spans="1:23" x14ac:dyDescent="0.35">
      <c r="A866" t="s">
        <v>2</v>
      </c>
      <c r="B866">
        <v>6750</v>
      </c>
      <c r="C866">
        <v>18</v>
      </c>
      <c r="D866">
        <v>677</v>
      </c>
      <c r="E866">
        <v>0</v>
      </c>
      <c r="F866">
        <v>11344527216</v>
      </c>
      <c r="G866">
        <v>11078200.35</v>
      </c>
      <c r="H866">
        <v>11246101680.530001</v>
      </c>
      <c r="I866">
        <v>11272996134.1</v>
      </c>
      <c r="J866">
        <v>8.8580000000000006E-2</v>
      </c>
      <c r="K866">
        <v>6.2105E-2</v>
      </c>
      <c r="M866" t="s">
        <v>2</v>
      </c>
      <c r="N866">
        <v>6000</v>
      </c>
      <c r="O866">
        <v>14</v>
      </c>
      <c r="P866">
        <v>373</v>
      </c>
      <c r="Q866">
        <v>0</v>
      </c>
      <c r="R866">
        <v>8414061618</v>
      </c>
      <c r="S866">
        <v>9161057.6699999999</v>
      </c>
      <c r="T866">
        <v>8404900560.3299999</v>
      </c>
      <c r="U866">
        <v>8404900560.3299999</v>
      </c>
      <c r="V866">
        <v>0</v>
      </c>
      <c r="W866">
        <v>0</v>
      </c>
    </row>
    <row r="867" spans="1:23" x14ac:dyDescent="0.35">
      <c r="A867" t="s">
        <v>1</v>
      </c>
      <c r="B867">
        <v>5500</v>
      </c>
      <c r="C867">
        <v>18</v>
      </c>
      <c r="D867">
        <v>7599</v>
      </c>
      <c r="E867">
        <v>0</v>
      </c>
      <c r="F867">
        <v>300117113201</v>
      </c>
      <c r="G867">
        <v>366515417.56</v>
      </c>
      <c r="H867">
        <v>297190182609.38</v>
      </c>
      <c r="I867">
        <v>299118099389.34998</v>
      </c>
      <c r="J867">
        <v>9.7707000000000002E-2</v>
      </c>
      <c r="K867">
        <v>2.4999E-2</v>
      </c>
      <c r="M867" t="s">
        <v>1</v>
      </c>
      <c r="N867">
        <v>6000</v>
      </c>
      <c r="O867">
        <v>14</v>
      </c>
      <c r="P867">
        <v>4677</v>
      </c>
      <c r="Q867">
        <v>0</v>
      </c>
      <c r="R867">
        <v>179895453204</v>
      </c>
      <c r="S867">
        <v>195770813.47999999</v>
      </c>
      <c r="T867">
        <v>175984560346.12</v>
      </c>
      <c r="U867">
        <v>179163590715.20001</v>
      </c>
      <c r="V867">
        <v>0.221521</v>
      </c>
      <c r="W867">
        <v>3.5180000000000003E-2</v>
      </c>
    </row>
    <row r="868" spans="1:23" x14ac:dyDescent="0.35">
      <c r="A868" t="s">
        <v>0</v>
      </c>
      <c r="B868">
        <v>5000</v>
      </c>
      <c r="C868">
        <v>16</v>
      </c>
      <c r="D868">
        <v>4393</v>
      </c>
      <c r="E868">
        <v>0</v>
      </c>
      <c r="F868">
        <v>156038839062</v>
      </c>
      <c r="G868">
        <v>205440159.84</v>
      </c>
      <c r="H868">
        <v>155663192062.92999</v>
      </c>
      <c r="I868">
        <v>155738846304.98001</v>
      </c>
      <c r="J868">
        <v>1.3011E-2</v>
      </c>
      <c r="K868">
        <v>7.247E-3</v>
      </c>
      <c r="M868" t="s">
        <v>0</v>
      </c>
      <c r="N868">
        <v>6500</v>
      </c>
      <c r="O868">
        <v>14</v>
      </c>
      <c r="P868">
        <v>11185</v>
      </c>
      <c r="Q868">
        <v>0</v>
      </c>
      <c r="R868">
        <v>328516036127</v>
      </c>
      <c r="S868">
        <v>325934431.89999998</v>
      </c>
      <c r="T868">
        <v>322823511171.77002</v>
      </c>
      <c r="U868">
        <v>327332689876.01001</v>
      </c>
      <c r="V868">
        <v>0.179342</v>
      </c>
      <c r="W868">
        <v>3.0873999999999999E-2</v>
      </c>
    </row>
    <row r="869" spans="1:23" x14ac:dyDescent="0.35">
      <c r="A869" t="s">
        <v>1</v>
      </c>
      <c r="B869">
        <v>5500</v>
      </c>
      <c r="C869">
        <v>16</v>
      </c>
      <c r="D869">
        <v>2389</v>
      </c>
      <c r="E869">
        <v>0</v>
      </c>
      <c r="F869">
        <v>95378816163</v>
      </c>
      <c r="G869">
        <v>115067759.79000001</v>
      </c>
      <c r="H869">
        <v>94332384516.020004</v>
      </c>
      <c r="I869">
        <v>95089537496.309998</v>
      </c>
      <c r="J869">
        <v>0.111086</v>
      </c>
      <c r="K869">
        <v>2.1699E-2</v>
      </c>
      <c r="M869" t="s">
        <v>2</v>
      </c>
      <c r="N869">
        <v>6500</v>
      </c>
      <c r="O869">
        <v>14</v>
      </c>
      <c r="P869">
        <v>888</v>
      </c>
      <c r="Q869">
        <v>0</v>
      </c>
      <c r="R869">
        <v>18021065566</v>
      </c>
      <c r="S869">
        <v>17918252.140000001</v>
      </c>
      <c r="T869">
        <v>17951021422.200001</v>
      </c>
      <c r="U869">
        <v>18003147313.860001</v>
      </c>
      <c r="V869">
        <v>3.4162999999999999E-2</v>
      </c>
      <c r="W869">
        <v>0</v>
      </c>
    </row>
    <row r="870" spans="1:23" x14ac:dyDescent="0.35">
      <c r="A870" t="s">
        <v>0</v>
      </c>
      <c r="B870">
        <v>5750</v>
      </c>
      <c r="C870">
        <v>16</v>
      </c>
      <c r="D870">
        <v>10992</v>
      </c>
      <c r="E870">
        <v>0</v>
      </c>
      <c r="F870">
        <v>367885520423</v>
      </c>
      <c r="G870">
        <v>424149456.43000001</v>
      </c>
      <c r="H870">
        <v>365532109533.83002</v>
      </c>
      <c r="I870">
        <v>367065357994.66998</v>
      </c>
      <c r="J870">
        <v>6.1147E-2</v>
      </c>
      <c r="K870">
        <v>1.2841E-2</v>
      </c>
      <c r="M870" t="s">
        <v>1</v>
      </c>
      <c r="N870">
        <v>6500</v>
      </c>
      <c r="O870">
        <v>14</v>
      </c>
      <c r="P870">
        <v>3729</v>
      </c>
      <c r="Q870">
        <v>0</v>
      </c>
      <c r="R870">
        <v>127258238158</v>
      </c>
      <c r="S870">
        <v>126453687.81</v>
      </c>
      <c r="T870">
        <v>123637201925.62</v>
      </c>
      <c r="U870">
        <v>126875537649.69</v>
      </c>
      <c r="V870">
        <v>0.28404299999999999</v>
      </c>
      <c r="W870">
        <v>2.3897000000000002E-2</v>
      </c>
    </row>
    <row r="871" spans="1:23" x14ac:dyDescent="0.35">
      <c r="A871" t="s">
        <v>1</v>
      </c>
      <c r="B871">
        <v>5750</v>
      </c>
      <c r="C871">
        <v>16</v>
      </c>
      <c r="D871">
        <v>7942</v>
      </c>
      <c r="E871">
        <v>0</v>
      </c>
      <c r="F871">
        <v>314798083258</v>
      </c>
      <c r="G871">
        <v>362489404.81</v>
      </c>
      <c r="H871">
        <v>311576972342.98999</v>
      </c>
      <c r="I871">
        <v>313986500354.26001</v>
      </c>
      <c r="J871">
        <v>0.103689</v>
      </c>
      <c r="K871">
        <v>1.6986000000000001E-2</v>
      </c>
      <c r="M871" t="s">
        <v>1</v>
      </c>
      <c r="N871">
        <v>6000</v>
      </c>
      <c r="O871">
        <v>12</v>
      </c>
      <c r="P871">
        <v>11410</v>
      </c>
      <c r="Q871">
        <v>0</v>
      </c>
      <c r="R871">
        <v>459778973584</v>
      </c>
      <c r="S871">
        <v>494156884.75999999</v>
      </c>
      <c r="T871">
        <v>450586818193.79999</v>
      </c>
      <c r="U871">
        <v>458623480921.03003</v>
      </c>
      <c r="V871">
        <v>0.204821</v>
      </c>
      <c r="W871">
        <v>1.7125000000000001E-2</v>
      </c>
    </row>
    <row r="872" spans="1:23" x14ac:dyDescent="0.35">
      <c r="A872" t="s">
        <v>2</v>
      </c>
      <c r="B872">
        <v>5750</v>
      </c>
      <c r="C872">
        <v>16</v>
      </c>
      <c r="D872">
        <v>353</v>
      </c>
      <c r="E872">
        <v>0</v>
      </c>
      <c r="F872">
        <v>7755847338</v>
      </c>
      <c r="G872">
        <v>8934633.5299999993</v>
      </c>
      <c r="H872">
        <v>7731003805.0699997</v>
      </c>
      <c r="I872">
        <v>7746912704.4700003</v>
      </c>
      <c r="J872">
        <v>2.4339E-2</v>
      </c>
      <c r="K872">
        <v>0</v>
      </c>
      <c r="M872" t="s">
        <v>2</v>
      </c>
      <c r="N872">
        <v>6000</v>
      </c>
      <c r="O872">
        <v>12</v>
      </c>
      <c r="P872">
        <v>696</v>
      </c>
      <c r="Q872">
        <v>0</v>
      </c>
      <c r="R872">
        <v>14940481726</v>
      </c>
      <c r="S872">
        <v>16067593.93</v>
      </c>
      <c r="T872">
        <v>14864863908.280001</v>
      </c>
      <c r="U872">
        <v>14911590135.030001</v>
      </c>
      <c r="V872">
        <v>4.6795000000000003E-2</v>
      </c>
      <c r="W872">
        <v>1.0252000000000001E-2</v>
      </c>
    </row>
    <row r="873" spans="1:23" x14ac:dyDescent="0.35">
      <c r="A873" t="s">
        <v>0</v>
      </c>
      <c r="B873">
        <v>6250</v>
      </c>
      <c r="C873">
        <v>16</v>
      </c>
      <c r="D873">
        <v>23570</v>
      </c>
      <c r="E873">
        <v>0</v>
      </c>
      <c r="F873">
        <v>767480684713</v>
      </c>
      <c r="G873">
        <v>808865167.5</v>
      </c>
      <c r="H873">
        <v>759480099592.77002</v>
      </c>
      <c r="I873">
        <v>765114724484.78003</v>
      </c>
      <c r="J873">
        <v>0.10682899999999999</v>
      </c>
      <c r="K873">
        <v>2.4076E-2</v>
      </c>
      <c r="M873" t="s">
        <v>0</v>
      </c>
      <c r="N873">
        <v>6500</v>
      </c>
      <c r="O873">
        <v>12</v>
      </c>
      <c r="P873">
        <v>17880</v>
      </c>
      <c r="Q873">
        <v>0</v>
      </c>
      <c r="R873">
        <v>528150694052</v>
      </c>
      <c r="S873">
        <v>518101011.38999999</v>
      </c>
      <c r="T873">
        <v>519747081795.88</v>
      </c>
      <c r="U873">
        <v>526794601298.41998</v>
      </c>
      <c r="V873">
        <v>0.165161</v>
      </c>
      <c r="W873">
        <v>1.8874999999999999E-2</v>
      </c>
    </row>
    <row r="874" spans="1:23" x14ac:dyDescent="0.35">
      <c r="A874" t="s">
        <v>1</v>
      </c>
      <c r="B874">
        <v>6250</v>
      </c>
      <c r="C874">
        <v>16</v>
      </c>
      <c r="D874">
        <v>11150</v>
      </c>
      <c r="E874">
        <v>0</v>
      </c>
      <c r="F874">
        <v>413777497435</v>
      </c>
      <c r="G874">
        <v>436515358.12</v>
      </c>
      <c r="H874">
        <v>406512101226.09003</v>
      </c>
      <c r="I874">
        <v>411826561646.44</v>
      </c>
      <c r="J874">
        <v>0.18102199999999999</v>
      </c>
      <c r="K874">
        <v>4.3046000000000001E-2</v>
      </c>
      <c r="M874" t="s">
        <v>2</v>
      </c>
      <c r="N874">
        <v>6500</v>
      </c>
      <c r="O874">
        <v>12</v>
      </c>
      <c r="P874">
        <v>1269</v>
      </c>
      <c r="Q874">
        <v>0</v>
      </c>
      <c r="R874">
        <v>25112224506</v>
      </c>
      <c r="S874">
        <v>24703389.030000001</v>
      </c>
      <c r="T874">
        <v>24932245243.860001</v>
      </c>
      <c r="U874">
        <v>25058386420.130001</v>
      </c>
      <c r="V874">
        <v>7.1726999999999999E-2</v>
      </c>
      <c r="W874">
        <v>1.3834000000000001E-2</v>
      </c>
    </row>
    <row r="875" spans="1:23" x14ac:dyDescent="0.35">
      <c r="A875" t="s">
        <v>2</v>
      </c>
      <c r="B875">
        <v>5250</v>
      </c>
      <c r="C875">
        <v>16</v>
      </c>
      <c r="D875">
        <v>58</v>
      </c>
      <c r="E875">
        <v>0</v>
      </c>
      <c r="F875">
        <v>1276783018</v>
      </c>
      <c r="G875">
        <v>1607702.98</v>
      </c>
      <c r="H875">
        <v>1275175315.02</v>
      </c>
      <c r="I875">
        <v>1275175315.02</v>
      </c>
      <c r="J875">
        <v>0</v>
      </c>
      <c r="K875">
        <v>0</v>
      </c>
      <c r="M875" t="s">
        <v>2</v>
      </c>
      <c r="N875">
        <v>6000</v>
      </c>
      <c r="O875">
        <v>10</v>
      </c>
      <c r="P875">
        <v>367</v>
      </c>
      <c r="Q875">
        <v>0</v>
      </c>
      <c r="R875">
        <v>8243921719</v>
      </c>
      <c r="S875">
        <v>8782110.3000000007</v>
      </c>
      <c r="T875">
        <v>8180570145.96</v>
      </c>
      <c r="U875">
        <v>8224109258.8000002</v>
      </c>
      <c r="V875">
        <v>7.6603000000000004E-2</v>
      </c>
      <c r="W875">
        <v>1.5938000000000001E-2</v>
      </c>
    </row>
    <row r="876" spans="1:23" x14ac:dyDescent="0.35">
      <c r="A876" t="s">
        <v>0</v>
      </c>
      <c r="B876">
        <v>7250</v>
      </c>
      <c r="C876">
        <v>16</v>
      </c>
      <c r="D876">
        <v>5028</v>
      </c>
      <c r="E876">
        <v>0</v>
      </c>
      <c r="F876">
        <v>131050934919</v>
      </c>
      <c r="G876">
        <v>115118657.69</v>
      </c>
      <c r="H876">
        <v>127908674034.53</v>
      </c>
      <c r="I876">
        <v>129782330244.11</v>
      </c>
      <c r="J876">
        <v>0.24454799999999999</v>
      </c>
      <c r="K876">
        <v>0.100656</v>
      </c>
      <c r="M876" t="s">
        <v>1</v>
      </c>
      <c r="N876">
        <v>6000</v>
      </c>
      <c r="O876">
        <v>10</v>
      </c>
      <c r="P876">
        <v>5772</v>
      </c>
      <c r="Q876">
        <v>0</v>
      </c>
      <c r="R876">
        <v>229526601695</v>
      </c>
      <c r="S876">
        <v>244671575.22999999</v>
      </c>
      <c r="T876">
        <v>224410980893.56</v>
      </c>
      <c r="U876">
        <v>229256042166.70001</v>
      </c>
      <c r="V876">
        <v>0.226942</v>
      </c>
      <c r="W876">
        <v>1.353E-3</v>
      </c>
    </row>
    <row r="877" spans="1:23" x14ac:dyDescent="0.35">
      <c r="A877" t="s">
        <v>2</v>
      </c>
      <c r="B877">
        <v>6250</v>
      </c>
      <c r="C877">
        <v>18</v>
      </c>
      <c r="D877">
        <v>1394</v>
      </c>
      <c r="E877">
        <v>0</v>
      </c>
      <c r="F877">
        <v>26810507237</v>
      </c>
      <c r="G877">
        <v>28624768.52</v>
      </c>
      <c r="H877">
        <v>26621773616.220001</v>
      </c>
      <c r="I877">
        <v>26743662760.73</v>
      </c>
      <c r="J877">
        <v>6.9355E-2</v>
      </c>
      <c r="K877">
        <v>1.6972999999999999E-2</v>
      </c>
      <c r="M877" t="s">
        <v>2</v>
      </c>
      <c r="N877">
        <v>6000</v>
      </c>
      <c r="O877">
        <v>9</v>
      </c>
      <c r="P877">
        <v>266</v>
      </c>
      <c r="Q877">
        <v>0</v>
      </c>
      <c r="R877">
        <v>6013508795</v>
      </c>
      <c r="S877">
        <v>6372669.5300000003</v>
      </c>
      <c r="T877">
        <v>5973700489.5799999</v>
      </c>
      <c r="U877">
        <v>6007136125.4700003</v>
      </c>
      <c r="V877">
        <v>6.4717999999999998E-2</v>
      </c>
      <c r="W877">
        <v>0</v>
      </c>
    </row>
    <row r="878" spans="1:23" x14ac:dyDescent="0.35">
      <c r="A878" t="s">
        <v>0</v>
      </c>
      <c r="B878">
        <v>7500</v>
      </c>
      <c r="C878">
        <v>18</v>
      </c>
      <c r="D878">
        <v>770</v>
      </c>
      <c r="E878">
        <v>0</v>
      </c>
      <c r="F878">
        <v>19234997850</v>
      </c>
      <c r="G878">
        <v>16363434.050000001</v>
      </c>
      <c r="H878">
        <v>18751323422.5</v>
      </c>
      <c r="I878">
        <v>18950387216.369999</v>
      </c>
      <c r="J878">
        <v>0.25557099999999999</v>
      </c>
      <c r="K878">
        <v>0.15509200000000001</v>
      </c>
      <c r="M878" t="s">
        <v>0</v>
      </c>
      <c r="N878">
        <v>6500</v>
      </c>
      <c r="O878">
        <v>10</v>
      </c>
      <c r="P878">
        <v>11256</v>
      </c>
      <c r="Q878">
        <v>0</v>
      </c>
      <c r="R878">
        <v>339910123362</v>
      </c>
      <c r="S878">
        <v>330536001.57999998</v>
      </c>
      <c r="T878">
        <v>334445631942.78003</v>
      </c>
      <c r="U878">
        <v>338778299742.38</v>
      </c>
      <c r="V878">
        <v>0.16692299999999999</v>
      </c>
      <c r="W878">
        <v>2.7924000000000001E-2</v>
      </c>
    </row>
    <row r="879" spans="1:23" x14ac:dyDescent="0.35">
      <c r="A879" t="s">
        <v>2</v>
      </c>
      <c r="B879">
        <v>6750</v>
      </c>
      <c r="C879">
        <v>16</v>
      </c>
      <c r="D879">
        <v>1090</v>
      </c>
      <c r="E879">
        <v>0</v>
      </c>
      <c r="F879">
        <v>18975981790</v>
      </c>
      <c r="G879">
        <v>18321461.350000001</v>
      </c>
      <c r="H879">
        <v>18802392687.59</v>
      </c>
      <c r="I879">
        <v>18887542369.830002</v>
      </c>
      <c r="J879">
        <v>9.3886999999999998E-2</v>
      </c>
      <c r="K879">
        <v>4.3450999999999997E-2</v>
      </c>
      <c r="M879" t="s">
        <v>0</v>
      </c>
      <c r="N879">
        <v>6500</v>
      </c>
      <c r="O879">
        <v>9</v>
      </c>
      <c r="P879">
        <v>12061</v>
      </c>
      <c r="Q879">
        <v>0</v>
      </c>
      <c r="R879">
        <v>370688795686</v>
      </c>
      <c r="S879">
        <v>357949340.38</v>
      </c>
      <c r="T879">
        <v>364206053870.22998</v>
      </c>
      <c r="U879">
        <v>370141714554.46997</v>
      </c>
      <c r="V879">
        <v>0.18121100000000001</v>
      </c>
      <c r="W879">
        <v>6.1050000000000002E-3</v>
      </c>
    </row>
    <row r="880" spans="1:23" x14ac:dyDescent="0.35">
      <c r="A880" t="s">
        <v>0</v>
      </c>
      <c r="B880">
        <v>7500</v>
      </c>
      <c r="C880">
        <v>16</v>
      </c>
      <c r="D880">
        <v>1258</v>
      </c>
      <c r="E880">
        <v>0</v>
      </c>
      <c r="F880">
        <v>31928568392</v>
      </c>
      <c r="G880">
        <v>26727757.66</v>
      </c>
      <c r="H880">
        <v>31074398886.23</v>
      </c>
      <c r="I880">
        <v>31529789024.869999</v>
      </c>
      <c r="J880">
        <v>0.27027400000000001</v>
      </c>
      <c r="K880">
        <v>0.13120899999999999</v>
      </c>
      <c r="M880" t="s">
        <v>1</v>
      </c>
      <c r="N880">
        <v>6500</v>
      </c>
      <c r="O880">
        <v>9</v>
      </c>
      <c r="P880">
        <v>4627</v>
      </c>
      <c r="Q880">
        <v>0</v>
      </c>
      <c r="R880">
        <v>169039037422</v>
      </c>
      <c r="S880">
        <v>163035409.41999999</v>
      </c>
      <c r="T880">
        <v>161549842002.39999</v>
      </c>
      <c r="U880">
        <v>168691767111.35999</v>
      </c>
      <c r="V880">
        <v>0.412387</v>
      </c>
      <c r="W880">
        <v>1.3001E-2</v>
      </c>
    </row>
    <row r="881" spans="1:23" x14ac:dyDescent="0.35">
      <c r="A881" t="s">
        <v>0</v>
      </c>
      <c r="B881">
        <v>7750</v>
      </c>
      <c r="C881">
        <v>18</v>
      </c>
      <c r="D881">
        <v>1112</v>
      </c>
      <c r="E881">
        <v>0</v>
      </c>
      <c r="F881">
        <v>29460883994</v>
      </c>
      <c r="G881">
        <v>23762068.77</v>
      </c>
      <c r="H881">
        <v>28580016048.610001</v>
      </c>
      <c r="I881">
        <v>28989784733.43</v>
      </c>
      <c r="J881">
        <v>0.29833199999999999</v>
      </c>
      <c r="K881">
        <v>0.167737</v>
      </c>
      <c r="M881" t="s">
        <v>2</v>
      </c>
      <c r="N881">
        <v>6500</v>
      </c>
      <c r="O881">
        <v>10</v>
      </c>
      <c r="P881">
        <v>669</v>
      </c>
      <c r="Q881">
        <v>0</v>
      </c>
      <c r="R881">
        <v>13436196040</v>
      </c>
      <c r="S881">
        <v>13093114.220000001</v>
      </c>
      <c r="T881">
        <v>13392646330.74</v>
      </c>
      <c r="U881">
        <v>13423102925.780001</v>
      </c>
      <c r="V881">
        <v>2.6865E-2</v>
      </c>
      <c r="W881">
        <v>0</v>
      </c>
    </row>
    <row r="882" spans="1:23" x14ac:dyDescent="0.35">
      <c r="A882" t="s">
        <v>0</v>
      </c>
      <c r="B882">
        <v>7750</v>
      </c>
      <c r="C882">
        <v>16</v>
      </c>
      <c r="D882">
        <v>1565</v>
      </c>
      <c r="E882">
        <v>0</v>
      </c>
      <c r="F882">
        <v>41473677353</v>
      </c>
      <c r="G882">
        <v>33033700.859999999</v>
      </c>
      <c r="H882">
        <v>40205346210.029999</v>
      </c>
      <c r="I882">
        <v>40794649773.709999</v>
      </c>
      <c r="J882">
        <v>0.304311</v>
      </c>
      <c r="K882">
        <v>0.17170299999999999</v>
      </c>
      <c r="M882" t="s">
        <v>2</v>
      </c>
      <c r="N882">
        <v>6000</v>
      </c>
      <c r="O882">
        <v>8</v>
      </c>
      <c r="P882">
        <v>293</v>
      </c>
      <c r="Q882">
        <v>0</v>
      </c>
      <c r="R882">
        <v>6844341982</v>
      </c>
      <c r="S882">
        <v>7213530.3700000001</v>
      </c>
      <c r="T882">
        <v>6837128451.6300001</v>
      </c>
      <c r="U882">
        <v>6837128451.6300001</v>
      </c>
      <c r="V882">
        <v>0</v>
      </c>
      <c r="W882">
        <v>0</v>
      </c>
    </row>
    <row r="883" spans="1:23" x14ac:dyDescent="0.35">
      <c r="A883" t="s">
        <v>1</v>
      </c>
      <c r="B883">
        <v>6750</v>
      </c>
      <c r="C883">
        <v>16</v>
      </c>
      <c r="D883">
        <v>5258</v>
      </c>
      <c r="E883">
        <v>0</v>
      </c>
      <c r="F883">
        <v>162755264581</v>
      </c>
      <c r="G883">
        <v>156943426.63999999</v>
      </c>
      <c r="H883">
        <v>156982208635.48001</v>
      </c>
      <c r="I883">
        <v>161684450800.07001</v>
      </c>
      <c r="J883">
        <v>0.343866</v>
      </c>
      <c r="K883">
        <v>6.5337999999999993E-2</v>
      </c>
      <c r="M883" t="s">
        <v>0</v>
      </c>
      <c r="N883">
        <v>6500</v>
      </c>
      <c r="O883">
        <v>8</v>
      </c>
      <c r="P883">
        <v>11430</v>
      </c>
      <c r="Q883">
        <v>0</v>
      </c>
      <c r="R883">
        <v>348479350835</v>
      </c>
      <c r="S883">
        <v>334567584.57999998</v>
      </c>
      <c r="T883">
        <v>340785816303.22998</v>
      </c>
      <c r="U883">
        <v>347734518196.08002</v>
      </c>
      <c r="V883">
        <v>0.22595299999999999</v>
      </c>
      <c r="W883">
        <v>1.4036E-2</v>
      </c>
    </row>
    <row r="884" spans="1:23" x14ac:dyDescent="0.35">
      <c r="A884" t="s">
        <v>1</v>
      </c>
      <c r="B884">
        <v>7250</v>
      </c>
      <c r="C884">
        <v>16</v>
      </c>
      <c r="D884">
        <v>988</v>
      </c>
      <c r="E884">
        <v>0</v>
      </c>
      <c r="F884">
        <v>25732524956</v>
      </c>
      <c r="G884">
        <v>22632126.25</v>
      </c>
      <c r="H884">
        <v>24586044802.580002</v>
      </c>
      <c r="I884">
        <v>25502566996.68</v>
      </c>
      <c r="J884">
        <v>0.41484599999999999</v>
      </c>
      <c r="K884">
        <v>9.2511999999999997E-2</v>
      </c>
      <c r="M884" t="s">
        <v>2</v>
      </c>
      <c r="N884">
        <v>6500</v>
      </c>
      <c r="O884">
        <v>8</v>
      </c>
      <c r="P884">
        <v>830</v>
      </c>
      <c r="Q884">
        <v>0</v>
      </c>
      <c r="R884">
        <v>16632869658</v>
      </c>
      <c r="S884">
        <v>16020745.35</v>
      </c>
      <c r="T884">
        <v>16616848912.65</v>
      </c>
      <c r="U884">
        <v>16616848912.65</v>
      </c>
      <c r="V884">
        <v>0</v>
      </c>
      <c r="W884">
        <v>0</v>
      </c>
    </row>
    <row r="885" spans="1:23" x14ac:dyDescent="0.35">
      <c r="A885" t="s">
        <v>0</v>
      </c>
      <c r="B885">
        <v>7000</v>
      </c>
      <c r="C885">
        <v>14</v>
      </c>
      <c r="D885">
        <v>6546</v>
      </c>
      <c r="E885">
        <v>0</v>
      </c>
      <c r="F885">
        <v>170674588758</v>
      </c>
      <c r="G885">
        <v>154895008.81999999</v>
      </c>
      <c r="H885">
        <v>166157422745.09</v>
      </c>
      <c r="I885">
        <v>169085598834.73001</v>
      </c>
      <c r="J885">
        <v>0.26706299999999999</v>
      </c>
      <c r="K885">
        <v>9.6297999999999995E-2</v>
      </c>
      <c r="M885" t="s">
        <v>2</v>
      </c>
      <c r="N885">
        <v>6250</v>
      </c>
      <c r="O885">
        <v>18</v>
      </c>
      <c r="P885">
        <v>1369</v>
      </c>
      <c r="Q885">
        <v>0</v>
      </c>
      <c r="R885">
        <v>25743915741</v>
      </c>
      <c r="S885">
        <v>27513107.140000001</v>
      </c>
      <c r="T885">
        <v>25581048626.810001</v>
      </c>
      <c r="U885">
        <v>25695389920.84</v>
      </c>
      <c r="V885">
        <v>6.13E-2</v>
      </c>
      <c r="W885">
        <v>9.7509999999999993E-3</v>
      </c>
    </row>
    <row r="886" spans="1:23" x14ac:dyDescent="0.35">
      <c r="A886" t="s">
        <v>0</v>
      </c>
      <c r="B886">
        <v>7250</v>
      </c>
      <c r="C886">
        <v>14</v>
      </c>
      <c r="D886">
        <v>6015</v>
      </c>
      <c r="E886">
        <v>0</v>
      </c>
      <c r="F886">
        <v>155564689647</v>
      </c>
      <c r="G886">
        <v>134828086.12</v>
      </c>
      <c r="H886">
        <v>150816958264.62</v>
      </c>
      <c r="I886">
        <v>153970385476.54999</v>
      </c>
      <c r="J886">
        <v>0.30317</v>
      </c>
      <c r="K886">
        <v>0.10695</v>
      </c>
      <c r="M886" t="s">
        <v>2</v>
      </c>
      <c r="N886">
        <v>6750</v>
      </c>
      <c r="O886">
        <v>18</v>
      </c>
      <c r="P886">
        <v>677</v>
      </c>
      <c r="Q886">
        <v>0</v>
      </c>
      <c r="R886">
        <v>10870592118</v>
      </c>
      <c r="S886">
        <v>10633178.48</v>
      </c>
      <c r="T886">
        <v>10799906175.700001</v>
      </c>
      <c r="U886">
        <v>10849701508.34</v>
      </c>
      <c r="V886">
        <v>6.4313999999999996E-2</v>
      </c>
      <c r="W886">
        <v>1.1265000000000001E-2</v>
      </c>
    </row>
    <row r="887" spans="1:23" x14ac:dyDescent="0.35">
      <c r="A887" t="s">
        <v>0</v>
      </c>
      <c r="B887">
        <v>6750</v>
      </c>
      <c r="C887">
        <v>14</v>
      </c>
      <c r="D887">
        <v>22888</v>
      </c>
      <c r="E887">
        <v>0</v>
      </c>
      <c r="F887">
        <v>661868855767</v>
      </c>
      <c r="G887">
        <v>630574646.92999995</v>
      </c>
      <c r="H887">
        <v>649802956745.25</v>
      </c>
      <c r="I887">
        <v>658552406005.52002</v>
      </c>
      <c r="J887">
        <v>0.188718</v>
      </c>
      <c r="K887">
        <v>4.7624E-2</v>
      </c>
      <c r="M887" t="s">
        <v>1</v>
      </c>
      <c r="N887">
        <v>6750</v>
      </c>
      <c r="O887">
        <v>18</v>
      </c>
      <c r="P887">
        <v>2813</v>
      </c>
      <c r="Q887">
        <v>0</v>
      </c>
      <c r="R887">
        <v>79737804336</v>
      </c>
      <c r="S887">
        <v>78042075.930000007</v>
      </c>
      <c r="T887">
        <v>77158346202.880005</v>
      </c>
      <c r="U887">
        <v>79239528147.240005</v>
      </c>
      <c r="V887">
        <v>0.31783099999999997</v>
      </c>
      <c r="W887">
        <v>6.1441000000000003E-2</v>
      </c>
    </row>
    <row r="888" spans="1:23" x14ac:dyDescent="0.35">
      <c r="A888" t="s">
        <v>1</v>
      </c>
      <c r="B888">
        <v>7250</v>
      </c>
      <c r="C888">
        <v>14</v>
      </c>
      <c r="D888">
        <v>1186</v>
      </c>
      <c r="E888">
        <v>0</v>
      </c>
      <c r="F888">
        <v>30764844189</v>
      </c>
      <c r="G888">
        <v>26803612.539999999</v>
      </c>
      <c r="H888">
        <v>28826787661.360001</v>
      </c>
      <c r="I888">
        <v>30017233716.169998</v>
      </c>
      <c r="J888">
        <v>0.53682799999999997</v>
      </c>
      <c r="K888">
        <v>0.24761</v>
      </c>
      <c r="M888" t="s">
        <v>2</v>
      </c>
      <c r="N888">
        <v>5750</v>
      </c>
      <c r="O888">
        <v>16</v>
      </c>
      <c r="P888">
        <v>540</v>
      </c>
      <c r="Q888">
        <v>0</v>
      </c>
      <c r="R888">
        <v>11651788174</v>
      </c>
      <c r="S888">
        <v>13439951.460000001</v>
      </c>
      <c r="T888">
        <v>11567461482.120001</v>
      </c>
      <c r="U888">
        <v>11638348222.540001</v>
      </c>
      <c r="V888">
        <v>7.0610999999999993E-2</v>
      </c>
      <c r="W888">
        <v>0</v>
      </c>
    </row>
    <row r="889" spans="1:23" x14ac:dyDescent="0.35">
      <c r="A889" t="s">
        <v>0</v>
      </c>
      <c r="B889">
        <v>7500</v>
      </c>
      <c r="C889">
        <v>14</v>
      </c>
      <c r="D889">
        <v>1797</v>
      </c>
      <c r="E889">
        <v>0</v>
      </c>
      <c r="F889">
        <v>43682052292</v>
      </c>
      <c r="G889">
        <v>36064293.880000003</v>
      </c>
      <c r="H889">
        <v>42667367646.489998</v>
      </c>
      <c r="I889">
        <v>43311145888.610001</v>
      </c>
      <c r="J889">
        <v>0.238067</v>
      </c>
      <c r="K889">
        <v>8.8205000000000006E-2</v>
      </c>
      <c r="M889" t="s">
        <v>1</v>
      </c>
      <c r="N889">
        <v>5750</v>
      </c>
      <c r="O889">
        <v>16</v>
      </c>
      <c r="P889">
        <v>11880</v>
      </c>
      <c r="Q889">
        <v>0</v>
      </c>
      <c r="R889">
        <v>465960476945</v>
      </c>
      <c r="S889">
        <v>537291679.50999999</v>
      </c>
      <c r="T889">
        <v>458329014243.69</v>
      </c>
      <c r="U889">
        <v>464154451559.91998</v>
      </c>
      <c r="V889">
        <v>0.16814999999999999</v>
      </c>
      <c r="W889">
        <v>3.2189000000000002E-2</v>
      </c>
    </row>
    <row r="890" spans="1:23" x14ac:dyDescent="0.35">
      <c r="A890" t="s">
        <v>1</v>
      </c>
      <c r="B890">
        <v>5500</v>
      </c>
      <c r="C890">
        <v>14</v>
      </c>
      <c r="D890">
        <v>2142</v>
      </c>
      <c r="E890">
        <v>0</v>
      </c>
      <c r="F890">
        <v>88723233126</v>
      </c>
      <c r="G890">
        <v>105510692.08</v>
      </c>
      <c r="H890">
        <v>87917790398.119995</v>
      </c>
      <c r="I890">
        <v>88554519700.580002</v>
      </c>
      <c r="J890">
        <v>9.0665999999999997E-2</v>
      </c>
      <c r="K890">
        <v>8.515E-3</v>
      </c>
      <c r="M890" t="s">
        <v>0</v>
      </c>
      <c r="N890">
        <v>6250</v>
      </c>
      <c r="O890">
        <v>16</v>
      </c>
      <c r="P890">
        <v>26953</v>
      </c>
      <c r="Q890">
        <v>0</v>
      </c>
      <c r="R890">
        <v>871464869570</v>
      </c>
      <c r="S890">
        <v>917853173.84000003</v>
      </c>
      <c r="T890">
        <v>859525836708.91003</v>
      </c>
      <c r="U890">
        <v>868844109623.87</v>
      </c>
      <c r="V890">
        <v>0.14163700000000001</v>
      </c>
      <c r="W890">
        <v>2.3199000000000001E-2</v>
      </c>
    </row>
    <row r="891" spans="1:23" x14ac:dyDescent="0.35">
      <c r="A891" t="s">
        <v>1</v>
      </c>
      <c r="B891">
        <v>5750</v>
      </c>
      <c r="C891">
        <v>14</v>
      </c>
      <c r="D891">
        <v>6417</v>
      </c>
      <c r="E891">
        <v>0</v>
      </c>
      <c r="F891">
        <v>265564417545</v>
      </c>
      <c r="G891">
        <v>303045460.50999999</v>
      </c>
      <c r="H891">
        <v>262012542477.81</v>
      </c>
      <c r="I891">
        <v>264962290122.54001</v>
      </c>
      <c r="J891">
        <v>0.137318</v>
      </c>
      <c r="K891">
        <v>1.3431E-2</v>
      </c>
      <c r="M891" t="s">
        <v>1</v>
      </c>
      <c r="N891">
        <v>5500</v>
      </c>
      <c r="O891">
        <v>16</v>
      </c>
      <c r="P891">
        <v>4018</v>
      </c>
      <c r="Q891">
        <v>0</v>
      </c>
      <c r="R891">
        <v>160105247699</v>
      </c>
      <c r="S891">
        <v>193257387.69</v>
      </c>
      <c r="T891">
        <v>158682021150.94</v>
      </c>
      <c r="U891">
        <v>159661016936.76001</v>
      </c>
      <c r="V891">
        <v>8.8389999999999996E-2</v>
      </c>
      <c r="W891">
        <v>1.8648999999999999E-2</v>
      </c>
    </row>
    <row r="892" spans="1:23" x14ac:dyDescent="0.35">
      <c r="A892" t="s">
        <v>2</v>
      </c>
      <c r="B892">
        <v>6250</v>
      </c>
      <c r="C892">
        <v>14</v>
      </c>
      <c r="D892">
        <v>1095</v>
      </c>
      <c r="E892">
        <v>0</v>
      </c>
      <c r="F892">
        <v>22992918151</v>
      </c>
      <c r="G892">
        <v>23939496.879999999</v>
      </c>
      <c r="H892">
        <v>22915992568.049999</v>
      </c>
      <c r="I892">
        <v>22968978654.119999</v>
      </c>
      <c r="J892">
        <v>2.7306E-2</v>
      </c>
      <c r="K892">
        <v>0</v>
      </c>
      <c r="M892" t="s">
        <v>0</v>
      </c>
      <c r="N892">
        <v>5750</v>
      </c>
      <c r="O892">
        <v>16</v>
      </c>
      <c r="P892">
        <v>17451</v>
      </c>
      <c r="Q892">
        <v>0</v>
      </c>
      <c r="R892">
        <v>585218471924</v>
      </c>
      <c r="S892">
        <v>674510520.99000001</v>
      </c>
      <c r="T892">
        <v>580700541109.54004</v>
      </c>
      <c r="U892">
        <v>583973895563.26001</v>
      </c>
      <c r="V892">
        <v>7.6024999999999995E-2</v>
      </c>
      <c r="W892">
        <v>1.1627E-2</v>
      </c>
    </row>
    <row r="893" spans="1:23" x14ac:dyDescent="0.35">
      <c r="A893" t="s">
        <v>0</v>
      </c>
      <c r="B893">
        <v>6250</v>
      </c>
      <c r="C893">
        <v>14</v>
      </c>
      <c r="D893">
        <v>20920</v>
      </c>
      <c r="E893">
        <v>0</v>
      </c>
      <c r="F893">
        <v>693086529111</v>
      </c>
      <c r="G893">
        <v>721835457.33000004</v>
      </c>
      <c r="H893">
        <v>686307529920.66003</v>
      </c>
      <c r="I893">
        <v>690970986488.37</v>
      </c>
      <c r="J893">
        <v>9.9975999999999995E-2</v>
      </c>
      <c r="K893">
        <v>2.3865000000000001E-2</v>
      </c>
      <c r="M893" t="s">
        <v>0</v>
      </c>
      <c r="N893">
        <v>5000</v>
      </c>
      <c r="O893">
        <v>16</v>
      </c>
      <c r="P893">
        <v>5179</v>
      </c>
      <c r="Q893">
        <v>0</v>
      </c>
      <c r="R893">
        <v>182960972797</v>
      </c>
      <c r="S893">
        <v>240561690.94999999</v>
      </c>
      <c r="T893">
        <v>182475726841.97</v>
      </c>
      <c r="U893">
        <v>182629438616.70001</v>
      </c>
      <c r="V893">
        <v>1.5931000000000001E-2</v>
      </c>
      <c r="W893">
        <v>5.9500000000000004E-3</v>
      </c>
    </row>
    <row r="894" spans="1:23" x14ac:dyDescent="0.35">
      <c r="A894" t="s">
        <v>1</v>
      </c>
      <c r="B894">
        <v>6250</v>
      </c>
      <c r="C894">
        <v>14</v>
      </c>
      <c r="D894">
        <v>12117</v>
      </c>
      <c r="E894">
        <v>0</v>
      </c>
      <c r="F894">
        <v>454970005394</v>
      </c>
      <c r="G894">
        <v>473905359.31999999</v>
      </c>
      <c r="H894">
        <v>445719654567.40997</v>
      </c>
      <c r="I894">
        <v>453865499460.25</v>
      </c>
      <c r="J894">
        <v>0.20843500000000001</v>
      </c>
      <c r="K894">
        <v>1.6506E-2</v>
      </c>
      <c r="M894" t="s">
        <v>1</v>
      </c>
      <c r="N894">
        <v>6250</v>
      </c>
      <c r="O894">
        <v>16</v>
      </c>
      <c r="P894">
        <v>11820</v>
      </c>
      <c r="Q894">
        <v>0</v>
      </c>
      <c r="R894">
        <v>434406335102</v>
      </c>
      <c r="S894">
        <v>457832827.13</v>
      </c>
      <c r="T894">
        <v>422260324899.95001</v>
      </c>
      <c r="U894">
        <v>432940033901.62</v>
      </c>
      <c r="V894">
        <v>0.27912999999999999</v>
      </c>
      <c r="W894">
        <v>2.7505000000000002E-2</v>
      </c>
    </row>
    <row r="895" spans="1:23" x14ac:dyDescent="0.35">
      <c r="A895" t="s">
        <v>1</v>
      </c>
      <c r="B895">
        <v>7000</v>
      </c>
      <c r="C895">
        <v>14</v>
      </c>
      <c r="D895">
        <v>930</v>
      </c>
      <c r="E895">
        <v>0</v>
      </c>
      <c r="F895">
        <v>25531733479</v>
      </c>
      <c r="G895">
        <v>23174297.390000001</v>
      </c>
      <c r="H895">
        <v>24678374360.700001</v>
      </c>
      <c r="I895">
        <v>25429842805.990002</v>
      </c>
      <c r="J895">
        <v>0.32744699999999999</v>
      </c>
      <c r="K895">
        <v>3.6375999999999999E-2</v>
      </c>
      <c r="M895" t="s">
        <v>0</v>
      </c>
      <c r="N895">
        <v>6750</v>
      </c>
      <c r="O895">
        <v>14</v>
      </c>
      <c r="P895">
        <v>19860</v>
      </c>
      <c r="Q895">
        <v>0</v>
      </c>
      <c r="R895">
        <v>573448502503</v>
      </c>
      <c r="S895">
        <v>545658271.88</v>
      </c>
      <c r="T895">
        <v>559855667809.93005</v>
      </c>
      <c r="U895">
        <v>570665308339.12</v>
      </c>
      <c r="V895">
        <v>0.24132300000000001</v>
      </c>
      <c r="W895">
        <v>4.5830999999999997E-2</v>
      </c>
    </row>
    <row r="896" spans="1:23" x14ac:dyDescent="0.35">
      <c r="A896" t="s">
        <v>2</v>
      </c>
      <c r="B896">
        <v>6250</v>
      </c>
      <c r="C896">
        <v>16</v>
      </c>
      <c r="D896">
        <v>1118</v>
      </c>
      <c r="E896">
        <v>0</v>
      </c>
      <c r="F896">
        <v>22781576321</v>
      </c>
      <c r="G896">
        <v>24035876.530000001</v>
      </c>
      <c r="H896">
        <v>22639059126.889999</v>
      </c>
      <c r="I896">
        <v>22717326057.639999</v>
      </c>
      <c r="J896">
        <v>6.0654E-2</v>
      </c>
      <c r="K896">
        <v>2.0978E-2</v>
      </c>
      <c r="M896" t="s">
        <v>0</v>
      </c>
      <c r="N896">
        <v>7000</v>
      </c>
      <c r="O896">
        <v>14</v>
      </c>
      <c r="P896">
        <v>6156</v>
      </c>
      <c r="Q896">
        <v>0</v>
      </c>
      <c r="R896">
        <v>159987560714</v>
      </c>
      <c r="S896">
        <v>144981703.53</v>
      </c>
      <c r="T896">
        <v>156490114347.89001</v>
      </c>
      <c r="U896">
        <v>158637185002.69</v>
      </c>
      <c r="V896">
        <v>0.22440599999999999</v>
      </c>
      <c r="W896">
        <v>8.6758000000000002E-2</v>
      </c>
    </row>
    <row r="897" spans="1:23" x14ac:dyDescent="0.35">
      <c r="A897" t="s">
        <v>2</v>
      </c>
      <c r="B897">
        <v>7500</v>
      </c>
      <c r="C897">
        <v>16</v>
      </c>
      <c r="D897">
        <v>22</v>
      </c>
      <c r="E897">
        <v>0</v>
      </c>
      <c r="F897">
        <v>341414297</v>
      </c>
      <c r="G897">
        <v>286410.46000000002</v>
      </c>
      <c r="H897">
        <v>341127886.54000002</v>
      </c>
      <c r="I897">
        <v>341127886.54000002</v>
      </c>
      <c r="J897">
        <v>0</v>
      </c>
      <c r="K897">
        <v>0</v>
      </c>
      <c r="M897" t="s">
        <v>1</v>
      </c>
      <c r="N897">
        <v>5500</v>
      </c>
      <c r="O897">
        <v>14</v>
      </c>
      <c r="P897">
        <v>1438</v>
      </c>
      <c r="Q897">
        <v>0</v>
      </c>
      <c r="R897">
        <v>56206272803</v>
      </c>
      <c r="S897">
        <v>66993948.5</v>
      </c>
      <c r="T897">
        <v>55878780437.370003</v>
      </c>
      <c r="U897">
        <v>56095673400.32</v>
      </c>
      <c r="V897">
        <v>5.4219999999999997E-2</v>
      </c>
      <c r="W897">
        <v>9.2700000000000005E-3</v>
      </c>
    </row>
    <row r="898" spans="1:23" x14ac:dyDescent="0.35">
      <c r="A898" t="s">
        <v>1</v>
      </c>
      <c r="B898">
        <v>6500</v>
      </c>
      <c r="C898">
        <v>12</v>
      </c>
      <c r="D898">
        <v>5215</v>
      </c>
      <c r="E898">
        <v>0</v>
      </c>
      <c r="F898">
        <v>174679887556</v>
      </c>
      <c r="G898">
        <v>170935760.97999999</v>
      </c>
      <c r="H898">
        <v>168692585210.31</v>
      </c>
      <c r="I898">
        <v>174038569745.82999</v>
      </c>
      <c r="J898">
        <v>0.33393699999999998</v>
      </c>
      <c r="K898">
        <v>3.184E-2</v>
      </c>
      <c r="M898" t="s">
        <v>2</v>
      </c>
      <c r="N898">
        <v>5750</v>
      </c>
      <c r="O898">
        <v>14</v>
      </c>
      <c r="P898">
        <v>219</v>
      </c>
      <c r="Q898">
        <v>0</v>
      </c>
      <c r="R898">
        <v>4784643852</v>
      </c>
      <c r="S898">
        <v>5445193.8099999996</v>
      </c>
      <c r="T898">
        <v>4764640452.4399996</v>
      </c>
      <c r="U898">
        <v>4779198658.1899996</v>
      </c>
      <c r="V898">
        <v>3.5907000000000001E-2</v>
      </c>
      <c r="W898">
        <v>0</v>
      </c>
    </row>
    <row r="899" spans="1:23" x14ac:dyDescent="0.35">
      <c r="A899" t="s">
        <v>0</v>
      </c>
      <c r="B899">
        <v>6750</v>
      </c>
      <c r="C899">
        <v>12</v>
      </c>
      <c r="D899">
        <v>25062</v>
      </c>
      <c r="E899">
        <v>0</v>
      </c>
      <c r="F899">
        <v>735550379123</v>
      </c>
      <c r="G899">
        <v>692846870.33000004</v>
      </c>
      <c r="H899">
        <v>722394475413.18005</v>
      </c>
      <c r="I899">
        <v>732812816592.82996</v>
      </c>
      <c r="J899">
        <v>0.18540799999999999</v>
      </c>
      <c r="K899">
        <v>3.2853E-2</v>
      </c>
      <c r="M899" t="s">
        <v>0</v>
      </c>
      <c r="N899">
        <v>5750</v>
      </c>
      <c r="O899">
        <v>14</v>
      </c>
      <c r="P899">
        <v>6645</v>
      </c>
      <c r="Q899">
        <v>0</v>
      </c>
      <c r="R899">
        <v>219673567609</v>
      </c>
      <c r="S899">
        <v>250536481.18000001</v>
      </c>
      <c r="T899">
        <v>218212413651.70001</v>
      </c>
      <c r="U899">
        <v>219273607590.23001</v>
      </c>
      <c r="V899">
        <v>6.4163999999999999E-2</v>
      </c>
      <c r="W899">
        <v>8.1320000000000003E-3</v>
      </c>
    </row>
    <row r="900" spans="1:23" x14ac:dyDescent="0.35">
      <c r="A900" t="s">
        <v>0</v>
      </c>
      <c r="B900">
        <v>7000</v>
      </c>
      <c r="C900">
        <v>12</v>
      </c>
      <c r="D900">
        <v>9811</v>
      </c>
      <c r="E900">
        <v>0</v>
      </c>
      <c r="F900">
        <v>268689766600</v>
      </c>
      <c r="G900">
        <v>240942528.69999999</v>
      </c>
      <c r="H900">
        <v>261601709731.48001</v>
      </c>
      <c r="I900">
        <v>266424264918.51001</v>
      </c>
      <c r="J900">
        <v>0.26638000000000001</v>
      </c>
      <c r="K900">
        <v>8.6764999999999995E-2</v>
      </c>
      <c r="M900" t="s">
        <v>0</v>
      </c>
      <c r="N900">
        <v>6250</v>
      </c>
      <c r="O900">
        <v>14</v>
      </c>
      <c r="P900">
        <v>18631</v>
      </c>
      <c r="Q900">
        <v>0</v>
      </c>
      <c r="R900">
        <v>606280172730</v>
      </c>
      <c r="S900">
        <v>631103087.32000005</v>
      </c>
      <c r="T900">
        <v>597231649545.27002</v>
      </c>
      <c r="U900">
        <v>604543369918.56006</v>
      </c>
      <c r="V900">
        <v>0.15445300000000001</v>
      </c>
      <c r="W900">
        <v>2.1666999999999999E-2</v>
      </c>
    </row>
    <row r="901" spans="1:23" x14ac:dyDescent="0.35">
      <c r="A901" t="s">
        <v>1</v>
      </c>
      <c r="B901">
        <v>7000</v>
      </c>
      <c r="C901">
        <v>12</v>
      </c>
      <c r="D901">
        <v>1414</v>
      </c>
      <c r="E901">
        <v>0</v>
      </c>
      <c r="F901">
        <v>41019870809</v>
      </c>
      <c r="G901">
        <v>36687267.990000002</v>
      </c>
      <c r="H901">
        <v>38595402645.790001</v>
      </c>
      <c r="I901">
        <v>40835709677.919998</v>
      </c>
      <c r="J901">
        <v>0.51309199999999999</v>
      </c>
      <c r="K901">
        <v>4.2299000000000003E-2</v>
      </c>
      <c r="M901" t="s">
        <v>2</v>
      </c>
      <c r="N901">
        <v>6250</v>
      </c>
      <c r="O901">
        <v>16</v>
      </c>
      <c r="P901">
        <v>1283</v>
      </c>
      <c r="Q901">
        <v>0</v>
      </c>
      <c r="R901">
        <v>26025730705</v>
      </c>
      <c r="S901">
        <v>27449787.559999999</v>
      </c>
      <c r="T901">
        <v>25927753864.900002</v>
      </c>
      <c r="U901">
        <v>25980435168.07</v>
      </c>
      <c r="V901">
        <v>3.2037999999999997E-2</v>
      </c>
      <c r="W901">
        <v>8.1969999999999994E-3</v>
      </c>
    </row>
    <row r="902" spans="1:23" x14ac:dyDescent="0.35">
      <c r="A902" t="s">
        <v>2</v>
      </c>
      <c r="B902">
        <v>6000</v>
      </c>
      <c r="C902">
        <v>8</v>
      </c>
      <c r="D902">
        <v>345</v>
      </c>
      <c r="E902">
        <v>0</v>
      </c>
      <c r="F902">
        <v>8232790258</v>
      </c>
      <c r="G902">
        <v>8673761.2300000004</v>
      </c>
      <c r="H902">
        <v>8187323046.5200005</v>
      </c>
      <c r="I902">
        <v>8224116496.7700005</v>
      </c>
      <c r="J902">
        <v>5.2331000000000003E-2</v>
      </c>
      <c r="K902">
        <v>0</v>
      </c>
      <c r="M902" t="s">
        <v>0</v>
      </c>
      <c r="N902">
        <v>7500</v>
      </c>
      <c r="O902">
        <v>16</v>
      </c>
      <c r="P902">
        <v>1055</v>
      </c>
      <c r="Q902">
        <v>0</v>
      </c>
      <c r="R902">
        <v>27424353311</v>
      </c>
      <c r="S902">
        <v>22961675.140000001</v>
      </c>
      <c r="T902">
        <v>26833989965.389999</v>
      </c>
      <c r="U902">
        <v>27119671456.75</v>
      </c>
      <c r="V902">
        <v>0.221885</v>
      </c>
      <c r="W902">
        <v>0.11654</v>
      </c>
    </row>
    <row r="903" spans="1:23" x14ac:dyDescent="0.35">
      <c r="A903" t="s">
        <v>2</v>
      </c>
      <c r="B903">
        <v>5750</v>
      </c>
      <c r="C903">
        <v>8</v>
      </c>
      <c r="D903">
        <v>183</v>
      </c>
      <c r="E903">
        <v>0</v>
      </c>
      <c r="F903">
        <v>4072545301</v>
      </c>
      <c r="G903">
        <v>4490820.2</v>
      </c>
      <c r="H903">
        <v>4068054480.8000002</v>
      </c>
      <c r="I903">
        <v>4068054480.8000002</v>
      </c>
      <c r="J903">
        <v>0</v>
      </c>
      <c r="K903">
        <v>0</v>
      </c>
      <c r="M903" t="s">
        <v>2</v>
      </c>
      <c r="N903">
        <v>6750</v>
      </c>
      <c r="O903">
        <v>16</v>
      </c>
      <c r="P903">
        <v>994</v>
      </c>
      <c r="Q903">
        <v>0</v>
      </c>
      <c r="R903">
        <v>17327076214</v>
      </c>
      <c r="S903">
        <v>16705816.74</v>
      </c>
      <c r="T903">
        <v>17106074878.440001</v>
      </c>
      <c r="U903">
        <v>17245535003.25</v>
      </c>
      <c r="V903">
        <v>0.132663</v>
      </c>
      <c r="W903">
        <v>4.3990000000000001E-2</v>
      </c>
    </row>
    <row r="904" spans="1:23" x14ac:dyDescent="0.35">
      <c r="A904" t="s">
        <v>0</v>
      </c>
      <c r="B904">
        <v>5750</v>
      </c>
      <c r="C904">
        <v>9</v>
      </c>
      <c r="D904">
        <v>2903</v>
      </c>
      <c r="E904">
        <v>0</v>
      </c>
      <c r="F904">
        <v>94588658823</v>
      </c>
      <c r="G904">
        <v>105221575.86</v>
      </c>
      <c r="H904">
        <v>93987345483.080002</v>
      </c>
      <c r="I904">
        <v>94387920492.240005</v>
      </c>
      <c r="J904">
        <v>6.1152999999999999E-2</v>
      </c>
      <c r="K904">
        <v>1.2050999999999999E-2</v>
      </c>
      <c r="M904" t="s">
        <v>0</v>
      </c>
      <c r="N904">
        <v>7750</v>
      </c>
      <c r="O904">
        <v>16</v>
      </c>
      <c r="P904">
        <v>1490</v>
      </c>
      <c r="Q904">
        <v>0</v>
      </c>
      <c r="R904">
        <v>39313898317</v>
      </c>
      <c r="S904">
        <v>31273401.449999999</v>
      </c>
      <c r="T904">
        <v>38574000314.57</v>
      </c>
      <c r="U904">
        <v>39029087545.57</v>
      </c>
      <c r="V904">
        <v>0.19609199999999999</v>
      </c>
      <c r="W904">
        <v>7.4702000000000005E-2</v>
      </c>
    </row>
    <row r="905" spans="1:23" x14ac:dyDescent="0.35">
      <c r="A905" t="s">
        <v>0</v>
      </c>
      <c r="B905">
        <v>5750</v>
      </c>
      <c r="C905">
        <v>8</v>
      </c>
      <c r="D905">
        <v>3657</v>
      </c>
      <c r="E905">
        <v>0</v>
      </c>
      <c r="F905">
        <v>122764988788</v>
      </c>
      <c r="G905">
        <v>135790186.71000001</v>
      </c>
      <c r="H905">
        <v>122184333196.83</v>
      </c>
      <c r="I905">
        <v>122599970603.34</v>
      </c>
      <c r="J905">
        <v>4.2627999999999999E-2</v>
      </c>
      <c r="K905">
        <v>2.8530000000000001E-3</v>
      </c>
      <c r="M905" t="s">
        <v>2</v>
      </c>
      <c r="N905">
        <v>6750</v>
      </c>
      <c r="O905">
        <v>14</v>
      </c>
      <c r="P905">
        <v>1079</v>
      </c>
      <c r="Q905">
        <v>0</v>
      </c>
      <c r="R905">
        <v>19765225768</v>
      </c>
      <c r="S905">
        <v>18808824.710000001</v>
      </c>
      <c r="T905">
        <v>19588938824.709999</v>
      </c>
      <c r="U905">
        <v>19708934333.220001</v>
      </c>
      <c r="V905">
        <v>9.1528999999999999E-2</v>
      </c>
      <c r="W905">
        <v>2.2520999999999999E-2</v>
      </c>
    </row>
    <row r="906" spans="1:23" x14ac:dyDescent="0.35">
      <c r="A906" t="s">
        <v>1</v>
      </c>
      <c r="B906">
        <v>5750</v>
      </c>
      <c r="C906">
        <v>8</v>
      </c>
      <c r="D906">
        <v>4579</v>
      </c>
      <c r="E906">
        <v>0</v>
      </c>
      <c r="F906">
        <v>193963982433</v>
      </c>
      <c r="G906">
        <v>214921092.16999999</v>
      </c>
      <c r="H906">
        <v>191397206323.37</v>
      </c>
      <c r="I906">
        <v>193327619995.75</v>
      </c>
      <c r="J906">
        <v>0.136181</v>
      </c>
      <c r="K906">
        <v>2.5763999999999999E-2</v>
      </c>
      <c r="M906" t="s">
        <v>0</v>
      </c>
      <c r="N906">
        <v>7250</v>
      </c>
      <c r="O906">
        <v>14</v>
      </c>
      <c r="P906">
        <v>5519</v>
      </c>
      <c r="Q906">
        <v>0</v>
      </c>
      <c r="R906">
        <v>144490829265</v>
      </c>
      <c r="S906">
        <v>125165220.63</v>
      </c>
      <c r="T906">
        <v>140689026645.32999</v>
      </c>
      <c r="U906">
        <v>143367674718.10001</v>
      </c>
      <c r="V906">
        <v>0.266038</v>
      </c>
      <c r="W906">
        <v>7.9806000000000002E-2</v>
      </c>
    </row>
    <row r="907" spans="1:23" x14ac:dyDescent="0.35">
      <c r="A907" t="s">
        <v>1</v>
      </c>
      <c r="B907">
        <v>5750</v>
      </c>
      <c r="C907">
        <v>9</v>
      </c>
      <c r="D907">
        <v>2415</v>
      </c>
      <c r="E907">
        <v>0</v>
      </c>
      <c r="F907">
        <v>100503595517</v>
      </c>
      <c r="G907">
        <v>111690926.88</v>
      </c>
      <c r="H907">
        <v>99422935050.970001</v>
      </c>
      <c r="I907">
        <v>100229401206.48</v>
      </c>
      <c r="J907">
        <v>0.109752</v>
      </c>
      <c r="K907">
        <v>1.9231000000000002E-2</v>
      </c>
      <c r="M907" t="s">
        <v>1</v>
      </c>
      <c r="N907">
        <v>6750</v>
      </c>
      <c r="O907">
        <v>14</v>
      </c>
      <c r="P907">
        <v>6264</v>
      </c>
      <c r="Q907">
        <v>0</v>
      </c>
      <c r="R907">
        <v>201419722223</v>
      </c>
      <c r="S907">
        <v>191923932.80000001</v>
      </c>
      <c r="T907">
        <v>192552794377.39001</v>
      </c>
      <c r="U907">
        <v>200678438668.14999</v>
      </c>
      <c r="V907">
        <v>0.410389</v>
      </c>
      <c r="W907">
        <v>3.2243000000000001E-2</v>
      </c>
    </row>
    <row r="908" spans="1:23" x14ac:dyDescent="0.35">
      <c r="A908" t="s">
        <v>1</v>
      </c>
      <c r="B908">
        <v>5500</v>
      </c>
      <c r="C908">
        <v>8</v>
      </c>
      <c r="D908">
        <v>1368</v>
      </c>
      <c r="E908">
        <v>0</v>
      </c>
      <c r="F908">
        <v>57806056873</v>
      </c>
      <c r="G908">
        <v>66736642.710000001</v>
      </c>
      <c r="H908">
        <v>57567625217.150002</v>
      </c>
      <c r="I908">
        <v>57739320230.290001</v>
      </c>
      <c r="J908">
        <v>3.5066E-2</v>
      </c>
      <c r="K908">
        <v>0</v>
      </c>
      <c r="M908" t="s">
        <v>1</v>
      </c>
      <c r="N908">
        <v>7250</v>
      </c>
      <c r="O908">
        <v>14</v>
      </c>
      <c r="P908">
        <v>1151</v>
      </c>
      <c r="Q908">
        <v>0</v>
      </c>
      <c r="R908">
        <v>30537085611</v>
      </c>
      <c r="S908">
        <v>26488706.989999998</v>
      </c>
      <c r="T908">
        <v>28296539205.900002</v>
      </c>
      <c r="U908">
        <v>30257247051.23</v>
      </c>
      <c r="V908">
        <v>0.59472899999999995</v>
      </c>
      <c r="W908">
        <v>9.5138E-2</v>
      </c>
    </row>
    <row r="909" spans="1:23" x14ac:dyDescent="0.35">
      <c r="A909" t="s">
        <v>0</v>
      </c>
      <c r="B909">
        <v>8000</v>
      </c>
      <c r="C909">
        <v>10</v>
      </c>
      <c r="D909">
        <v>174</v>
      </c>
      <c r="E909">
        <v>0</v>
      </c>
      <c r="F909">
        <v>5016425115</v>
      </c>
      <c r="G909">
        <v>3699381.89</v>
      </c>
      <c r="H909">
        <v>4995433683</v>
      </c>
      <c r="I909">
        <v>5012725733.1099997</v>
      </c>
      <c r="J909">
        <v>4.0590000000000001E-2</v>
      </c>
      <c r="K909">
        <v>0</v>
      </c>
      <c r="M909" t="s">
        <v>0</v>
      </c>
      <c r="N909">
        <v>7500</v>
      </c>
      <c r="O909">
        <v>14</v>
      </c>
      <c r="P909">
        <v>1507</v>
      </c>
      <c r="Q909">
        <v>0</v>
      </c>
      <c r="R909">
        <v>37388065936</v>
      </c>
      <c r="S909">
        <v>30869460.719999999</v>
      </c>
      <c r="T909">
        <v>36097532363.580002</v>
      </c>
      <c r="U909">
        <v>36967322148.379997</v>
      </c>
      <c r="V909">
        <v>0.33718999999999999</v>
      </c>
      <c r="W909">
        <v>0.1182</v>
      </c>
    </row>
    <row r="910" spans="1:23" x14ac:dyDescent="0.35">
      <c r="A910" t="s">
        <v>0</v>
      </c>
      <c r="B910">
        <v>8000</v>
      </c>
      <c r="C910">
        <v>9</v>
      </c>
      <c r="D910">
        <v>156</v>
      </c>
      <c r="E910">
        <v>0</v>
      </c>
      <c r="F910">
        <v>4873660300</v>
      </c>
      <c r="G910">
        <v>3569889.74</v>
      </c>
      <c r="H910">
        <v>4870090410.2600002</v>
      </c>
      <c r="I910">
        <v>4870090410.2600002</v>
      </c>
      <c r="J910">
        <v>0</v>
      </c>
      <c r="K910">
        <v>0</v>
      </c>
      <c r="M910" t="s">
        <v>1</v>
      </c>
      <c r="N910">
        <v>6500</v>
      </c>
      <c r="O910">
        <v>12</v>
      </c>
      <c r="P910">
        <v>4447</v>
      </c>
      <c r="Q910">
        <v>0</v>
      </c>
      <c r="R910">
        <v>147103224950</v>
      </c>
      <c r="S910">
        <v>144043637.37</v>
      </c>
      <c r="T910">
        <v>140157442857.23999</v>
      </c>
      <c r="U910">
        <v>146320353919.26001</v>
      </c>
      <c r="V910">
        <v>0.433394</v>
      </c>
      <c r="W910">
        <v>5.0886000000000001E-2</v>
      </c>
    </row>
    <row r="911" spans="1:23" x14ac:dyDescent="0.35">
      <c r="A911" t="s">
        <v>0</v>
      </c>
      <c r="B911">
        <v>7500</v>
      </c>
      <c r="C911">
        <v>9</v>
      </c>
      <c r="D911">
        <v>818</v>
      </c>
      <c r="E911">
        <v>0</v>
      </c>
      <c r="F911">
        <v>22214630981</v>
      </c>
      <c r="G911">
        <v>17768938.34</v>
      </c>
      <c r="H911">
        <v>21685959455.540001</v>
      </c>
      <c r="I911">
        <v>22145138424.419998</v>
      </c>
      <c r="J911">
        <v>0.243615</v>
      </c>
      <c r="K911">
        <v>2.7584999999999998E-2</v>
      </c>
      <c r="M911" t="s">
        <v>0</v>
      </c>
      <c r="N911">
        <v>6750</v>
      </c>
      <c r="O911">
        <v>12</v>
      </c>
      <c r="P911">
        <v>24607</v>
      </c>
      <c r="Q911">
        <v>0</v>
      </c>
      <c r="R911">
        <v>710833973068</v>
      </c>
      <c r="S911">
        <v>669580510.76999998</v>
      </c>
      <c r="T911">
        <v>693558658019.58997</v>
      </c>
      <c r="U911">
        <v>707866113843.06995</v>
      </c>
      <c r="V911">
        <v>0.246975</v>
      </c>
      <c r="W911">
        <v>3.8115999999999997E-2</v>
      </c>
    </row>
    <row r="912" spans="1:23" x14ac:dyDescent="0.35">
      <c r="A912" t="s">
        <v>0</v>
      </c>
      <c r="B912">
        <v>7250</v>
      </c>
      <c r="C912">
        <v>9</v>
      </c>
      <c r="D912">
        <v>4362</v>
      </c>
      <c r="E912">
        <v>0</v>
      </c>
      <c r="F912">
        <v>115927315576</v>
      </c>
      <c r="G912">
        <v>97388897.760000005</v>
      </c>
      <c r="H912">
        <v>112925992598.56</v>
      </c>
      <c r="I912">
        <v>115391680783.59</v>
      </c>
      <c r="J912">
        <v>0.26245200000000002</v>
      </c>
      <c r="K912">
        <v>4.4433E-2</v>
      </c>
      <c r="M912" t="s">
        <v>0</v>
      </c>
      <c r="N912">
        <v>7250</v>
      </c>
      <c r="O912">
        <v>12</v>
      </c>
      <c r="P912">
        <v>5988</v>
      </c>
      <c r="Q912">
        <v>0</v>
      </c>
      <c r="R912">
        <v>154467673988</v>
      </c>
      <c r="S912">
        <v>132047836.19</v>
      </c>
      <c r="T912">
        <v>148920593623.14999</v>
      </c>
      <c r="U912">
        <v>153429319972.35999</v>
      </c>
      <c r="V912">
        <v>0.34833399999999998</v>
      </c>
      <c r="W912">
        <v>6.8179000000000003E-2</v>
      </c>
    </row>
    <row r="913" spans="1:23" x14ac:dyDescent="0.35">
      <c r="A913" t="s">
        <v>0</v>
      </c>
      <c r="B913">
        <v>7250</v>
      </c>
      <c r="C913">
        <v>10</v>
      </c>
      <c r="D913">
        <v>4498</v>
      </c>
      <c r="E913">
        <v>0</v>
      </c>
      <c r="F913">
        <v>120721960888</v>
      </c>
      <c r="G913">
        <v>102063446.17</v>
      </c>
      <c r="H913">
        <v>116977201459.88</v>
      </c>
      <c r="I913">
        <v>120054178583.82001</v>
      </c>
      <c r="J913">
        <v>0.30765199999999998</v>
      </c>
      <c r="K913">
        <v>5.4807000000000002E-2</v>
      </c>
      <c r="M913" t="s">
        <v>1</v>
      </c>
      <c r="N913">
        <v>6250</v>
      </c>
      <c r="O913">
        <v>14</v>
      </c>
      <c r="P913">
        <v>9569</v>
      </c>
      <c r="Q913">
        <v>0</v>
      </c>
      <c r="R913">
        <v>358333141836</v>
      </c>
      <c r="S913">
        <v>373125338.58999997</v>
      </c>
      <c r="T913">
        <v>347872171598.59003</v>
      </c>
      <c r="U913">
        <v>357054418368.64001</v>
      </c>
      <c r="V913">
        <v>0.29012900000000003</v>
      </c>
      <c r="W913">
        <v>2.9909000000000002E-2</v>
      </c>
    </row>
    <row r="914" spans="1:23" x14ac:dyDescent="0.35">
      <c r="A914" t="s">
        <v>0</v>
      </c>
      <c r="B914">
        <v>7250</v>
      </c>
      <c r="C914">
        <v>8</v>
      </c>
      <c r="D914">
        <v>3593</v>
      </c>
      <c r="E914">
        <v>0</v>
      </c>
      <c r="F914">
        <v>94504313751</v>
      </c>
      <c r="G914">
        <v>78854071.129999995</v>
      </c>
      <c r="H914">
        <v>90473905515.820007</v>
      </c>
      <c r="I914">
        <v>94146886519.979996</v>
      </c>
      <c r="J914">
        <v>0.401036</v>
      </c>
      <c r="K914">
        <v>3.4805000000000003E-2</v>
      </c>
      <c r="M914" t="s">
        <v>1</v>
      </c>
      <c r="N914">
        <v>5750</v>
      </c>
      <c r="O914">
        <v>14</v>
      </c>
      <c r="P914">
        <v>5081</v>
      </c>
      <c r="Q914">
        <v>0</v>
      </c>
      <c r="R914">
        <v>201017841503</v>
      </c>
      <c r="S914">
        <v>228992694.62</v>
      </c>
      <c r="T914">
        <v>197747868436.25</v>
      </c>
      <c r="U914">
        <v>200259389992.20999</v>
      </c>
      <c r="V914">
        <v>0.16716700000000001</v>
      </c>
      <c r="W914">
        <v>3.1153E-2</v>
      </c>
    </row>
    <row r="915" spans="1:23" x14ac:dyDescent="0.35">
      <c r="A915" t="s">
        <v>0</v>
      </c>
      <c r="B915">
        <v>7000</v>
      </c>
      <c r="C915">
        <v>8</v>
      </c>
      <c r="D915">
        <v>4770</v>
      </c>
      <c r="E915">
        <v>0</v>
      </c>
      <c r="F915">
        <v>132461189988</v>
      </c>
      <c r="G915">
        <v>115955845.59</v>
      </c>
      <c r="H915">
        <v>128436205208.23</v>
      </c>
      <c r="I915">
        <v>131702892214.92999</v>
      </c>
      <c r="J915">
        <v>0.30194599999999999</v>
      </c>
      <c r="K915">
        <v>5.6663999999999999E-2</v>
      </c>
      <c r="M915" t="s">
        <v>2</v>
      </c>
      <c r="N915">
        <v>6250</v>
      </c>
      <c r="O915">
        <v>14</v>
      </c>
      <c r="P915">
        <v>979</v>
      </c>
      <c r="Q915">
        <v>0</v>
      </c>
      <c r="R915">
        <v>20152576341</v>
      </c>
      <c r="S915">
        <v>20974427.420000002</v>
      </c>
      <c r="T915">
        <v>20074180472.869999</v>
      </c>
      <c r="U915">
        <v>20074180472.869999</v>
      </c>
      <c r="V915">
        <v>3.3661000000000003E-2</v>
      </c>
      <c r="W915">
        <v>3.3661000000000003E-2</v>
      </c>
    </row>
    <row r="916" spans="1:23" x14ac:dyDescent="0.35">
      <c r="A916" t="s">
        <v>0</v>
      </c>
      <c r="B916">
        <v>7000</v>
      </c>
      <c r="C916">
        <v>9</v>
      </c>
      <c r="D916">
        <v>5827</v>
      </c>
      <c r="E916">
        <v>0</v>
      </c>
      <c r="F916">
        <v>159172611560</v>
      </c>
      <c r="G916">
        <v>140424664.65000001</v>
      </c>
      <c r="H916">
        <v>155122200736.22</v>
      </c>
      <c r="I916">
        <v>158287329536.04001</v>
      </c>
      <c r="J916">
        <v>0.25803599999999999</v>
      </c>
      <c r="K916">
        <v>5.4732000000000003E-2</v>
      </c>
      <c r="M916" t="s">
        <v>1</v>
      </c>
      <c r="N916">
        <v>7000</v>
      </c>
      <c r="O916">
        <v>14</v>
      </c>
      <c r="P916">
        <v>912</v>
      </c>
      <c r="Q916">
        <v>0</v>
      </c>
      <c r="R916">
        <v>25318344927</v>
      </c>
      <c r="S916">
        <v>23018967.16</v>
      </c>
      <c r="T916">
        <v>24040807893.34</v>
      </c>
      <c r="U916">
        <v>25245793122.150002</v>
      </c>
      <c r="V916">
        <v>0.45655899999999999</v>
      </c>
      <c r="W916">
        <v>2.3226E-2</v>
      </c>
    </row>
    <row r="917" spans="1:23" x14ac:dyDescent="0.35">
      <c r="A917" t="s">
        <v>0</v>
      </c>
      <c r="B917">
        <v>6250</v>
      </c>
      <c r="C917">
        <v>9</v>
      </c>
      <c r="D917">
        <v>12544</v>
      </c>
      <c r="E917">
        <v>0</v>
      </c>
      <c r="F917">
        <v>413532923336</v>
      </c>
      <c r="G917">
        <v>419969332.02999997</v>
      </c>
      <c r="H917">
        <v>410147584375.71997</v>
      </c>
      <c r="I917">
        <v>412807733751.26001</v>
      </c>
      <c r="J917">
        <v>8.2736000000000004E-2</v>
      </c>
      <c r="K917">
        <v>8.8210000000000007E-3</v>
      </c>
      <c r="M917" t="s">
        <v>2</v>
      </c>
      <c r="N917">
        <v>7500</v>
      </c>
      <c r="O917">
        <v>14</v>
      </c>
      <c r="P917">
        <v>29</v>
      </c>
      <c r="Q917">
        <v>0</v>
      </c>
      <c r="R917">
        <v>427126572</v>
      </c>
      <c r="S917">
        <v>353771.26</v>
      </c>
      <c r="T917">
        <v>402047633.70999998</v>
      </c>
      <c r="U917">
        <v>417816931.17000002</v>
      </c>
      <c r="V917">
        <v>0.51108299999999995</v>
      </c>
      <c r="W917">
        <v>0.22453200000000001</v>
      </c>
    </row>
    <row r="918" spans="1:23" x14ac:dyDescent="0.35">
      <c r="A918" t="s">
        <v>0</v>
      </c>
      <c r="B918">
        <v>6250</v>
      </c>
      <c r="C918">
        <v>10</v>
      </c>
      <c r="D918">
        <v>11928</v>
      </c>
      <c r="E918">
        <v>0</v>
      </c>
      <c r="F918">
        <v>394813312751</v>
      </c>
      <c r="G918">
        <v>402642122.87</v>
      </c>
      <c r="H918">
        <v>391165804477.41998</v>
      </c>
      <c r="I918">
        <v>393907813669.53003</v>
      </c>
      <c r="J918">
        <v>9.4286999999999996E-2</v>
      </c>
      <c r="K918">
        <v>1.5177E-2</v>
      </c>
      <c r="M918" t="s">
        <v>0</v>
      </c>
      <c r="N918">
        <v>7750</v>
      </c>
      <c r="O918">
        <v>14</v>
      </c>
      <c r="P918">
        <v>1522</v>
      </c>
      <c r="Q918">
        <v>0</v>
      </c>
      <c r="R918">
        <v>40770701897</v>
      </c>
      <c r="S918">
        <v>32020624.579999998</v>
      </c>
      <c r="T918">
        <v>39313841814.029999</v>
      </c>
      <c r="U918">
        <v>40387767153.459999</v>
      </c>
      <c r="V918">
        <v>0.34745500000000001</v>
      </c>
      <c r="W918">
        <v>9.8531999999999995E-2</v>
      </c>
    </row>
    <row r="919" spans="1:23" x14ac:dyDescent="0.35">
      <c r="A919" t="s">
        <v>0</v>
      </c>
      <c r="B919">
        <v>7000</v>
      </c>
      <c r="C919">
        <v>10</v>
      </c>
      <c r="D919">
        <v>6605</v>
      </c>
      <c r="E919">
        <v>0</v>
      </c>
      <c r="F919">
        <v>180919401370</v>
      </c>
      <c r="G919">
        <v>160867931.56999999</v>
      </c>
      <c r="H919">
        <v>177034825908.85001</v>
      </c>
      <c r="I919">
        <v>180039596926.23999</v>
      </c>
      <c r="J919">
        <v>0.220859</v>
      </c>
      <c r="K919">
        <v>4.6656999999999997E-2</v>
      </c>
      <c r="M919" t="s">
        <v>0</v>
      </c>
      <c r="N919">
        <v>7000</v>
      </c>
      <c r="O919">
        <v>12</v>
      </c>
      <c r="P919">
        <v>6897</v>
      </c>
      <c r="Q919">
        <v>0</v>
      </c>
      <c r="R919">
        <v>181825565147</v>
      </c>
      <c r="S919">
        <v>163026368.02000001</v>
      </c>
      <c r="T919">
        <v>177431604616.03</v>
      </c>
      <c r="U919">
        <v>180894734860</v>
      </c>
      <c r="V919">
        <v>0.24612600000000001</v>
      </c>
      <c r="W919">
        <v>4.9513000000000001E-2</v>
      </c>
    </row>
    <row r="920" spans="1:23" x14ac:dyDescent="0.35">
      <c r="A920" t="s">
        <v>1</v>
      </c>
      <c r="B920">
        <v>7000</v>
      </c>
      <c r="C920">
        <v>9</v>
      </c>
      <c r="D920">
        <v>1201</v>
      </c>
      <c r="E920">
        <v>0</v>
      </c>
      <c r="F920">
        <v>35924023617</v>
      </c>
      <c r="G920">
        <v>31660656.670000002</v>
      </c>
      <c r="H920">
        <v>33646905518.18</v>
      </c>
      <c r="I920">
        <v>35756754786.5</v>
      </c>
      <c r="J920">
        <v>0.53908199999999995</v>
      </c>
      <c r="K920">
        <v>4.437E-2</v>
      </c>
      <c r="M920" t="s">
        <v>1</v>
      </c>
      <c r="N920">
        <v>7000</v>
      </c>
      <c r="O920">
        <v>12</v>
      </c>
      <c r="P920">
        <v>883</v>
      </c>
      <c r="Q920">
        <v>0</v>
      </c>
      <c r="R920">
        <v>25388016209</v>
      </c>
      <c r="S920">
        <v>22710644.219999999</v>
      </c>
      <c r="T920">
        <v>23544922751.509998</v>
      </c>
      <c r="U920">
        <v>25290142568.25</v>
      </c>
      <c r="V920">
        <v>0.590507</v>
      </c>
      <c r="W920">
        <v>3.4953999999999999E-2</v>
      </c>
    </row>
    <row r="921" spans="1:23" x14ac:dyDescent="0.35">
      <c r="A921" t="s">
        <v>0</v>
      </c>
      <c r="B921">
        <v>6750</v>
      </c>
      <c r="C921">
        <v>10</v>
      </c>
      <c r="D921">
        <v>14622</v>
      </c>
      <c r="E921">
        <v>0</v>
      </c>
      <c r="F921">
        <v>441416691896</v>
      </c>
      <c r="G921">
        <v>411641584.69</v>
      </c>
      <c r="H921">
        <v>433042614405.85999</v>
      </c>
      <c r="I921">
        <v>440167324791.23999</v>
      </c>
      <c r="J921">
        <v>0.19622500000000001</v>
      </c>
      <c r="K921">
        <v>2.2537999999999999E-2</v>
      </c>
      <c r="M921" t="s">
        <v>0</v>
      </c>
      <c r="N921">
        <v>7000</v>
      </c>
      <c r="O921">
        <v>10</v>
      </c>
      <c r="P921">
        <v>6302</v>
      </c>
      <c r="Q921">
        <v>0</v>
      </c>
      <c r="R921">
        <v>175529453174</v>
      </c>
      <c r="S921">
        <v>155999381.63</v>
      </c>
      <c r="T921">
        <v>171691322154.23001</v>
      </c>
      <c r="U921">
        <v>174769321236.95999</v>
      </c>
      <c r="V921">
        <v>0.22462199999999999</v>
      </c>
      <c r="W921">
        <v>4.0528000000000002E-2</v>
      </c>
    </row>
    <row r="922" spans="1:23" x14ac:dyDescent="0.35">
      <c r="A922" t="s">
        <v>0</v>
      </c>
      <c r="B922">
        <v>6750</v>
      </c>
      <c r="C922">
        <v>9</v>
      </c>
      <c r="D922">
        <v>14222</v>
      </c>
      <c r="E922">
        <v>0</v>
      </c>
      <c r="F922">
        <v>416488627640</v>
      </c>
      <c r="G922">
        <v>386008223.95999998</v>
      </c>
      <c r="H922">
        <v>407852145763.29999</v>
      </c>
      <c r="I922">
        <v>415206514695.17999</v>
      </c>
      <c r="J922">
        <v>0.213452</v>
      </c>
      <c r="K922">
        <v>2.5514999999999999E-2</v>
      </c>
      <c r="M922" t="s">
        <v>2</v>
      </c>
      <c r="N922">
        <v>6000</v>
      </c>
      <c r="O922">
        <v>7</v>
      </c>
      <c r="P922">
        <v>346</v>
      </c>
      <c r="Q922">
        <v>0</v>
      </c>
      <c r="R922">
        <v>8271997044</v>
      </c>
      <c r="S922">
        <v>8662745.0199999996</v>
      </c>
      <c r="T922">
        <v>8234109328.2799997</v>
      </c>
      <c r="U922">
        <v>8263334298.9799995</v>
      </c>
      <c r="V922">
        <v>4.1582000000000001E-2</v>
      </c>
      <c r="W922">
        <v>0</v>
      </c>
    </row>
    <row r="923" spans="1:23" x14ac:dyDescent="0.35">
      <c r="A923" t="s">
        <v>2</v>
      </c>
      <c r="B923">
        <v>6250</v>
      </c>
      <c r="C923">
        <v>9</v>
      </c>
      <c r="D923">
        <v>903</v>
      </c>
      <c r="E923">
        <v>0</v>
      </c>
      <c r="F923">
        <v>19582023742</v>
      </c>
      <c r="G923">
        <v>19769401.41</v>
      </c>
      <c r="H923">
        <v>19513992371.91</v>
      </c>
      <c r="I923">
        <v>19534162870.599998</v>
      </c>
      <c r="J923">
        <v>2.9177999999999999E-2</v>
      </c>
      <c r="K923">
        <v>1.7079E-2</v>
      </c>
      <c r="M923" t="s">
        <v>2</v>
      </c>
      <c r="N923">
        <v>5750</v>
      </c>
      <c r="O923">
        <v>7</v>
      </c>
      <c r="P923">
        <v>184</v>
      </c>
      <c r="Q923">
        <v>0</v>
      </c>
      <c r="R923">
        <v>4097719018</v>
      </c>
      <c r="S923">
        <v>4492083.71</v>
      </c>
      <c r="T923">
        <v>4073110416.9000001</v>
      </c>
      <c r="U923">
        <v>4073110416.9000001</v>
      </c>
      <c r="V923">
        <v>5.7346000000000001E-2</v>
      </c>
      <c r="W923">
        <v>5.7346000000000001E-2</v>
      </c>
    </row>
    <row r="924" spans="1:23" x14ac:dyDescent="0.35">
      <c r="A924" t="s">
        <v>1</v>
      </c>
      <c r="B924">
        <v>6250</v>
      </c>
      <c r="C924">
        <v>9</v>
      </c>
      <c r="D924">
        <v>9239</v>
      </c>
      <c r="E924">
        <v>0</v>
      </c>
      <c r="F924">
        <v>370097596549</v>
      </c>
      <c r="G924">
        <v>375362746.62</v>
      </c>
      <c r="H924">
        <v>360725752435.19</v>
      </c>
      <c r="I924">
        <v>369415053531.28998</v>
      </c>
      <c r="J924">
        <v>0.25569500000000001</v>
      </c>
      <c r="K924">
        <v>9.9150000000000002E-3</v>
      </c>
      <c r="M924" t="s">
        <v>0</v>
      </c>
      <c r="N924">
        <v>5750</v>
      </c>
      <c r="O924">
        <v>8</v>
      </c>
      <c r="P924">
        <v>2923</v>
      </c>
      <c r="Q924">
        <v>0</v>
      </c>
      <c r="R924">
        <v>95215121683</v>
      </c>
      <c r="S924">
        <v>105301175.27</v>
      </c>
      <c r="T924">
        <v>94739191746.470001</v>
      </c>
      <c r="U924">
        <v>95109820507.729996</v>
      </c>
      <c r="V924">
        <v>4.5723E-2</v>
      </c>
      <c r="W924">
        <v>0</v>
      </c>
    </row>
    <row r="925" spans="1:23" x14ac:dyDescent="0.35">
      <c r="A925" t="s">
        <v>0</v>
      </c>
      <c r="B925">
        <v>6250</v>
      </c>
      <c r="C925">
        <v>12</v>
      </c>
      <c r="D925">
        <v>28953</v>
      </c>
      <c r="E925">
        <v>0</v>
      </c>
      <c r="F925">
        <v>947176317904</v>
      </c>
      <c r="G925">
        <v>976061482.33000004</v>
      </c>
      <c r="H925">
        <v>937566971652.02002</v>
      </c>
      <c r="I925">
        <v>945309251529.93005</v>
      </c>
      <c r="J925">
        <v>0.104057</v>
      </c>
      <c r="K925">
        <v>1.123E-2</v>
      </c>
      <c r="M925" t="s">
        <v>0</v>
      </c>
      <c r="N925">
        <v>5750</v>
      </c>
      <c r="O925">
        <v>7</v>
      </c>
      <c r="P925">
        <v>3680</v>
      </c>
      <c r="Q925">
        <v>0</v>
      </c>
      <c r="R925">
        <v>123669394269</v>
      </c>
      <c r="S925">
        <v>136008043.50999999</v>
      </c>
      <c r="T925">
        <v>123188170869.73</v>
      </c>
      <c r="U925">
        <v>123506474374.12</v>
      </c>
      <c r="V925">
        <v>3.2988000000000003E-2</v>
      </c>
      <c r="W925">
        <v>2.6080000000000001E-3</v>
      </c>
    </row>
    <row r="926" spans="1:23" x14ac:dyDescent="0.35">
      <c r="A926" t="s">
        <v>2</v>
      </c>
      <c r="B926">
        <v>6250</v>
      </c>
      <c r="C926">
        <v>10</v>
      </c>
      <c r="D926">
        <v>715</v>
      </c>
      <c r="E926">
        <v>0</v>
      </c>
      <c r="F926">
        <v>15524156735</v>
      </c>
      <c r="G926">
        <v>15783216.119999999</v>
      </c>
      <c r="H926">
        <v>15508373518.879999</v>
      </c>
      <c r="I926">
        <v>15508373518.879999</v>
      </c>
      <c r="J926">
        <v>0</v>
      </c>
      <c r="K926">
        <v>0</v>
      </c>
      <c r="M926" t="s">
        <v>1</v>
      </c>
      <c r="N926">
        <v>5750</v>
      </c>
      <c r="O926">
        <v>7</v>
      </c>
      <c r="P926">
        <v>4693</v>
      </c>
      <c r="Q926">
        <v>0</v>
      </c>
      <c r="R926">
        <v>199297181269</v>
      </c>
      <c r="S926">
        <v>219565646.80000001</v>
      </c>
      <c r="T926">
        <v>194334711154.45001</v>
      </c>
      <c r="U926">
        <v>198845704354.17001</v>
      </c>
      <c r="V926">
        <v>0.25101099999999998</v>
      </c>
      <c r="W926">
        <v>1.3875E-2</v>
      </c>
    </row>
    <row r="927" spans="1:23" x14ac:dyDescent="0.35">
      <c r="A927" t="s">
        <v>0</v>
      </c>
      <c r="B927">
        <v>5750</v>
      </c>
      <c r="C927">
        <v>10</v>
      </c>
      <c r="D927">
        <v>2801</v>
      </c>
      <c r="E927">
        <v>0</v>
      </c>
      <c r="F927">
        <v>92536480485</v>
      </c>
      <c r="G927">
        <v>103528685.13</v>
      </c>
      <c r="H927">
        <v>92169594095.820007</v>
      </c>
      <c r="I927">
        <v>92420730471.779999</v>
      </c>
      <c r="J927">
        <v>3.3621999999999999E-2</v>
      </c>
      <c r="K927">
        <v>1.5839999999999999E-3</v>
      </c>
      <c r="M927" t="s">
        <v>1</v>
      </c>
      <c r="N927">
        <v>5750</v>
      </c>
      <c r="O927">
        <v>8</v>
      </c>
      <c r="P927">
        <v>2463</v>
      </c>
      <c r="Q927">
        <v>0</v>
      </c>
      <c r="R927">
        <v>102564598210</v>
      </c>
      <c r="S927">
        <v>113336601.64</v>
      </c>
      <c r="T927">
        <v>100534017918.83</v>
      </c>
      <c r="U927">
        <v>102363574565.89</v>
      </c>
      <c r="V927">
        <v>0.20263200000000001</v>
      </c>
      <c r="W927">
        <v>1.0211E-2</v>
      </c>
    </row>
    <row r="928" spans="1:23" x14ac:dyDescent="0.35">
      <c r="A928" t="s">
        <v>2</v>
      </c>
      <c r="B928">
        <v>5750</v>
      </c>
      <c r="C928">
        <v>9</v>
      </c>
      <c r="D928">
        <v>161</v>
      </c>
      <c r="E928">
        <v>0</v>
      </c>
      <c r="F928">
        <v>3396547489</v>
      </c>
      <c r="G928">
        <v>3759080.08</v>
      </c>
      <c r="H928">
        <v>3392788408.9200001</v>
      </c>
      <c r="I928">
        <v>3392788408.9200001</v>
      </c>
      <c r="J928">
        <v>0</v>
      </c>
      <c r="K928">
        <v>0</v>
      </c>
      <c r="M928" t="s">
        <v>1</v>
      </c>
      <c r="N928">
        <v>5500</v>
      </c>
      <c r="O928">
        <v>7</v>
      </c>
      <c r="P928">
        <v>1383</v>
      </c>
      <c r="Q928">
        <v>0</v>
      </c>
      <c r="R928">
        <v>58414665712</v>
      </c>
      <c r="S928">
        <v>67056342.649999999</v>
      </c>
      <c r="T928">
        <v>57925128815.760002</v>
      </c>
      <c r="U928">
        <v>58318365563.440002</v>
      </c>
      <c r="V928">
        <v>8.3418999999999993E-2</v>
      </c>
      <c r="W928">
        <v>5.9909999999999998E-3</v>
      </c>
    </row>
    <row r="929" spans="1:23" x14ac:dyDescent="0.35">
      <c r="A929" t="s">
        <v>1</v>
      </c>
      <c r="B929">
        <v>5750</v>
      </c>
      <c r="C929">
        <v>10</v>
      </c>
      <c r="D929">
        <v>1978</v>
      </c>
      <c r="E929">
        <v>0</v>
      </c>
      <c r="F929">
        <v>82074405905</v>
      </c>
      <c r="G929">
        <v>91591551.810000002</v>
      </c>
      <c r="H929">
        <v>81308011448.940002</v>
      </c>
      <c r="I929">
        <v>81894945159.660004</v>
      </c>
      <c r="J929">
        <v>9.4321000000000002E-2</v>
      </c>
      <c r="K929">
        <v>1.2772E-2</v>
      </c>
      <c r="M929" t="s">
        <v>0</v>
      </c>
      <c r="N929">
        <v>8000</v>
      </c>
      <c r="O929">
        <v>9</v>
      </c>
      <c r="P929">
        <v>178</v>
      </c>
      <c r="Q929">
        <v>0</v>
      </c>
      <c r="R929">
        <v>5203148318</v>
      </c>
      <c r="S929">
        <v>3809371.8</v>
      </c>
      <c r="T929">
        <v>5016630990.0799999</v>
      </c>
      <c r="U929">
        <v>5180709078.5200005</v>
      </c>
      <c r="V929">
        <v>0.34881099999999998</v>
      </c>
      <c r="W929">
        <v>4.2130000000000001E-2</v>
      </c>
    </row>
    <row r="930" spans="1:23" x14ac:dyDescent="0.35">
      <c r="A930" t="s">
        <v>2</v>
      </c>
      <c r="B930">
        <v>5750</v>
      </c>
      <c r="C930">
        <v>10</v>
      </c>
      <c r="D930">
        <v>131</v>
      </c>
      <c r="E930">
        <v>0</v>
      </c>
      <c r="F930">
        <v>2915738910</v>
      </c>
      <c r="G930">
        <v>3247524.78</v>
      </c>
      <c r="H930">
        <v>2912491385.2199998</v>
      </c>
      <c r="I930">
        <v>2912491385.2199998</v>
      </c>
      <c r="J930">
        <v>0</v>
      </c>
      <c r="K930">
        <v>0</v>
      </c>
      <c r="M930" t="s">
        <v>0</v>
      </c>
      <c r="N930">
        <v>8000</v>
      </c>
      <c r="O930">
        <v>8</v>
      </c>
      <c r="P930">
        <v>157</v>
      </c>
      <c r="Q930">
        <v>0</v>
      </c>
      <c r="R930">
        <v>4922214200</v>
      </c>
      <c r="S930">
        <v>3579394.08</v>
      </c>
      <c r="T930">
        <v>4873982957.0900002</v>
      </c>
      <c r="U930">
        <v>4918634805.9200001</v>
      </c>
      <c r="V930">
        <v>0.103588</v>
      </c>
      <c r="W930">
        <v>0</v>
      </c>
    </row>
    <row r="931" spans="1:23" x14ac:dyDescent="0.35">
      <c r="A931" t="s">
        <v>0</v>
      </c>
      <c r="B931">
        <v>8000</v>
      </c>
      <c r="C931">
        <v>12</v>
      </c>
      <c r="D931">
        <v>234</v>
      </c>
      <c r="E931">
        <v>0</v>
      </c>
      <c r="F931">
        <v>7048515055</v>
      </c>
      <c r="G931">
        <v>5247294.45</v>
      </c>
      <c r="H931">
        <v>6871854928.6599998</v>
      </c>
      <c r="I931">
        <v>6922092489.1000004</v>
      </c>
      <c r="J931">
        <v>0.25579200000000002</v>
      </c>
      <c r="K931">
        <v>0.18786900000000001</v>
      </c>
      <c r="M931" t="s">
        <v>0</v>
      </c>
      <c r="N931">
        <v>7500</v>
      </c>
      <c r="O931">
        <v>8</v>
      </c>
      <c r="P931">
        <v>851</v>
      </c>
      <c r="Q931">
        <v>0</v>
      </c>
      <c r="R931">
        <v>23303709618</v>
      </c>
      <c r="S931">
        <v>18504030.210000001</v>
      </c>
      <c r="T931">
        <v>22216142736.040001</v>
      </c>
      <c r="U931">
        <v>23206862168.080002</v>
      </c>
      <c r="V931">
        <v>0.43080400000000002</v>
      </c>
      <c r="W931">
        <v>3.9604E-2</v>
      </c>
    </row>
    <row r="932" spans="1:23" x14ac:dyDescent="0.35">
      <c r="A932" t="s">
        <v>0</v>
      </c>
      <c r="B932">
        <v>7750</v>
      </c>
      <c r="C932">
        <v>10</v>
      </c>
      <c r="D932">
        <v>1232</v>
      </c>
      <c r="E932">
        <v>0</v>
      </c>
      <c r="F932">
        <v>32064867836</v>
      </c>
      <c r="G932">
        <v>24586443.25</v>
      </c>
      <c r="H932">
        <v>31146737624.32</v>
      </c>
      <c r="I932">
        <v>31688356059.07</v>
      </c>
      <c r="J932">
        <v>0.28762399999999999</v>
      </c>
      <c r="K932">
        <v>0.124038</v>
      </c>
      <c r="M932" t="s">
        <v>0</v>
      </c>
      <c r="N932">
        <v>7250</v>
      </c>
      <c r="O932">
        <v>8</v>
      </c>
      <c r="P932">
        <v>4515</v>
      </c>
      <c r="Q932">
        <v>0</v>
      </c>
      <c r="R932">
        <v>120587669317</v>
      </c>
      <c r="S932">
        <v>100623346.53</v>
      </c>
      <c r="T932">
        <v>115951798145.19</v>
      </c>
      <c r="U932">
        <v>119881164297.63</v>
      </c>
      <c r="V932">
        <v>0.36872899999999997</v>
      </c>
      <c r="W932">
        <v>5.8653999999999998E-2</v>
      </c>
    </row>
    <row r="933" spans="1:23" x14ac:dyDescent="0.35">
      <c r="A933" t="s">
        <v>0</v>
      </c>
      <c r="B933">
        <v>7750</v>
      </c>
      <c r="C933">
        <v>9</v>
      </c>
      <c r="D933">
        <v>1060</v>
      </c>
      <c r="E933">
        <v>0</v>
      </c>
      <c r="F933">
        <v>28201195148</v>
      </c>
      <c r="G933">
        <v>21433930</v>
      </c>
      <c r="H933">
        <v>27271658178.189999</v>
      </c>
      <c r="I933">
        <v>27930531948.540001</v>
      </c>
      <c r="J933">
        <v>0.32481500000000002</v>
      </c>
      <c r="K933">
        <v>0.101045</v>
      </c>
      <c r="M933" t="s">
        <v>0</v>
      </c>
      <c r="N933">
        <v>7250</v>
      </c>
      <c r="O933">
        <v>9</v>
      </c>
      <c r="P933">
        <v>4607</v>
      </c>
      <c r="Q933">
        <v>0</v>
      </c>
      <c r="R933">
        <v>123889110995</v>
      </c>
      <c r="S933">
        <v>104033736.02</v>
      </c>
      <c r="T933">
        <v>120748398549.34</v>
      </c>
      <c r="U933">
        <v>123263247857.69</v>
      </c>
      <c r="V933">
        <v>0.25755</v>
      </c>
      <c r="W933">
        <v>4.9390000000000003E-2</v>
      </c>
    </row>
    <row r="934" spans="1:23" x14ac:dyDescent="0.35">
      <c r="A934" t="s">
        <v>0</v>
      </c>
      <c r="B934">
        <v>7500</v>
      </c>
      <c r="C934">
        <v>10</v>
      </c>
      <c r="D934">
        <v>1014</v>
      </c>
      <c r="E934">
        <v>0</v>
      </c>
      <c r="F934">
        <v>27718072160</v>
      </c>
      <c r="G934">
        <v>22323962.879999999</v>
      </c>
      <c r="H934">
        <v>27412192806.279999</v>
      </c>
      <c r="I934">
        <v>27648152143.25</v>
      </c>
      <c r="J934">
        <v>0.11608300000000001</v>
      </c>
      <c r="K934">
        <v>2.0412E-2</v>
      </c>
      <c r="M934" t="s">
        <v>0</v>
      </c>
      <c r="N934">
        <v>7250</v>
      </c>
      <c r="O934">
        <v>7</v>
      </c>
      <c r="P934">
        <v>3780</v>
      </c>
      <c r="Q934">
        <v>0</v>
      </c>
      <c r="R934">
        <v>100784331453</v>
      </c>
      <c r="S934">
        <v>83521023.319999993</v>
      </c>
      <c r="T934">
        <v>94478129007.729996</v>
      </c>
      <c r="U934">
        <v>100155738379.14999</v>
      </c>
      <c r="V934">
        <v>0.53455900000000001</v>
      </c>
      <c r="W934">
        <v>6.3004000000000004E-2</v>
      </c>
    </row>
    <row r="935" spans="1:23" x14ac:dyDescent="0.35">
      <c r="A935" t="s">
        <v>2</v>
      </c>
      <c r="B935">
        <v>5750</v>
      </c>
      <c r="C935">
        <v>12</v>
      </c>
      <c r="D935">
        <v>419</v>
      </c>
      <c r="E935">
        <v>0</v>
      </c>
      <c r="F935">
        <v>9255082436</v>
      </c>
      <c r="G935">
        <v>10406444.75</v>
      </c>
      <c r="H935">
        <v>9212237514.6599998</v>
      </c>
      <c r="I935">
        <v>9244675991.25</v>
      </c>
      <c r="J935">
        <v>4.1258000000000003E-2</v>
      </c>
      <c r="K935">
        <v>0</v>
      </c>
      <c r="M935" t="s">
        <v>0</v>
      </c>
      <c r="N935">
        <v>7000</v>
      </c>
      <c r="O935">
        <v>7</v>
      </c>
      <c r="P935">
        <v>4963</v>
      </c>
      <c r="Q935">
        <v>0</v>
      </c>
      <c r="R935">
        <v>138796607737</v>
      </c>
      <c r="S935">
        <v>120685101.7</v>
      </c>
      <c r="T935">
        <v>132427775617.49001</v>
      </c>
      <c r="U935">
        <v>138173515471.48001</v>
      </c>
      <c r="V935">
        <v>0.424626</v>
      </c>
      <c r="W935">
        <v>4.2582000000000002E-2</v>
      </c>
    </row>
    <row r="936" spans="1:23" x14ac:dyDescent="0.35">
      <c r="A936" t="s">
        <v>0</v>
      </c>
      <c r="B936">
        <v>7250</v>
      </c>
      <c r="C936">
        <v>12</v>
      </c>
      <c r="D936">
        <v>6857</v>
      </c>
      <c r="E936">
        <v>0</v>
      </c>
      <c r="F936">
        <v>181783193021</v>
      </c>
      <c r="G936">
        <v>155232427.94999999</v>
      </c>
      <c r="H936">
        <v>175860030993.60999</v>
      </c>
      <c r="I936">
        <v>180645880665.04999</v>
      </c>
      <c r="J936">
        <v>0.32085999999999998</v>
      </c>
      <c r="K936">
        <v>6.2937999999999994E-2</v>
      </c>
      <c r="M936" t="s">
        <v>0</v>
      </c>
      <c r="N936">
        <v>7000</v>
      </c>
      <c r="O936">
        <v>8</v>
      </c>
      <c r="P936">
        <v>6004</v>
      </c>
      <c r="Q936">
        <v>0</v>
      </c>
      <c r="R936">
        <v>164687211469</v>
      </c>
      <c r="S936">
        <v>144323802.74000001</v>
      </c>
      <c r="T936">
        <v>159180607673.19</v>
      </c>
      <c r="U936">
        <v>164112350957.14001</v>
      </c>
      <c r="V936">
        <v>0.32781900000000003</v>
      </c>
      <c r="W936">
        <v>3.0924E-2</v>
      </c>
    </row>
    <row r="937" spans="1:23" x14ac:dyDescent="0.35">
      <c r="A937" t="s">
        <v>1</v>
      </c>
      <c r="B937">
        <v>7250</v>
      </c>
      <c r="C937">
        <v>12</v>
      </c>
      <c r="D937">
        <v>1304</v>
      </c>
      <c r="E937">
        <v>0</v>
      </c>
      <c r="F937">
        <v>36295907432</v>
      </c>
      <c r="G937">
        <v>31120290.550000001</v>
      </c>
      <c r="H937">
        <v>33667088569.290001</v>
      </c>
      <c r="I937">
        <v>35871634910.059998</v>
      </c>
      <c r="J937">
        <v>0.58980500000000002</v>
      </c>
      <c r="K937">
        <v>0.122512</v>
      </c>
      <c r="M937" t="s">
        <v>0</v>
      </c>
      <c r="N937">
        <v>6250</v>
      </c>
      <c r="O937">
        <v>8</v>
      </c>
      <c r="P937">
        <v>12686</v>
      </c>
      <c r="Q937">
        <v>0</v>
      </c>
      <c r="R937">
        <v>418852872323</v>
      </c>
      <c r="S937">
        <v>422759610.30000001</v>
      </c>
      <c r="T937">
        <v>413513371052.90002</v>
      </c>
      <c r="U937">
        <v>418162348722.09998</v>
      </c>
      <c r="V937">
        <v>0.13211500000000001</v>
      </c>
      <c r="W937">
        <v>7.6439999999999998E-3</v>
      </c>
    </row>
    <row r="938" spans="1:23" x14ac:dyDescent="0.35">
      <c r="A938" t="s">
        <v>1</v>
      </c>
      <c r="B938">
        <v>6750</v>
      </c>
      <c r="C938">
        <v>10</v>
      </c>
      <c r="D938">
        <v>5284</v>
      </c>
      <c r="E938">
        <v>0</v>
      </c>
      <c r="F938">
        <v>182361484710</v>
      </c>
      <c r="G938">
        <v>170173659.27000001</v>
      </c>
      <c r="H938">
        <v>174410743998.25</v>
      </c>
      <c r="I938">
        <v>181641212431.45001</v>
      </c>
      <c r="J938">
        <v>0.40739700000000001</v>
      </c>
      <c r="K938">
        <v>3.5603999999999997E-2</v>
      </c>
      <c r="M938" t="s">
        <v>0</v>
      </c>
      <c r="N938">
        <v>6250</v>
      </c>
      <c r="O938">
        <v>9</v>
      </c>
      <c r="P938">
        <v>12049</v>
      </c>
      <c r="Q938">
        <v>0</v>
      </c>
      <c r="R938">
        <v>399860129493</v>
      </c>
      <c r="S938">
        <v>405264909.32999998</v>
      </c>
      <c r="T938">
        <v>394916930594.54999</v>
      </c>
      <c r="U938">
        <v>399352225129.44</v>
      </c>
      <c r="V938">
        <v>0.127999</v>
      </c>
      <c r="W938">
        <v>3.0760000000000002E-3</v>
      </c>
    </row>
    <row r="939" spans="1:23" x14ac:dyDescent="0.35">
      <c r="A939" t="s">
        <v>2</v>
      </c>
      <c r="B939">
        <v>6250</v>
      </c>
      <c r="C939">
        <v>12</v>
      </c>
      <c r="D939">
        <v>1629</v>
      </c>
      <c r="E939">
        <v>0</v>
      </c>
      <c r="F939">
        <v>34516853452</v>
      </c>
      <c r="G939">
        <v>35530862.920000002</v>
      </c>
      <c r="H939">
        <v>34436321293.110001</v>
      </c>
      <c r="I939">
        <v>34481322589.080002</v>
      </c>
      <c r="J939">
        <v>1.5533E-2</v>
      </c>
      <c r="K939">
        <v>0</v>
      </c>
      <c r="M939" t="s">
        <v>0</v>
      </c>
      <c r="N939">
        <v>7000</v>
      </c>
      <c r="O939">
        <v>9</v>
      </c>
      <c r="P939">
        <v>6784</v>
      </c>
      <c r="Q939">
        <v>0</v>
      </c>
      <c r="R939">
        <v>186520431550</v>
      </c>
      <c r="S939">
        <v>164743232.61000001</v>
      </c>
      <c r="T939">
        <v>180959264937.63</v>
      </c>
      <c r="U939">
        <v>185508380577.07999</v>
      </c>
      <c r="V939">
        <v>0.296935</v>
      </c>
      <c r="W939">
        <v>5.3171000000000003E-2</v>
      </c>
    </row>
    <row r="940" spans="1:23" x14ac:dyDescent="0.35">
      <c r="A940" t="s">
        <v>1</v>
      </c>
      <c r="B940">
        <v>6250</v>
      </c>
      <c r="C940">
        <v>12</v>
      </c>
      <c r="D940">
        <v>17837</v>
      </c>
      <c r="E940">
        <v>0</v>
      </c>
      <c r="F940">
        <v>675130734648</v>
      </c>
      <c r="G940">
        <v>695743884.29999995</v>
      </c>
      <c r="H940">
        <v>661052651376.68994</v>
      </c>
      <c r="I940">
        <v>673231161720.56995</v>
      </c>
      <c r="J940">
        <v>0.21357000000000001</v>
      </c>
      <c r="K940">
        <v>2.1189E-2</v>
      </c>
      <c r="M940" t="s">
        <v>1</v>
      </c>
      <c r="N940">
        <v>7000</v>
      </c>
      <c r="O940">
        <v>8</v>
      </c>
      <c r="P940">
        <v>1346</v>
      </c>
      <c r="Q940">
        <v>0</v>
      </c>
      <c r="R940">
        <v>40809122463</v>
      </c>
      <c r="S940">
        <v>35713858.530000001</v>
      </c>
      <c r="T940">
        <v>35907889083.849998</v>
      </c>
      <c r="U940">
        <v>40651397573.93</v>
      </c>
      <c r="V940">
        <v>0.78204200000000001</v>
      </c>
      <c r="W940">
        <v>3.5292999999999998E-2</v>
      </c>
    </row>
    <row r="941" spans="1:23" x14ac:dyDescent="0.35">
      <c r="A941" t="s">
        <v>0</v>
      </c>
      <c r="B941">
        <v>5750</v>
      </c>
      <c r="C941">
        <v>12</v>
      </c>
      <c r="D941">
        <v>10723</v>
      </c>
      <c r="E941">
        <v>0</v>
      </c>
      <c r="F941">
        <v>368106303623</v>
      </c>
      <c r="G941">
        <v>415262016.79000002</v>
      </c>
      <c r="H941">
        <v>365478700726.46997</v>
      </c>
      <c r="I941">
        <v>367455989077.76001</v>
      </c>
      <c r="J941">
        <v>6.9783999999999999E-2</v>
      </c>
      <c r="K941">
        <v>7.6360000000000004E-3</v>
      </c>
      <c r="M941" t="s">
        <v>0</v>
      </c>
      <c r="N941">
        <v>6750</v>
      </c>
      <c r="O941">
        <v>9</v>
      </c>
      <c r="P941">
        <v>14955</v>
      </c>
      <c r="Q941">
        <v>0</v>
      </c>
      <c r="R941">
        <v>452916701636</v>
      </c>
      <c r="S941">
        <v>419620397.08999997</v>
      </c>
      <c r="T941">
        <v>441494938715.57001</v>
      </c>
      <c r="U941">
        <v>451652320996.16998</v>
      </c>
      <c r="V941">
        <v>0.25554300000000002</v>
      </c>
      <c r="W941">
        <v>2.2154E-2</v>
      </c>
    </row>
    <row r="942" spans="1:23" x14ac:dyDescent="0.35">
      <c r="A942" t="s">
        <v>1</v>
      </c>
      <c r="B942">
        <v>5750</v>
      </c>
      <c r="C942">
        <v>12</v>
      </c>
      <c r="D942">
        <v>13131</v>
      </c>
      <c r="E942">
        <v>0</v>
      </c>
      <c r="F942">
        <v>553714694472</v>
      </c>
      <c r="G942">
        <v>625287264.35000002</v>
      </c>
      <c r="H942">
        <v>547877137853.79999</v>
      </c>
      <c r="I942">
        <v>552375915814.38</v>
      </c>
      <c r="J942">
        <v>0.107291</v>
      </c>
      <c r="K942">
        <v>1.5354E-2</v>
      </c>
      <c r="M942" t="s">
        <v>0</v>
      </c>
      <c r="N942">
        <v>6750</v>
      </c>
      <c r="O942">
        <v>8</v>
      </c>
      <c r="P942">
        <v>14595</v>
      </c>
      <c r="Q942">
        <v>0</v>
      </c>
      <c r="R942">
        <v>429946213142</v>
      </c>
      <c r="S942">
        <v>395930690.47000003</v>
      </c>
      <c r="T942">
        <v>416421667721.52002</v>
      </c>
      <c r="U942">
        <v>428898983147.21002</v>
      </c>
      <c r="V942">
        <v>0.31074000000000002</v>
      </c>
      <c r="W942">
        <v>1.8027000000000001E-2</v>
      </c>
    </row>
    <row r="943" spans="1:23" x14ac:dyDescent="0.35">
      <c r="A943" t="s">
        <v>0</v>
      </c>
      <c r="B943">
        <v>5500</v>
      </c>
      <c r="C943">
        <v>12</v>
      </c>
      <c r="D943">
        <v>4778</v>
      </c>
      <c r="E943">
        <v>0</v>
      </c>
      <c r="F943">
        <v>161184264937</v>
      </c>
      <c r="G943">
        <v>190051956.83000001</v>
      </c>
      <c r="H943">
        <v>160432217352.84</v>
      </c>
      <c r="I943">
        <v>160819510915.45001</v>
      </c>
      <c r="J943">
        <v>4.1047E-2</v>
      </c>
      <c r="K943">
        <v>1.2929E-2</v>
      </c>
      <c r="M943" t="s">
        <v>0</v>
      </c>
      <c r="N943">
        <v>6250</v>
      </c>
      <c r="O943">
        <v>12</v>
      </c>
      <c r="P943">
        <v>28144</v>
      </c>
      <c r="Q943">
        <v>0</v>
      </c>
      <c r="R943">
        <v>929427307338</v>
      </c>
      <c r="S943">
        <v>957435202.53999996</v>
      </c>
      <c r="T943">
        <v>916895252914.87</v>
      </c>
      <c r="U943">
        <v>927931566007.93994</v>
      </c>
      <c r="V943">
        <v>0.13961899999999999</v>
      </c>
      <c r="W943">
        <v>6.9280000000000001E-3</v>
      </c>
    </row>
    <row r="944" spans="1:23" x14ac:dyDescent="0.35">
      <c r="A944" t="s">
        <v>1</v>
      </c>
      <c r="B944">
        <v>5500</v>
      </c>
      <c r="C944">
        <v>12</v>
      </c>
      <c r="D944">
        <v>3647</v>
      </c>
      <c r="E944">
        <v>0</v>
      </c>
      <c r="F944">
        <v>158420806183</v>
      </c>
      <c r="G944">
        <v>186603562.03</v>
      </c>
      <c r="H944">
        <v>156491653010.75</v>
      </c>
      <c r="I944">
        <v>157943423357.66</v>
      </c>
      <c r="J944">
        <v>0.124294</v>
      </c>
      <c r="K944">
        <v>2.1805000000000001E-2</v>
      </c>
      <c r="M944" t="s">
        <v>2</v>
      </c>
      <c r="N944">
        <v>6250</v>
      </c>
      <c r="O944">
        <v>8</v>
      </c>
      <c r="P944">
        <v>905</v>
      </c>
      <c r="Q944">
        <v>0</v>
      </c>
      <c r="R944">
        <v>19648704465</v>
      </c>
      <c r="S944">
        <v>19714808.050000001</v>
      </c>
      <c r="T944">
        <v>19583218610.240002</v>
      </c>
      <c r="U944">
        <v>19628989656.950001</v>
      </c>
      <c r="V944">
        <v>2.7598000000000001E-2</v>
      </c>
      <c r="W944">
        <v>0</v>
      </c>
    </row>
    <row r="945" spans="1:23" x14ac:dyDescent="0.35">
      <c r="A945" t="s">
        <v>0</v>
      </c>
      <c r="B945">
        <v>7750</v>
      </c>
      <c r="C945">
        <v>12</v>
      </c>
      <c r="D945">
        <v>1636</v>
      </c>
      <c r="E945">
        <v>0</v>
      </c>
      <c r="F945">
        <v>42923221356</v>
      </c>
      <c r="G945">
        <v>33193798.68</v>
      </c>
      <c r="H945">
        <v>41142618766.290001</v>
      </c>
      <c r="I945">
        <v>42314077953.800003</v>
      </c>
      <c r="J945">
        <v>0.39270699999999997</v>
      </c>
      <c r="K945">
        <v>0.14965000000000001</v>
      </c>
      <c r="M945" t="s">
        <v>1</v>
      </c>
      <c r="N945">
        <v>6250</v>
      </c>
      <c r="O945">
        <v>8</v>
      </c>
      <c r="P945">
        <v>9650</v>
      </c>
      <c r="Q945">
        <v>0</v>
      </c>
      <c r="R945">
        <v>388545637056</v>
      </c>
      <c r="S945">
        <v>391682884.19</v>
      </c>
      <c r="T945">
        <v>370345529313.13</v>
      </c>
      <c r="U945">
        <v>387864252153.67999</v>
      </c>
      <c r="V945">
        <v>0.43050500000000003</v>
      </c>
      <c r="W945">
        <v>8.9110000000000005E-3</v>
      </c>
    </row>
    <row r="946" spans="1:23" x14ac:dyDescent="0.35">
      <c r="A946" t="s">
        <v>0</v>
      </c>
      <c r="B946">
        <v>7500</v>
      </c>
      <c r="C946">
        <v>12</v>
      </c>
      <c r="D946">
        <v>1564</v>
      </c>
      <c r="E946">
        <v>0</v>
      </c>
      <c r="F946">
        <v>39742170503</v>
      </c>
      <c r="G946">
        <v>32304802.93</v>
      </c>
      <c r="H946">
        <v>38839696588.120003</v>
      </c>
      <c r="I946">
        <v>39447621516.059998</v>
      </c>
      <c r="J946">
        <v>0.23330300000000001</v>
      </c>
      <c r="K946">
        <v>7.6371999999999995E-2</v>
      </c>
      <c r="M946" t="s">
        <v>0</v>
      </c>
      <c r="N946">
        <v>6250</v>
      </c>
      <c r="O946">
        <v>10</v>
      </c>
      <c r="P946">
        <v>13785</v>
      </c>
      <c r="Q946">
        <v>0</v>
      </c>
      <c r="R946">
        <v>451025743463</v>
      </c>
      <c r="S946">
        <v>460208461.49000001</v>
      </c>
      <c r="T946">
        <v>445320230851.59998</v>
      </c>
      <c r="U946">
        <v>450389414244.39001</v>
      </c>
      <c r="V946">
        <v>0.130967</v>
      </c>
      <c r="W946">
        <v>4.6759999999999996E-3</v>
      </c>
    </row>
    <row r="947" spans="1:23" x14ac:dyDescent="0.35">
      <c r="A947" t="s">
        <v>1</v>
      </c>
      <c r="B947">
        <v>6750</v>
      </c>
      <c r="C947">
        <v>12</v>
      </c>
      <c r="D947">
        <v>7486</v>
      </c>
      <c r="E947">
        <v>0</v>
      </c>
      <c r="F947">
        <v>241160875774</v>
      </c>
      <c r="G947">
        <v>227211509</v>
      </c>
      <c r="H947">
        <v>230634038952.75</v>
      </c>
      <c r="I947">
        <v>239430206790.32001</v>
      </c>
      <c r="J947">
        <v>0.40771600000000002</v>
      </c>
      <c r="K947">
        <v>7.2298000000000001E-2</v>
      </c>
      <c r="M947" t="s">
        <v>2</v>
      </c>
      <c r="N947">
        <v>6250</v>
      </c>
      <c r="O947">
        <v>9</v>
      </c>
      <c r="P947">
        <v>715</v>
      </c>
      <c r="Q947">
        <v>0</v>
      </c>
      <c r="R947">
        <v>15541951320</v>
      </c>
      <c r="S947">
        <v>15704066.210000001</v>
      </c>
      <c r="T947">
        <v>15526247253.790001</v>
      </c>
      <c r="U947">
        <v>15526247253.790001</v>
      </c>
      <c r="V947">
        <v>0</v>
      </c>
      <c r="W947">
        <v>0</v>
      </c>
    </row>
    <row r="948" spans="1:23" x14ac:dyDescent="0.35">
      <c r="A948" t="s">
        <v>1</v>
      </c>
      <c r="B948">
        <v>5250</v>
      </c>
      <c r="C948">
        <v>12</v>
      </c>
      <c r="D948">
        <v>1716</v>
      </c>
      <c r="E948">
        <v>0</v>
      </c>
      <c r="F948">
        <v>71314136467</v>
      </c>
      <c r="G948">
        <v>87705289.010000005</v>
      </c>
      <c r="H948">
        <v>70735742684.259995</v>
      </c>
      <c r="I948">
        <v>71087725584.190002</v>
      </c>
      <c r="J948">
        <v>7.9514000000000001E-2</v>
      </c>
      <c r="K948">
        <v>2.3092000000000001E-2</v>
      </c>
      <c r="M948" t="s">
        <v>0</v>
      </c>
      <c r="N948">
        <v>5750</v>
      </c>
      <c r="O948">
        <v>9</v>
      </c>
      <c r="P948">
        <v>2823</v>
      </c>
      <c r="Q948">
        <v>0</v>
      </c>
      <c r="R948">
        <v>93367769262</v>
      </c>
      <c r="S948">
        <v>103845463.53</v>
      </c>
      <c r="T948">
        <v>92593807159.100006</v>
      </c>
      <c r="U948">
        <v>93214956533.369995</v>
      </c>
      <c r="V948">
        <v>8.2806000000000005E-2</v>
      </c>
      <c r="W948">
        <v>6.2750000000000002E-3</v>
      </c>
    </row>
    <row r="949" spans="1:23" x14ac:dyDescent="0.35">
      <c r="A949" t="s">
        <v>1</v>
      </c>
      <c r="B949">
        <v>6750</v>
      </c>
      <c r="C949">
        <v>14</v>
      </c>
      <c r="D949">
        <v>7175</v>
      </c>
      <c r="E949">
        <v>0</v>
      </c>
      <c r="F949">
        <v>231905048140</v>
      </c>
      <c r="G949">
        <v>221471968.80000001</v>
      </c>
      <c r="H949">
        <v>223492984929.84</v>
      </c>
      <c r="I949">
        <v>230807752283.20001</v>
      </c>
      <c r="J949">
        <v>0.35045999999999999</v>
      </c>
      <c r="K949">
        <v>4.4389999999999999E-2</v>
      </c>
      <c r="M949" t="s">
        <v>2</v>
      </c>
      <c r="N949">
        <v>5750</v>
      </c>
      <c r="O949">
        <v>8</v>
      </c>
      <c r="P949">
        <v>161</v>
      </c>
      <c r="Q949">
        <v>0</v>
      </c>
      <c r="R949">
        <v>3400780829</v>
      </c>
      <c r="S949">
        <v>3741791.57</v>
      </c>
      <c r="T949">
        <v>3397039037.4299998</v>
      </c>
      <c r="U949">
        <v>3397039037.4299998</v>
      </c>
      <c r="V949">
        <v>0</v>
      </c>
      <c r="W949">
        <v>0</v>
      </c>
    </row>
    <row r="950" spans="1:23" x14ac:dyDescent="0.35">
      <c r="A950" t="s">
        <v>2</v>
      </c>
      <c r="B950">
        <v>7000</v>
      </c>
      <c r="C950">
        <v>14</v>
      </c>
      <c r="D950">
        <v>439</v>
      </c>
      <c r="E950">
        <v>0</v>
      </c>
      <c r="F950">
        <v>7391019347</v>
      </c>
      <c r="G950">
        <v>6730553.29</v>
      </c>
      <c r="H950">
        <v>7296658544.4200001</v>
      </c>
      <c r="I950">
        <v>7342818098.4099998</v>
      </c>
      <c r="J950">
        <v>0.133355</v>
      </c>
      <c r="K950">
        <v>6.5292000000000003E-2</v>
      </c>
      <c r="M950" t="s">
        <v>1</v>
      </c>
      <c r="N950">
        <v>5750</v>
      </c>
      <c r="O950">
        <v>9</v>
      </c>
      <c r="P950">
        <v>2011</v>
      </c>
      <c r="Q950">
        <v>0</v>
      </c>
      <c r="R950">
        <v>83639884201</v>
      </c>
      <c r="S950">
        <v>92788047.319999993</v>
      </c>
      <c r="T950">
        <v>82128403543.75</v>
      </c>
      <c r="U950">
        <v>83547096153.679993</v>
      </c>
      <c r="V950">
        <v>0.185588</v>
      </c>
      <c r="W950">
        <v>0</v>
      </c>
    </row>
    <row r="951" spans="1:23" x14ac:dyDescent="0.35">
      <c r="A951" t="s">
        <v>2</v>
      </c>
      <c r="B951">
        <v>6750</v>
      </c>
      <c r="C951">
        <v>14</v>
      </c>
      <c r="D951">
        <v>1272</v>
      </c>
      <c r="E951">
        <v>0</v>
      </c>
      <c r="F951">
        <v>23693108080</v>
      </c>
      <c r="G951">
        <v>22561320.09</v>
      </c>
      <c r="H951">
        <v>23587987785.299999</v>
      </c>
      <c r="I951">
        <v>23670546759.91</v>
      </c>
      <c r="J951">
        <v>4.1022000000000003E-2</v>
      </c>
      <c r="K951">
        <v>0</v>
      </c>
      <c r="M951" t="s">
        <v>2</v>
      </c>
      <c r="N951">
        <v>5750</v>
      </c>
      <c r="O951">
        <v>9</v>
      </c>
      <c r="P951">
        <v>131</v>
      </c>
      <c r="Q951">
        <v>0</v>
      </c>
      <c r="R951">
        <v>2919214307</v>
      </c>
      <c r="S951">
        <v>3232399.3</v>
      </c>
      <c r="T951">
        <v>2915981907.6999998</v>
      </c>
      <c r="U951">
        <v>2915981907.6999998</v>
      </c>
      <c r="V951">
        <v>0</v>
      </c>
      <c r="W951">
        <v>0</v>
      </c>
    </row>
    <row r="952" spans="1:23" x14ac:dyDescent="0.35">
      <c r="A952" t="s">
        <v>0</v>
      </c>
      <c r="B952">
        <v>5750</v>
      </c>
      <c r="C952">
        <v>14</v>
      </c>
      <c r="D952">
        <v>7118</v>
      </c>
      <c r="E952">
        <v>0</v>
      </c>
      <c r="F952">
        <v>240800446861</v>
      </c>
      <c r="G952">
        <v>274503680.06999999</v>
      </c>
      <c r="H952">
        <v>239250902204.04999</v>
      </c>
      <c r="I952">
        <v>240413748978.89999</v>
      </c>
      <c r="J952">
        <v>6.1721999999999999E-2</v>
      </c>
      <c r="K952">
        <v>5.5770000000000004E-3</v>
      </c>
      <c r="M952" t="s">
        <v>0</v>
      </c>
      <c r="N952">
        <v>8000</v>
      </c>
      <c r="O952">
        <v>10</v>
      </c>
      <c r="P952">
        <v>154</v>
      </c>
      <c r="Q952">
        <v>0</v>
      </c>
      <c r="R952">
        <v>4437073944</v>
      </c>
      <c r="S952">
        <v>3273328.89</v>
      </c>
      <c r="T952">
        <v>4416274265.5100002</v>
      </c>
      <c r="U952">
        <v>4433800615.1099997</v>
      </c>
      <c r="V952">
        <v>4.6383000000000001E-2</v>
      </c>
      <c r="W952">
        <v>0</v>
      </c>
    </row>
    <row r="953" spans="1:23" x14ac:dyDescent="0.35">
      <c r="A953" t="s">
        <v>0</v>
      </c>
      <c r="B953">
        <v>5500</v>
      </c>
      <c r="C953">
        <v>14</v>
      </c>
      <c r="D953">
        <v>4035</v>
      </c>
      <c r="E953">
        <v>0</v>
      </c>
      <c r="F953">
        <v>131659573176</v>
      </c>
      <c r="G953">
        <v>156747257.72999999</v>
      </c>
      <c r="H953">
        <v>131123957460.77</v>
      </c>
      <c r="I953">
        <v>131349729644.35001</v>
      </c>
      <c r="J953">
        <v>3.3989999999999999E-2</v>
      </c>
      <c r="K953">
        <v>1.3865000000000001E-2</v>
      </c>
      <c r="M953" t="s">
        <v>0</v>
      </c>
      <c r="N953">
        <v>7750</v>
      </c>
      <c r="O953">
        <v>9</v>
      </c>
      <c r="P953">
        <v>1250</v>
      </c>
      <c r="Q953">
        <v>0</v>
      </c>
      <c r="R953">
        <v>32570809294</v>
      </c>
      <c r="S953">
        <v>24796801.350000001</v>
      </c>
      <c r="T953">
        <v>32063123923.810001</v>
      </c>
      <c r="U953">
        <v>32497946701.439999</v>
      </c>
      <c r="V953">
        <v>0.16409599999999999</v>
      </c>
      <c r="W953">
        <v>1.7565999999999998E-2</v>
      </c>
    </row>
    <row r="954" spans="1:23" x14ac:dyDescent="0.35">
      <c r="A954" t="s">
        <v>0</v>
      </c>
      <c r="B954">
        <v>7750</v>
      </c>
      <c r="C954">
        <v>14</v>
      </c>
      <c r="D954">
        <v>1470</v>
      </c>
      <c r="E954">
        <v>0</v>
      </c>
      <c r="F954">
        <v>38574009645</v>
      </c>
      <c r="G954">
        <v>30286272.440000001</v>
      </c>
      <c r="H954">
        <v>37008641551.720001</v>
      </c>
      <c r="I954">
        <v>37729450573.290001</v>
      </c>
      <c r="J954">
        <v>0.38572400000000001</v>
      </c>
      <c r="K954">
        <v>0.22587699999999999</v>
      </c>
      <c r="M954" t="s">
        <v>0</v>
      </c>
      <c r="N954">
        <v>7750</v>
      </c>
      <c r="O954">
        <v>8</v>
      </c>
      <c r="P954">
        <v>1077</v>
      </c>
      <c r="Q954">
        <v>0</v>
      </c>
      <c r="R954">
        <v>28794239554</v>
      </c>
      <c r="S954">
        <v>21730302.91</v>
      </c>
      <c r="T954">
        <v>28201039176.02</v>
      </c>
      <c r="U954">
        <v>28670120497.77</v>
      </c>
      <c r="V954">
        <v>0.213809</v>
      </c>
      <c r="W954">
        <v>4.1846000000000001E-2</v>
      </c>
    </row>
    <row r="955" spans="1:23" x14ac:dyDescent="0.35">
      <c r="A955" t="s">
        <v>2</v>
      </c>
      <c r="B955">
        <v>6750</v>
      </c>
      <c r="C955">
        <v>12</v>
      </c>
      <c r="D955">
        <v>1312</v>
      </c>
      <c r="E955">
        <v>0</v>
      </c>
      <c r="F955">
        <v>23909567897</v>
      </c>
      <c r="G955">
        <v>22496664.440000001</v>
      </c>
      <c r="H955">
        <v>23761497385.09</v>
      </c>
      <c r="I955">
        <v>23868838974.349998</v>
      </c>
      <c r="J955">
        <v>6.1234999999999998E-2</v>
      </c>
      <c r="K955">
        <v>9.1120000000000003E-3</v>
      </c>
      <c r="M955" t="s">
        <v>0</v>
      </c>
      <c r="N955">
        <v>7500</v>
      </c>
      <c r="O955">
        <v>9</v>
      </c>
      <c r="P955">
        <v>1040</v>
      </c>
      <c r="Q955">
        <v>0</v>
      </c>
      <c r="R955">
        <v>28739007521</v>
      </c>
      <c r="S955">
        <v>22980812.600000001</v>
      </c>
      <c r="T955">
        <v>27718547725.84</v>
      </c>
      <c r="U955">
        <v>28537417412.869999</v>
      </c>
      <c r="V955">
        <v>0.34550900000000001</v>
      </c>
      <c r="W955">
        <v>7.2081000000000006E-2</v>
      </c>
    </row>
    <row r="956" spans="1:23" x14ac:dyDescent="0.35">
      <c r="A956" t="s">
        <v>2</v>
      </c>
      <c r="B956">
        <v>6750</v>
      </c>
      <c r="C956">
        <v>10</v>
      </c>
      <c r="D956">
        <v>671</v>
      </c>
      <c r="E956">
        <v>0</v>
      </c>
      <c r="F956">
        <v>12487888908</v>
      </c>
      <c r="G956">
        <v>11618437.710000001</v>
      </c>
      <c r="H956">
        <v>12411030259.200001</v>
      </c>
      <c r="I956">
        <v>12444712357.67</v>
      </c>
      <c r="J956">
        <v>6.0921000000000003E-2</v>
      </c>
      <c r="K956">
        <v>2.9907E-2</v>
      </c>
      <c r="M956" t="s">
        <v>2</v>
      </c>
      <c r="N956">
        <v>5750</v>
      </c>
      <c r="O956">
        <v>10</v>
      </c>
      <c r="P956">
        <v>185</v>
      </c>
      <c r="Q956">
        <v>0</v>
      </c>
      <c r="R956">
        <v>3864545738</v>
      </c>
      <c r="S956">
        <v>4304745.53</v>
      </c>
      <c r="T956">
        <v>3860240992.4699998</v>
      </c>
      <c r="U956">
        <v>3860240992.4699998</v>
      </c>
      <c r="V956">
        <v>0</v>
      </c>
      <c r="W956">
        <v>0</v>
      </c>
    </row>
    <row r="957" spans="1:23" x14ac:dyDescent="0.35">
      <c r="A957" t="s">
        <v>2</v>
      </c>
      <c r="B957">
        <v>7000</v>
      </c>
      <c r="C957">
        <v>10</v>
      </c>
      <c r="D957">
        <v>267</v>
      </c>
      <c r="E957">
        <v>0</v>
      </c>
      <c r="F957">
        <v>4390478018</v>
      </c>
      <c r="G957">
        <v>3905190.38</v>
      </c>
      <c r="H957">
        <v>4312596841.8500004</v>
      </c>
      <c r="I957">
        <v>4358620525.3100004</v>
      </c>
      <c r="J957">
        <v>0.18446699999999999</v>
      </c>
      <c r="K957">
        <v>7.3779999999999998E-2</v>
      </c>
      <c r="M957" t="s">
        <v>0</v>
      </c>
      <c r="N957">
        <v>7250</v>
      </c>
      <c r="O957">
        <v>10</v>
      </c>
      <c r="P957">
        <v>4134</v>
      </c>
      <c r="Q957">
        <v>0</v>
      </c>
      <c r="R957">
        <v>112450899175</v>
      </c>
      <c r="S957">
        <v>95113150.700000003</v>
      </c>
      <c r="T957">
        <v>109132103889.67999</v>
      </c>
      <c r="U957">
        <v>111939151170.02</v>
      </c>
      <c r="V957">
        <v>0.29463299999999998</v>
      </c>
      <c r="W957">
        <v>4.3566000000000001E-2</v>
      </c>
    </row>
    <row r="958" spans="1:23" x14ac:dyDescent="0.35">
      <c r="A958" t="s">
        <v>0</v>
      </c>
      <c r="B958">
        <v>6500</v>
      </c>
      <c r="C958">
        <v>8</v>
      </c>
      <c r="D958">
        <v>10979</v>
      </c>
      <c r="E958">
        <v>0</v>
      </c>
      <c r="F958">
        <v>328351962819</v>
      </c>
      <c r="G958">
        <v>315582874.62</v>
      </c>
      <c r="H958">
        <v>323622114305.40997</v>
      </c>
      <c r="I958">
        <v>327484076120.78003</v>
      </c>
      <c r="J958">
        <v>0.14991499999999999</v>
      </c>
      <c r="K958">
        <v>1.9998999999999999E-2</v>
      </c>
      <c r="M958" t="s">
        <v>1</v>
      </c>
      <c r="N958">
        <v>7250</v>
      </c>
      <c r="O958">
        <v>10</v>
      </c>
      <c r="P958">
        <v>780</v>
      </c>
      <c r="Q958">
        <v>0</v>
      </c>
      <c r="R958">
        <v>22716998183</v>
      </c>
      <c r="S958">
        <v>19293152.120000001</v>
      </c>
      <c r="T958">
        <v>20743732652.970001</v>
      </c>
      <c r="U958">
        <v>22523279612.18</v>
      </c>
      <c r="V958">
        <v>0.66015900000000005</v>
      </c>
      <c r="W958">
        <v>8.8345000000000007E-2</v>
      </c>
    </row>
    <row r="959" spans="1:23" x14ac:dyDescent="0.35">
      <c r="A959" t="s">
        <v>2</v>
      </c>
      <c r="B959">
        <v>6500</v>
      </c>
      <c r="C959">
        <v>8</v>
      </c>
      <c r="D959">
        <v>745</v>
      </c>
      <c r="E959">
        <v>0</v>
      </c>
      <c r="F959">
        <v>15398582998</v>
      </c>
      <c r="G959">
        <v>14818409.640000001</v>
      </c>
      <c r="H959">
        <v>15368079518.23</v>
      </c>
      <c r="I959">
        <v>15368079518.23</v>
      </c>
      <c r="J959">
        <v>1.2154999999999999E-2</v>
      </c>
      <c r="K959">
        <v>1.2154999999999999E-2</v>
      </c>
      <c r="M959" t="s">
        <v>0</v>
      </c>
      <c r="N959">
        <v>6750</v>
      </c>
      <c r="O959">
        <v>10</v>
      </c>
      <c r="P959">
        <v>13548</v>
      </c>
      <c r="Q959">
        <v>0</v>
      </c>
      <c r="R959">
        <v>402672254850</v>
      </c>
      <c r="S959">
        <v>375531009.91000003</v>
      </c>
      <c r="T959">
        <v>393554470860.53003</v>
      </c>
      <c r="U959">
        <v>401466002939.46002</v>
      </c>
      <c r="V959">
        <v>0.23156299999999999</v>
      </c>
      <c r="W959">
        <v>2.4476999999999999E-2</v>
      </c>
    </row>
    <row r="960" spans="1:23" x14ac:dyDescent="0.35">
      <c r="A960" t="s">
        <v>1</v>
      </c>
      <c r="B960">
        <v>6500</v>
      </c>
      <c r="C960">
        <v>9</v>
      </c>
      <c r="D960">
        <v>4841</v>
      </c>
      <c r="E960">
        <v>0</v>
      </c>
      <c r="F960">
        <v>170715847408</v>
      </c>
      <c r="G960">
        <v>164639329.28999999</v>
      </c>
      <c r="H960">
        <v>164999812229.34</v>
      </c>
      <c r="I960">
        <v>170296386317.78</v>
      </c>
      <c r="J960">
        <v>0.32746799999999998</v>
      </c>
      <c r="K960">
        <v>1.7766000000000001E-2</v>
      </c>
      <c r="M960" t="s">
        <v>1</v>
      </c>
      <c r="N960">
        <v>6750</v>
      </c>
      <c r="O960">
        <v>9</v>
      </c>
      <c r="P960">
        <v>5596</v>
      </c>
      <c r="Q960">
        <v>0</v>
      </c>
      <c r="R960">
        <v>194666755557</v>
      </c>
      <c r="S960">
        <v>180470562.13</v>
      </c>
      <c r="T960">
        <v>182536954041.59</v>
      </c>
      <c r="U960">
        <v>193844977292.82999</v>
      </c>
      <c r="V960">
        <v>0.53241799999999995</v>
      </c>
      <c r="W960">
        <v>3.8823999999999997E-2</v>
      </c>
    </row>
    <row r="961" spans="1:23" x14ac:dyDescent="0.35">
      <c r="A961" t="s">
        <v>0</v>
      </c>
      <c r="B961">
        <v>6000</v>
      </c>
      <c r="C961">
        <v>7</v>
      </c>
      <c r="D961">
        <v>11097</v>
      </c>
      <c r="E961">
        <v>0</v>
      </c>
      <c r="F961">
        <v>351969121954</v>
      </c>
      <c r="G961">
        <v>368724004.83999997</v>
      </c>
      <c r="H961">
        <v>349164680344.48999</v>
      </c>
      <c r="I961">
        <v>351439545850.64001</v>
      </c>
      <c r="J961">
        <v>7.9953999999999997E-2</v>
      </c>
      <c r="K961">
        <v>5.47E-3</v>
      </c>
      <c r="M961" t="s">
        <v>2</v>
      </c>
      <c r="N961">
        <v>6250</v>
      </c>
      <c r="O961">
        <v>10</v>
      </c>
      <c r="P961">
        <v>804</v>
      </c>
      <c r="Q961">
        <v>0</v>
      </c>
      <c r="R961">
        <v>16823452173</v>
      </c>
      <c r="S961">
        <v>17148425.890000001</v>
      </c>
      <c r="T961">
        <v>16776811745.559999</v>
      </c>
      <c r="U961">
        <v>16776811745.559999</v>
      </c>
      <c r="V961">
        <v>2.0834999999999999E-2</v>
      </c>
      <c r="W961">
        <v>2.0834999999999999E-2</v>
      </c>
    </row>
    <row r="962" spans="1:23" x14ac:dyDescent="0.35">
      <c r="A962" t="s">
        <v>2</v>
      </c>
      <c r="B962">
        <v>6000</v>
      </c>
      <c r="C962">
        <v>7</v>
      </c>
      <c r="D962">
        <v>622</v>
      </c>
      <c r="E962">
        <v>0</v>
      </c>
      <c r="F962">
        <v>13653781625</v>
      </c>
      <c r="G962">
        <v>14299307.51</v>
      </c>
      <c r="H962">
        <v>13617938149.299999</v>
      </c>
      <c r="I962">
        <v>13639482317.49</v>
      </c>
      <c r="J962">
        <v>1.8770999999999999E-2</v>
      </c>
      <c r="K962">
        <v>0</v>
      </c>
      <c r="M962" t="s">
        <v>1</v>
      </c>
      <c r="N962">
        <v>6250</v>
      </c>
      <c r="O962">
        <v>10</v>
      </c>
      <c r="P962">
        <v>9160</v>
      </c>
      <c r="Q962">
        <v>0</v>
      </c>
      <c r="R962">
        <v>354347806645</v>
      </c>
      <c r="S962">
        <v>361553401.61000001</v>
      </c>
      <c r="T962">
        <v>342984729095.29999</v>
      </c>
      <c r="U962">
        <v>353627623078.26001</v>
      </c>
      <c r="V962">
        <v>0.31509399999999999</v>
      </c>
      <c r="W962">
        <v>1.2078E-2</v>
      </c>
    </row>
    <row r="963" spans="1:23" x14ac:dyDescent="0.35">
      <c r="A963" t="s">
        <v>0</v>
      </c>
      <c r="B963">
        <v>6000</v>
      </c>
      <c r="C963">
        <v>6</v>
      </c>
      <c r="D963">
        <v>11482</v>
      </c>
      <c r="E963">
        <v>0</v>
      </c>
      <c r="F963">
        <v>348095205901</v>
      </c>
      <c r="G963">
        <v>362257682.41000003</v>
      </c>
      <c r="H963">
        <v>346002636191.20001</v>
      </c>
      <c r="I963">
        <v>347618676954.42999</v>
      </c>
      <c r="J963">
        <v>5.8046E-2</v>
      </c>
      <c r="K963">
        <v>3.9319999999999997E-3</v>
      </c>
      <c r="M963" t="s">
        <v>0</v>
      </c>
      <c r="N963">
        <v>5750</v>
      </c>
      <c r="O963">
        <v>10</v>
      </c>
      <c r="P963">
        <v>4478</v>
      </c>
      <c r="Q963">
        <v>0</v>
      </c>
      <c r="R963">
        <v>152338349924</v>
      </c>
      <c r="S963">
        <v>170176988.55000001</v>
      </c>
      <c r="T963">
        <v>151621144158.48001</v>
      </c>
      <c r="U963">
        <v>152111666496.67999</v>
      </c>
      <c r="V963">
        <v>4.2250000000000003E-2</v>
      </c>
      <c r="W963">
        <v>4.4419999999999998E-3</v>
      </c>
    </row>
    <row r="964" spans="1:23" x14ac:dyDescent="0.35">
      <c r="A964" t="s">
        <v>1</v>
      </c>
      <c r="B964">
        <v>6000</v>
      </c>
      <c r="C964">
        <v>6</v>
      </c>
      <c r="D964">
        <v>6978</v>
      </c>
      <c r="E964">
        <v>0</v>
      </c>
      <c r="F964">
        <v>260714376400</v>
      </c>
      <c r="G964">
        <v>271785018.56999999</v>
      </c>
      <c r="H964">
        <v>259494071352.42001</v>
      </c>
      <c r="I964">
        <v>260246995966.01001</v>
      </c>
      <c r="J964">
        <v>4.2795E-2</v>
      </c>
      <c r="K964">
        <v>8.966E-3</v>
      </c>
      <c r="M964" t="s">
        <v>0</v>
      </c>
      <c r="N964">
        <v>5750</v>
      </c>
      <c r="O964">
        <v>12</v>
      </c>
      <c r="P964">
        <v>10918</v>
      </c>
      <c r="Q964">
        <v>0</v>
      </c>
      <c r="R964">
        <v>376513852665</v>
      </c>
      <c r="S964">
        <v>424495832.44999999</v>
      </c>
      <c r="T964">
        <v>374564133127.84003</v>
      </c>
      <c r="U964">
        <v>376023989306.97998</v>
      </c>
      <c r="V964">
        <v>4.7542000000000001E-2</v>
      </c>
      <c r="W964">
        <v>2.081E-3</v>
      </c>
    </row>
    <row r="965" spans="1:23" x14ac:dyDescent="0.35">
      <c r="A965" t="s">
        <v>0</v>
      </c>
      <c r="B965">
        <v>6000</v>
      </c>
      <c r="C965">
        <v>5</v>
      </c>
      <c r="D965">
        <v>82968</v>
      </c>
      <c r="E965">
        <v>0</v>
      </c>
      <c r="F965">
        <v>2612423400000</v>
      </c>
      <c r="G965">
        <v>2663723452.6100001</v>
      </c>
      <c r="H965">
        <v>2606812196437.3799</v>
      </c>
      <c r="I965">
        <v>2609280363763.5601</v>
      </c>
      <c r="J965">
        <v>1.3455E-2</v>
      </c>
      <c r="K965">
        <v>2.199E-3</v>
      </c>
      <c r="M965" t="s">
        <v>1</v>
      </c>
      <c r="N965">
        <v>5750</v>
      </c>
      <c r="O965">
        <v>10</v>
      </c>
      <c r="P965">
        <v>5006</v>
      </c>
      <c r="Q965">
        <v>0</v>
      </c>
      <c r="R965">
        <v>210726971908</v>
      </c>
      <c r="S965">
        <v>235435040.36000001</v>
      </c>
      <c r="T965">
        <v>206933952105.63</v>
      </c>
      <c r="U965">
        <v>210338662812.28</v>
      </c>
      <c r="V965">
        <v>0.18479799999999999</v>
      </c>
      <c r="W965">
        <v>8.6709999999999999E-3</v>
      </c>
    </row>
    <row r="966" spans="1:23" x14ac:dyDescent="0.35">
      <c r="A966" t="s">
        <v>1</v>
      </c>
      <c r="B966">
        <v>6000</v>
      </c>
      <c r="C966">
        <v>5</v>
      </c>
      <c r="D966">
        <v>34111</v>
      </c>
      <c r="E966">
        <v>0</v>
      </c>
      <c r="F966">
        <v>1319219900000</v>
      </c>
      <c r="G966">
        <v>1339352381.9100001</v>
      </c>
      <c r="H966">
        <v>1314924974914.8401</v>
      </c>
      <c r="I966">
        <v>1317529904814.3899</v>
      </c>
      <c r="J966">
        <v>2.6556E-2</v>
      </c>
      <c r="K966">
        <v>3.1849999999999999E-3</v>
      </c>
      <c r="M966" t="s">
        <v>0</v>
      </c>
      <c r="N966">
        <v>5500</v>
      </c>
      <c r="O966">
        <v>10</v>
      </c>
      <c r="P966">
        <v>2045</v>
      </c>
      <c r="Q966">
        <v>0</v>
      </c>
      <c r="R966">
        <v>69438687132</v>
      </c>
      <c r="S966">
        <v>81113673.310000002</v>
      </c>
      <c r="T966">
        <v>69087917975.169998</v>
      </c>
      <c r="U966">
        <v>69341693500.449997</v>
      </c>
      <c r="V966">
        <v>4.5617999999999999E-2</v>
      </c>
      <c r="W966">
        <v>2.7409999999999999E-3</v>
      </c>
    </row>
    <row r="967" spans="1:23" x14ac:dyDescent="0.35">
      <c r="A967" t="s">
        <v>2</v>
      </c>
      <c r="B967">
        <v>6000</v>
      </c>
      <c r="C967">
        <v>5</v>
      </c>
      <c r="D967">
        <v>4483</v>
      </c>
      <c r="E967">
        <v>0</v>
      </c>
      <c r="F967">
        <v>94428900000</v>
      </c>
      <c r="G967">
        <v>96067708.489999995</v>
      </c>
      <c r="H967">
        <v>94316249417.070007</v>
      </c>
      <c r="I967">
        <v>94332832291.509995</v>
      </c>
      <c r="J967">
        <v>2.1050000000000001E-3</v>
      </c>
      <c r="K967">
        <v>0</v>
      </c>
      <c r="M967" t="s">
        <v>1</v>
      </c>
      <c r="N967">
        <v>5500</v>
      </c>
      <c r="O967">
        <v>10</v>
      </c>
      <c r="P967">
        <v>1421</v>
      </c>
      <c r="Q967">
        <v>0</v>
      </c>
      <c r="R967">
        <v>60549532794</v>
      </c>
      <c r="S967">
        <v>70660332.560000002</v>
      </c>
      <c r="T967">
        <v>60125209150.279999</v>
      </c>
      <c r="U967">
        <v>60418172415.410004</v>
      </c>
      <c r="V967">
        <v>6.7881999999999998E-2</v>
      </c>
      <c r="W967">
        <v>1.1964000000000001E-2</v>
      </c>
    </row>
    <row r="968" spans="1:23" x14ac:dyDescent="0.35">
      <c r="A968" t="s">
        <v>0</v>
      </c>
      <c r="B968">
        <v>6500</v>
      </c>
      <c r="C968">
        <v>5</v>
      </c>
      <c r="D968">
        <v>37267</v>
      </c>
      <c r="E968">
        <v>0</v>
      </c>
      <c r="F968">
        <v>1026854300000</v>
      </c>
      <c r="G968">
        <v>952266250.40999997</v>
      </c>
      <c r="H968">
        <v>1024040476237.45</v>
      </c>
      <c r="I968">
        <v>1025461750523.62</v>
      </c>
      <c r="J968">
        <v>2.1538999999999999E-2</v>
      </c>
      <c r="K968">
        <v>5.1330000000000004E-3</v>
      </c>
      <c r="M968" t="s">
        <v>0</v>
      </c>
      <c r="N968">
        <v>7750</v>
      </c>
      <c r="O968">
        <v>10</v>
      </c>
      <c r="P968">
        <v>970</v>
      </c>
      <c r="Q968">
        <v>0</v>
      </c>
      <c r="R968">
        <v>25282161745</v>
      </c>
      <c r="S968">
        <v>19381606.010000002</v>
      </c>
      <c r="T968">
        <v>24731389135.110001</v>
      </c>
      <c r="U968">
        <v>25097991405.450001</v>
      </c>
      <c r="V968">
        <v>0.22501299999999999</v>
      </c>
      <c r="W968">
        <v>7.5471999999999997E-2</v>
      </c>
    </row>
    <row r="969" spans="1:23" x14ac:dyDescent="0.35">
      <c r="A969" t="s">
        <v>1</v>
      </c>
      <c r="B969">
        <v>6500</v>
      </c>
      <c r="C969">
        <v>5</v>
      </c>
      <c r="D969">
        <v>8895</v>
      </c>
      <c r="E969">
        <v>0</v>
      </c>
      <c r="F969">
        <v>300267400000</v>
      </c>
      <c r="G969">
        <v>278266804.73000002</v>
      </c>
      <c r="H969">
        <v>299346927976.19</v>
      </c>
      <c r="I969">
        <v>299942576812.75</v>
      </c>
      <c r="J969">
        <v>2.5366E-2</v>
      </c>
      <c r="K969">
        <v>1.859E-3</v>
      </c>
      <c r="M969" t="s">
        <v>0</v>
      </c>
      <c r="N969">
        <v>7500</v>
      </c>
      <c r="O969">
        <v>10</v>
      </c>
      <c r="P969">
        <v>836</v>
      </c>
      <c r="Q969">
        <v>0</v>
      </c>
      <c r="R969">
        <v>22447952313</v>
      </c>
      <c r="S969">
        <v>18072437.039999999</v>
      </c>
      <c r="T969">
        <v>22085378361.139999</v>
      </c>
      <c r="U969">
        <v>22371698074.59</v>
      </c>
      <c r="V969">
        <v>0.16938400000000001</v>
      </c>
      <c r="W969">
        <v>3.0662999999999999E-2</v>
      </c>
    </row>
    <row r="970" spans="1:23" x14ac:dyDescent="0.35">
      <c r="A970" t="s">
        <v>2</v>
      </c>
      <c r="B970">
        <v>6500</v>
      </c>
      <c r="C970">
        <v>5</v>
      </c>
      <c r="D970">
        <v>1506</v>
      </c>
      <c r="E970">
        <v>0</v>
      </c>
      <c r="F970">
        <v>26489000000</v>
      </c>
      <c r="G970">
        <v>24595213.379999999</v>
      </c>
      <c r="H970">
        <v>26445022547.189999</v>
      </c>
      <c r="I970">
        <v>26464404786.619999</v>
      </c>
      <c r="J970">
        <v>8.7449999999999993E-3</v>
      </c>
      <c r="K970">
        <v>0</v>
      </c>
      <c r="M970" t="s">
        <v>0</v>
      </c>
      <c r="N970">
        <v>7750</v>
      </c>
      <c r="O970">
        <v>12</v>
      </c>
      <c r="P970">
        <v>1431</v>
      </c>
      <c r="Q970">
        <v>0</v>
      </c>
      <c r="R970">
        <v>37569007532</v>
      </c>
      <c r="S970">
        <v>29028514.050000001</v>
      </c>
      <c r="T970">
        <v>36568161455.050003</v>
      </c>
      <c r="U970">
        <v>37482169547.470001</v>
      </c>
      <c r="V970">
        <v>0.269843</v>
      </c>
      <c r="W970">
        <v>1.831E-2</v>
      </c>
    </row>
    <row r="971" spans="1:23" x14ac:dyDescent="0.35">
      <c r="A971" t="s">
        <v>0</v>
      </c>
      <c r="B971">
        <v>5500</v>
      </c>
      <c r="C971">
        <v>5</v>
      </c>
      <c r="D971">
        <v>36552</v>
      </c>
      <c r="E971">
        <v>0</v>
      </c>
      <c r="F971">
        <v>1268547700000</v>
      </c>
      <c r="G971">
        <v>1418676900.8699999</v>
      </c>
      <c r="H971">
        <v>1266048138963.6499</v>
      </c>
      <c r="I971">
        <v>1266913066343.9399</v>
      </c>
      <c r="J971">
        <v>1.0177E-2</v>
      </c>
      <c r="K971">
        <v>2.0409999999999998E-3</v>
      </c>
      <c r="M971" t="s">
        <v>0</v>
      </c>
      <c r="N971">
        <v>7500</v>
      </c>
      <c r="O971">
        <v>12</v>
      </c>
      <c r="P971">
        <v>1757</v>
      </c>
      <c r="Q971">
        <v>0</v>
      </c>
      <c r="R971">
        <v>42338451487</v>
      </c>
      <c r="S971">
        <v>34459300.859999999</v>
      </c>
      <c r="T971">
        <v>41333213915.910004</v>
      </c>
      <c r="U971">
        <v>42123104179.660004</v>
      </c>
      <c r="V971">
        <v>0.24296899999999999</v>
      </c>
      <c r="W971">
        <v>5.0081000000000001E-2</v>
      </c>
    </row>
    <row r="972" spans="1:23" x14ac:dyDescent="0.35">
      <c r="A972" t="s">
        <v>1</v>
      </c>
      <c r="B972">
        <v>5500</v>
      </c>
      <c r="C972">
        <v>5</v>
      </c>
      <c r="D972">
        <v>59992</v>
      </c>
      <c r="E972">
        <v>0</v>
      </c>
      <c r="F972">
        <v>2647395200000</v>
      </c>
      <c r="G972">
        <v>2963783412.1799998</v>
      </c>
      <c r="H972">
        <v>2640086283209.6602</v>
      </c>
      <c r="I972">
        <v>2643344030963.5698</v>
      </c>
      <c r="J972">
        <v>1.9519000000000002E-2</v>
      </c>
      <c r="K972">
        <v>4.9179999999999996E-3</v>
      </c>
      <c r="M972" t="s">
        <v>1</v>
      </c>
      <c r="N972">
        <v>6750</v>
      </c>
      <c r="O972">
        <v>12</v>
      </c>
      <c r="P972">
        <v>7268</v>
      </c>
      <c r="Q972">
        <v>0</v>
      </c>
      <c r="R972">
        <v>230860234011</v>
      </c>
      <c r="S972">
        <v>217764426.91999999</v>
      </c>
      <c r="T972">
        <v>218739492976.95001</v>
      </c>
      <c r="U972">
        <v>229714976029.70001</v>
      </c>
      <c r="V972">
        <v>0.47018700000000002</v>
      </c>
      <c r="W972">
        <v>4.7160000000000001E-2</v>
      </c>
    </row>
    <row r="973" spans="1:23" x14ac:dyDescent="0.35">
      <c r="A973" t="s">
        <v>2</v>
      </c>
      <c r="B973">
        <v>5500</v>
      </c>
      <c r="C973">
        <v>5</v>
      </c>
      <c r="D973">
        <v>1750</v>
      </c>
      <c r="E973">
        <v>0</v>
      </c>
      <c r="F973">
        <v>42088400000</v>
      </c>
      <c r="G973">
        <v>46877122.659999996</v>
      </c>
      <c r="H973">
        <v>42041522877.339996</v>
      </c>
      <c r="I973">
        <v>42041522877.339996</v>
      </c>
      <c r="J973">
        <v>0</v>
      </c>
      <c r="K973">
        <v>0</v>
      </c>
      <c r="M973" t="s">
        <v>2</v>
      </c>
      <c r="N973">
        <v>5750</v>
      </c>
      <c r="O973">
        <v>12</v>
      </c>
      <c r="P973">
        <v>348</v>
      </c>
      <c r="Q973">
        <v>0</v>
      </c>
      <c r="R973">
        <v>8047906938</v>
      </c>
      <c r="S973">
        <v>9047901.8399999999</v>
      </c>
      <c r="T973">
        <v>8027818517.0100002</v>
      </c>
      <c r="U973">
        <v>8038859036.1599998</v>
      </c>
      <c r="V973">
        <v>1.6338999999999999E-2</v>
      </c>
      <c r="W973">
        <v>0</v>
      </c>
    </row>
    <row r="974" spans="1:23" x14ac:dyDescent="0.35">
      <c r="A974" t="s">
        <v>1</v>
      </c>
      <c r="B974">
        <v>7000</v>
      </c>
      <c r="C974">
        <v>10</v>
      </c>
      <c r="D974">
        <v>1237</v>
      </c>
      <c r="E974">
        <v>0</v>
      </c>
      <c r="F974">
        <v>35457597239</v>
      </c>
      <c r="G974">
        <v>31420644.789999999</v>
      </c>
      <c r="H974">
        <v>33602320978.889999</v>
      </c>
      <c r="I974">
        <v>35356661916.68</v>
      </c>
      <c r="J974">
        <v>0.46937200000000001</v>
      </c>
      <c r="K974">
        <v>2.3274E-2</v>
      </c>
      <c r="M974" t="s">
        <v>1</v>
      </c>
      <c r="N974">
        <v>5500</v>
      </c>
      <c r="O974">
        <v>12</v>
      </c>
      <c r="P974">
        <v>3892</v>
      </c>
      <c r="Q974">
        <v>0</v>
      </c>
      <c r="R974">
        <v>168858218059</v>
      </c>
      <c r="S974">
        <v>198685505.66</v>
      </c>
      <c r="T974">
        <v>166605286692.73999</v>
      </c>
      <c r="U974">
        <v>168487026187.98999</v>
      </c>
      <c r="V974">
        <v>0.136604</v>
      </c>
      <c r="W974">
        <v>1.2191E-2</v>
      </c>
    </row>
    <row r="975" spans="1:23" x14ac:dyDescent="0.35">
      <c r="A975" t="s">
        <v>1</v>
      </c>
      <c r="B975">
        <v>7250</v>
      </c>
      <c r="C975">
        <v>10</v>
      </c>
      <c r="D975">
        <v>890</v>
      </c>
      <c r="E975">
        <v>0</v>
      </c>
      <c r="F975">
        <v>25255080755</v>
      </c>
      <c r="G975">
        <v>21464462.469999999</v>
      </c>
      <c r="H975">
        <v>23313428673.029999</v>
      </c>
      <c r="I975">
        <v>24875575592.939999</v>
      </c>
      <c r="J975">
        <v>0.61284499999999997</v>
      </c>
      <c r="K975">
        <v>0.15746599999999999</v>
      </c>
      <c r="M975" t="s">
        <v>0</v>
      </c>
      <c r="N975">
        <v>5500</v>
      </c>
      <c r="O975">
        <v>12</v>
      </c>
      <c r="P975">
        <v>5499</v>
      </c>
      <c r="Q975">
        <v>0</v>
      </c>
      <c r="R975">
        <v>181891740651</v>
      </c>
      <c r="S975">
        <v>214387698.40000001</v>
      </c>
      <c r="T975">
        <v>181094338579.59</v>
      </c>
      <c r="U975">
        <v>181543979128.67999</v>
      </c>
      <c r="V975">
        <v>3.7793E-2</v>
      </c>
      <c r="W975">
        <v>8.7639999999999992E-3</v>
      </c>
    </row>
    <row r="976" spans="1:23" x14ac:dyDescent="0.35">
      <c r="A976" t="s">
        <v>0</v>
      </c>
      <c r="B976">
        <v>6750</v>
      </c>
      <c r="C976">
        <v>8</v>
      </c>
      <c r="D976">
        <v>12605</v>
      </c>
      <c r="E976">
        <v>0</v>
      </c>
      <c r="F976">
        <v>358831117297</v>
      </c>
      <c r="G976">
        <v>330654779.41000003</v>
      </c>
      <c r="H976">
        <v>350107534563.60999</v>
      </c>
      <c r="I976">
        <v>357553756445.51001</v>
      </c>
      <c r="J976">
        <v>0.24724099999999999</v>
      </c>
      <c r="K976">
        <v>3.1203999999999999E-2</v>
      </c>
      <c r="M976" t="s">
        <v>1</v>
      </c>
      <c r="N976">
        <v>5250</v>
      </c>
      <c r="O976">
        <v>10</v>
      </c>
      <c r="P976">
        <v>689</v>
      </c>
      <c r="Q976">
        <v>0</v>
      </c>
      <c r="R976">
        <v>28182932108</v>
      </c>
      <c r="S976">
        <v>34355917.450000003</v>
      </c>
      <c r="T976">
        <v>28100359445.650002</v>
      </c>
      <c r="U976">
        <v>28148576190.549999</v>
      </c>
      <c r="V976">
        <v>2.0337999999999998E-2</v>
      </c>
      <c r="W976">
        <v>0</v>
      </c>
    </row>
    <row r="977" spans="1:23" x14ac:dyDescent="0.35">
      <c r="A977" t="s">
        <v>1</v>
      </c>
      <c r="B977">
        <v>6000</v>
      </c>
      <c r="C977">
        <v>8</v>
      </c>
      <c r="D977">
        <v>6504</v>
      </c>
      <c r="E977">
        <v>0</v>
      </c>
      <c r="F977">
        <v>270579863275</v>
      </c>
      <c r="G977">
        <v>285202626.93000001</v>
      </c>
      <c r="H977">
        <v>266957610774.26001</v>
      </c>
      <c r="I977">
        <v>270110776733.85001</v>
      </c>
      <c r="J977">
        <v>0.13835800000000001</v>
      </c>
      <c r="K977">
        <v>8.1250000000000003E-3</v>
      </c>
      <c r="M977" t="s">
        <v>1</v>
      </c>
      <c r="N977">
        <v>5750</v>
      </c>
      <c r="O977">
        <v>12</v>
      </c>
      <c r="P977">
        <v>13148</v>
      </c>
      <c r="Q977">
        <v>0</v>
      </c>
      <c r="R977">
        <v>555897425553</v>
      </c>
      <c r="S977">
        <v>627468034.33000004</v>
      </c>
      <c r="T977">
        <v>547036735621.87</v>
      </c>
      <c r="U977">
        <v>554359832541.07996</v>
      </c>
      <c r="V977">
        <v>0.163942</v>
      </c>
      <c r="W977">
        <v>1.9470999999999999E-2</v>
      </c>
    </row>
    <row r="978" spans="1:23" x14ac:dyDescent="0.35">
      <c r="A978" t="s">
        <v>2</v>
      </c>
      <c r="B978">
        <v>6750</v>
      </c>
      <c r="C978">
        <v>7</v>
      </c>
      <c r="D978">
        <v>559</v>
      </c>
      <c r="E978">
        <v>0</v>
      </c>
      <c r="F978">
        <v>9749647146</v>
      </c>
      <c r="G978">
        <v>8921493.4399999995</v>
      </c>
      <c r="H978">
        <v>9664759384.7800007</v>
      </c>
      <c r="I978">
        <v>9721842681.1200008</v>
      </c>
      <c r="J978">
        <v>8.9595999999999995E-2</v>
      </c>
      <c r="K978">
        <v>2.2995000000000002E-2</v>
      </c>
      <c r="M978" t="s">
        <v>2</v>
      </c>
      <c r="N978">
        <v>7000</v>
      </c>
      <c r="O978">
        <v>12</v>
      </c>
      <c r="P978">
        <v>401</v>
      </c>
      <c r="Q978">
        <v>0</v>
      </c>
      <c r="R978">
        <v>6639122113</v>
      </c>
      <c r="S978">
        <v>5973988.6500000004</v>
      </c>
      <c r="T978">
        <v>6620950989.6199999</v>
      </c>
      <c r="U978">
        <v>6633148124.3500004</v>
      </c>
      <c r="V978">
        <v>2.1825000000000001E-2</v>
      </c>
      <c r="W978">
        <v>0</v>
      </c>
    </row>
    <row r="979" spans="1:23" x14ac:dyDescent="0.35">
      <c r="A979" t="s">
        <v>0</v>
      </c>
      <c r="B979">
        <v>6750</v>
      </c>
      <c r="C979">
        <v>7</v>
      </c>
      <c r="D979">
        <v>9820</v>
      </c>
      <c r="E979">
        <v>0</v>
      </c>
      <c r="F979">
        <v>273139747094</v>
      </c>
      <c r="G979">
        <v>250432781.75</v>
      </c>
      <c r="H979">
        <v>264496056030.01001</v>
      </c>
      <c r="I979">
        <v>272196846932.82001</v>
      </c>
      <c r="J979">
        <v>0.312388</v>
      </c>
      <c r="K979">
        <v>3.0002000000000001E-2</v>
      </c>
      <c r="M979" t="s">
        <v>2</v>
      </c>
      <c r="N979">
        <v>6750</v>
      </c>
      <c r="O979">
        <v>12</v>
      </c>
      <c r="P979">
        <v>1316</v>
      </c>
      <c r="Q979">
        <v>0</v>
      </c>
      <c r="R979">
        <v>24072232696</v>
      </c>
      <c r="S979">
        <v>22668592.129999999</v>
      </c>
      <c r="T979">
        <v>24003819847.169998</v>
      </c>
      <c r="U979">
        <v>24031276088.490002</v>
      </c>
      <c r="V979">
        <v>2.2567E-2</v>
      </c>
      <c r="W979">
        <v>9.0790000000000003E-3</v>
      </c>
    </row>
    <row r="980" spans="1:23" x14ac:dyDescent="0.35">
      <c r="A980" t="s">
        <v>2</v>
      </c>
      <c r="B980">
        <v>7500</v>
      </c>
      <c r="C980">
        <v>10</v>
      </c>
      <c r="D980">
        <v>45</v>
      </c>
      <c r="E980">
        <v>0</v>
      </c>
      <c r="F980">
        <v>695190738</v>
      </c>
      <c r="G980">
        <v>566804.38</v>
      </c>
      <c r="H980">
        <v>694623933.62</v>
      </c>
      <c r="I980">
        <v>694623933.62</v>
      </c>
      <c r="J980">
        <v>0</v>
      </c>
      <c r="K980">
        <v>0</v>
      </c>
      <c r="M980" t="s">
        <v>1</v>
      </c>
      <c r="N980">
        <v>6250</v>
      </c>
      <c r="O980">
        <v>12</v>
      </c>
      <c r="P980">
        <v>17042</v>
      </c>
      <c r="Q980">
        <v>0</v>
      </c>
      <c r="R980">
        <v>635294217265</v>
      </c>
      <c r="S980">
        <v>654726574.37</v>
      </c>
      <c r="T980">
        <v>614462400154.85999</v>
      </c>
      <c r="U980">
        <v>633444050556.41003</v>
      </c>
      <c r="V980">
        <v>0.32111699999999999</v>
      </c>
      <c r="W980">
        <v>2.2348E-2</v>
      </c>
    </row>
    <row r="981" spans="1:23" x14ac:dyDescent="0.35">
      <c r="A981" t="s">
        <v>2</v>
      </c>
      <c r="B981">
        <v>6750</v>
      </c>
      <c r="C981">
        <v>9</v>
      </c>
      <c r="D981">
        <v>737</v>
      </c>
      <c r="E981">
        <v>0</v>
      </c>
      <c r="F981">
        <v>13438253998</v>
      </c>
      <c r="G981">
        <v>12436231.189999999</v>
      </c>
      <c r="H981">
        <v>13349779674.370001</v>
      </c>
      <c r="I981">
        <v>13425817766.809999</v>
      </c>
      <c r="J981">
        <v>6.5825999999999996E-2</v>
      </c>
      <c r="K981">
        <v>0</v>
      </c>
      <c r="M981" t="s">
        <v>2</v>
      </c>
      <c r="N981">
        <v>6250</v>
      </c>
      <c r="O981">
        <v>12</v>
      </c>
      <c r="P981">
        <v>1467</v>
      </c>
      <c r="Q981">
        <v>0</v>
      </c>
      <c r="R981">
        <v>31279086461</v>
      </c>
      <c r="S981">
        <v>32201897.989999998</v>
      </c>
      <c r="T981">
        <v>31170110069.77</v>
      </c>
      <c r="U981">
        <v>31198411798.529999</v>
      </c>
      <c r="V981">
        <v>2.9059999999999999E-2</v>
      </c>
      <c r="W981">
        <v>1.8439000000000001E-2</v>
      </c>
    </row>
    <row r="982" spans="1:23" x14ac:dyDescent="0.35">
      <c r="A982" t="s">
        <v>2</v>
      </c>
      <c r="B982">
        <v>7500</v>
      </c>
      <c r="C982">
        <v>9</v>
      </c>
      <c r="D982">
        <v>36</v>
      </c>
      <c r="E982">
        <v>0</v>
      </c>
      <c r="F982">
        <v>569297859</v>
      </c>
      <c r="G982">
        <v>457866.11</v>
      </c>
      <c r="H982">
        <v>568839992.88999999</v>
      </c>
      <c r="I982">
        <v>568839992.88999999</v>
      </c>
      <c r="J982">
        <v>0</v>
      </c>
      <c r="K982">
        <v>0</v>
      </c>
      <c r="M982" t="s">
        <v>1</v>
      </c>
      <c r="N982">
        <v>6500</v>
      </c>
      <c r="O982">
        <v>10</v>
      </c>
      <c r="P982">
        <v>3164</v>
      </c>
      <c r="Q982">
        <v>0</v>
      </c>
      <c r="R982">
        <v>109796526666</v>
      </c>
      <c r="S982">
        <v>106488914.95999999</v>
      </c>
      <c r="T982">
        <v>104562438632.61</v>
      </c>
      <c r="U982">
        <v>109402814914.53</v>
      </c>
      <c r="V982">
        <v>0.43668699999999999</v>
      </c>
      <c r="W982">
        <v>3.0943999999999999E-2</v>
      </c>
    </row>
    <row r="983" spans="1:23" x14ac:dyDescent="0.35">
      <c r="A983" t="s">
        <v>2</v>
      </c>
      <c r="B983">
        <v>6750</v>
      </c>
      <c r="C983">
        <v>8</v>
      </c>
      <c r="D983">
        <v>687</v>
      </c>
      <c r="E983">
        <v>0</v>
      </c>
      <c r="F983">
        <v>12833602457</v>
      </c>
      <c r="G983">
        <v>11816343.619999999</v>
      </c>
      <c r="H983">
        <v>12777604391.35</v>
      </c>
      <c r="I983">
        <v>12801674696.959999</v>
      </c>
      <c r="J983">
        <v>4.0538999999999999E-2</v>
      </c>
      <c r="K983">
        <v>1.8644000000000001E-2</v>
      </c>
      <c r="M983" t="s">
        <v>1</v>
      </c>
      <c r="N983">
        <v>6750</v>
      </c>
      <c r="O983">
        <v>10</v>
      </c>
      <c r="P983">
        <v>4532</v>
      </c>
      <c r="Q983">
        <v>0</v>
      </c>
      <c r="R983">
        <v>151262410705</v>
      </c>
      <c r="S983">
        <v>141160980.53</v>
      </c>
      <c r="T983">
        <v>141595748927.70001</v>
      </c>
      <c r="U983">
        <v>150674233821.07001</v>
      </c>
      <c r="V983">
        <v>0.54183400000000004</v>
      </c>
      <c r="W983">
        <v>3.4891999999999999E-2</v>
      </c>
    </row>
    <row r="984" spans="1:23" x14ac:dyDescent="0.35">
      <c r="A984" t="s">
        <v>1</v>
      </c>
      <c r="B984">
        <v>6750</v>
      </c>
      <c r="C984">
        <v>8</v>
      </c>
      <c r="D984">
        <v>4879</v>
      </c>
      <c r="E984">
        <v>0</v>
      </c>
      <c r="F984">
        <v>164833416811</v>
      </c>
      <c r="G984">
        <v>152040448.44</v>
      </c>
      <c r="H984">
        <v>153359029029.37</v>
      </c>
      <c r="I984">
        <v>164253796010.01001</v>
      </c>
      <c r="J984">
        <v>0.57427099999999998</v>
      </c>
      <c r="K984">
        <v>3.0688E-2</v>
      </c>
      <c r="M984" t="s">
        <v>2</v>
      </c>
      <c r="N984">
        <v>6750</v>
      </c>
      <c r="O984">
        <v>10</v>
      </c>
      <c r="P984">
        <v>684</v>
      </c>
      <c r="Q984">
        <v>0</v>
      </c>
      <c r="R984">
        <v>12606834031</v>
      </c>
      <c r="S984">
        <v>11734712.529999999</v>
      </c>
      <c r="T984">
        <v>12555739737.889999</v>
      </c>
      <c r="U984">
        <v>12570557025.700001</v>
      </c>
      <c r="V984">
        <v>3.6828E-2</v>
      </c>
      <c r="W984">
        <v>2.3112000000000001E-2</v>
      </c>
    </row>
    <row r="985" spans="1:23" x14ac:dyDescent="0.35">
      <c r="A985" t="s">
        <v>0</v>
      </c>
      <c r="B985">
        <v>7500</v>
      </c>
      <c r="C985">
        <v>8</v>
      </c>
      <c r="D985">
        <v>632</v>
      </c>
      <c r="E985">
        <v>0</v>
      </c>
      <c r="F985">
        <v>17909166659</v>
      </c>
      <c r="G985">
        <v>14204119.98</v>
      </c>
      <c r="H985">
        <v>17231362201.57</v>
      </c>
      <c r="I985">
        <v>17802423247.299999</v>
      </c>
      <c r="J985">
        <v>0.36434</v>
      </c>
      <c r="K985">
        <v>6.0274000000000001E-2</v>
      </c>
      <c r="M985" t="s">
        <v>2</v>
      </c>
      <c r="N985">
        <v>6750</v>
      </c>
      <c r="O985">
        <v>9</v>
      </c>
      <c r="P985">
        <v>676</v>
      </c>
      <c r="Q985">
        <v>0</v>
      </c>
      <c r="R985">
        <v>12597661438</v>
      </c>
      <c r="S985">
        <v>11644722.4</v>
      </c>
      <c r="T985">
        <v>12489573555.959999</v>
      </c>
      <c r="U985">
        <v>12556487973.950001</v>
      </c>
      <c r="V985">
        <v>8.8096999999999995E-2</v>
      </c>
      <c r="W985">
        <v>2.7768000000000001E-2</v>
      </c>
    </row>
    <row r="986" spans="1:23" x14ac:dyDescent="0.35">
      <c r="A986" t="s">
        <v>0</v>
      </c>
      <c r="B986">
        <v>6250</v>
      </c>
      <c r="C986">
        <v>8</v>
      </c>
      <c r="D986">
        <v>13133</v>
      </c>
      <c r="E986">
        <v>0</v>
      </c>
      <c r="F986">
        <v>430206357458</v>
      </c>
      <c r="G986">
        <v>434370677.27999997</v>
      </c>
      <c r="H986">
        <v>425229434529.90997</v>
      </c>
      <c r="I986">
        <v>429582985419.21002</v>
      </c>
      <c r="J986">
        <v>0.119603</v>
      </c>
      <c r="K986">
        <v>5.2589999999999998E-3</v>
      </c>
      <c r="M986" t="s">
        <v>2</v>
      </c>
      <c r="N986">
        <v>7000</v>
      </c>
      <c r="O986">
        <v>9</v>
      </c>
      <c r="P986">
        <v>269</v>
      </c>
      <c r="Q986">
        <v>0</v>
      </c>
      <c r="R986">
        <v>4421908415</v>
      </c>
      <c r="S986">
        <v>3906965.19</v>
      </c>
      <c r="T986">
        <v>4399922584.8400002</v>
      </c>
      <c r="U986">
        <v>4418001449.8100004</v>
      </c>
      <c r="V986">
        <v>4.7973000000000002E-2</v>
      </c>
      <c r="W986">
        <v>0</v>
      </c>
    </row>
    <row r="987" spans="1:23" x14ac:dyDescent="0.35">
      <c r="A987" t="s">
        <v>1</v>
      </c>
      <c r="B987">
        <v>6250</v>
      </c>
      <c r="C987">
        <v>8</v>
      </c>
      <c r="D987">
        <v>9575</v>
      </c>
      <c r="E987">
        <v>0</v>
      </c>
      <c r="F987">
        <v>374488057715</v>
      </c>
      <c r="G987">
        <v>378029144.22000003</v>
      </c>
      <c r="H987">
        <v>363729042702.79999</v>
      </c>
      <c r="I987">
        <v>373623059039.82001</v>
      </c>
      <c r="J987">
        <v>0.28633599999999998</v>
      </c>
      <c r="K987">
        <v>1.5493E-2</v>
      </c>
      <c r="M987" t="s">
        <v>0</v>
      </c>
      <c r="N987">
        <v>6500</v>
      </c>
      <c r="O987">
        <v>7</v>
      </c>
      <c r="P987">
        <v>11224</v>
      </c>
      <c r="Q987">
        <v>0</v>
      </c>
      <c r="R987">
        <v>337005468685</v>
      </c>
      <c r="S987">
        <v>321848078.62</v>
      </c>
      <c r="T987">
        <v>328569713768.81</v>
      </c>
      <c r="U987">
        <v>336010520631.40997</v>
      </c>
      <c r="V987">
        <v>0.25356899999999999</v>
      </c>
      <c r="W987">
        <v>2.3706000000000001E-2</v>
      </c>
    </row>
    <row r="988" spans="1:23" x14ac:dyDescent="0.35">
      <c r="A988" t="s">
        <v>0</v>
      </c>
      <c r="B988">
        <v>5500</v>
      </c>
      <c r="C988">
        <v>7</v>
      </c>
      <c r="D988">
        <v>2923</v>
      </c>
      <c r="E988">
        <v>0</v>
      </c>
      <c r="F988">
        <v>103014033669</v>
      </c>
      <c r="G988">
        <v>118400923.59999999</v>
      </c>
      <c r="H988">
        <v>102507200698.72</v>
      </c>
      <c r="I988">
        <v>102858782967.83</v>
      </c>
      <c r="J988">
        <v>4.4320999999999999E-2</v>
      </c>
      <c r="K988">
        <v>4.2839999999999996E-3</v>
      </c>
      <c r="M988" t="s">
        <v>2</v>
      </c>
      <c r="N988">
        <v>6500</v>
      </c>
      <c r="O988">
        <v>7</v>
      </c>
      <c r="P988">
        <v>746</v>
      </c>
      <c r="Q988">
        <v>0</v>
      </c>
      <c r="R988">
        <v>15438270846</v>
      </c>
      <c r="S988">
        <v>14762935.060000001</v>
      </c>
      <c r="T988">
        <v>15399653393.120001</v>
      </c>
      <c r="U988">
        <v>15423507910.940001</v>
      </c>
      <c r="V988">
        <v>1.8384999999999999E-2</v>
      </c>
      <c r="W988">
        <v>0</v>
      </c>
    </row>
    <row r="989" spans="1:23" x14ac:dyDescent="0.35">
      <c r="A989" t="s">
        <v>1</v>
      </c>
      <c r="B989">
        <v>5500</v>
      </c>
      <c r="C989">
        <v>7</v>
      </c>
      <c r="D989">
        <v>4625</v>
      </c>
      <c r="E989">
        <v>0</v>
      </c>
      <c r="F989">
        <v>206760511828</v>
      </c>
      <c r="G989">
        <v>237754184.12</v>
      </c>
      <c r="H989">
        <v>204172659980.67001</v>
      </c>
      <c r="I989">
        <v>206265544215.28</v>
      </c>
      <c r="J989">
        <v>0.12818399999999999</v>
      </c>
      <c r="K989">
        <v>1.4826000000000001E-2</v>
      </c>
      <c r="M989" t="s">
        <v>1</v>
      </c>
      <c r="N989">
        <v>6500</v>
      </c>
      <c r="O989">
        <v>8</v>
      </c>
      <c r="P989">
        <v>5116</v>
      </c>
      <c r="Q989">
        <v>0</v>
      </c>
      <c r="R989">
        <v>181931343976</v>
      </c>
      <c r="S989">
        <v>174351216.13999999</v>
      </c>
      <c r="T989">
        <v>170799906813.62</v>
      </c>
      <c r="U989">
        <v>181583466292.26001</v>
      </c>
      <c r="V989">
        <v>0.52545399999999998</v>
      </c>
      <c r="W989">
        <v>1.1386E-2</v>
      </c>
    </row>
    <row r="990" spans="1:23" x14ac:dyDescent="0.35">
      <c r="A990" t="s">
        <v>1</v>
      </c>
      <c r="B990">
        <v>5750</v>
      </c>
      <c r="C990">
        <v>7</v>
      </c>
      <c r="D990">
        <v>10982</v>
      </c>
      <c r="E990">
        <v>0</v>
      </c>
      <c r="F990">
        <v>468524663656</v>
      </c>
      <c r="G990">
        <v>516862078.74000001</v>
      </c>
      <c r="H990">
        <v>462002284564.41998</v>
      </c>
      <c r="I990">
        <v>467622605352.32001</v>
      </c>
      <c r="J990">
        <v>0.14342199999999999</v>
      </c>
      <c r="K990">
        <v>9.8209999999999999E-3</v>
      </c>
      <c r="M990" t="s">
        <v>0</v>
      </c>
      <c r="N990">
        <v>6000</v>
      </c>
      <c r="O990">
        <v>6</v>
      </c>
      <c r="P990">
        <v>11147</v>
      </c>
      <c r="Q990">
        <v>0</v>
      </c>
      <c r="R990">
        <v>354409333608</v>
      </c>
      <c r="S990">
        <v>369060438</v>
      </c>
      <c r="T990">
        <v>352248875293.42999</v>
      </c>
      <c r="U990">
        <v>353882740085.65997</v>
      </c>
      <c r="V990">
        <v>5.8997000000000001E-2</v>
      </c>
      <c r="W990">
        <v>5.3210000000000002E-3</v>
      </c>
    </row>
    <row r="991" spans="1:23" x14ac:dyDescent="0.35">
      <c r="A991" t="s">
        <v>0</v>
      </c>
      <c r="B991">
        <v>5750</v>
      </c>
      <c r="C991">
        <v>7</v>
      </c>
      <c r="D991">
        <v>7623</v>
      </c>
      <c r="E991">
        <v>0</v>
      </c>
      <c r="F991">
        <v>270119917803</v>
      </c>
      <c r="G991">
        <v>297224518.18000001</v>
      </c>
      <c r="H991">
        <v>268704141887.01999</v>
      </c>
      <c r="I991">
        <v>269736624123.09</v>
      </c>
      <c r="J991">
        <v>4.8575E-2</v>
      </c>
      <c r="K991">
        <v>3.8170000000000001E-3</v>
      </c>
      <c r="M991" t="s">
        <v>2</v>
      </c>
      <c r="N991">
        <v>6000</v>
      </c>
      <c r="O991">
        <v>6</v>
      </c>
      <c r="P991">
        <v>622</v>
      </c>
      <c r="Q991">
        <v>0</v>
      </c>
      <c r="R991">
        <v>13682314371</v>
      </c>
      <c r="S991">
        <v>14243623.630000001</v>
      </c>
      <c r="T991">
        <v>13668070747.370001</v>
      </c>
      <c r="U991">
        <v>13668070747.370001</v>
      </c>
      <c r="V991">
        <v>0</v>
      </c>
      <c r="W991">
        <v>0</v>
      </c>
    </row>
    <row r="992" spans="1:23" x14ac:dyDescent="0.35">
      <c r="A992" t="s">
        <v>2</v>
      </c>
      <c r="B992">
        <v>5750</v>
      </c>
      <c r="C992">
        <v>7</v>
      </c>
      <c r="D992">
        <v>319</v>
      </c>
      <c r="E992">
        <v>0</v>
      </c>
      <c r="F992">
        <v>7305788361</v>
      </c>
      <c r="G992">
        <v>8008039.4299999997</v>
      </c>
      <c r="H992">
        <v>7274982780.5</v>
      </c>
      <c r="I992">
        <v>7297780321.5699997</v>
      </c>
      <c r="J992">
        <v>3.6810000000000002E-2</v>
      </c>
      <c r="K992">
        <v>0</v>
      </c>
      <c r="M992" t="s">
        <v>0</v>
      </c>
      <c r="N992">
        <v>6000</v>
      </c>
      <c r="O992">
        <v>5</v>
      </c>
      <c r="P992">
        <v>77505</v>
      </c>
      <c r="Q992">
        <v>0</v>
      </c>
      <c r="R992">
        <v>2428105100000</v>
      </c>
      <c r="S992">
        <v>2476879006.71</v>
      </c>
      <c r="T992">
        <v>2422284057136.4702</v>
      </c>
      <c r="U992">
        <v>2425276090601.0601</v>
      </c>
      <c r="V992">
        <v>1.6403000000000001E-2</v>
      </c>
      <c r="W992">
        <v>1.7390000000000001E-3</v>
      </c>
    </row>
    <row r="993" spans="1:23" x14ac:dyDescent="0.35">
      <c r="A993" t="s">
        <v>0</v>
      </c>
      <c r="B993">
        <v>6250</v>
      </c>
      <c r="C993">
        <v>7</v>
      </c>
      <c r="D993">
        <v>14925</v>
      </c>
      <c r="E993">
        <v>0</v>
      </c>
      <c r="F993">
        <v>480667045735</v>
      </c>
      <c r="G993">
        <v>483536523.94</v>
      </c>
      <c r="H993">
        <v>475813914726.54999</v>
      </c>
      <c r="I993">
        <v>479916485471.46002</v>
      </c>
      <c r="J993">
        <v>0.103796</v>
      </c>
      <c r="K993">
        <v>6.646E-3</v>
      </c>
      <c r="M993" t="s">
        <v>1</v>
      </c>
      <c r="N993">
        <v>6000</v>
      </c>
      <c r="O993">
        <v>5</v>
      </c>
      <c r="P993">
        <v>33305</v>
      </c>
      <c r="Q993">
        <v>0</v>
      </c>
      <c r="R993">
        <v>1261921900000</v>
      </c>
      <c r="S993">
        <v>1285355524.01</v>
      </c>
      <c r="T993">
        <v>1257840197585.5801</v>
      </c>
      <c r="U993">
        <v>1260479904149.28</v>
      </c>
      <c r="V993">
        <v>2.6270000000000002E-2</v>
      </c>
      <c r="W993">
        <v>1.4890000000000001E-3</v>
      </c>
    </row>
    <row r="994" spans="1:23" x14ac:dyDescent="0.35">
      <c r="A994" t="s">
        <v>2</v>
      </c>
      <c r="B994">
        <v>6250</v>
      </c>
      <c r="C994">
        <v>8</v>
      </c>
      <c r="D994">
        <v>864</v>
      </c>
      <c r="E994">
        <v>0</v>
      </c>
      <c r="F994">
        <v>19025725702</v>
      </c>
      <c r="G994">
        <v>19126102.739999998</v>
      </c>
      <c r="H994">
        <v>18990081802.57</v>
      </c>
      <c r="I994">
        <v>19006599599.259998</v>
      </c>
      <c r="J994">
        <v>1.0369E-2</v>
      </c>
      <c r="K994">
        <v>0</v>
      </c>
      <c r="M994" t="s">
        <v>2</v>
      </c>
      <c r="N994">
        <v>6000</v>
      </c>
      <c r="O994">
        <v>5</v>
      </c>
      <c r="P994">
        <v>3473</v>
      </c>
      <c r="Q994">
        <v>0</v>
      </c>
      <c r="R994">
        <v>72665200000</v>
      </c>
      <c r="S994">
        <v>73840032.909999996</v>
      </c>
      <c r="T994">
        <v>72591359967.089996</v>
      </c>
      <c r="U994">
        <v>72591359967.089996</v>
      </c>
      <c r="V994">
        <v>0</v>
      </c>
      <c r="W994">
        <v>0</v>
      </c>
    </row>
    <row r="995" spans="1:23" x14ac:dyDescent="0.35">
      <c r="A995" t="s">
        <v>0</v>
      </c>
      <c r="B995">
        <v>6500</v>
      </c>
      <c r="C995">
        <v>7</v>
      </c>
      <c r="D995">
        <v>9852</v>
      </c>
      <c r="E995">
        <v>0</v>
      </c>
      <c r="F995">
        <v>279297965481</v>
      </c>
      <c r="G995">
        <v>266774502.91999999</v>
      </c>
      <c r="H995">
        <v>274476968335.07001</v>
      </c>
      <c r="I995">
        <v>278389621514.40002</v>
      </c>
      <c r="J995">
        <v>0.17904300000000001</v>
      </c>
      <c r="K995">
        <v>2.7219E-2</v>
      </c>
      <c r="M995" t="s">
        <v>0</v>
      </c>
      <c r="N995">
        <v>6500</v>
      </c>
      <c r="O995">
        <v>5</v>
      </c>
      <c r="P995">
        <v>33314</v>
      </c>
      <c r="Q995">
        <v>0</v>
      </c>
      <c r="R995">
        <v>912727300000</v>
      </c>
      <c r="S995">
        <v>848159940.67999995</v>
      </c>
      <c r="T995">
        <v>909883606718.31995</v>
      </c>
      <c r="U995">
        <v>911419869332.13</v>
      </c>
      <c r="V995">
        <v>2.5923000000000002E-2</v>
      </c>
      <c r="W995">
        <v>6.0219999999999996E-3</v>
      </c>
    </row>
    <row r="996" spans="1:23" x14ac:dyDescent="0.35">
      <c r="A996" t="s">
        <v>0</v>
      </c>
      <c r="B996">
        <v>7000</v>
      </c>
      <c r="C996">
        <v>7</v>
      </c>
      <c r="D996">
        <v>3178</v>
      </c>
      <c r="E996">
        <v>0</v>
      </c>
      <c r="F996">
        <v>84406236026</v>
      </c>
      <c r="G996">
        <v>73517858.859999999</v>
      </c>
      <c r="H996">
        <v>80742940429.490005</v>
      </c>
      <c r="I996">
        <v>84059042943.039993</v>
      </c>
      <c r="J996">
        <v>0.406387</v>
      </c>
      <c r="K996">
        <v>3.8221999999999999E-2</v>
      </c>
      <c r="M996" t="s">
        <v>1</v>
      </c>
      <c r="N996">
        <v>6500</v>
      </c>
      <c r="O996">
        <v>5</v>
      </c>
      <c r="P996">
        <v>8039</v>
      </c>
      <c r="Q996">
        <v>0</v>
      </c>
      <c r="R996">
        <v>267350300000</v>
      </c>
      <c r="S996">
        <v>248430819.30000001</v>
      </c>
      <c r="T996">
        <v>266500428809.87</v>
      </c>
      <c r="U996">
        <v>267067001537.89999</v>
      </c>
      <c r="V996">
        <v>2.6664E-2</v>
      </c>
      <c r="W996">
        <v>1.5640000000000001E-3</v>
      </c>
    </row>
    <row r="997" spans="1:23" x14ac:dyDescent="0.35">
      <c r="A997" t="s">
        <v>1</v>
      </c>
      <c r="B997">
        <v>7000</v>
      </c>
      <c r="C997">
        <v>7</v>
      </c>
      <c r="D997">
        <v>879</v>
      </c>
      <c r="E997">
        <v>0</v>
      </c>
      <c r="F997">
        <v>27025260707</v>
      </c>
      <c r="G997">
        <v>23454097.66</v>
      </c>
      <c r="H997">
        <v>17803788926.5</v>
      </c>
      <c r="I997">
        <v>26893139975.98</v>
      </c>
      <c r="J997">
        <v>0.99321199999999998</v>
      </c>
      <c r="K997">
        <v>4.7197999999999997E-2</v>
      </c>
      <c r="M997" t="s">
        <v>2</v>
      </c>
      <c r="N997">
        <v>6500</v>
      </c>
      <c r="O997">
        <v>5</v>
      </c>
      <c r="P997">
        <v>1245</v>
      </c>
      <c r="Q997">
        <v>0</v>
      </c>
      <c r="R997">
        <v>22129700000</v>
      </c>
      <c r="S997">
        <v>20540586.829999998</v>
      </c>
      <c r="T997">
        <v>22092574514.73</v>
      </c>
      <c r="U997">
        <v>22109159413.169998</v>
      </c>
      <c r="V997">
        <v>8.9560000000000004E-3</v>
      </c>
      <c r="W997">
        <v>0</v>
      </c>
    </row>
    <row r="998" spans="1:23" x14ac:dyDescent="0.35">
      <c r="A998" t="s">
        <v>0</v>
      </c>
      <c r="B998">
        <v>7250</v>
      </c>
      <c r="C998">
        <v>7</v>
      </c>
      <c r="D998">
        <v>2713</v>
      </c>
      <c r="E998">
        <v>0</v>
      </c>
      <c r="F998">
        <v>69850571074</v>
      </c>
      <c r="G998">
        <v>57917004.759999998</v>
      </c>
      <c r="H998">
        <v>65537753362.330002</v>
      </c>
      <c r="I998">
        <v>69508376089.589996</v>
      </c>
      <c r="J998">
        <v>0.52960499999999999</v>
      </c>
      <c r="K998">
        <v>4.7759000000000003E-2</v>
      </c>
      <c r="M998" t="s">
        <v>0</v>
      </c>
      <c r="N998">
        <v>5500</v>
      </c>
      <c r="O998">
        <v>5</v>
      </c>
      <c r="P998">
        <v>36449</v>
      </c>
      <c r="Q998">
        <v>0</v>
      </c>
      <c r="R998">
        <v>1276761200000</v>
      </c>
      <c r="S998">
        <v>1427513592.2</v>
      </c>
      <c r="T998">
        <v>1274265391563.0601</v>
      </c>
      <c r="U998">
        <v>1275299424235.3401</v>
      </c>
      <c r="V998">
        <v>9.9950000000000004E-3</v>
      </c>
      <c r="W998">
        <v>3.2200000000000002E-4</v>
      </c>
    </row>
    <row r="999" spans="1:23" x14ac:dyDescent="0.35">
      <c r="A999" t="s">
        <v>2</v>
      </c>
      <c r="B999">
        <v>6250</v>
      </c>
      <c r="C999">
        <v>7</v>
      </c>
      <c r="D999">
        <v>960</v>
      </c>
      <c r="E999">
        <v>0</v>
      </c>
      <c r="F999">
        <v>20259310573</v>
      </c>
      <c r="G999">
        <v>20243069.149999999</v>
      </c>
      <c r="H999">
        <v>20239067503.849998</v>
      </c>
      <c r="I999">
        <v>20239067503.849998</v>
      </c>
      <c r="J999">
        <v>0</v>
      </c>
      <c r="K999">
        <v>0</v>
      </c>
      <c r="M999" t="s">
        <v>1</v>
      </c>
      <c r="N999">
        <v>5500</v>
      </c>
      <c r="O999">
        <v>5</v>
      </c>
      <c r="P999">
        <v>63061</v>
      </c>
      <c r="Q999">
        <v>0</v>
      </c>
      <c r="R999">
        <v>2772238600000</v>
      </c>
      <c r="S999">
        <v>3104102396.7199998</v>
      </c>
      <c r="T999">
        <v>2765068160265.96</v>
      </c>
      <c r="U999">
        <v>2768548754183.3799</v>
      </c>
      <c r="V999">
        <v>1.746E-2</v>
      </c>
      <c r="W999">
        <v>2.5330000000000001E-3</v>
      </c>
    </row>
    <row r="1000" spans="1:23" x14ac:dyDescent="0.35">
      <c r="A1000" t="s">
        <v>0</v>
      </c>
      <c r="B1000">
        <v>7500</v>
      </c>
      <c r="C1000">
        <v>7</v>
      </c>
      <c r="D1000">
        <v>425</v>
      </c>
      <c r="E1000">
        <v>0</v>
      </c>
      <c r="F1000">
        <v>12333688155</v>
      </c>
      <c r="G1000">
        <v>9697126.7699999996</v>
      </c>
      <c r="H1000">
        <v>11768980542.120001</v>
      </c>
      <c r="I1000">
        <v>12245668599.780001</v>
      </c>
      <c r="J1000">
        <v>0.42450300000000002</v>
      </c>
      <c r="K1000">
        <v>7.3596999999999996E-2</v>
      </c>
      <c r="M1000" t="s">
        <v>2</v>
      </c>
      <c r="N1000">
        <v>5500</v>
      </c>
      <c r="O1000">
        <v>5</v>
      </c>
      <c r="P1000">
        <v>1504</v>
      </c>
      <c r="Q1000">
        <v>0</v>
      </c>
      <c r="R1000">
        <v>36128900000</v>
      </c>
      <c r="S1000">
        <v>40148309.039999999</v>
      </c>
      <c r="T1000">
        <v>36070172399.239998</v>
      </c>
      <c r="U1000">
        <v>36088751690.959999</v>
      </c>
      <c r="V1000">
        <v>6.1539999999999997E-3</v>
      </c>
      <c r="W1000">
        <v>0</v>
      </c>
    </row>
    <row r="1001" spans="1:23" x14ac:dyDescent="0.35">
      <c r="A1001" t="s">
        <v>2</v>
      </c>
      <c r="B1001">
        <v>6500</v>
      </c>
      <c r="C1001">
        <v>7</v>
      </c>
      <c r="D1001">
        <v>619</v>
      </c>
      <c r="E1001">
        <v>0</v>
      </c>
      <c r="F1001">
        <v>11969883653</v>
      </c>
      <c r="G1001">
        <v>11444568.039999999</v>
      </c>
      <c r="H1001">
        <v>11910047969.09</v>
      </c>
      <c r="I1001">
        <v>11933583283.969999</v>
      </c>
      <c r="J1001">
        <v>4.7448999999999998E-2</v>
      </c>
      <c r="K1001">
        <v>2.4636000000000002E-2</v>
      </c>
      <c r="M1001" t="s">
        <v>1</v>
      </c>
      <c r="N1001">
        <v>7000</v>
      </c>
      <c r="O1001">
        <v>10</v>
      </c>
      <c r="P1001">
        <v>1041</v>
      </c>
      <c r="Q1001">
        <v>0</v>
      </c>
      <c r="R1001">
        <v>30379373071</v>
      </c>
      <c r="S1001">
        <v>26936361.379999999</v>
      </c>
      <c r="T1001">
        <v>28180453834.82</v>
      </c>
      <c r="U1001">
        <v>30102829730.049999</v>
      </c>
      <c r="V1001">
        <v>0.58940899999999996</v>
      </c>
      <c r="W1001">
        <v>9.4259999999999997E-2</v>
      </c>
    </row>
    <row r="1002" spans="1:23" x14ac:dyDescent="0.35">
      <c r="A1002" t="s">
        <v>0</v>
      </c>
      <c r="B1002">
        <v>6500</v>
      </c>
      <c r="C1002">
        <v>6</v>
      </c>
      <c r="D1002">
        <v>6453</v>
      </c>
      <c r="E1002">
        <v>0</v>
      </c>
      <c r="F1002">
        <v>178447393758</v>
      </c>
      <c r="G1002">
        <v>169351358</v>
      </c>
      <c r="H1002">
        <v>175881129387.66</v>
      </c>
      <c r="I1002">
        <v>177906113868.97</v>
      </c>
      <c r="J1002">
        <v>0.14979400000000001</v>
      </c>
      <c r="K1002">
        <v>2.4726000000000001E-2</v>
      </c>
      <c r="M1002" t="s">
        <v>1</v>
      </c>
      <c r="N1002">
        <v>7000</v>
      </c>
      <c r="O1002">
        <v>9</v>
      </c>
      <c r="P1002">
        <v>1330</v>
      </c>
      <c r="Q1002">
        <v>0</v>
      </c>
      <c r="R1002">
        <v>38783680673</v>
      </c>
      <c r="S1002">
        <v>34142728.420000002</v>
      </c>
      <c r="T1002">
        <v>35486327016.43</v>
      </c>
      <c r="U1002">
        <v>38560372783.360001</v>
      </c>
      <c r="V1002">
        <v>0.651698</v>
      </c>
      <c r="W1002">
        <v>5.6984E-2</v>
      </c>
    </row>
    <row r="1003" spans="1:23" x14ac:dyDescent="0.35">
      <c r="A1003" t="s">
        <v>0</v>
      </c>
      <c r="B1003">
        <v>6750</v>
      </c>
      <c r="C1003">
        <v>6</v>
      </c>
      <c r="D1003">
        <v>7836</v>
      </c>
      <c r="E1003">
        <v>0</v>
      </c>
      <c r="F1003">
        <v>217560668375</v>
      </c>
      <c r="G1003">
        <v>198069187.27000001</v>
      </c>
      <c r="H1003">
        <v>212292640953.92999</v>
      </c>
      <c r="I1003">
        <v>217070952523.89001</v>
      </c>
      <c r="J1003">
        <v>0.246445</v>
      </c>
      <c r="K1003">
        <v>1.5968E-2</v>
      </c>
      <c r="M1003" t="s">
        <v>1</v>
      </c>
      <c r="N1003">
        <v>7250</v>
      </c>
      <c r="O1003">
        <v>9</v>
      </c>
      <c r="P1003">
        <v>975</v>
      </c>
      <c r="Q1003">
        <v>0</v>
      </c>
      <c r="R1003">
        <v>27987266826</v>
      </c>
      <c r="S1003">
        <v>23623091.149999999</v>
      </c>
      <c r="T1003">
        <v>25341207279.23</v>
      </c>
      <c r="U1003">
        <v>27719451768.189999</v>
      </c>
      <c r="V1003">
        <v>0.69291599999999998</v>
      </c>
      <c r="W1003">
        <v>9.9820000000000006E-2</v>
      </c>
    </row>
    <row r="1004" spans="1:23" x14ac:dyDescent="0.35">
      <c r="A1004" t="s">
        <v>0</v>
      </c>
      <c r="B1004">
        <v>7000</v>
      </c>
      <c r="C1004">
        <v>6</v>
      </c>
      <c r="D1004">
        <v>2732</v>
      </c>
      <c r="E1004">
        <v>0</v>
      </c>
      <c r="F1004">
        <v>74834777549</v>
      </c>
      <c r="G1004">
        <v>64671651.990000002</v>
      </c>
      <c r="H1004">
        <v>72095905123.740005</v>
      </c>
      <c r="I1004">
        <v>74575927032.960007</v>
      </c>
      <c r="J1004">
        <v>0.35381299999999999</v>
      </c>
      <c r="K1004">
        <v>3.0696999999999999E-2</v>
      </c>
      <c r="M1004" t="s">
        <v>0</v>
      </c>
      <c r="N1004">
        <v>6750</v>
      </c>
      <c r="O1004">
        <v>7</v>
      </c>
      <c r="P1004">
        <v>13036</v>
      </c>
      <c r="Q1004">
        <v>0</v>
      </c>
      <c r="R1004">
        <v>373252452213</v>
      </c>
      <c r="S1004">
        <v>341720905.74000001</v>
      </c>
      <c r="T1004">
        <v>358880095509.84998</v>
      </c>
      <c r="U1004">
        <v>372428369406.66998</v>
      </c>
      <c r="V1004">
        <v>0.36857699999999999</v>
      </c>
      <c r="W1004">
        <v>1.5398E-2</v>
      </c>
    </row>
    <row r="1005" spans="1:23" x14ac:dyDescent="0.35">
      <c r="A1005" t="s">
        <v>1</v>
      </c>
      <c r="B1005">
        <v>5250</v>
      </c>
      <c r="C1005">
        <v>6</v>
      </c>
      <c r="D1005">
        <v>6185</v>
      </c>
      <c r="E1005">
        <v>0</v>
      </c>
      <c r="F1005">
        <v>288087544098</v>
      </c>
      <c r="G1005">
        <v>343893084.49000001</v>
      </c>
      <c r="H1005">
        <v>287136676279.46002</v>
      </c>
      <c r="I1005">
        <v>287693460887.01001</v>
      </c>
      <c r="J1005">
        <v>2.4992E-2</v>
      </c>
      <c r="K1005">
        <v>2.0890000000000001E-3</v>
      </c>
      <c r="M1005" t="s">
        <v>1</v>
      </c>
      <c r="N1005">
        <v>6000</v>
      </c>
      <c r="O1005">
        <v>7</v>
      </c>
      <c r="P1005">
        <v>6860</v>
      </c>
      <c r="Q1005">
        <v>0</v>
      </c>
      <c r="R1005">
        <v>288779105685</v>
      </c>
      <c r="S1005">
        <v>302598948.98000002</v>
      </c>
      <c r="T1005">
        <v>270841120488.57999</v>
      </c>
      <c r="U1005">
        <v>288248414836.12</v>
      </c>
      <c r="V1005">
        <v>0.53053300000000003</v>
      </c>
      <c r="W1005">
        <v>9.4369999999999992E-3</v>
      </c>
    </row>
    <row r="1006" spans="1:23" x14ac:dyDescent="0.35">
      <c r="A1006" t="s">
        <v>1</v>
      </c>
      <c r="B1006">
        <v>5500</v>
      </c>
      <c r="C1006">
        <v>6</v>
      </c>
      <c r="D1006">
        <v>10811</v>
      </c>
      <c r="E1006">
        <v>0</v>
      </c>
      <c r="F1006">
        <v>468075997292</v>
      </c>
      <c r="G1006">
        <v>535514386.56999999</v>
      </c>
      <c r="H1006">
        <v>466285453421.59998</v>
      </c>
      <c r="I1006">
        <v>467402583776.90997</v>
      </c>
      <c r="J1006">
        <v>3.1704999999999997E-2</v>
      </c>
      <c r="K1006">
        <v>3.5300000000000002E-3</v>
      </c>
      <c r="M1006" t="s">
        <v>2</v>
      </c>
      <c r="N1006">
        <v>6750</v>
      </c>
      <c r="O1006">
        <v>6</v>
      </c>
      <c r="P1006">
        <v>561</v>
      </c>
      <c r="Q1006">
        <v>0</v>
      </c>
      <c r="R1006">
        <v>9792652333</v>
      </c>
      <c r="S1006">
        <v>8903427.5800000001</v>
      </c>
      <c r="T1006">
        <v>9753098305.5699997</v>
      </c>
      <c r="U1006">
        <v>9783748905.4200001</v>
      </c>
      <c r="V1006">
        <v>3.6920000000000001E-2</v>
      </c>
      <c r="W1006">
        <v>0</v>
      </c>
    </row>
    <row r="1007" spans="1:23" x14ac:dyDescent="0.35">
      <c r="A1007" t="s">
        <v>0</v>
      </c>
      <c r="B1007">
        <v>5500</v>
      </c>
      <c r="C1007">
        <v>6</v>
      </c>
      <c r="D1007">
        <v>5487</v>
      </c>
      <c r="E1007">
        <v>0</v>
      </c>
      <c r="F1007">
        <v>193928709550</v>
      </c>
      <c r="G1007">
        <v>221511723.84</v>
      </c>
      <c r="H1007">
        <v>193292163093.42001</v>
      </c>
      <c r="I1007">
        <v>193707197826.16</v>
      </c>
      <c r="J1007">
        <v>2.5381999999999998E-2</v>
      </c>
      <c r="K1007">
        <v>0</v>
      </c>
      <c r="M1007" t="s">
        <v>0</v>
      </c>
      <c r="N1007">
        <v>6750</v>
      </c>
      <c r="O1007">
        <v>6</v>
      </c>
      <c r="P1007">
        <v>10054</v>
      </c>
      <c r="Q1007">
        <v>0</v>
      </c>
      <c r="R1007">
        <v>281277510914</v>
      </c>
      <c r="S1007">
        <v>256236054.62</v>
      </c>
      <c r="T1007">
        <v>273318907319.62</v>
      </c>
      <c r="U1007">
        <v>280468519950.07001</v>
      </c>
      <c r="V1007">
        <v>0.28336299999999998</v>
      </c>
      <c r="W1007">
        <v>2.3328999999999999E-2</v>
      </c>
    </row>
    <row r="1008" spans="1:23" x14ac:dyDescent="0.35">
      <c r="A1008" t="s">
        <v>0</v>
      </c>
      <c r="B1008">
        <v>5750</v>
      </c>
      <c r="C1008">
        <v>6</v>
      </c>
      <c r="D1008">
        <v>14242</v>
      </c>
      <c r="E1008">
        <v>0</v>
      </c>
      <c r="F1008">
        <v>505459809476</v>
      </c>
      <c r="G1008">
        <v>553689840.17999995</v>
      </c>
      <c r="H1008">
        <v>503357988644.53003</v>
      </c>
      <c r="I1008">
        <v>504816827203.40002</v>
      </c>
      <c r="J1008">
        <v>3.6141E-2</v>
      </c>
      <c r="K1008">
        <v>2.1180000000000001E-3</v>
      </c>
      <c r="M1008" t="s">
        <v>2</v>
      </c>
      <c r="N1008">
        <v>7500</v>
      </c>
      <c r="O1008">
        <v>9</v>
      </c>
      <c r="P1008">
        <v>46</v>
      </c>
      <c r="Q1008">
        <v>0</v>
      </c>
      <c r="R1008">
        <v>707233686</v>
      </c>
      <c r="S1008">
        <v>572627.30000000005</v>
      </c>
      <c r="T1008">
        <v>695115489.17999995</v>
      </c>
      <c r="U1008">
        <v>695115489.17999995</v>
      </c>
      <c r="V1008">
        <v>0.179233</v>
      </c>
      <c r="W1008">
        <v>0.179233</v>
      </c>
    </row>
    <row r="1009" spans="1:23" x14ac:dyDescent="0.35">
      <c r="A1009" t="s">
        <v>1</v>
      </c>
      <c r="B1009">
        <v>5750</v>
      </c>
      <c r="C1009">
        <v>6</v>
      </c>
      <c r="D1009">
        <v>19455</v>
      </c>
      <c r="E1009">
        <v>0</v>
      </c>
      <c r="F1009">
        <v>802310908580</v>
      </c>
      <c r="G1009">
        <v>880396147.13</v>
      </c>
      <c r="H1009">
        <v>798307961421.66003</v>
      </c>
      <c r="I1009">
        <v>801135919930.81006</v>
      </c>
      <c r="J1009">
        <v>4.5716E-2</v>
      </c>
      <c r="K1009">
        <v>4.3969999999999999E-3</v>
      </c>
      <c r="M1009" t="s">
        <v>2</v>
      </c>
      <c r="N1009">
        <v>6750</v>
      </c>
      <c r="O1009">
        <v>8</v>
      </c>
      <c r="P1009">
        <v>740</v>
      </c>
      <c r="Q1009">
        <v>0</v>
      </c>
      <c r="R1009">
        <v>13524431382</v>
      </c>
      <c r="S1009">
        <v>12435937.76</v>
      </c>
      <c r="T1009">
        <v>13438899801.370001</v>
      </c>
      <c r="U1009">
        <v>13464654160.379999</v>
      </c>
      <c r="V1009">
        <v>6.2963000000000005E-2</v>
      </c>
      <c r="W1009">
        <v>4.1206E-2</v>
      </c>
    </row>
    <row r="1010" spans="1:23" x14ac:dyDescent="0.35">
      <c r="A1010" t="s">
        <v>1</v>
      </c>
      <c r="B1010">
        <v>6000</v>
      </c>
      <c r="C1010">
        <v>7</v>
      </c>
      <c r="D1010">
        <v>8932</v>
      </c>
      <c r="E1010">
        <v>0</v>
      </c>
      <c r="F1010">
        <v>351449434724</v>
      </c>
      <c r="G1010">
        <v>368293113.77999997</v>
      </c>
      <c r="H1010">
        <v>337517912466.75</v>
      </c>
      <c r="I1010">
        <v>351033567920.51001</v>
      </c>
      <c r="J1010">
        <v>0.37642100000000001</v>
      </c>
      <c r="K1010">
        <v>1.6230000000000001E-3</v>
      </c>
      <c r="M1010" t="s">
        <v>2</v>
      </c>
      <c r="N1010">
        <v>7500</v>
      </c>
      <c r="O1010">
        <v>8</v>
      </c>
      <c r="P1010">
        <v>36</v>
      </c>
      <c r="Q1010">
        <v>0</v>
      </c>
      <c r="R1010">
        <v>569675815</v>
      </c>
      <c r="S1010">
        <v>454994.61</v>
      </c>
      <c r="T1010">
        <v>569220820.38999999</v>
      </c>
      <c r="U1010">
        <v>569220820.38999999</v>
      </c>
      <c r="V1010">
        <v>0</v>
      </c>
      <c r="W1010">
        <v>0</v>
      </c>
    </row>
    <row r="1011" spans="1:23" x14ac:dyDescent="0.35">
      <c r="A1011" t="s">
        <v>1</v>
      </c>
      <c r="B1011">
        <v>5250</v>
      </c>
      <c r="C1011">
        <v>5</v>
      </c>
      <c r="D1011">
        <v>44480</v>
      </c>
      <c r="E1011">
        <v>0</v>
      </c>
      <c r="F1011">
        <v>1960446700000</v>
      </c>
      <c r="G1011">
        <v>2297005813.6999998</v>
      </c>
      <c r="H1011">
        <v>1955320234736.5601</v>
      </c>
      <c r="I1011">
        <v>1957670553079.28</v>
      </c>
      <c r="J1011">
        <v>1.7181999999999999E-2</v>
      </c>
      <c r="K1011">
        <v>2.9290000000000002E-3</v>
      </c>
      <c r="M1011" t="s">
        <v>2</v>
      </c>
      <c r="N1011">
        <v>6750</v>
      </c>
      <c r="O1011">
        <v>7</v>
      </c>
      <c r="P1011">
        <v>690</v>
      </c>
      <c r="Q1011">
        <v>0</v>
      </c>
      <c r="R1011">
        <v>12899391336</v>
      </c>
      <c r="S1011">
        <v>11800263.310000001</v>
      </c>
      <c r="T1011">
        <v>12834415462.49</v>
      </c>
      <c r="U1011">
        <v>12873025370.959999</v>
      </c>
      <c r="V1011">
        <v>4.8362000000000002E-2</v>
      </c>
      <c r="W1011">
        <v>1.3466000000000001E-2</v>
      </c>
    </row>
    <row r="1012" spans="1:23" x14ac:dyDescent="0.35">
      <c r="A1012" t="s">
        <v>0</v>
      </c>
      <c r="B1012">
        <v>5750</v>
      </c>
      <c r="C1012">
        <v>5</v>
      </c>
      <c r="D1012">
        <v>98229</v>
      </c>
      <c r="E1012">
        <v>0</v>
      </c>
      <c r="F1012">
        <v>3418348600000</v>
      </c>
      <c r="G1012">
        <v>3676190820.6100001</v>
      </c>
      <c r="H1012">
        <v>3410916083164.0298</v>
      </c>
      <c r="I1012">
        <v>3414177538037.46</v>
      </c>
      <c r="J1012">
        <v>1.3107000000000001E-2</v>
      </c>
      <c r="K1012">
        <v>1.7359999999999999E-3</v>
      </c>
      <c r="M1012" t="s">
        <v>1</v>
      </c>
      <c r="N1012">
        <v>6750</v>
      </c>
      <c r="O1012">
        <v>7</v>
      </c>
      <c r="P1012">
        <v>6225</v>
      </c>
      <c r="Q1012">
        <v>0</v>
      </c>
      <c r="R1012">
        <v>218904027203</v>
      </c>
      <c r="S1012">
        <v>200750872.31999999</v>
      </c>
      <c r="T1012">
        <v>164910769344.67999</v>
      </c>
      <c r="U1012">
        <v>217944739702.13</v>
      </c>
      <c r="V1012">
        <v>0.96609299999999998</v>
      </c>
      <c r="W1012">
        <v>4.0798000000000001E-2</v>
      </c>
    </row>
    <row r="1013" spans="1:23" x14ac:dyDescent="0.35">
      <c r="A1013" t="s">
        <v>0</v>
      </c>
      <c r="B1013">
        <v>6250</v>
      </c>
      <c r="C1013">
        <v>5</v>
      </c>
      <c r="D1013">
        <v>81972</v>
      </c>
      <c r="E1013">
        <v>0</v>
      </c>
      <c r="F1013">
        <v>2552913800000</v>
      </c>
      <c r="G1013">
        <v>2507933902.5900002</v>
      </c>
      <c r="H1013">
        <v>2546730904235.0898</v>
      </c>
      <c r="I1013">
        <v>2549913346574.02</v>
      </c>
      <c r="J1013">
        <v>1.7138E-2</v>
      </c>
      <c r="K1013">
        <v>2.313E-3</v>
      </c>
      <c r="M1013" t="s">
        <v>0</v>
      </c>
      <c r="N1013">
        <v>7500</v>
      </c>
      <c r="O1013">
        <v>7</v>
      </c>
      <c r="P1013">
        <v>658</v>
      </c>
      <c r="Q1013">
        <v>0</v>
      </c>
      <c r="R1013">
        <v>18761309231</v>
      </c>
      <c r="S1013">
        <v>14776658.310000001</v>
      </c>
      <c r="T1013">
        <v>17911536037.389999</v>
      </c>
      <c r="U1013">
        <v>18710777058.73</v>
      </c>
      <c r="V1013">
        <v>0.42092600000000002</v>
      </c>
      <c r="W1013">
        <v>2.2631999999999999E-2</v>
      </c>
    </row>
    <row r="1014" spans="1:23" x14ac:dyDescent="0.35">
      <c r="A1014" t="s">
        <v>1</v>
      </c>
      <c r="B1014">
        <v>6500</v>
      </c>
      <c r="C1014">
        <v>6</v>
      </c>
      <c r="D1014">
        <v>1454</v>
      </c>
      <c r="E1014">
        <v>0</v>
      </c>
      <c r="F1014">
        <v>48566771926</v>
      </c>
      <c r="G1014">
        <v>46068498</v>
      </c>
      <c r="H1014">
        <v>48462690700.349998</v>
      </c>
      <c r="I1014">
        <v>48462729095.120003</v>
      </c>
      <c r="J1014">
        <v>1.4239999999999999E-2</v>
      </c>
      <c r="K1014">
        <v>1.4231000000000001E-2</v>
      </c>
      <c r="M1014" t="s">
        <v>0</v>
      </c>
      <c r="N1014">
        <v>6250</v>
      </c>
      <c r="O1014">
        <v>7</v>
      </c>
      <c r="P1014">
        <v>13305</v>
      </c>
      <c r="Q1014">
        <v>0</v>
      </c>
      <c r="R1014">
        <v>437539629469</v>
      </c>
      <c r="S1014">
        <v>439077347</v>
      </c>
      <c r="T1014">
        <v>430395686267.37</v>
      </c>
      <c r="U1014">
        <v>436981192180.44</v>
      </c>
      <c r="V1014">
        <v>0.169155</v>
      </c>
      <c r="W1014">
        <v>3.2690000000000002E-3</v>
      </c>
    </row>
    <row r="1015" spans="1:23" x14ac:dyDescent="0.35">
      <c r="A1015" t="s">
        <v>0</v>
      </c>
      <c r="B1015">
        <v>6750</v>
      </c>
      <c r="C1015">
        <v>5</v>
      </c>
      <c r="D1015">
        <v>36247</v>
      </c>
      <c r="E1015">
        <v>0</v>
      </c>
      <c r="F1015">
        <v>1013173500000</v>
      </c>
      <c r="G1015">
        <v>900470412.35000002</v>
      </c>
      <c r="H1015">
        <v>1010732611900.17</v>
      </c>
      <c r="I1015">
        <v>1011962708231.13</v>
      </c>
      <c r="J1015">
        <v>1.8093000000000001E-2</v>
      </c>
      <c r="K1015">
        <v>3.669E-3</v>
      </c>
      <c r="M1015" t="s">
        <v>1</v>
      </c>
      <c r="N1015">
        <v>6250</v>
      </c>
      <c r="O1015">
        <v>7</v>
      </c>
      <c r="P1015">
        <v>10673</v>
      </c>
      <c r="Q1015">
        <v>0</v>
      </c>
      <c r="R1015">
        <v>425502277076</v>
      </c>
      <c r="S1015">
        <v>427013096.38999999</v>
      </c>
      <c r="T1015">
        <v>374630467012.89001</v>
      </c>
      <c r="U1015">
        <v>424895647174.08002</v>
      </c>
      <c r="V1015">
        <v>0.78003599999999995</v>
      </c>
      <c r="W1015">
        <v>5.0540000000000003E-3</v>
      </c>
    </row>
    <row r="1016" spans="1:23" x14ac:dyDescent="0.35">
      <c r="A1016" t="s">
        <v>0</v>
      </c>
      <c r="B1016">
        <v>7000</v>
      </c>
      <c r="C1016">
        <v>5</v>
      </c>
      <c r="D1016">
        <v>13590</v>
      </c>
      <c r="E1016">
        <v>0</v>
      </c>
      <c r="F1016">
        <v>386604000000</v>
      </c>
      <c r="G1016">
        <v>326553277.20999998</v>
      </c>
      <c r="H1016">
        <v>385307770497.96002</v>
      </c>
      <c r="I1016">
        <v>386015770685.12</v>
      </c>
      <c r="J1016">
        <v>2.9687000000000002E-2</v>
      </c>
      <c r="K1016">
        <v>8.0920000000000002E-3</v>
      </c>
      <c r="M1016" t="s">
        <v>0</v>
      </c>
      <c r="N1016">
        <v>5500</v>
      </c>
      <c r="O1016">
        <v>6</v>
      </c>
      <c r="P1016">
        <v>2933</v>
      </c>
      <c r="Q1016">
        <v>0</v>
      </c>
      <c r="R1016">
        <v>103574383639</v>
      </c>
      <c r="S1016">
        <v>118374406.7</v>
      </c>
      <c r="T1016">
        <v>103293672299.99001</v>
      </c>
      <c r="U1016">
        <v>103456009232.3</v>
      </c>
      <c r="V1016">
        <v>1.8647E-2</v>
      </c>
      <c r="W1016">
        <v>0</v>
      </c>
    </row>
    <row r="1017" spans="1:23" x14ac:dyDescent="0.35">
      <c r="A1017" t="s">
        <v>0</v>
      </c>
      <c r="B1017">
        <v>7250</v>
      </c>
      <c r="C1017">
        <v>5</v>
      </c>
      <c r="D1017">
        <v>8414</v>
      </c>
      <c r="E1017">
        <v>0</v>
      </c>
      <c r="F1017">
        <v>226406000000</v>
      </c>
      <c r="G1017">
        <v>181915486.03999999</v>
      </c>
      <c r="H1017">
        <v>225428935174.42999</v>
      </c>
      <c r="I1017">
        <v>225921233993.47</v>
      </c>
      <c r="J1017">
        <v>4.1340000000000002E-2</v>
      </c>
      <c r="K1017">
        <v>1.5934E-2</v>
      </c>
      <c r="M1017" t="s">
        <v>1</v>
      </c>
      <c r="N1017">
        <v>5500</v>
      </c>
      <c r="O1017">
        <v>6</v>
      </c>
      <c r="P1017">
        <v>4645</v>
      </c>
      <c r="Q1017">
        <v>0</v>
      </c>
      <c r="R1017">
        <v>207979013756</v>
      </c>
      <c r="S1017">
        <v>237799229.34999999</v>
      </c>
      <c r="T1017">
        <v>207170758671.75</v>
      </c>
      <c r="U1017">
        <v>207641384866.07001</v>
      </c>
      <c r="V1017">
        <v>3.2421999999999999E-2</v>
      </c>
      <c r="W1017">
        <v>5.7450000000000001E-3</v>
      </c>
    </row>
    <row r="1018" spans="1:23" x14ac:dyDescent="0.35">
      <c r="A1018" t="s">
        <v>2</v>
      </c>
      <c r="B1018">
        <v>5500</v>
      </c>
      <c r="C1018">
        <v>6</v>
      </c>
      <c r="D1018">
        <v>34</v>
      </c>
      <c r="E1018">
        <v>0</v>
      </c>
      <c r="F1018">
        <v>809258436</v>
      </c>
      <c r="G1018">
        <v>922858.18</v>
      </c>
      <c r="H1018">
        <v>808335577.82000005</v>
      </c>
      <c r="I1018">
        <v>808335577.82000005</v>
      </c>
      <c r="J1018">
        <v>0</v>
      </c>
      <c r="K1018">
        <v>0</v>
      </c>
      <c r="M1018" t="s">
        <v>1</v>
      </c>
      <c r="N1018">
        <v>5750</v>
      </c>
      <c r="O1018">
        <v>6</v>
      </c>
      <c r="P1018">
        <v>11009</v>
      </c>
      <c r="Q1018">
        <v>0</v>
      </c>
      <c r="R1018">
        <v>471304255822</v>
      </c>
      <c r="S1018">
        <v>516903549.14999998</v>
      </c>
      <c r="T1018">
        <v>469558404079.78998</v>
      </c>
      <c r="U1018">
        <v>470692665411.71997</v>
      </c>
      <c r="V1018">
        <v>3.0845999999999998E-2</v>
      </c>
      <c r="W1018">
        <v>2.408E-3</v>
      </c>
    </row>
    <row r="1019" spans="1:23" x14ac:dyDescent="0.35">
      <c r="A1019" t="s">
        <v>2</v>
      </c>
      <c r="B1019">
        <v>5750</v>
      </c>
      <c r="C1019">
        <v>5</v>
      </c>
      <c r="D1019">
        <v>4880</v>
      </c>
      <c r="E1019">
        <v>0</v>
      </c>
      <c r="F1019">
        <v>111096100000</v>
      </c>
      <c r="G1019">
        <v>118343829.7</v>
      </c>
      <c r="H1019">
        <v>110933402822.86</v>
      </c>
      <c r="I1019">
        <v>110977756170.3</v>
      </c>
      <c r="J1019">
        <v>4.7800000000000004E-3</v>
      </c>
      <c r="K1019">
        <v>0</v>
      </c>
      <c r="M1019" t="s">
        <v>0</v>
      </c>
      <c r="N1019">
        <v>5750</v>
      </c>
      <c r="O1019">
        <v>6</v>
      </c>
      <c r="P1019">
        <v>7642</v>
      </c>
      <c r="Q1019">
        <v>0</v>
      </c>
      <c r="R1019">
        <v>271461262669</v>
      </c>
      <c r="S1019">
        <v>296970055.88</v>
      </c>
      <c r="T1019">
        <v>270242326854.75</v>
      </c>
      <c r="U1019">
        <v>271097265168.07999</v>
      </c>
      <c r="V1019">
        <v>4.0002999999999997E-2</v>
      </c>
      <c r="W1019">
        <v>2.9589999999999998E-3</v>
      </c>
    </row>
    <row r="1020" spans="1:23" x14ac:dyDescent="0.35">
      <c r="A1020" t="s">
        <v>1</v>
      </c>
      <c r="B1020">
        <v>6250</v>
      </c>
      <c r="C1020">
        <v>5</v>
      </c>
      <c r="D1020">
        <v>40500</v>
      </c>
      <c r="E1020">
        <v>0</v>
      </c>
      <c r="F1020">
        <v>1459027800000</v>
      </c>
      <c r="G1020">
        <v>1427108255.4200001</v>
      </c>
      <c r="H1020">
        <v>1454462975176.1101</v>
      </c>
      <c r="I1020">
        <v>1457038646800.27</v>
      </c>
      <c r="J1020">
        <v>2.5503999999999999E-2</v>
      </c>
      <c r="K1020">
        <v>4.6129999999999999E-3</v>
      </c>
      <c r="M1020" t="s">
        <v>2</v>
      </c>
      <c r="N1020">
        <v>5750</v>
      </c>
      <c r="O1020">
        <v>6</v>
      </c>
      <c r="P1020">
        <v>321</v>
      </c>
      <c r="Q1020">
        <v>0</v>
      </c>
      <c r="R1020">
        <v>7357580594</v>
      </c>
      <c r="S1020">
        <v>8017572.1600000001</v>
      </c>
      <c r="T1020">
        <v>7322851273.4099998</v>
      </c>
      <c r="U1020">
        <v>7349563021.8400002</v>
      </c>
      <c r="V1020">
        <v>4.2707000000000002E-2</v>
      </c>
      <c r="W1020">
        <v>0</v>
      </c>
    </row>
    <row r="1021" spans="1:23" x14ac:dyDescent="0.35">
      <c r="A1021" t="s">
        <v>1</v>
      </c>
      <c r="B1021">
        <v>5750</v>
      </c>
      <c r="C1021">
        <v>5</v>
      </c>
      <c r="D1021">
        <v>110458</v>
      </c>
      <c r="E1021">
        <v>0</v>
      </c>
      <c r="F1021">
        <v>4517834600000</v>
      </c>
      <c r="G1021">
        <v>4853605023.6300001</v>
      </c>
      <c r="H1021">
        <v>4504958752748.0498</v>
      </c>
      <c r="I1021">
        <v>4511807253549.29</v>
      </c>
      <c r="J1021">
        <v>2.1101000000000002E-2</v>
      </c>
      <c r="K1021">
        <v>3.1129999999999999E-3</v>
      </c>
      <c r="M1021" t="s">
        <v>0</v>
      </c>
      <c r="N1021">
        <v>6250</v>
      </c>
      <c r="O1021">
        <v>6</v>
      </c>
      <c r="P1021">
        <v>15056</v>
      </c>
      <c r="Q1021">
        <v>0</v>
      </c>
      <c r="R1021">
        <v>486251047410</v>
      </c>
      <c r="S1021">
        <v>486170146.43000001</v>
      </c>
      <c r="T1021">
        <v>481113945233.91998</v>
      </c>
      <c r="U1021">
        <v>485363788359.78003</v>
      </c>
      <c r="V1021">
        <v>0.108929</v>
      </c>
      <c r="W1021">
        <v>9.8539999999999999E-3</v>
      </c>
    </row>
    <row r="1022" spans="1:23" x14ac:dyDescent="0.35">
      <c r="A1022" t="s">
        <v>1</v>
      </c>
      <c r="B1022">
        <v>6750</v>
      </c>
      <c r="C1022">
        <v>7</v>
      </c>
      <c r="D1022">
        <v>4055</v>
      </c>
      <c r="E1022">
        <v>0</v>
      </c>
      <c r="F1022">
        <v>132795333572</v>
      </c>
      <c r="G1022">
        <v>121925061.76000001</v>
      </c>
      <c r="H1022">
        <v>102933074029.24001</v>
      </c>
      <c r="I1022">
        <v>132379292486.08</v>
      </c>
      <c r="J1022">
        <v>0.95228699999999999</v>
      </c>
      <c r="K1022">
        <v>2.6256000000000002E-2</v>
      </c>
      <c r="M1022" t="s">
        <v>2</v>
      </c>
      <c r="N1022">
        <v>6250</v>
      </c>
      <c r="O1022">
        <v>7</v>
      </c>
      <c r="P1022">
        <v>866</v>
      </c>
      <c r="Q1022">
        <v>0</v>
      </c>
      <c r="R1022">
        <v>19079317257</v>
      </c>
      <c r="S1022">
        <v>19061975.5</v>
      </c>
      <c r="T1022">
        <v>19044985503.669998</v>
      </c>
      <c r="U1022">
        <v>19060255281.5</v>
      </c>
      <c r="V1022">
        <v>9.5619999999999993E-3</v>
      </c>
      <c r="W1022">
        <v>0</v>
      </c>
    </row>
    <row r="1023" spans="1:23" x14ac:dyDescent="0.35">
      <c r="A1023" t="s">
        <v>0</v>
      </c>
      <c r="B1023">
        <v>5000</v>
      </c>
      <c r="C1023">
        <v>5</v>
      </c>
      <c r="D1023">
        <v>17384</v>
      </c>
      <c r="E1023">
        <v>0</v>
      </c>
      <c r="F1023">
        <v>615166600000</v>
      </c>
      <c r="G1023">
        <v>753998619.84000003</v>
      </c>
      <c r="H1023">
        <v>614209357116.46997</v>
      </c>
      <c r="I1023">
        <v>614412601380.16003</v>
      </c>
      <c r="J1023">
        <v>3.9569999999999996E-3</v>
      </c>
      <c r="K1023">
        <v>0</v>
      </c>
      <c r="M1023" t="s">
        <v>0</v>
      </c>
      <c r="N1023">
        <v>6500</v>
      </c>
      <c r="O1023">
        <v>6</v>
      </c>
      <c r="P1023">
        <v>9984</v>
      </c>
      <c r="Q1023">
        <v>0</v>
      </c>
      <c r="R1023">
        <v>284234644857</v>
      </c>
      <c r="S1023">
        <v>269776241.30000001</v>
      </c>
      <c r="T1023">
        <v>279432618968.45001</v>
      </c>
      <c r="U1023">
        <v>283581667014.14001</v>
      </c>
      <c r="V1023">
        <v>0.175425</v>
      </c>
      <c r="W1023">
        <v>1.6059E-2</v>
      </c>
    </row>
    <row r="1024" spans="1:23" x14ac:dyDescent="0.35">
      <c r="A1024" t="s">
        <v>1</v>
      </c>
      <c r="B1024">
        <v>5000</v>
      </c>
      <c r="C1024">
        <v>5</v>
      </c>
      <c r="D1024">
        <v>15503</v>
      </c>
      <c r="E1024">
        <v>0</v>
      </c>
      <c r="F1024">
        <v>665637300000</v>
      </c>
      <c r="G1024">
        <v>813923953.27999997</v>
      </c>
      <c r="H1024">
        <v>663829593035.64001</v>
      </c>
      <c r="I1024">
        <v>664732086801.41003</v>
      </c>
      <c r="J1024">
        <v>1.7769E-2</v>
      </c>
      <c r="K1024">
        <v>1.645E-3</v>
      </c>
      <c r="M1024" t="s">
        <v>0</v>
      </c>
      <c r="N1024">
        <v>7000</v>
      </c>
      <c r="O1024">
        <v>6</v>
      </c>
      <c r="P1024">
        <v>3279</v>
      </c>
      <c r="Q1024">
        <v>0</v>
      </c>
      <c r="R1024">
        <v>88058679306</v>
      </c>
      <c r="S1024">
        <v>76185180.150000006</v>
      </c>
      <c r="T1024">
        <v>84513894830.5</v>
      </c>
      <c r="U1024">
        <v>87603248364.080002</v>
      </c>
      <c r="V1024">
        <v>0.38259900000000002</v>
      </c>
      <c r="W1024">
        <v>5.0473999999999998E-2</v>
      </c>
    </row>
    <row r="1025" spans="1:23" x14ac:dyDescent="0.35">
      <c r="A1025" t="s">
        <v>2</v>
      </c>
      <c r="B1025">
        <v>5000</v>
      </c>
      <c r="C1025">
        <v>5</v>
      </c>
      <c r="D1025">
        <v>546</v>
      </c>
      <c r="E1025">
        <v>0</v>
      </c>
      <c r="F1025">
        <v>15385700000</v>
      </c>
      <c r="G1025">
        <v>18783865.609999999</v>
      </c>
      <c r="H1025">
        <v>15366916134.389999</v>
      </c>
      <c r="I1025">
        <v>15366916134.389999</v>
      </c>
      <c r="J1025">
        <v>0</v>
      </c>
      <c r="K1025">
        <v>0</v>
      </c>
      <c r="M1025" t="s">
        <v>1</v>
      </c>
      <c r="N1025">
        <v>7000</v>
      </c>
      <c r="O1025">
        <v>6</v>
      </c>
      <c r="P1025">
        <v>882</v>
      </c>
      <c r="Q1025">
        <v>0</v>
      </c>
      <c r="R1025">
        <v>27148891299</v>
      </c>
      <c r="S1025">
        <v>23405250.760000002</v>
      </c>
      <c r="T1025">
        <v>27035563542.119999</v>
      </c>
      <c r="U1025">
        <v>27101406606.970001</v>
      </c>
      <c r="V1025">
        <v>3.9030000000000002E-2</v>
      </c>
      <c r="W1025">
        <v>1.0592000000000001E-2</v>
      </c>
    </row>
    <row r="1026" spans="1:23" x14ac:dyDescent="0.35">
      <c r="A1026" t="s">
        <v>0</v>
      </c>
      <c r="B1026">
        <v>6250</v>
      </c>
      <c r="C1026">
        <v>6</v>
      </c>
      <c r="D1026">
        <v>15698</v>
      </c>
      <c r="E1026">
        <v>0</v>
      </c>
      <c r="F1026">
        <v>485505811372</v>
      </c>
      <c r="G1026">
        <v>486124674.66000003</v>
      </c>
      <c r="H1026">
        <v>482317534052.83002</v>
      </c>
      <c r="I1026">
        <v>484688087221.5</v>
      </c>
      <c r="J1026">
        <v>6.4781000000000005E-2</v>
      </c>
      <c r="K1026">
        <v>8.1650000000000004E-3</v>
      </c>
      <c r="M1026" t="s">
        <v>0</v>
      </c>
      <c r="N1026">
        <v>7250</v>
      </c>
      <c r="O1026">
        <v>6</v>
      </c>
      <c r="P1026">
        <v>2850</v>
      </c>
      <c r="Q1026">
        <v>0</v>
      </c>
      <c r="R1026">
        <v>74393769895</v>
      </c>
      <c r="S1026">
        <v>61269586.210000001</v>
      </c>
      <c r="T1026">
        <v>69907307088.699997</v>
      </c>
      <c r="U1026">
        <v>74061532703.410004</v>
      </c>
      <c r="V1026">
        <v>0.52093100000000003</v>
      </c>
      <c r="W1026">
        <v>4.2842999999999999E-2</v>
      </c>
    </row>
    <row r="1027" spans="1:23" x14ac:dyDescent="0.35">
      <c r="A1027" t="s">
        <v>2</v>
      </c>
      <c r="B1027">
        <v>6250</v>
      </c>
      <c r="C1027">
        <v>6</v>
      </c>
      <c r="D1027">
        <v>172</v>
      </c>
      <c r="E1027">
        <v>0</v>
      </c>
      <c r="F1027">
        <v>3278372012</v>
      </c>
      <c r="G1027">
        <v>3262321.77</v>
      </c>
      <c r="H1027">
        <v>3275109690.23</v>
      </c>
      <c r="I1027">
        <v>3275109690.23</v>
      </c>
      <c r="J1027">
        <v>0</v>
      </c>
      <c r="K1027">
        <v>0</v>
      </c>
      <c r="M1027" t="s">
        <v>2</v>
      </c>
      <c r="N1027">
        <v>6250</v>
      </c>
      <c r="O1027">
        <v>6</v>
      </c>
      <c r="P1027">
        <v>960</v>
      </c>
      <c r="Q1027">
        <v>0</v>
      </c>
      <c r="R1027">
        <v>20294128006</v>
      </c>
      <c r="S1027">
        <v>20153574.309999999</v>
      </c>
      <c r="T1027">
        <v>20273974431.689999</v>
      </c>
      <c r="U1027">
        <v>20273974431.689999</v>
      </c>
      <c r="V1027">
        <v>0</v>
      </c>
      <c r="W1027">
        <v>0</v>
      </c>
    </row>
    <row r="1028" spans="1:23" x14ac:dyDescent="0.35">
      <c r="A1028" t="s">
        <v>1</v>
      </c>
      <c r="B1028">
        <v>6250</v>
      </c>
      <c r="C1028">
        <v>6</v>
      </c>
      <c r="D1028">
        <v>8225</v>
      </c>
      <c r="E1028">
        <v>0</v>
      </c>
      <c r="F1028">
        <v>298476527445</v>
      </c>
      <c r="G1028">
        <v>298763677.57999998</v>
      </c>
      <c r="H1028">
        <v>297142736455.31</v>
      </c>
      <c r="I1028">
        <v>297970681835.65002</v>
      </c>
      <c r="J1028">
        <v>4.0828000000000003E-2</v>
      </c>
      <c r="K1028">
        <v>8.2939999999999993E-3</v>
      </c>
      <c r="M1028" t="s">
        <v>0</v>
      </c>
      <c r="N1028">
        <v>7500</v>
      </c>
      <c r="O1028">
        <v>6</v>
      </c>
      <c r="P1028">
        <v>443</v>
      </c>
      <c r="Q1028">
        <v>0</v>
      </c>
      <c r="R1028">
        <v>12953006045</v>
      </c>
      <c r="S1028">
        <v>10112034.619999999</v>
      </c>
      <c r="T1028">
        <v>12344911585.52</v>
      </c>
      <c r="U1028">
        <v>12897999591.9</v>
      </c>
      <c r="V1028">
        <v>0.43287799999999999</v>
      </c>
      <c r="W1028">
        <v>4.0807999999999997E-2</v>
      </c>
    </row>
    <row r="1029" spans="1:23" x14ac:dyDescent="0.35">
      <c r="A1029" t="s">
        <v>0</v>
      </c>
      <c r="B1029">
        <v>7250</v>
      </c>
      <c r="C1029">
        <v>6</v>
      </c>
      <c r="D1029">
        <v>2161</v>
      </c>
      <c r="E1029">
        <v>0</v>
      </c>
      <c r="F1029">
        <v>55759309255</v>
      </c>
      <c r="G1029">
        <v>45954796.590000004</v>
      </c>
      <c r="H1029">
        <v>52559389622.900002</v>
      </c>
      <c r="I1029">
        <v>55470409501.449997</v>
      </c>
      <c r="J1029">
        <v>0.50277899999999998</v>
      </c>
      <c r="K1029">
        <v>5.1048999999999997E-2</v>
      </c>
      <c r="M1029" t="s">
        <v>2</v>
      </c>
      <c r="N1029">
        <v>6500</v>
      </c>
      <c r="O1029">
        <v>6</v>
      </c>
      <c r="P1029">
        <v>621</v>
      </c>
      <c r="Q1029">
        <v>0</v>
      </c>
      <c r="R1029">
        <v>12028815656</v>
      </c>
      <c r="S1029">
        <v>11428808.199999999</v>
      </c>
      <c r="T1029">
        <v>11974813575.91</v>
      </c>
      <c r="U1029">
        <v>12017386847.799999</v>
      </c>
      <c r="V1029">
        <v>4.1653999999999997E-2</v>
      </c>
      <c r="W1029">
        <v>0</v>
      </c>
    </row>
    <row r="1030" spans="1:23" x14ac:dyDescent="0.35">
      <c r="A1030" t="s">
        <v>1</v>
      </c>
      <c r="B1030">
        <v>6750</v>
      </c>
      <c r="C1030">
        <v>5</v>
      </c>
      <c r="D1030">
        <v>15347</v>
      </c>
      <c r="E1030">
        <v>0</v>
      </c>
      <c r="F1030">
        <v>491159400000</v>
      </c>
      <c r="G1030">
        <v>437287467.31999999</v>
      </c>
      <c r="H1030">
        <v>489582729555.81</v>
      </c>
      <c r="I1030">
        <v>490431370899.69</v>
      </c>
      <c r="J1030">
        <v>2.7484999999999999E-2</v>
      </c>
      <c r="K1030">
        <v>7.0800000000000004E-3</v>
      </c>
      <c r="M1030" t="s">
        <v>0</v>
      </c>
      <c r="N1030">
        <v>6750</v>
      </c>
      <c r="O1030">
        <v>5</v>
      </c>
      <c r="P1030">
        <v>37314</v>
      </c>
      <c r="Q1030">
        <v>0</v>
      </c>
      <c r="R1030">
        <v>1043139000000</v>
      </c>
      <c r="S1030">
        <v>929195544.12</v>
      </c>
      <c r="T1030">
        <v>1039231885223.17</v>
      </c>
      <c r="U1030">
        <v>1041497443920.8199</v>
      </c>
      <c r="V1030">
        <v>3.3723999999999997E-2</v>
      </c>
      <c r="W1030">
        <v>8.1639999999999994E-3</v>
      </c>
    </row>
    <row r="1031" spans="1:23" x14ac:dyDescent="0.35">
      <c r="A1031" t="s">
        <v>1</v>
      </c>
      <c r="B1031">
        <v>6750</v>
      </c>
      <c r="C1031">
        <v>6</v>
      </c>
      <c r="D1031">
        <v>2845</v>
      </c>
      <c r="E1031">
        <v>0</v>
      </c>
      <c r="F1031">
        <v>90800581268</v>
      </c>
      <c r="G1031">
        <v>82893773.060000002</v>
      </c>
      <c r="H1031">
        <v>89949600635.770004</v>
      </c>
      <c r="I1031">
        <v>90346266943.350006</v>
      </c>
      <c r="J1031">
        <v>9.6917000000000003E-2</v>
      </c>
      <c r="K1031">
        <v>4.7996999999999998E-2</v>
      </c>
      <c r="M1031" t="s">
        <v>0</v>
      </c>
      <c r="N1031">
        <v>7000</v>
      </c>
      <c r="O1031">
        <v>5</v>
      </c>
      <c r="P1031">
        <v>13241</v>
      </c>
      <c r="Q1031">
        <v>0</v>
      </c>
      <c r="R1031">
        <v>371704500000</v>
      </c>
      <c r="S1031">
        <v>314487250.32999998</v>
      </c>
      <c r="T1031">
        <v>370120196161.37</v>
      </c>
      <c r="U1031">
        <v>370997147669.03003</v>
      </c>
      <c r="V1031">
        <v>4.0232999999999998E-2</v>
      </c>
      <c r="W1031">
        <v>1.261E-2</v>
      </c>
    </row>
    <row r="1032" spans="1:23" x14ac:dyDescent="0.35">
      <c r="A1032" t="s">
        <v>2</v>
      </c>
      <c r="B1032">
        <v>6250</v>
      </c>
      <c r="C1032">
        <v>5</v>
      </c>
      <c r="D1032">
        <v>3872</v>
      </c>
      <c r="E1032">
        <v>0</v>
      </c>
      <c r="F1032">
        <v>75304500000</v>
      </c>
      <c r="G1032">
        <v>73320493.579999998</v>
      </c>
      <c r="H1032">
        <v>75172337945.020004</v>
      </c>
      <c r="I1032">
        <v>75231179506.419998</v>
      </c>
      <c r="J1032">
        <v>9.3360000000000005E-3</v>
      </c>
      <c r="K1032">
        <v>0</v>
      </c>
      <c r="M1032" t="s">
        <v>1</v>
      </c>
      <c r="N1032">
        <v>5250</v>
      </c>
      <c r="O1032">
        <v>5</v>
      </c>
      <c r="P1032">
        <v>46957</v>
      </c>
      <c r="Q1032">
        <v>0</v>
      </c>
      <c r="R1032">
        <v>2090376700000</v>
      </c>
      <c r="S1032">
        <v>2445540976.4899998</v>
      </c>
      <c r="T1032">
        <v>2084530264736.99</v>
      </c>
      <c r="U1032">
        <v>2087268736925.72</v>
      </c>
      <c r="V1032">
        <v>1.9349000000000002E-2</v>
      </c>
      <c r="W1032">
        <v>3.7959999999999999E-3</v>
      </c>
    </row>
    <row r="1033" spans="1:23" x14ac:dyDescent="0.35">
      <c r="A1033" t="s">
        <v>0</v>
      </c>
      <c r="B1033">
        <v>5250</v>
      </c>
      <c r="C1033">
        <v>5</v>
      </c>
      <c r="D1033">
        <v>18236</v>
      </c>
      <c r="E1033">
        <v>0</v>
      </c>
      <c r="F1033">
        <v>643601500000</v>
      </c>
      <c r="G1033">
        <v>755078864.58000004</v>
      </c>
      <c r="H1033">
        <v>642205178315.68005</v>
      </c>
      <c r="I1033">
        <v>642798377183.84998</v>
      </c>
      <c r="J1033">
        <v>1.1891000000000001E-2</v>
      </c>
      <c r="K1033">
        <v>8.9499999999999996E-4</v>
      </c>
      <c r="M1033" t="s">
        <v>0</v>
      </c>
      <c r="N1033">
        <v>5750</v>
      </c>
      <c r="O1033">
        <v>5</v>
      </c>
      <c r="P1033">
        <v>100231</v>
      </c>
      <c r="Q1033">
        <v>0</v>
      </c>
      <c r="R1033">
        <v>3514606100000</v>
      </c>
      <c r="S1033">
        <v>3776592769.3499999</v>
      </c>
      <c r="T1033">
        <v>3507341285963.3599</v>
      </c>
      <c r="U1033">
        <v>3510501956813.5098</v>
      </c>
      <c r="V1033">
        <v>1.1845E-2</v>
      </c>
      <c r="W1033">
        <v>1.1180000000000001E-3</v>
      </c>
    </row>
    <row r="1034" spans="1:23" x14ac:dyDescent="0.35">
      <c r="A1034" t="s">
        <v>2</v>
      </c>
      <c r="B1034">
        <v>5250</v>
      </c>
      <c r="C1034">
        <v>5</v>
      </c>
      <c r="D1034">
        <v>664</v>
      </c>
      <c r="E1034">
        <v>0</v>
      </c>
      <c r="F1034">
        <v>16542500000</v>
      </c>
      <c r="G1034">
        <v>19303896.809999999</v>
      </c>
      <c r="H1034">
        <v>16503019790.879999</v>
      </c>
      <c r="I1034">
        <v>16503019790.879999</v>
      </c>
      <c r="J1034">
        <v>1.4538000000000001E-2</v>
      </c>
      <c r="K1034">
        <v>1.4538000000000001E-2</v>
      </c>
      <c r="M1034" t="s">
        <v>1</v>
      </c>
      <c r="N1034">
        <v>5750</v>
      </c>
      <c r="O1034">
        <v>5</v>
      </c>
      <c r="P1034">
        <v>116016</v>
      </c>
      <c r="Q1034">
        <v>0</v>
      </c>
      <c r="R1034">
        <v>4738833400000</v>
      </c>
      <c r="S1034">
        <v>5092278939.2399998</v>
      </c>
      <c r="T1034">
        <v>4725371150468.9297</v>
      </c>
      <c r="U1034">
        <v>4732522627519.0098</v>
      </c>
      <c r="V1034">
        <v>2.0990000000000002E-2</v>
      </c>
      <c r="W1034">
        <v>3.081E-3</v>
      </c>
    </row>
    <row r="1035" spans="1:23" x14ac:dyDescent="0.35">
      <c r="A1035" t="s">
        <v>1</v>
      </c>
      <c r="B1035">
        <v>8250</v>
      </c>
      <c r="C1035">
        <v>360</v>
      </c>
      <c r="D1035">
        <v>30</v>
      </c>
      <c r="E1035">
        <v>0</v>
      </c>
      <c r="F1035">
        <v>19887381</v>
      </c>
      <c r="G1035">
        <v>1113927.4099999999</v>
      </c>
      <c r="H1035">
        <v>18773453.59</v>
      </c>
      <c r="I1035">
        <v>18773453.59</v>
      </c>
      <c r="J1035">
        <v>0</v>
      </c>
      <c r="K1035">
        <v>0</v>
      </c>
      <c r="M1035" t="s">
        <v>1</v>
      </c>
      <c r="N1035">
        <v>6000</v>
      </c>
      <c r="O1035">
        <v>6</v>
      </c>
      <c r="P1035">
        <v>8968</v>
      </c>
      <c r="Q1035">
        <v>0</v>
      </c>
      <c r="R1035">
        <v>354205067205</v>
      </c>
      <c r="S1035">
        <v>368960871.63999999</v>
      </c>
      <c r="T1035">
        <v>352407002869.54999</v>
      </c>
      <c r="U1035">
        <v>353374232662.21002</v>
      </c>
      <c r="V1035">
        <v>4.7356000000000002E-2</v>
      </c>
      <c r="W1035">
        <v>1.5535999999999999E-2</v>
      </c>
    </row>
    <row r="1036" spans="1:23" x14ac:dyDescent="0.35">
      <c r="A1036" t="s">
        <v>2</v>
      </c>
      <c r="B1036">
        <v>20000</v>
      </c>
      <c r="C1036">
        <v>360</v>
      </c>
      <c r="D1036">
        <v>1</v>
      </c>
      <c r="E1036">
        <v>0</v>
      </c>
      <c r="F1036">
        <v>302296</v>
      </c>
      <c r="G1036">
        <v>22197.33</v>
      </c>
      <c r="H1036">
        <v>280098.67</v>
      </c>
      <c r="I1036">
        <v>280098.67</v>
      </c>
      <c r="J1036">
        <v>0</v>
      </c>
      <c r="K1036">
        <v>0</v>
      </c>
      <c r="M1036" t="s">
        <v>0</v>
      </c>
      <c r="N1036">
        <v>6250</v>
      </c>
      <c r="O1036">
        <v>5</v>
      </c>
      <c r="P1036">
        <v>84117</v>
      </c>
      <c r="Q1036">
        <v>0</v>
      </c>
      <c r="R1036">
        <v>2618429200000</v>
      </c>
      <c r="S1036">
        <v>2574260645.4400001</v>
      </c>
      <c r="T1036">
        <v>2611805338912.8901</v>
      </c>
      <c r="U1036">
        <v>2615388897265.9199</v>
      </c>
      <c r="V1036">
        <v>1.8402000000000002E-2</v>
      </c>
      <c r="W1036">
        <v>2.134E-3</v>
      </c>
    </row>
    <row r="1037" spans="1:23" x14ac:dyDescent="0.35">
      <c r="A1037" t="s">
        <v>1</v>
      </c>
      <c r="B1037">
        <v>20000</v>
      </c>
      <c r="C1037">
        <v>320</v>
      </c>
      <c r="D1037">
        <v>3</v>
      </c>
      <c r="E1037">
        <v>0</v>
      </c>
      <c r="F1037">
        <v>4538513</v>
      </c>
      <c r="G1037">
        <v>72023.649999999994</v>
      </c>
      <c r="H1037">
        <v>4466489.3499999996</v>
      </c>
      <c r="I1037">
        <v>4466489.3499999996</v>
      </c>
      <c r="J1037">
        <v>0</v>
      </c>
      <c r="K1037">
        <v>0</v>
      </c>
      <c r="M1037" t="s">
        <v>0</v>
      </c>
      <c r="N1037">
        <v>7250</v>
      </c>
      <c r="O1037">
        <v>5</v>
      </c>
      <c r="P1037">
        <v>9369</v>
      </c>
      <c r="Q1037">
        <v>0</v>
      </c>
      <c r="R1037">
        <v>248196300000</v>
      </c>
      <c r="S1037">
        <v>199791422.66</v>
      </c>
      <c r="T1037">
        <v>247239524469.12</v>
      </c>
      <c r="U1037">
        <v>247839737071.31</v>
      </c>
      <c r="V1037">
        <v>3.5992000000000003E-2</v>
      </c>
      <c r="W1037">
        <v>7.5529999999999998E-3</v>
      </c>
    </row>
    <row r="1038" spans="1:23" x14ac:dyDescent="0.35">
      <c r="A1038" t="s">
        <v>3</v>
      </c>
      <c r="B1038">
        <v>9000</v>
      </c>
      <c r="C1038">
        <v>320</v>
      </c>
      <c r="D1038">
        <v>1</v>
      </c>
      <c r="E1038">
        <v>0</v>
      </c>
      <c r="F1038">
        <v>410285</v>
      </c>
      <c r="G1038">
        <v>7151.23</v>
      </c>
      <c r="H1038">
        <v>403133.77</v>
      </c>
      <c r="I1038">
        <v>403133.77</v>
      </c>
      <c r="J1038">
        <v>0</v>
      </c>
      <c r="K1038">
        <v>0</v>
      </c>
      <c r="M1038" t="s">
        <v>2</v>
      </c>
      <c r="N1038">
        <v>5750</v>
      </c>
      <c r="O1038">
        <v>5</v>
      </c>
      <c r="P1038">
        <v>4100</v>
      </c>
      <c r="Q1038">
        <v>0</v>
      </c>
      <c r="R1038">
        <v>93167100000</v>
      </c>
      <c r="S1038">
        <v>99092637.530000001</v>
      </c>
      <c r="T1038">
        <v>93068007362.470001</v>
      </c>
      <c r="U1038">
        <v>93068007362.470001</v>
      </c>
      <c r="V1038">
        <v>0</v>
      </c>
      <c r="W1038">
        <v>0</v>
      </c>
    </row>
    <row r="1039" spans="1:23" x14ac:dyDescent="0.35">
      <c r="A1039" t="s">
        <v>3</v>
      </c>
      <c r="B1039">
        <v>7250</v>
      </c>
      <c r="C1039">
        <v>320</v>
      </c>
      <c r="D1039">
        <v>1</v>
      </c>
      <c r="E1039">
        <v>0</v>
      </c>
      <c r="F1039">
        <v>3798993</v>
      </c>
      <c r="G1039">
        <v>43175.13</v>
      </c>
      <c r="H1039">
        <v>3755817.87</v>
      </c>
      <c r="I1039">
        <v>3755817.87</v>
      </c>
      <c r="J1039">
        <v>0</v>
      </c>
      <c r="K1039">
        <v>0</v>
      </c>
      <c r="M1039" t="s">
        <v>1</v>
      </c>
      <c r="N1039">
        <v>6250</v>
      </c>
      <c r="O1039">
        <v>5</v>
      </c>
      <c r="P1039">
        <v>41642</v>
      </c>
      <c r="Q1039">
        <v>0</v>
      </c>
      <c r="R1039">
        <v>1492871300000</v>
      </c>
      <c r="S1039">
        <v>1463041792.99</v>
      </c>
      <c r="T1039">
        <v>1487982135404.02</v>
      </c>
      <c r="U1039">
        <v>1490441008137.6101</v>
      </c>
      <c r="V1039">
        <v>2.7195E-2</v>
      </c>
      <c r="W1039">
        <v>7.7470000000000004E-3</v>
      </c>
    </row>
    <row r="1040" spans="1:23" x14ac:dyDescent="0.35">
      <c r="A1040" t="s">
        <v>3</v>
      </c>
      <c r="B1040">
        <v>6250</v>
      </c>
      <c r="C1040">
        <v>320</v>
      </c>
      <c r="D1040">
        <v>36</v>
      </c>
      <c r="E1040">
        <v>0</v>
      </c>
      <c r="F1040">
        <v>168356579</v>
      </c>
      <c r="G1040">
        <v>1176108.17</v>
      </c>
      <c r="H1040">
        <v>163951596.80000001</v>
      </c>
      <c r="I1040">
        <v>167180470.83000001</v>
      </c>
      <c r="J1040">
        <v>0.20735600000000001</v>
      </c>
      <c r="K1040">
        <v>0</v>
      </c>
      <c r="M1040" t="s">
        <v>1</v>
      </c>
      <c r="N1040">
        <v>6750</v>
      </c>
      <c r="O1040">
        <v>6</v>
      </c>
      <c r="P1040">
        <v>4077</v>
      </c>
      <c r="Q1040">
        <v>0</v>
      </c>
      <c r="R1040">
        <v>133781296057</v>
      </c>
      <c r="S1040">
        <v>122039397.3</v>
      </c>
      <c r="T1040">
        <v>132979202974.35001</v>
      </c>
      <c r="U1040">
        <v>133523251758.14</v>
      </c>
      <c r="V1040">
        <v>5.9323000000000001E-2</v>
      </c>
      <c r="W1040">
        <v>1.2130999999999999E-2</v>
      </c>
    </row>
    <row r="1041" spans="1:23" x14ac:dyDescent="0.35">
      <c r="A1041" t="s">
        <v>1</v>
      </c>
      <c r="B1041">
        <v>4250</v>
      </c>
      <c r="C1041">
        <v>320</v>
      </c>
      <c r="D1041">
        <v>55</v>
      </c>
      <c r="E1041">
        <v>0</v>
      </c>
      <c r="F1041">
        <v>268779100</v>
      </c>
      <c r="G1041">
        <v>2246778.2599999998</v>
      </c>
      <c r="H1041">
        <v>266532321.74000001</v>
      </c>
      <c r="I1041">
        <v>266532321.74000001</v>
      </c>
      <c r="J1041">
        <v>0</v>
      </c>
      <c r="K1041">
        <v>0</v>
      </c>
      <c r="M1041" t="s">
        <v>0</v>
      </c>
      <c r="N1041">
        <v>5000</v>
      </c>
      <c r="O1041">
        <v>5</v>
      </c>
      <c r="P1041">
        <v>17226</v>
      </c>
      <c r="Q1041">
        <v>0</v>
      </c>
      <c r="R1041">
        <v>610610100000</v>
      </c>
      <c r="S1041">
        <v>748289654.32000005</v>
      </c>
      <c r="T1041">
        <v>609424853969.80005</v>
      </c>
      <c r="U1041">
        <v>609743657126.25</v>
      </c>
      <c r="V1041">
        <v>8.5540000000000008E-3</v>
      </c>
      <c r="W1041">
        <v>2.32E-3</v>
      </c>
    </row>
    <row r="1042" spans="1:23" x14ac:dyDescent="0.35">
      <c r="A1042" t="s">
        <v>3</v>
      </c>
      <c r="B1042">
        <v>6750</v>
      </c>
      <c r="C1042">
        <v>320</v>
      </c>
      <c r="D1042">
        <v>4</v>
      </c>
      <c r="E1042">
        <v>0</v>
      </c>
      <c r="F1042">
        <v>14613864</v>
      </c>
      <c r="G1042">
        <v>101522.61</v>
      </c>
      <c r="H1042">
        <v>14512341.390000001</v>
      </c>
      <c r="I1042">
        <v>14512341.390000001</v>
      </c>
      <c r="J1042">
        <v>0</v>
      </c>
      <c r="K1042">
        <v>0</v>
      </c>
      <c r="M1042" t="s">
        <v>1</v>
      </c>
      <c r="N1042">
        <v>5000</v>
      </c>
      <c r="O1042">
        <v>5</v>
      </c>
      <c r="P1042">
        <v>15445</v>
      </c>
      <c r="Q1042">
        <v>0</v>
      </c>
      <c r="R1042">
        <v>665914100000</v>
      </c>
      <c r="S1042">
        <v>813264082.19000006</v>
      </c>
      <c r="T1042">
        <v>664541120412.27002</v>
      </c>
      <c r="U1042">
        <v>664875110914.20996</v>
      </c>
      <c r="V1042">
        <v>1.004E-2</v>
      </c>
      <c r="W1042">
        <v>4.0600000000000002E-3</v>
      </c>
    </row>
    <row r="1043" spans="1:23" x14ac:dyDescent="0.35">
      <c r="A1043" t="s">
        <v>3</v>
      </c>
      <c r="B1043">
        <v>6750</v>
      </c>
      <c r="C1043">
        <v>240</v>
      </c>
      <c r="D1043">
        <v>23</v>
      </c>
      <c r="E1043">
        <v>0</v>
      </c>
      <c r="F1043">
        <v>120514466</v>
      </c>
      <c r="G1043">
        <v>610481.93999999994</v>
      </c>
      <c r="H1043">
        <v>119903984.06</v>
      </c>
      <c r="I1043">
        <v>119903984.06</v>
      </c>
      <c r="J1043">
        <v>0</v>
      </c>
      <c r="K1043">
        <v>0</v>
      </c>
      <c r="M1043" t="s">
        <v>2</v>
      </c>
      <c r="N1043">
        <v>5000</v>
      </c>
      <c r="O1043">
        <v>5</v>
      </c>
      <c r="P1043">
        <v>434</v>
      </c>
      <c r="Q1043">
        <v>0</v>
      </c>
      <c r="R1043">
        <v>12340800000</v>
      </c>
      <c r="S1043">
        <v>15047738.18</v>
      </c>
      <c r="T1043">
        <v>12325752261.82</v>
      </c>
      <c r="U1043">
        <v>12325752261.82</v>
      </c>
      <c r="V1043">
        <v>0</v>
      </c>
      <c r="W1043">
        <v>0</v>
      </c>
    </row>
    <row r="1044" spans="1:23" x14ac:dyDescent="0.35">
      <c r="A1044" t="s">
        <v>0</v>
      </c>
      <c r="B1044">
        <v>7250</v>
      </c>
      <c r="C1044">
        <v>240</v>
      </c>
      <c r="D1044">
        <v>1070</v>
      </c>
      <c r="E1044">
        <v>0</v>
      </c>
      <c r="F1044">
        <v>5175589679</v>
      </c>
      <c r="G1044">
        <v>25474506.780000001</v>
      </c>
      <c r="H1044">
        <v>5115836195.1300001</v>
      </c>
      <c r="I1044">
        <v>5150115172.2200003</v>
      </c>
      <c r="J1044">
        <v>7.6646000000000006E-2</v>
      </c>
      <c r="K1044">
        <v>0</v>
      </c>
      <c r="M1044" t="s">
        <v>2</v>
      </c>
      <c r="N1044">
        <v>6250</v>
      </c>
      <c r="O1044">
        <v>5</v>
      </c>
      <c r="P1044">
        <v>3290</v>
      </c>
      <c r="Q1044">
        <v>0</v>
      </c>
      <c r="R1044">
        <v>63881800000</v>
      </c>
      <c r="S1044">
        <v>62146316.140000001</v>
      </c>
      <c r="T1044">
        <v>63773998037.43</v>
      </c>
      <c r="U1044">
        <v>63819653683.860001</v>
      </c>
      <c r="V1044">
        <v>8.5430000000000002E-3</v>
      </c>
      <c r="W1044">
        <v>0</v>
      </c>
    </row>
    <row r="1045" spans="1:23" x14ac:dyDescent="0.35">
      <c r="A1045" t="s">
        <v>2</v>
      </c>
      <c r="B1045">
        <v>7250</v>
      </c>
      <c r="C1045">
        <v>240</v>
      </c>
      <c r="D1045">
        <v>193</v>
      </c>
      <c r="E1045">
        <v>0</v>
      </c>
      <c r="F1045">
        <v>739187688</v>
      </c>
      <c r="G1045">
        <v>3745431.58</v>
      </c>
      <c r="H1045">
        <v>735442256.41999996</v>
      </c>
      <c r="I1045">
        <v>735442256.41999996</v>
      </c>
      <c r="J1045">
        <v>0</v>
      </c>
      <c r="K1045">
        <v>0</v>
      </c>
      <c r="M1045" t="s">
        <v>1</v>
      </c>
      <c r="N1045">
        <v>6750</v>
      </c>
      <c r="O1045">
        <v>5</v>
      </c>
      <c r="P1045">
        <v>15233</v>
      </c>
      <c r="Q1045">
        <v>0</v>
      </c>
      <c r="R1045">
        <v>486152900000</v>
      </c>
      <c r="S1045">
        <v>433901876.22000003</v>
      </c>
      <c r="T1045">
        <v>484588409648.37</v>
      </c>
      <c r="U1045">
        <v>485408277169.78998</v>
      </c>
      <c r="V1045">
        <v>2.7553000000000001E-2</v>
      </c>
      <c r="W1045">
        <v>7.6429999999999996E-3</v>
      </c>
    </row>
    <row r="1046" spans="1:23" x14ac:dyDescent="0.35">
      <c r="A1046" t="s">
        <v>0</v>
      </c>
      <c r="B1046">
        <v>7750</v>
      </c>
      <c r="C1046">
        <v>240</v>
      </c>
      <c r="D1046">
        <v>63</v>
      </c>
      <c r="E1046">
        <v>0</v>
      </c>
      <c r="F1046">
        <v>255021397</v>
      </c>
      <c r="G1046">
        <v>1220137.75</v>
      </c>
      <c r="H1046">
        <v>250860000.22999999</v>
      </c>
      <c r="I1046">
        <v>253801259.25</v>
      </c>
      <c r="J1046">
        <v>0.12995000000000001</v>
      </c>
      <c r="K1046">
        <v>0</v>
      </c>
      <c r="M1046" t="s">
        <v>0</v>
      </c>
      <c r="N1046">
        <v>5250</v>
      </c>
      <c r="O1046">
        <v>5</v>
      </c>
      <c r="P1046">
        <v>19079</v>
      </c>
      <c r="Q1046">
        <v>0</v>
      </c>
      <c r="R1046">
        <v>676536900000</v>
      </c>
      <c r="S1046">
        <v>793180242.50999999</v>
      </c>
      <c r="T1046">
        <v>675090386009.81995</v>
      </c>
      <c r="U1046">
        <v>675743719757.48999</v>
      </c>
      <c r="V1046">
        <v>1.1527000000000001E-2</v>
      </c>
      <c r="W1046">
        <v>0</v>
      </c>
    </row>
    <row r="1047" spans="1:23" x14ac:dyDescent="0.35">
      <c r="A1047" t="s">
        <v>1</v>
      </c>
      <c r="B1047">
        <v>7250</v>
      </c>
      <c r="C1047">
        <v>240</v>
      </c>
      <c r="D1047">
        <v>33</v>
      </c>
      <c r="E1047">
        <v>0</v>
      </c>
      <c r="F1047">
        <v>157611764</v>
      </c>
      <c r="G1047">
        <v>796472.51</v>
      </c>
      <c r="H1047">
        <v>156815291.49000001</v>
      </c>
      <c r="I1047">
        <v>156815291.49000001</v>
      </c>
      <c r="J1047">
        <v>0</v>
      </c>
      <c r="K1047">
        <v>0</v>
      </c>
      <c r="M1047" t="s">
        <v>2</v>
      </c>
      <c r="N1047">
        <v>5250</v>
      </c>
      <c r="O1047">
        <v>5</v>
      </c>
      <c r="P1047">
        <v>577</v>
      </c>
      <c r="Q1047">
        <v>0</v>
      </c>
      <c r="R1047">
        <v>14297600000</v>
      </c>
      <c r="S1047">
        <v>16632689.35</v>
      </c>
      <c r="T1047">
        <v>14280967310.65</v>
      </c>
      <c r="U1047">
        <v>14280967310.65</v>
      </c>
      <c r="V1047">
        <v>0</v>
      </c>
      <c r="W1047">
        <v>0</v>
      </c>
    </row>
    <row r="1048" spans="1:23" x14ac:dyDescent="0.35">
      <c r="A1048" t="s">
        <v>1</v>
      </c>
      <c r="B1048">
        <v>7750</v>
      </c>
      <c r="C1048">
        <v>240</v>
      </c>
      <c r="D1048">
        <v>1</v>
      </c>
      <c r="E1048">
        <v>0</v>
      </c>
      <c r="F1048">
        <v>7877319</v>
      </c>
      <c r="G1048">
        <v>42436.89</v>
      </c>
      <c r="H1048">
        <v>7834882.1100000003</v>
      </c>
      <c r="I1048">
        <v>7834882.1100000003</v>
      </c>
      <c r="J1048">
        <v>0</v>
      </c>
      <c r="K1048">
        <v>0</v>
      </c>
      <c r="M1048" t="s">
        <v>1</v>
      </c>
      <c r="N1048">
        <v>8250</v>
      </c>
      <c r="O1048">
        <v>360</v>
      </c>
      <c r="P1048">
        <v>29</v>
      </c>
      <c r="Q1048">
        <v>0</v>
      </c>
      <c r="R1048">
        <v>17425633</v>
      </c>
      <c r="S1048">
        <v>1083179.3</v>
      </c>
      <c r="T1048">
        <v>16342453.699999999</v>
      </c>
      <c r="U1048">
        <v>16342453.699999999</v>
      </c>
      <c r="V1048">
        <v>0</v>
      </c>
      <c r="W1048">
        <v>0</v>
      </c>
    </row>
    <row r="1049" spans="1:23" x14ac:dyDescent="0.35">
      <c r="A1049" t="s">
        <v>3</v>
      </c>
      <c r="B1049">
        <v>7250</v>
      </c>
      <c r="C1049">
        <v>240</v>
      </c>
      <c r="D1049">
        <v>3</v>
      </c>
      <c r="E1049">
        <v>0</v>
      </c>
      <c r="F1049">
        <v>11470330</v>
      </c>
      <c r="G1049">
        <v>54726.11</v>
      </c>
      <c r="H1049">
        <v>11415603.890000001</v>
      </c>
      <c r="I1049">
        <v>11415603.890000001</v>
      </c>
      <c r="J1049">
        <v>0</v>
      </c>
      <c r="K1049">
        <v>0</v>
      </c>
      <c r="M1049" t="s">
        <v>2</v>
      </c>
      <c r="N1049">
        <v>20000</v>
      </c>
      <c r="O1049">
        <v>360</v>
      </c>
      <c r="P1049">
        <v>1</v>
      </c>
      <c r="Q1049">
        <v>0</v>
      </c>
      <c r="R1049">
        <v>341212</v>
      </c>
      <c r="S1049">
        <v>23174.57</v>
      </c>
      <c r="T1049">
        <v>318037.43</v>
      </c>
      <c r="U1049">
        <v>318037.43</v>
      </c>
      <c r="V1049">
        <v>0</v>
      </c>
      <c r="W1049">
        <v>0</v>
      </c>
    </row>
    <row r="1050" spans="1:23" x14ac:dyDescent="0.35">
      <c r="A1050" t="s">
        <v>3</v>
      </c>
      <c r="B1050">
        <v>7500</v>
      </c>
      <c r="C1050">
        <v>240</v>
      </c>
      <c r="D1050">
        <v>2</v>
      </c>
      <c r="E1050">
        <v>0</v>
      </c>
      <c r="F1050">
        <v>10493051</v>
      </c>
      <c r="G1050">
        <v>49574.44</v>
      </c>
      <c r="H1050">
        <v>10443476.560000001</v>
      </c>
      <c r="I1050">
        <v>10443476.560000001</v>
      </c>
      <c r="J1050">
        <v>0</v>
      </c>
      <c r="K1050">
        <v>0</v>
      </c>
      <c r="M1050" t="s">
        <v>1</v>
      </c>
      <c r="N1050">
        <v>20000</v>
      </c>
      <c r="O1050">
        <v>320</v>
      </c>
      <c r="P1050">
        <v>3</v>
      </c>
      <c r="Q1050">
        <v>0</v>
      </c>
      <c r="R1050">
        <v>4619461</v>
      </c>
      <c r="S1050">
        <v>71606.600000000006</v>
      </c>
      <c r="T1050">
        <v>4547854.4000000004</v>
      </c>
      <c r="U1050">
        <v>4547854.4000000004</v>
      </c>
      <c r="V1050">
        <v>0</v>
      </c>
      <c r="W1050">
        <v>0</v>
      </c>
    </row>
    <row r="1051" spans="1:23" x14ac:dyDescent="0.35">
      <c r="A1051" t="s">
        <v>0</v>
      </c>
      <c r="B1051">
        <v>8250</v>
      </c>
      <c r="C1051">
        <v>240</v>
      </c>
      <c r="D1051">
        <v>8</v>
      </c>
      <c r="E1051">
        <v>0</v>
      </c>
      <c r="F1051">
        <v>29043870</v>
      </c>
      <c r="G1051">
        <v>125957.89</v>
      </c>
      <c r="H1051">
        <v>28917912.109999999</v>
      </c>
      <c r="I1051">
        <v>28917912.109999999</v>
      </c>
      <c r="J1051">
        <v>0</v>
      </c>
      <c r="K1051">
        <v>0</v>
      </c>
      <c r="M1051" t="s">
        <v>3</v>
      </c>
      <c r="N1051">
        <v>9000</v>
      </c>
      <c r="O1051">
        <v>320</v>
      </c>
      <c r="P1051">
        <v>1</v>
      </c>
      <c r="Q1051">
        <v>0</v>
      </c>
      <c r="R1051">
        <v>514239</v>
      </c>
      <c r="S1051">
        <v>8746.01</v>
      </c>
      <c r="T1051">
        <v>505492.99</v>
      </c>
      <c r="U1051">
        <v>505492.99</v>
      </c>
      <c r="V1051">
        <v>0</v>
      </c>
      <c r="W1051">
        <v>0</v>
      </c>
    </row>
    <row r="1052" spans="1:23" x14ac:dyDescent="0.35">
      <c r="A1052" t="s">
        <v>1</v>
      </c>
      <c r="B1052">
        <v>4750</v>
      </c>
      <c r="C1052">
        <v>240</v>
      </c>
      <c r="D1052">
        <v>24</v>
      </c>
      <c r="E1052">
        <v>0</v>
      </c>
      <c r="F1052">
        <v>138709426</v>
      </c>
      <c r="G1052">
        <v>848588.82</v>
      </c>
      <c r="H1052">
        <v>134377907.38999999</v>
      </c>
      <c r="I1052">
        <v>137860837.18000001</v>
      </c>
      <c r="J1052">
        <v>0.26299600000000001</v>
      </c>
      <c r="K1052">
        <v>0</v>
      </c>
      <c r="M1052" t="s">
        <v>3</v>
      </c>
      <c r="N1052">
        <v>7250</v>
      </c>
      <c r="O1052">
        <v>320</v>
      </c>
      <c r="P1052">
        <v>1</v>
      </c>
      <c r="Q1052">
        <v>0</v>
      </c>
      <c r="R1052">
        <v>3849304</v>
      </c>
      <c r="S1052">
        <v>43002.86</v>
      </c>
      <c r="T1052">
        <v>3806301.14</v>
      </c>
      <c r="U1052">
        <v>3806301.14</v>
      </c>
      <c r="V1052">
        <v>0</v>
      </c>
      <c r="W1052">
        <v>0</v>
      </c>
    </row>
    <row r="1053" spans="1:23" x14ac:dyDescent="0.35">
      <c r="A1053" t="s">
        <v>3</v>
      </c>
      <c r="B1053">
        <v>5750</v>
      </c>
      <c r="C1053">
        <v>216</v>
      </c>
      <c r="D1053">
        <v>29</v>
      </c>
      <c r="E1053">
        <v>0</v>
      </c>
      <c r="F1053">
        <v>213666483</v>
      </c>
      <c r="G1053">
        <v>908096.19</v>
      </c>
      <c r="H1053">
        <v>212758386.81</v>
      </c>
      <c r="I1053">
        <v>212758386.81</v>
      </c>
      <c r="J1053">
        <v>0</v>
      </c>
      <c r="K1053">
        <v>0</v>
      </c>
      <c r="M1053" t="s">
        <v>3</v>
      </c>
      <c r="N1053">
        <v>6250</v>
      </c>
      <c r="O1053">
        <v>320</v>
      </c>
      <c r="P1053">
        <v>36</v>
      </c>
      <c r="Q1053">
        <v>0</v>
      </c>
      <c r="R1053">
        <v>170077980</v>
      </c>
      <c r="S1053">
        <v>1173767.22</v>
      </c>
      <c r="T1053">
        <v>168904212.78</v>
      </c>
      <c r="U1053">
        <v>168904212.78</v>
      </c>
      <c r="V1053">
        <v>0</v>
      </c>
      <c r="W1053">
        <v>0</v>
      </c>
    </row>
    <row r="1054" spans="1:23" x14ac:dyDescent="0.35">
      <c r="A1054" t="s">
        <v>3</v>
      </c>
      <c r="B1054">
        <v>6250</v>
      </c>
      <c r="C1054">
        <v>216</v>
      </c>
      <c r="D1054">
        <v>11</v>
      </c>
      <c r="E1054">
        <v>0</v>
      </c>
      <c r="F1054">
        <v>80220508</v>
      </c>
      <c r="G1054">
        <v>355191.81</v>
      </c>
      <c r="H1054">
        <v>79865316.189999998</v>
      </c>
      <c r="I1054">
        <v>79865316.189999998</v>
      </c>
      <c r="J1054">
        <v>0</v>
      </c>
      <c r="K1054">
        <v>0</v>
      </c>
      <c r="M1054" t="s">
        <v>1</v>
      </c>
      <c r="N1054">
        <v>4250</v>
      </c>
      <c r="O1054">
        <v>320</v>
      </c>
      <c r="P1054">
        <v>56</v>
      </c>
      <c r="Q1054">
        <v>0</v>
      </c>
      <c r="R1054">
        <v>272548883</v>
      </c>
      <c r="S1054">
        <v>2254145.1</v>
      </c>
      <c r="T1054">
        <v>269541178.45999998</v>
      </c>
      <c r="U1054">
        <v>270294737.89999998</v>
      </c>
      <c r="V1054">
        <v>3.2677999999999999E-2</v>
      </c>
      <c r="W1054">
        <v>0</v>
      </c>
    </row>
    <row r="1055" spans="1:23" x14ac:dyDescent="0.35">
      <c r="A1055" t="s">
        <v>0</v>
      </c>
      <c r="B1055">
        <v>8250</v>
      </c>
      <c r="C1055">
        <v>216</v>
      </c>
      <c r="D1055">
        <v>3</v>
      </c>
      <c r="E1055">
        <v>0</v>
      </c>
      <c r="F1055">
        <v>13451438</v>
      </c>
      <c r="G1055">
        <v>51917.24</v>
      </c>
      <c r="H1055">
        <v>13399520.76</v>
      </c>
      <c r="I1055">
        <v>13399520.76</v>
      </c>
      <c r="J1055">
        <v>0</v>
      </c>
      <c r="K1055">
        <v>0</v>
      </c>
      <c r="M1055" t="s">
        <v>3</v>
      </c>
      <c r="N1055">
        <v>6750</v>
      </c>
      <c r="O1055">
        <v>320</v>
      </c>
      <c r="P1055">
        <v>4</v>
      </c>
      <c r="Q1055">
        <v>0</v>
      </c>
      <c r="R1055">
        <v>14773816</v>
      </c>
      <c r="S1055">
        <v>101407.91</v>
      </c>
      <c r="T1055">
        <v>14672408.09</v>
      </c>
      <c r="U1055">
        <v>14672408.09</v>
      </c>
      <c r="V1055">
        <v>0</v>
      </c>
      <c r="W1055">
        <v>0</v>
      </c>
    </row>
    <row r="1056" spans="1:23" x14ac:dyDescent="0.35">
      <c r="A1056" t="s">
        <v>1</v>
      </c>
      <c r="B1056">
        <v>4500</v>
      </c>
      <c r="C1056">
        <v>240</v>
      </c>
      <c r="D1056">
        <v>28</v>
      </c>
      <c r="E1056">
        <v>0</v>
      </c>
      <c r="F1056">
        <v>175277349</v>
      </c>
      <c r="G1056">
        <v>1073882.82</v>
      </c>
      <c r="H1056">
        <v>174203466.18000001</v>
      </c>
      <c r="I1056">
        <v>174203466.18000001</v>
      </c>
      <c r="J1056">
        <v>0</v>
      </c>
      <c r="K1056">
        <v>0</v>
      </c>
      <c r="M1056" t="s">
        <v>0</v>
      </c>
      <c r="N1056">
        <v>7250</v>
      </c>
      <c r="O1056">
        <v>240</v>
      </c>
      <c r="P1056">
        <v>1053</v>
      </c>
      <c r="Q1056">
        <v>0</v>
      </c>
      <c r="R1056">
        <v>5099354572</v>
      </c>
      <c r="S1056">
        <v>24923177.670000002</v>
      </c>
      <c r="T1056">
        <v>5054124466.7200003</v>
      </c>
      <c r="U1056">
        <v>5069323441.2799997</v>
      </c>
      <c r="V1056">
        <v>4.6753999999999997E-2</v>
      </c>
      <c r="W1056">
        <v>1.1953999999999999E-2</v>
      </c>
    </row>
    <row r="1057" spans="1:23" x14ac:dyDescent="0.35">
      <c r="A1057" t="s">
        <v>0</v>
      </c>
      <c r="B1057">
        <v>7750</v>
      </c>
      <c r="C1057">
        <v>216</v>
      </c>
      <c r="D1057">
        <v>26</v>
      </c>
      <c r="E1057">
        <v>0</v>
      </c>
      <c r="F1057">
        <v>93967321</v>
      </c>
      <c r="G1057">
        <v>376402.74</v>
      </c>
      <c r="H1057">
        <v>93590918.260000005</v>
      </c>
      <c r="I1057">
        <v>93590918.260000005</v>
      </c>
      <c r="J1057">
        <v>0</v>
      </c>
      <c r="K1057">
        <v>0</v>
      </c>
      <c r="M1057" t="s">
        <v>3</v>
      </c>
      <c r="N1057">
        <v>6750</v>
      </c>
      <c r="O1057">
        <v>240</v>
      </c>
      <c r="P1057">
        <v>24</v>
      </c>
      <c r="Q1057">
        <v>0</v>
      </c>
      <c r="R1057">
        <v>124511436</v>
      </c>
      <c r="S1057">
        <v>626235.11</v>
      </c>
      <c r="T1057">
        <v>120597871.40000001</v>
      </c>
      <c r="U1057">
        <v>123885200.89</v>
      </c>
      <c r="V1057">
        <v>0.27463399999999999</v>
      </c>
      <c r="W1057">
        <v>0</v>
      </c>
    </row>
    <row r="1058" spans="1:23" x14ac:dyDescent="0.35">
      <c r="A1058" t="s">
        <v>0</v>
      </c>
      <c r="B1058">
        <v>8500</v>
      </c>
      <c r="C1058">
        <v>216</v>
      </c>
      <c r="D1058">
        <v>1</v>
      </c>
      <c r="E1058">
        <v>0</v>
      </c>
      <c r="F1058">
        <v>3902233</v>
      </c>
      <c r="G1058">
        <v>15137.03</v>
      </c>
      <c r="H1058">
        <v>3887095.97</v>
      </c>
      <c r="I1058">
        <v>3887095.97</v>
      </c>
      <c r="J1058">
        <v>0</v>
      </c>
      <c r="K1058">
        <v>0</v>
      </c>
      <c r="M1058" t="s">
        <v>2</v>
      </c>
      <c r="N1058">
        <v>7250</v>
      </c>
      <c r="O1058">
        <v>240</v>
      </c>
      <c r="P1058">
        <v>194</v>
      </c>
      <c r="Q1058">
        <v>0</v>
      </c>
      <c r="R1058">
        <v>747660385</v>
      </c>
      <c r="S1058">
        <v>3745131.76</v>
      </c>
      <c r="T1058">
        <v>740458375.95000005</v>
      </c>
      <c r="U1058">
        <v>743915253.24000001</v>
      </c>
      <c r="V1058">
        <v>5.4094000000000003E-2</v>
      </c>
      <c r="W1058">
        <v>0</v>
      </c>
    </row>
    <row r="1059" spans="1:23" x14ac:dyDescent="0.35">
      <c r="A1059" t="s">
        <v>1</v>
      </c>
      <c r="B1059">
        <v>4250</v>
      </c>
      <c r="C1059">
        <v>216</v>
      </c>
      <c r="D1059">
        <v>72</v>
      </c>
      <c r="E1059">
        <v>0</v>
      </c>
      <c r="F1059">
        <v>818101171</v>
      </c>
      <c r="G1059">
        <v>3863486.76</v>
      </c>
      <c r="H1059">
        <v>814237684.24000001</v>
      </c>
      <c r="I1059">
        <v>814237684.24000001</v>
      </c>
      <c r="J1059">
        <v>0</v>
      </c>
      <c r="K1059">
        <v>0</v>
      </c>
      <c r="M1059" t="s">
        <v>0</v>
      </c>
      <c r="N1059">
        <v>7750</v>
      </c>
      <c r="O1059">
        <v>240</v>
      </c>
      <c r="P1059">
        <v>63</v>
      </c>
      <c r="Q1059">
        <v>0</v>
      </c>
      <c r="R1059">
        <v>256833089</v>
      </c>
      <c r="S1059">
        <v>1215216.6499999999</v>
      </c>
      <c r="T1059">
        <v>255617872.34999999</v>
      </c>
      <c r="U1059">
        <v>255617872.34999999</v>
      </c>
      <c r="V1059">
        <v>0</v>
      </c>
      <c r="W1059">
        <v>0</v>
      </c>
    </row>
    <row r="1060" spans="1:23" x14ac:dyDescent="0.35">
      <c r="A1060" t="s">
        <v>3</v>
      </c>
      <c r="B1060">
        <v>5250</v>
      </c>
      <c r="C1060">
        <v>216</v>
      </c>
      <c r="D1060">
        <v>78</v>
      </c>
      <c r="E1060">
        <v>0</v>
      </c>
      <c r="F1060">
        <v>718850268</v>
      </c>
      <c r="G1060">
        <v>3038915.05</v>
      </c>
      <c r="H1060">
        <v>715811352.95000005</v>
      </c>
      <c r="I1060">
        <v>715811352.95000005</v>
      </c>
      <c r="J1060">
        <v>0</v>
      </c>
      <c r="K1060">
        <v>0</v>
      </c>
      <c r="M1060" t="s">
        <v>1</v>
      </c>
      <c r="N1060">
        <v>7250</v>
      </c>
      <c r="O1060">
        <v>240</v>
      </c>
      <c r="P1060">
        <v>33</v>
      </c>
      <c r="Q1060">
        <v>0</v>
      </c>
      <c r="R1060">
        <v>158983064</v>
      </c>
      <c r="S1060">
        <v>794817.71</v>
      </c>
      <c r="T1060">
        <v>158188246.28999999</v>
      </c>
      <c r="U1060">
        <v>158188246.28999999</v>
      </c>
      <c r="V1060">
        <v>0</v>
      </c>
      <c r="W1060">
        <v>0</v>
      </c>
    </row>
    <row r="1061" spans="1:23" x14ac:dyDescent="0.35">
      <c r="A1061" t="s">
        <v>3</v>
      </c>
      <c r="B1061">
        <v>4750</v>
      </c>
      <c r="C1061">
        <v>216</v>
      </c>
      <c r="D1061">
        <v>14</v>
      </c>
      <c r="E1061">
        <v>0</v>
      </c>
      <c r="F1061">
        <v>117565309</v>
      </c>
      <c r="G1061">
        <v>523847.72</v>
      </c>
      <c r="H1061">
        <v>117041461.28</v>
      </c>
      <c r="I1061">
        <v>117041461.28</v>
      </c>
      <c r="J1061">
        <v>0</v>
      </c>
      <c r="K1061">
        <v>0</v>
      </c>
      <c r="M1061" t="s">
        <v>1</v>
      </c>
      <c r="N1061">
        <v>7750</v>
      </c>
      <c r="O1061">
        <v>240</v>
      </c>
      <c r="P1061">
        <v>1</v>
      </c>
      <c r="Q1061">
        <v>0</v>
      </c>
      <c r="R1061">
        <v>7920907</v>
      </c>
      <c r="S1061">
        <v>42176.5</v>
      </c>
      <c r="T1061">
        <v>7878730.5</v>
      </c>
      <c r="U1061">
        <v>7878730.5</v>
      </c>
      <c r="V1061">
        <v>0</v>
      </c>
      <c r="W1061">
        <v>0</v>
      </c>
    </row>
    <row r="1062" spans="1:23" x14ac:dyDescent="0.35">
      <c r="A1062" t="s">
        <v>1</v>
      </c>
      <c r="B1062">
        <v>4250</v>
      </c>
      <c r="C1062">
        <v>240</v>
      </c>
      <c r="D1062">
        <v>5</v>
      </c>
      <c r="E1062">
        <v>0</v>
      </c>
      <c r="F1062">
        <v>16742937</v>
      </c>
      <c r="G1062">
        <v>151749.85</v>
      </c>
      <c r="H1062">
        <v>16591187.15</v>
      </c>
      <c r="I1062">
        <v>16591187.15</v>
      </c>
      <c r="J1062">
        <v>0</v>
      </c>
      <c r="K1062">
        <v>0</v>
      </c>
      <c r="M1062" t="s">
        <v>3</v>
      </c>
      <c r="N1062">
        <v>7250</v>
      </c>
      <c r="O1062">
        <v>240</v>
      </c>
      <c r="P1062">
        <v>3</v>
      </c>
      <c r="Q1062">
        <v>0</v>
      </c>
      <c r="R1062">
        <v>11532419</v>
      </c>
      <c r="S1062">
        <v>54437.82</v>
      </c>
      <c r="T1062">
        <v>11477981.18</v>
      </c>
      <c r="U1062">
        <v>11477981.18</v>
      </c>
      <c r="V1062">
        <v>0</v>
      </c>
      <c r="W1062">
        <v>0</v>
      </c>
    </row>
    <row r="1063" spans="1:23" x14ac:dyDescent="0.35">
      <c r="A1063" t="s">
        <v>0</v>
      </c>
      <c r="B1063">
        <v>3750</v>
      </c>
      <c r="C1063">
        <v>216</v>
      </c>
      <c r="D1063">
        <v>2</v>
      </c>
      <c r="E1063">
        <v>0</v>
      </c>
      <c r="F1063">
        <v>17289300</v>
      </c>
      <c r="G1063">
        <v>80570.8</v>
      </c>
      <c r="H1063">
        <v>17208729.199999999</v>
      </c>
      <c r="I1063">
        <v>17208729.199999999</v>
      </c>
      <c r="J1063">
        <v>0</v>
      </c>
      <c r="K1063">
        <v>0</v>
      </c>
      <c r="M1063" t="s">
        <v>3</v>
      </c>
      <c r="N1063">
        <v>7500</v>
      </c>
      <c r="O1063">
        <v>240</v>
      </c>
      <c r="P1063">
        <v>2</v>
      </c>
      <c r="Q1063">
        <v>0</v>
      </c>
      <c r="R1063">
        <v>10735169</v>
      </c>
      <c r="S1063">
        <v>50172.93</v>
      </c>
      <c r="T1063">
        <v>10684996.07</v>
      </c>
      <c r="U1063">
        <v>10684996.07</v>
      </c>
      <c r="V1063">
        <v>0</v>
      </c>
      <c r="W1063">
        <v>0</v>
      </c>
    </row>
    <row r="1064" spans="1:23" x14ac:dyDescent="0.35">
      <c r="A1064" t="s">
        <v>3</v>
      </c>
      <c r="B1064">
        <v>5250</v>
      </c>
      <c r="C1064">
        <v>192</v>
      </c>
      <c r="D1064">
        <v>107</v>
      </c>
      <c r="E1064">
        <v>0</v>
      </c>
      <c r="F1064">
        <v>919280598</v>
      </c>
      <c r="G1064">
        <v>3558238.31</v>
      </c>
      <c r="H1064">
        <v>915722359.69000006</v>
      </c>
      <c r="I1064">
        <v>915722359.69000006</v>
      </c>
      <c r="J1064">
        <v>0</v>
      </c>
      <c r="K1064">
        <v>0</v>
      </c>
      <c r="M1064" t="s">
        <v>0</v>
      </c>
      <c r="N1064">
        <v>8250</v>
      </c>
      <c r="O1064">
        <v>240</v>
      </c>
      <c r="P1064">
        <v>8</v>
      </c>
      <c r="Q1064">
        <v>0</v>
      </c>
      <c r="R1064">
        <v>29221543</v>
      </c>
      <c r="S1064">
        <v>125318.68</v>
      </c>
      <c r="T1064">
        <v>29096224.32</v>
      </c>
      <c r="U1064">
        <v>29096224.32</v>
      </c>
      <c r="V1064">
        <v>0</v>
      </c>
      <c r="W1064">
        <v>0</v>
      </c>
    </row>
    <row r="1065" spans="1:23" x14ac:dyDescent="0.35">
      <c r="A1065" t="s">
        <v>1</v>
      </c>
      <c r="B1065">
        <v>5750</v>
      </c>
      <c r="C1065">
        <v>192</v>
      </c>
      <c r="D1065">
        <v>28</v>
      </c>
      <c r="E1065">
        <v>0</v>
      </c>
      <c r="F1065">
        <v>157772653</v>
      </c>
      <c r="G1065">
        <v>600075.28</v>
      </c>
      <c r="H1065">
        <v>157172577.72</v>
      </c>
      <c r="I1065">
        <v>157172577.72</v>
      </c>
      <c r="J1065">
        <v>0</v>
      </c>
      <c r="K1065">
        <v>0</v>
      </c>
      <c r="M1065" t="s">
        <v>3</v>
      </c>
      <c r="N1065">
        <v>5750</v>
      </c>
      <c r="O1065">
        <v>216</v>
      </c>
      <c r="P1065">
        <v>27</v>
      </c>
      <c r="Q1065">
        <v>0</v>
      </c>
      <c r="R1065">
        <v>197202224</v>
      </c>
      <c r="S1065">
        <v>836050.1</v>
      </c>
      <c r="T1065">
        <v>196366173.90000001</v>
      </c>
      <c r="U1065">
        <v>196366173.90000001</v>
      </c>
      <c r="V1065">
        <v>0</v>
      </c>
      <c r="W1065">
        <v>0</v>
      </c>
    </row>
    <row r="1066" spans="1:23" x14ac:dyDescent="0.35">
      <c r="A1066" t="s">
        <v>2</v>
      </c>
      <c r="B1066">
        <v>5750</v>
      </c>
      <c r="C1066">
        <v>192</v>
      </c>
      <c r="D1066">
        <v>76</v>
      </c>
      <c r="E1066">
        <v>0</v>
      </c>
      <c r="F1066">
        <v>420994527</v>
      </c>
      <c r="G1066">
        <v>1634078.65</v>
      </c>
      <c r="H1066">
        <v>419360448.35000002</v>
      </c>
      <c r="I1066">
        <v>419360448.35000002</v>
      </c>
      <c r="J1066">
        <v>0</v>
      </c>
      <c r="K1066">
        <v>0</v>
      </c>
      <c r="M1066" t="s">
        <v>3</v>
      </c>
      <c r="N1066">
        <v>6250</v>
      </c>
      <c r="O1066">
        <v>216</v>
      </c>
      <c r="P1066">
        <v>13</v>
      </c>
      <c r="Q1066">
        <v>0</v>
      </c>
      <c r="R1066">
        <v>99488464</v>
      </c>
      <c r="S1066">
        <v>442410.8</v>
      </c>
      <c r="T1066">
        <v>99046053.200000003</v>
      </c>
      <c r="U1066">
        <v>99046053.200000003</v>
      </c>
      <c r="V1066">
        <v>0</v>
      </c>
      <c r="W1066">
        <v>0</v>
      </c>
    </row>
    <row r="1067" spans="1:23" x14ac:dyDescent="0.35">
      <c r="A1067" t="s">
        <v>3</v>
      </c>
      <c r="B1067">
        <v>5750</v>
      </c>
      <c r="C1067">
        <v>192</v>
      </c>
      <c r="D1067">
        <v>11</v>
      </c>
      <c r="E1067">
        <v>0</v>
      </c>
      <c r="F1067">
        <v>63792045</v>
      </c>
      <c r="G1067">
        <v>243263.4</v>
      </c>
      <c r="H1067">
        <v>63548781.600000001</v>
      </c>
      <c r="I1067">
        <v>63548781.600000001</v>
      </c>
      <c r="J1067">
        <v>0</v>
      </c>
      <c r="K1067">
        <v>0</v>
      </c>
      <c r="M1067" t="s">
        <v>0</v>
      </c>
      <c r="N1067">
        <v>8250</v>
      </c>
      <c r="O1067">
        <v>216</v>
      </c>
      <c r="P1067">
        <v>3</v>
      </c>
      <c r="Q1067">
        <v>0</v>
      </c>
      <c r="R1067">
        <v>13521626</v>
      </c>
      <c r="S1067">
        <v>51635.46</v>
      </c>
      <c r="T1067">
        <v>13469990.539999999</v>
      </c>
      <c r="U1067">
        <v>13469990.539999999</v>
      </c>
      <c r="V1067">
        <v>0</v>
      </c>
      <c r="W1067">
        <v>0</v>
      </c>
    </row>
    <row r="1068" spans="1:23" x14ac:dyDescent="0.35">
      <c r="A1068" t="s">
        <v>3</v>
      </c>
      <c r="B1068">
        <v>6000</v>
      </c>
      <c r="C1068">
        <v>192</v>
      </c>
      <c r="D1068">
        <v>7</v>
      </c>
      <c r="E1068">
        <v>0</v>
      </c>
      <c r="F1068">
        <v>34792513</v>
      </c>
      <c r="G1068">
        <v>130755.03</v>
      </c>
      <c r="H1068">
        <v>34661757.969999999</v>
      </c>
      <c r="I1068">
        <v>34661757.969999999</v>
      </c>
      <c r="J1068">
        <v>0</v>
      </c>
      <c r="K1068">
        <v>0</v>
      </c>
      <c r="M1068" t="s">
        <v>1</v>
      </c>
      <c r="N1068">
        <v>4500</v>
      </c>
      <c r="O1068">
        <v>240</v>
      </c>
      <c r="P1068">
        <v>28</v>
      </c>
      <c r="Q1068">
        <v>0</v>
      </c>
      <c r="R1068">
        <v>174668420</v>
      </c>
      <c r="S1068">
        <v>1071041.57</v>
      </c>
      <c r="T1068">
        <v>173597378.43000001</v>
      </c>
      <c r="U1068">
        <v>173597378.43000001</v>
      </c>
      <c r="V1068">
        <v>0</v>
      </c>
      <c r="W1068">
        <v>0</v>
      </c>
    </row>
    <row r="1069" spans="1:23" x14ac:dyDescent="0.35">
      <c r="A1069" t="s">
        <v>0</v>
      </c>
      <c r="B1069">
        <v>6250</v>
      </c>
      <c r="C1069">
        <v>192</v>
      </c>
      <c r="D1069">
        <v>110</v>
      </c>
      <c r="E1069">
        <v>0</v>
      </c>
      <c r="F1069">
        <v>695697164</v>
      </c>
      <c r="G1069">
        <v>2482870.17</v>
      </c>
      <c r="H1069">
        <v>687035090.86000001</v>
      </c>
      <c r="I1069">
        <v>693214293.83000004</v>
      </c>
      <c r="J1069">
        <v>0.10152899999999999</v>
      </c>
      <c r="K1069">
        <v>0</v>
      </c>
      <c r="M1069" t="s">
        <v>0</v>
      </c>
      <c r="N1069">
        <v>7750</v>
      </c>
      <c r="O1069">
        <v>216</v>
      </c>
      <c r="P1069">
        <v>26</v>
      </c>
      <c r="Q1069">
        <v>0</v>
      </c>
      <c r="R1069">
        <v>94394853</v>
      </c>
      <c r="S1069">
        <v>374216.5</v>
      </c>
      <c r="T1069">
        <v>94020636.5</v>
      </c>
      <c r="U1069">
        <v>94020636.5</v>
      </c>
      <c r="V1069">
        <v>0</v>
      </c>
      <c r="W1069">
        <v>0</v>
      </c>
    </row>
    <row r="1070" spans="1:23" x14ac:dyDescent="0.35">
      <c r="A1070" t="s">
        <v>0</v>
      </c>
      <c r="B1070">
        <v>6750</v>
      </c>
      <c r="C1070">
        <v>192</v>
      </c>
      <c r="D1070">
        <v>16</v>
      </c>
      <c r="E1070">
        <v>0</v>
      </c>
      <c r="F1070">
        <v>84623333</v>
      </c>
      <c r="G1070">
        <v>292218.46999999997</v>
      </c>
      <c r="H1070">
        <v>84331114.530000001</v>
      </c>
      <c r="I1070">
        <v>84331114.530000001</v>
      </c>
      <c r="J1070">
        <v>0</v>
      </c>
      <c r="K1070">
        <v>0</v>
      </c>
      <c r="M1070" t="s">
        <v>2</v>
      </c>
      <c r="N1070">
        <v>4750</v>
      </c>
      <c r="O1070">
        <v>216</v>
      </c>
      <c r="P1070">
        <v>353</v>
      </c>
      <c r="Q1070">
        <v>0</v>
      </c>
      <c r="R1070">
        <v>2649205806</v>
      </c>
      <c r="S1070">
        <v>11821197.34</v>
      </c>
      <c r="T1070">
        <v>2617838178.9699998</v>
      </c>
      <c r="U1070">
        <v>2637384608.6599998</v>
      </c>
      <c r="V1070">
        <v>8.5032999999999997E-2</v>
      </c>
      <c r="W1070">
        <v>0</v>
      </c>
    </row>
    <row r="1071" spans="1:23" x14ac:dyDescent="0.35">
      <c r="A1071" t="s">
        <v>0</v>
      </c>
      <c r="B1071">
        <v>7250</v>
      </c>
      <c r="C1071">
        <v>192</v>
      </c>
      <c r="D1071">
        <v>15</v>
      </c>
      <c r="E1071">
        <v>0</v>
      </c>
      <c r="F1071">
        <v>105984022</v>
      </c>
      <c r="G1071">
        <v>324697.32</v>
      </c>
      <c r="H1071">
        <v>105659324.68000001</v>
      </c>
      <c r="I1071">
        <v>105659324.68000001</v>
      </c>
      <c r="J1071">
        <v>0</v>
      </c>
      <c r="K1071">
        <v>0</v>
      </c>
      <c r="M1071" t="s">
        <v>0</v>
      </c>
      <c r="N1071">
        <v>8500</v>
      </c>
      <c r="O1071">
        <v>216</v>
      </c>
      <c r="P1071">
        <v>1</v>
      </c>
      <c r="Q1071">
        <v>0</v>
      </c>
      <c r="R1071">
        <v>3920346</v>
      </c>
      <c r="S1071">
        <v>15043.94</v>
      </c>
      <c r="T1071">
        <v>3905302.06</v>
      </c>
      <c r="U1071">
        <v>3905302.06</v>
      </c>
      <c r="V1071">
        <v>0</v>
      </c>
      <c r="W1071">
        <v>0</v>
      </c>
    </row>
    <row r="1072" spans="1:23" x14ac:dyDescent="0.35">
      <c r="A1072" t="s">
        <v>3</v>
      </c>
      <c r="B1072">
        <v>3750</v>
      </c>
      <c r="C1072">
        <v>192</v>
      </c>
      <c r="D1072">
        <v>133</v>
      </c>
      <c r="E1072">
        <v>0</v>
      </c>
      <c r="F1072">
        <v>1675475546</v>
      </c>
      <c r="G1072">
        <v>6535904.0700000003</v>
      </c>
      <c r="H1072">
        <v>1668939641.9300001</v>
      </c>
      <c r="I1072">
        <v>1668939641.9300001</v>
      </c>
      <c r="J1072">
        <v>0</v>
      </c>
      <c r="K1072">
        <v>0</v>
      </c>
      <c r="M1072" t="s">
        <v>1</v>
      </c>
      <c r="N1072">
        <v>4750</v>
      </c>
      <c r="O1072">
        <v>240</v>
      </c>
      <c r="P1072">
        <v>24</v>
      </c>
      <c r="Q1072">
        <v>0</v>
      </c>
      <c r="R1072">
        <v>133403922</v>
      </c>
      <c r="S1072">
        <v>829183.36</v>
      </c>
      <c r="T1072">
        <v>132574738.64</v>
      </c>
      <c r="U1072">
        <v>132574738.64</v>
      </c>
      <c r="V1072">
        <v>0</v>
      </c>
      <c r="W1072">
        <v>0</v>
      </c>
    </row>
    <row r="1073" spans="1:23" x14ac:dyDescent="0.35">
      <c r="A1073" t="s">
        <v>2</v>
      </c>
      <c r="B1073">
        <v>3500</v>
      </c>
      <c r="C1073">
        <v>216</v>
      </c>
      <c r="D1073">
        <v>1</v>
      </c>
      <c r="E1073">
        <v>0</v>
      </c>
      <c r="F1073">
        <v>12863818</v>
      </c>
      <c r="G1073">
        <v>69053.02</v>
      </c>
      <c r="H1073">
        <v>12794764.98</v>
      </c>
      <c r="I1073">
        <v>12794764.98</v>
      </c>
      <c r="J1073">
        <v>0</v>
      </c>
      <c r="K1073">
        <v>0</v>
      </c>
      <c r="M1073" t="s">
        <v>1</v>
      </c>
      <c r="N1073">
        <v>4250</v>
      </c>
      <c r="O1073">
        <v>216</v>
      </c>
      <c r="P1073">
        <v>71</v>
      </c>
      <c r="Q1073">
        <v>0</v>
      </c>
      <c r="R1073">
        <v>817635087</v>
      </c>
      <c r="S1073">
        <v>3831258.36</v>
      </c>
      <c r="T1073">
        <v>813803828.63999999</v>
      </c>
      <c r="U1073">
        <v>813803828.63999999</v>
      </c>
      <c r="V1073">
        <v>0</v>
      </c>
      <c r="W1073">
        <v>0</v>
      </c>
    </row>
    <row r="1074" spans="1:23" x14ac:dyDescent="0.35">
      <c r="A1074" t="s">
        <v>0</v>
      </c>
      <c r="B1074">
        <v>3500</v>
      </c>
      <c r="C1074">
        <v>216</v>
      </c>
      <c r="D1074">
        <v>2</v>
      </c>
      <c r="E1074">
        <v>0</v>
      </c>
      <c r="F1074">
        <v>16986569</v>
      </c>
      <c r="G1074">
        <v>81000.02</v>
      </c>
      <c r="H1074">
        <v>16905568.98</v>
      </c>
      <c r="I1074">
        <v>16905568.98</v>
      </c>
      <c r="J1074">
        <v>0</v>
      </c>
      <c r="K1074">
        <v>0</v>
      </c>
      <c r="M1074" t="s">
        <v>3</v>
      </c>
      <c r="N1074">
        <v>5250</v>
      </c>
      <c r="O1074">
        <v>216</v>
      </c>
      <c r="P1074">
        <v>65</v>
      </c>
      <c r="Q1074">
        <v>0</v>
      </c>
      <c r="R1074">
        <v>620353684</v>
      </c>
      <c r="S1074">
        <v>2615071.27</v>
      </c>
      <c r="T1074">
        <v>617738612.73000002</v>
      </c>
      <c r="U1074">
        <v>617738612.73000002</v>
      </c>
      <c r="V1074">
        <v>0</v>
      </c>
      <c r="W1074">
        <v>0</v>
      </c>
    </row>
    <row r="1075" spans="1:23" x14ac:dyDescent="0.35">
      <c r="A1075" t="s">
        <v>3</v>
      </c>
      <c r="B1075">
        <v>6750</v>
      </c>
      <c r="C1075">
        <v>24</v>
      </c>
      <c r="D1075">
        <v>176</v>
      </c>
      <c r="E1075">
        <v>0</v>
      </c>
      <c r="F1075">
        <v>4954725954</v>
      </c>
      <c r="G1075">
        <v>4968229.0599999996</v>
      </c>
      <c r="H1075">
        <v>4853368754.0200005</v>
      </c>
      <c r="I1075">
        <v>4949757724.9399996</v>
      </c>
      <c r="J1075">
        <v>0.21002000000000001</v>
      </c>
      <c r="K1075">
        <v>0</v>
      </c>
      <c r="M1075" t="s">
        <v>3</v>
      </c>
      <c r="N1075">
        <v>4750</v>
      </c>
      <c r="O1075">
        <v>216</v>
      </c>
      <c r="P1075">
        <v>11</v>
      </c>
      <c r="Q1075">
        <v>0</v>
      </c>
      <c r="R1075">
        <v>95899200</v>
      </c>
      <c r="S1075">
        <v>428608.36</v>
      </c>
      <c r="T1075">
        <v>95470591.640000001</v>
      </c>
      <c r="U1075">
        <v>95470591.640000001</v>
      </c>
      <c r="V1075">
        <v>0</v>
      </c>
      <c r="W1075">
        <v>0</v>
      </c>
    </row>
    <row r="1076" spans="1:23" x14ac:dyDescent="0.35">
      <c r="A1076" t="s">
        <v>2</v>
      </c>
      <c r="B1076">
        <v>8000</v>
      </c>
      <c r="C1076">
        <v>240</v>
      </c>
      <c r="D1076">
        <v>1</v>
      </c>
      <c r="E1076">
        <v>0</v>
      </c>
      <c r="F1076">
        <v>2348975</v>
      </c>
      <c r="G1076">
        <v>12843.69</v>
      </c>
      <c r="H1076">
        <v>2336131.31</v>
      </c>
      <c r="I1076">
        <v>2336131.31</v>
      </c>
      <c r="J1076">
        <v>0</v>
      </c>
      <c r="K1076">
        <v>0</v>
      </c>
      <c r="M1076" t="s">
        <v>1</v>
      </c>
      <c r="N1076">
        <v>4250</v>
      </c>
      <c r="O1076">
        <v>240</v>
      </c>
      <c r="P1076">
        <v>5</v>
      </c>
      <c r="Q1076">
        <v>0</v>
      </c>
      <c r="R1076">
        <v>16969064</v>
      </c>
      <c r="S1076">
        <v>151869.70000000001</v>
      </c>
      <c r="T1076">
        <v>16817194.300000001</v>
      </c>
      <c r="U1076">
        <v>16817194.300000001</v>
      </c>
      <c r="V1076">
        <v>0</v>
      </c>
      <c r="W1076">
        <v>0</v>
      </c>
    </row>
    <row r="1077" spans="1:23" x14ac:dyDescent="0.35">
      <c r="A1077" t="s">
        <v>1</v>
      </c>
      <c r="B1077">
        <v>4750</v>
      </c>
      <c r="C1077">
        <v>168</v>
      </c>
      <c r="D1077">
        <v>1990</v>
      </c>
      <c r="E1077">
        <v>0</v>
      </c>
      <c r="F1077">
        <v>19256266116</v>
      </c>
      <c r="G1077">
        <v>59326780.030000001</v>
      </c>
      <c r="H1077">
        <v>19105932806.470001</v>
      </c>
      <c r="I1077">
        <v>19187919702.860001</v>
      </c>
      <c r="J1077">
        <v>5.5261999999999999E-2</v>
      </c>
      <c r="K1077">
        <v>5.6059999999999999E-3</v>
      </c>
      <c r="M1077" t="s">
        <v>2</v>
      </c>
      <c r="N1077">
        <v>4250</v>
      </c>
      <c r="O1077">
        <v>216</v>
      </c>
      <c r="P1077">
        <v>15</v>
      </c>
      <c r="Q1077">
        <v>0</v>
      </c>
      <c r="R1077">
        <v>156943390</v>
      </c>
      <c r="S1077">
        <v>727684.75</v>
      </c>
      <c r="T1077">
        <v>156215705.25</v>
      </c>
      <c r="U1077">
        <v>156215705.25</v>
      </c>
      <c r="V1077">
        <v>0</v>
      </c>
      <c r="W1077">
        <v>0</v>
      </c>
    </row>
    <row r="1078" spans="1:23" x14ac:dyDescent="0.35">
      <c r="A1078" t="s">
        <v>1</v>
      </c>
      <c r="B1078">
        <v>4750</v>
      </c>
      <c r="C1078">
        <v>144</v>
      </c>
      <c r="D1078">
        <v>1782</v>
      </c>
      <c r="E1078">
        <v>0</v>
      </c>
      <c r="F1078">
        <v>17713944618</v>
      </c>
      <c r="G1078">
        <v>49233946.590000004</v>
      </c>
      <c r="H1078">
        <v>17496299215.84</v>
      </c>
      <c r="I1078">
        <v>17664710671.41</v>
      </c>
      <c r="J1078">
        <v>0.108307</v>
      </c>
      <c r="K1078">
        <v>0</v>
      </c>
      <c r="M1078" t="s">
        <v>0</v>
      </c>
      <c r="N1078">
        <v>3750</v>
      </c>
      <c r="O1078">
        <v>216</v>
      </c>
      <c r="P1078">
        <v>2</v>
      </c>
      <c r="Q1078">
        <v>0</v>
      </c>
      <c r="R1078">
        <v>17389780</v>
      </c>
      <c r="S1078">
        <v>80412.710000000006</v>
      </c>
      <c r="T1078">
        <v>17309367.289999999</v>
      </c>
      <c r="U1078">
        <v>17309367.289999999</v>
      </c>
      <c r="V1078">
        <v>0</v>
      </c>
      <c r="W1078">
        <v>0</v>
      </c>
    </row>
    <row r="1079" spans="1:23" x14ac:dyDescent="0.35">
      <c r="A1079" t="s">
        <v>3</v>
      </c>
      <c r="B1079">
        <v>6250</v>
      </c>
      <c r="C1079">
        <v>24</v>
      </c>
      <c r="D1079">
        <v>59</v>
      </c>
      <c r="E1079">
        <v>0</v>
      </c>
      <c r="F1079">
        <v>1614079087</v>
      </c>
      <c r="G1079">
        <v>1778135.14</v>
      </c>
      <c r="H1079">
        <v>1612300951.8599999</v>
      </c>
      <c r="I1079">
        <v>1612300951.8599999</v>
      </c>
      <c r="J1079">
        <v>0</v>
      </c>
      <c r="K1079">
        <v>0</v>
      </c>
      <c r="M1079" t="s">
        <v>3</v>
      </c>
      <c r="N1079">
        <v>5250</v>
      </c>
      <c r="O1079">
        <v>192</v>
      </c>
      <c r="P1079">
        <v>120</v>
      </c>
      <c r="Q1079">
        <v>0</v>
      </c>
      <c r="R1079">
        <v>1026790920</v>
      </c>
      <c r="S1079">
        <v>3963275.45</v>
      </c>
      <c r="T1079">
        <v>1022827644.55</v>
      </c>
      <c r="U1079">
        <v>1022827644.55</v>
      </c>
      <c r="V1079">
        <v>0</v>
      </c>
      <c r="W1079">
        <v>0</v>
      </c>
    </row>
    <row r="1080" spans="1:23" x14ac:dyDescent="0.35">
      <c r="A1080" t="s">
        <v>3</v>
      </c>
      <c r="B1080">
        <v>6250</v>
      </c>
      <c r="C1080">
        <v>20</v>
      </c>
      <c r="D1080">
        <v>56</v>
      </c>
      <c r="E1080">
        <v>0</v>
      </c>
      <c r="F1080">
        <v>1530714430</v>
      </c>
      <c r="G1080">
        <v>1658753.11</v>
      </c>
      <c r="H1080">
        <v>1529055676.8900001</v>
      </c>
      <c r="I1080">
        <v>1529055676.8900001</v>
      </c>
      <c r="J1080">
        <v>0</v>
      </c>
      <c r="K1080">
        <v>0</v>
      </c>
      <c r="M1080" t="s">
        <v>3</v>
      </c>
      <c r="N1080">
        <v>5750</v>
      </c>
      <c r="O1080">
        <v>192</v>
      </c>
      <c r="P1080">
        <v>13</v>
      </c>
      <c r="Q1080">
        <v>0</v>
      </c>
      <c r="R1080">
        <v>81575326</v>
      </c>
      <c r="S1080">
        <v>310615.48</v>
      </c>
      <c r="T1080">
        <v>81264710.519999996</v>
      </c>
      <c r="U1080">
        <v>81264710.519999996</v>
      </c>
      <c r="V1080">
        <v>0</v>
      </c>
      <c r="W1080">
        <v>0</v>
      </c>
    </row>
    <row r="1081" spans="1:23" x14ac:dyDescent="0.35">
      <c r="A1081" t="s">
        <v>3</v>
      </c>
      <c r="B1081">
        <v>5750</v>
      </c>
      <c r="C1081">
        <v>20</v>
      </c>
      <c r="D1081">
        <v>25</v>
      </c>
      <c r="E1081">
        <v>0</v>
      </c>
      <c r="F1081">
        <v>687547262</v>
      </c>
      <c r="G1081">
        <v>809850.64</v>
      </c>
      <c r="H1081">
        <v>686737411.36000001</v>
      </c>
      <c r="I1081">
        <v>686737411.36000001</v>
      </c>
      <c r="J1081">
        <v>0</v>
      </c>
      <c r="K1081">
        <v>0</v>
      </c>
      <c r="M1081" t="s">
        <v>1</v>
      </c>
      <c r="N1081">
        <v>5750</v>
      </c>
      <c r="O1081">
        <v>192</v>
      </c>
      <c r="P1081">
        <v>32</v>
      </c>
      <c r="Q1081">
        <v>0</v>
      </c>
      <c r="R1081">
        <v>182061184</v>
      </c>
      <c r="S1081">
        <v>689366.01</v>
      </c>
      <c r="T1081">
        <v>181371817.99000001</v>
      </c>
      <c r="U1081">
        <v>181371817.99000001</v>
      </c>
      <c r="V1081">
        <v>0</v>
      </c>
      <c r="W1081">
        <v>0</v>
      </c>
    </row>
    <row r="1082" spans="1:23" x14ac:dyDescent="0.35">
      <c r="A1082" t="s">
        <v>3</v>
      </c>
      <c r="B1082">
        <v>5500</v>
      </c>
      <c r="C1082">
        <v>20</v>
      </c>
      <c r="D1082">
        <v>7</v>
      </c>
      <c r="E1082">
        <v>0</v>
      </c>
      <c r="F1082">
        <v>268571332</v>
      </c>
      <c r="G1082">
        <v>332084.08</v>
      </c>
      <c r="H1082">
        <v>268239247.91999999</v>
      </c>
      <c r="I1082">
        <v>268239247.91999999</v>
      </c>
      <c r="J1082">
        <v>0</v>
      </c>
      <c r="K1082">
        <v>0</v>
      </c>
      <c r="M1082" t="s">
        <v>0</v>
      </c>
      <c r="N1082">
        <v>6250</v>
      </c>
      <c r="O1082">
        <v>192</v>
      </c>
      <c r="P1082">
        <v>117</v>
      </c>
      <c r="Q1082">
        <v>0</v>
      </c>
      <c r="R1082">
        <v>769655406</v>
      </c>
      <c r="S1082">
        <v>2738380.53</v>
      </c>
      <c r="T1082">
        <v>766917025.47000003</v>
      </c>
      <c r="U1082">
        <v>766917025.47000003</v>
      </c>
      <c r="V1082">
        <v>0</v>
      </c>
      <c r="W1082">
        <v>0</v>
      </c>
    </row>
    <row r="1083" spans="1:23" x14ac:dyDescent="0.35">
      <c r="A1083" t="s">
        <v>0</v>
      </c>
      <c r="B1083">
        <v>5250</v>
      </c>
      <c r="C1083">
        <v>144</v>
      </c>
      <c r="D1083">
        <v>1804</v>
      </c>
      <c r="E1083">
        <v>0</v>
      </c>
      <c r="F1083">
        <v>13093954647</v>
      </c>
      <c r="G1083">
        <v>34033882.630000003</v>
      </c>
      <c r="H1083">
        <v>12953601097.709999</v>
      </c>
      <c r="I1083">
        <v>13042786605.1</v>
      </c>
      <c r="J1083">
        <v>9.3201000000000006E-2</v>
      </c>
      <c r="K1083">
        <v>1.559E-2</v>
      </c>
      <c r="M1083" t="s">
        <v>0</v>
      </c>
      <c r="N1083">
        <v>6750</v>
      </c>
      <c r="O1083">
        <v>192</v>
      </c>
      <c r="P1083">
        <v>20</v>
      </c>
      <c r="Q1083">
        <v>0</v>
      </c>
      <c r="R1083">
        <v>108183632</v>
      </c>
      <c r="S1083">
        <v>374142.19</v>
      </c>
      <c r="T1083">
        <v>107809489.81</v>
      </c>
      <c r="U1083">
        <v>107809489.81</v>
      </c>
      <c r="V1083">
        <v>0</v>
      </c>
      <c r="W1083">
        <v>0</v>
      </c>
    </row>
    <row r="1084" spans="1:23" x14ac:dyDescent="0.35">
      <c r="A1084" t="s">
        <v>1</v>
      </c>
      <c r="B1084">
        <v>5250</v>
      </c>
      <c r="C1084">
        <v>144</v>
      </c>
      <c r="D1084">
        <v>118</v>
      </c>
      <c r="E1084">
        <v>0</v>
      </c>
      <c r="F1084">
        <v>993829933</v>
      </c>
      <c r="G1084">
        <v>2604010.52</v>
      </c>
      <c r="H1084">
        <v>975516964.04999995</v>
      </c>
      <c r="I1084">
        <v>991225922.48000002</v>
      </c>
      <c r="J1084">
        <v>0.17402699999999999</v>
      </c>
      <c r="K1084">
        <v>0</v>
      </c>
      <c r="M1084" t="s">
        <v>3</v>
      </c>
      <c r="N1084">
        <v>6000</v>
      </c>
      <c r="O1084">
        <v>192</v>
      </c>
      <c r="P1084">
        <v>7</v>
      </c>
      <c r="Q1084">
        <v>0</v>
      </c>
      <c r="R1084">
        <v>34927385</v>
      </c>
      <c r="S1084">
        <v>130122.4</v>
      </c>
      <c r="T1084">
        <v>34797262.600000001</v>
      </c>
      <c r="U1084">
        <v>34797262.600000001</v>
      </c>
      <c r="V1084">
        <v>0</v>
      </c>
      <c r="W1084">
        <v>0</v>
      </c>
    </row>
    <row r="1085" spans="1:23" x14ac:dyDescent="0.35">
      <c r="A1085" t="s">
        <v>0</v>
      </c>
      <c r="B1085">
        <v>4750</v>
      </c>
      <c r="C1085">
        <v>120</v>
      </c>
      <c r="D1085">
        <v>8927</v>
      </c>
      <c r="E1085">
        <v>0</v>
      </c>
      <c r="F1085">
        <v>98652896142</v>
      </c>
      <c r="G1085">
        <v>238072470.33000001</v>
      </c>
      <c r="H1085">
        <v>97738075255.100006</v>
      </c>
      <c r="I1085">
        <v>98283681462.380005</v>
      </c>
      <c r="J1085">
        <v>7.9283000000000006E-2</v>
      </c>
      <c r="K1085">
        <v>1.5835999999999999E-2</v>
      </c>
      <c r="M1085" t="s">
        <v>0</v>
      </c>
      <c r="N1085">
        <v>7250</v>
      </c>
      <c r="O1085">
        <v>192</v>
      </c>
      <c r="P1085">
        <v>15</v>
      </c>
      <c r="Q1085">
        <v>0</v>
      </c>
      <c r="R1085">
        <v>106369323</v>
      </c>
      <c r="S1085">
        <v>322947</v>
      </c>
      <c r="T1085">
        <v>106046376</v>
      </c>
      <c r="U1085">
        <v>106046376</v>
      </c>
      <c r="V1085">
        <v>0</v>
      </c>
      <c r="W1085">
        <v>0</v>
      </c>
    </row>
    <row r="1086" spans="1:23" x14ac:dyDescent="0.35">
      <c r="A1086" t="s">
        <v>0</v>
      </c>
      <c r="B1086">
        <v>2750</v>
      </c>
      <c r="C1086">
        <v>120</v>
      </c>
      <c r="D1086">
        <v>484</v>
      </c>
      <c r="E1086">
        <v>0</v>
      </c>
      <c r="F1086">
        <v>6806363814</v>
      </c>
      <c r="G1086">
        <v>20772848.260000002</v>
      </c>
      <c r="H1086">
        <v>6785590965.7399998</v>
      </c>
      <c r="I1086">
        <v>6785590965.7399998</v>
      </c>
      <c r="J1086">
        <v>0</v>
      </c>
      <c r="K1086">
        <v>0</v>
      </c>
      <c r="M1086" t="s">
        <v>3</v>
      </c>
      <c r="N1086">
        <v>3750</v>
      </c>
      <c r="O1086">
        <v>192</v>
      </c>
      <c r="P1086">
        <v>98</v>
      </c>
      <c r="Q1086">
        <v>0</v>
      </c>
      <c r="R1086">
        <v>1275556574</v>
      </c>
      <c r="S1086">
        <v>4967602.55</v>
      </c>
      <c r="T1086">
        <v>1269323758.6500001</v>
      </c>
      <c r="U1086">
        <v>1270588971.45</v>
      </c>
      <c r="V1086">
        <v>1.1838E-2</v>
      </c>
      <c r="W1086">
        <v>0</v>
      </c>
    </row>
    <row r="1087" spans="1:23" x14ac:dyDescent="0.35">
      <c r="A1087" t="s">
        <v>2</v>
      </c>
      <c r="B1087">
        <v>4750</v>
      </c>
      <c r="C1087">
        <v>120</v>
      </c>
      <c r="D1087">
        <v>670</v>
      </c>
      <c r="E1087">
        <v>0</v>
      </c>
      <c r="F1087">
        <v>5393663406</v>
      </c>
      <c r="G1087">
        <v>12824376.130000001</v>
      </c>
      <c r="H1087">
        <v>5354146270.4700003</v>
      </c>
      <c r="I1087">
        <v>5371299854.9099998</v>
      </c>
      <c r="J1087">
        <v>5.7797000000000001E-2</v>
      </c>
      <c r="K1087">
        <v>2.1017999999999998E-2</v>
      </c>
      <c r="M1087" t="s">
        <v>2</v>
      </c>
      <c r="N1087">
        <v>3500</v>
      </c>
      <c r="O1087">
        <v>216</v>
      </c>
      <c r="P1087">
        <v>1</v>
      </c>
      <c r="Q1087">
        <v>0</v>
      </c>
      <c r="R1087">
        <v>12933242</v>
      </c>
      <c r="S1087">
        <v>68855.240000000005</v>
      </c>
      <c r="T1087">
        <v>12864386.76</v>
      </c>
      <c r="U1087">
        <v>12864386.76</v>
      </c>
      <c r="V1087">
        <v>0</v>
      </c>
      <c r="W1087">
        <v>0</v>
      </c>
    </row>
    <row r="1088" spans="1:23" x14ac:dyDescent="0.35">
      <c r="A1088" t="s">
        <v>0</v>
      </c>
      <c r="B1088">
        <v>3250</v>
      </c>
      <c r="C1088">
        <v>108</v>
      </c>
      <c r="D1088">
        <v>2049</v>
      </c>
      <c r="E1088">
        <v>0</v>
      </c>
      <c r="F1088">
        <v>31168268750</v>
      </c>
      <c r="G1088">
        <v>84529075.420000002</v>
      </c>
      <c r="H1088">
        <v>30939617068.990002</v>
      </c>
      <c r="I1088">
        <v>31073040615.709999</v>
      </c>
      <c r="J1088">
        <v>5.4099000000000001E-2</v>
      </c>
      <c r="K1088">
        <v>4.1110000000000001E-3</v>
      </c>
      <c r="M1088" t="s">
        <v>0</v>
      </c>
      <c r="N1088">
        <v>3500</v>
      </c>
      <c r="O1088">
        <v>216</v>
      </c>
      <c r="P1088">
        <v>1</v>
      </c>
      <c r="Q1088">
        <v>0</v>
      </c>
      <c r="R1088">
        <v>10895665</v>
      </c>
      <c r="S1088">
        <v>51984.31</v>
      </c>
      <c r="T1088">
        <v>10843680.689999999</v>
      </c>
      <c r="U1088">
        <v>10843680.689999999</v>
      </c>
      <c r="V1088">
        <v>0</v>
      </c>
      <c r="W1088">
        <v>0</v>
      </c>
    </row>
    <row r="1089" spans="1:23" x14ac:dyDescent="0.35">
      <c r="A1089" t="s">
        <v>1</v>
      </c>
      <c r="B1089">
        <v>5250</v>
      </c>
      <c r="C1089">
        <v>108</v>
      </c>
      <c r="D1089">
        <v>560</v>
      </c>
      <c r="E1089">
        <v>0</v>
      </c>
      <c r="F1089">
        <v>6548662161</v>
      </c>
      <c r="G1089">
        <v>13762927.9</v>
      </c>
      <c r="H1089">
        <v>6348988911.75</v>
      </c>
      <c r="I1089">
        <v>6503359233.7700005</v>
      </c>
      <c r="J1089">
        <v>0.29220299999999999</v>
      </c>
      <c r="K1089">
        <v>5.6287999999999998E-2</v>
      </c>
      <c r="M1089" t="s">
        <v>3</v>
      </c>
      <c r="N1089">
        <v>6750</v>
      </c>
      <c r="O1089">
        <v>24</v>
      </c>
      <c r="P1089">
        <v>158</v>
      </c>
      <c r="Q1089">
        <v>0</v>
      </c>
      <c r="R1089">
        <v>4365538045</v>
      </c>
      <c r="S1089">
        <v>4374728.34</v>
      </c>
      <c r="T1089">
        <v>4305512611</v>
      </c>
      <c r="U1089">
        <v>4337434816.5100002</v>
      </c>
      <c r="V1089">
        <v>0.14269000000000001</v>
      </c>
      <c r="W1089">
        <v>6.3310000000000005E-2</v>
      </c>
    </row>
    <row r="1090" spans="1:23" x14ac:dyDescent="0.35">
      <c r="A1090" t="s">
        <v>1</v>
      </c>
      <c r="B1090">
        <v>5750</v>
      </c>
      <c r="C1090">
        <v>96</v>
      </c>
      <c r="D1090">
        <v>1169</v>
      </c>
      <c r="E1090">
        <v>0</v>
      </c>
      <c r="F1090">
        <v>14450996464</v>
      </c>
      <c r="G1090">
        <v>26528338.68</v>
      </c>
      <c r="H1090">
        <v>14235044160.559999</v>
      </c>
      <c r="I1090">
        <v>14357651804.459999</v>
      </c>
      <c r="J1090">
        <v>0.14643700000000001</v>
      </c>
      <c r="K1090">
        <v>5.4094000000000003E-2</v>
      </c>
      <c r="M1090" t="s">
        <v>2</v>
      </c>
      <c r="N1090">
        <v>8000</v>
      </c>
      <c r="O1090">
        <v>240</v>
      </c>
      <c r="P1090">
        <v>1</v>
      </c>
      <c r="Q1090">
        <v>0</v>
      </c>
      <c r="R1090">
        <v>2381243</v>
      </c>
      <c r="S1090">
        <v>12866.36</v>
      </c>
      <c r="T1090">
        <v>2368376.64</v>
      </c>
      <c r="U1090">
        <v>2368376.64</v>
      </c>
      <c r="V1090">
        <v>0</v>
      </c>
      <c r="W1090">
        <v>0</v>
      </c>
    </row>
    <row r="1091" spans="1:23" x14ac:dyDescent="0.35">
      <c r="A1091" t="s">
        <v>1</v>
      </c>
      <c r="B1091">
        <v>4750</v>
      </c>
      <c r="C1091">
        <v>84</v>
      </c>
      <c r="D1091">
        <v>3190</v>
      </c>
      <c r="E1091">
        <v>0</v>
      </c>
      <c r="F1091">
        <v>49879779123</v>
      </c>
      <c r="G1091">
        <v>99364955.670000002</v>
      </c>
      <c r="H1091">
        <v>49364864456.889999</v>
      </c>
      <c r="I1091">
        <v>49668496407.199997</v>
      </c>
      <c r="J1091">
        <v>9.5516000000000004E-2</v>
      </c>
      <c r="K1091">
        <v>2.6595000000000001E-2</v>
      </c>
      <c r="M1091" t="s">
        <v>1</v>
      </c>
      <c r="N1091">
        <v>4250</v>
      </c>
      <c r="O1091">
        <v>144</v>
      </c>
      <c r="P1091">
        <v>14737</v>
      </c>
      <c r="Q1091">
        <v>0</v>
      </c>
      <c r="R1091">
        <v>176414068617</v>
      </c>
      <c r="S1091">
        <v>518183891.24000001</v>
      </c>
      <c r="T1091">
        <v>174769803152.23001</v>
      </c>
      <c r="U1091">
        <v>175760547336.34</v>
      </c>
      <c r="V1091">
        <v>7.3965000000000003E-2</v>
      </c>
      <c r="W1091">
        <v>9.1669999999999998E-3</v>
      </c>
    </row>
    <row r="1092" spans="1:23" x14ac:dyDescent="0.35">
      <c r="A1092" t="s">
        <v>0</v>
      </c>
      <c r="B1092">
        <v>5250</v>
      </c>
      <c r="C1092">
        <v>120</v>
      </c>
      <c r="D1092">
        <v>867</v>
      </c>
      <c r="E1092">
        <v>0</v>
      </c>
      <c r="F1092">
        <v>7879877412</v>
      </c>
      <c r="G1092">
        <v>17876982.879999999</v>
      </c>
      <c r="H1092">
        <v>7786754286.8599997</v>
      </c>
      <c r="I1092">
        <v>7832767105.3699999</v>
      </c>
      <c r="J1092">
        <v>0.10875899999999999</v>
      </c>
      <c r="K1092">
        <v>4.3621E-2</v>
      </c>
      <c r="M1092" t="s">
        <v>1</v>
      </c>
      <c r="N1092">
        <v>4750</v>
      </c>
      <c r="O1092">
        <v>144</v>
      </c>
      <c r="P1092">
        <v>1872</v>
      </c>
      <c r="Q1092">
        <v>0</v>
      </c>
      <c r="R1092">
        <v>18615347726</v>
      </c>
      <c r="S1092">
        <v>51784801.939999998</v>
      </c>
      <c r="T1092">
        <v>18456108489.110001</v>
      </c>
      <c r="U1092">
        <v>18528492024.220001</v>
      </c>
      <c r="V1092">
        <v>6.7111000000000004E-2</v>
      </c>
      <c r="W1092">
        <v>2.2374999999999999E-2</v>
      </c>
    </row>
    <row r="1093" spans="1:23" x14ac:dyDescent="0.35">
      <c r="A1093" t="s">
        <v>0</v>
      </c>
      <c r="B1093">
        <v>5250</v>
      </c>
      <c r="C1093">
        <v>108</v>
      </c>
      <c r="D1093">
        <v>6371</v>
      </c>
      <c r="E1093">
        <v>0</v>
      </c>
      <c r="F1093">
        <v>75130017512</v>
      </c>
      <c r="G1093">
        <v>157825632.03</v>
      </c>
      <c r="H1093">
        <v>74472042490.600006</v>
      </c>
      <c r="I1093">
        <v>74901418552.600006</v>
      </c>
      <c r="J1093">
        <v>7.7023999999999995E-2</v>
      </c>
      <c r="K1093">
        <v>1.1246000000000001E-2</v>
      </c>
      <c r="M1093" t="s">
        <v>3</v>
      </c>
      <c r="N1093">
        <v>6250</v>
      </c>
      <c r="O1093">
        <v>20</v>
      </c>
      <c r="P1093">
        <v>36</v>
      </c>
      <c r="Q1093">
        <v>0</v>
      </c>
      <c r="R1093">
        <v>942476213</v>
      </c>
      <c r="S1093">
        <v>1017789.4399999999</v>
      </c>
      <c r="T1093">
        <v>941458423.55999994</v>
      </c>
      <c r="U1093">
        <v>941458423.55999994</v>
      </c>
      <c r="V1093">
        <v>0</v>
      </c>
      <c r="W1093">
        <v>0</v>
      </c>
    </row>
    <row r="1094" spans="1:23" x14ac:dyDescent="0.35">
      <c r="A1094" t="s">
        <v>0</v>
      </c>
      <c r="B1094">
        <v>4250</v>
      </c>
      <c r="C1094">
        <v>240</v>
      </c>
      <c r="D1094">
        <v>3</v>
      </c>
      <c r="E1094">
        <v>0</v>
      </c>
      <c r="F1094">
        <v>20466151</v>
      </c>
      <c r="G1094">
        <v>116427.22</v>
      </c>
      <c r="H1094">
        <v>20349723.780000001</v>
      </c>
      <c r="I1094">
        <v>20349723.780000001</v>
      </c>
      <c r="J1094">
        <v>0</v>
      </c>
      <c r="K1094">
        <v>0</v>
      </c>
      <c r="M1094" t="s">
        <v>3</v>
      </c>
      <c r="N1094">
        <v>6750</v>
      </c>
      <c r="O1094">
        <v>20</v>
      </c>
      <c r="P1094">
        <v>80</v>
      </c>
      <c r="Q1094">
        <v>0</v>
      </c>
      <c r="R1094">
        <v>2513376679</v>
      </c>
      <c r="S1094">
        <v>2481387.89</v>
      </c>
      <c r="T1094">
        <v>2448054194.77</v>
      </c>
      <c r="U1094">
        <v>2510895291.1100001</v>
      </c>
      <c r="V1094">
        <v>0.26202599999999998</v>
      </c>
      <c r="W1094">
        <v>0</v>
      </c>
    </row>
    <row r="1095" spans="1:23" x14ac:dyDescent="0.35">
      <c r="A1095" t="s">
        <v>2</v>
      </c>
      <c r="B1095">
        <v>4500</v>
      </c>
      <c r="C1095">
        <v>240</v>
      </c>
      <c r="D1095">
        <v>7</v>
      </c>
      <c r="E1095">
        <v>0</v>
      </c>
      <c r="F1095">
        <v>39389691</v>
      </c>
      <c r="G1095">
        <v>238381.78</v>
      </c>
      <c r="H1095">
        <v>33894824.619999997</v>
      </c>
      <c r="I1095">
        <v>39151309.219999999</v>
      </c>
      <c r="J1095">
        <v>0.82071899999999998</v>
      </c>
      <c r="K1095">
        <v>0</v>
      </c>
      <c r="M1095" t="s">
        <v>3</v>
      </c>
      <c r="N1095">
        <v>5750</v>
      </c>
      <c r="O1095">
        <v>18</v>
      </c>
      <c r="P1095">
        <v>32</v>
      </c>
      <c r="Q1095">
        <v>0</v>
      </c>
      <c r="R1095">
        <v>933960598</v>
      </c>
      <c r="S1095">
        <v>1091781.3899999999</v>
      </c>
      <c r="T1095">
        <v>932868816.61000001</v>
      </c>
      <c r="U1095">
        <v>932868816.61000001</v>
      </c>
      <c r="V1095">
        <v>0</v>
      </c>
      <c r="W1095">
        <v>0</v>
      </c>
    </row>
    <row r="1096" spans="1:23" x14ac:dyDescent="0.35">
      <c r="A1096" t="s">
        <v>2</v>
      </c>
      <c r="B1096">
        <v>4250</v>
      </c>
      <c r="C1096">
        <v>320</v>
      </c>
      <c r="D1096">
        <v>1</v>
      </c>
      <c r="E1096">
        <v>0</v>
      </c>
      <c r="F1096">
        <v>4171839</v>
      </c>
      <c r="G1096">
        <v>31777.86</v>
      </c>
      <c r="H1096">
        <v>4140061.14</v>
      </c>
      <c r="I1096">
        <v>4140061.14</v>
      </c>
      <c r="J1096">
        <v>0</v>
      </c>
      <c r="K1096">
        <v>0</v>
      </c>
      <c r="M1096" t="s">
        <v>3</v>
      </c>
      <c r="N1096">
        <v>5500</v>
      </c>
      <c r="O1096">
        <v>18</v>
      </c>
      <c r="P1096">
        <v>11</v>
      </c>
      <c r="Q1096">
        <v>0</v>
      </c>
      <c r="R1096">
        <v>385626346</v>
      </c>
      <c r="S1096">
        <v>471227.4</v>
      </c>
      <c r="T1096">
        <v>385155118.60000002</v>
      </c>
      <c r="U1096">
        <v>385155118.60000002</v>
      </c>
      <c r="V1096">
        <v>0</v>
      </c>
      <c r="W1096">
        <v>0</v>
      </c>
    </row>
    <row r="1097" spans="1:23" x14ac:dyDescent="0.35">
      <c r="A1097" t="s">
        <v>0</v>
      </c>
      <c r="B1097">
        <v>5250</v>
      </c>
      <c r="C1097">
        <v>168</v>
      </c>
      <c r="D1097">
        <v>1812</v>
      </c>
      <c r="E1097">
        <v>0</v>
      </c>
      <c r="F1097">
        <v>13456682167</v>
      </c>
      <c r="G1097">
        <v>39587164.149999999</v>
      </c>
      <c r="H1097">
        <v>13312013414.299999</v>
      </c>
      <c r="I1097">
        <v>13401580073.610001</v>
      </c>
      <c r="J1097">
        <v>8.9785000000000004E-2</v>
      </c>
      <c r="K1097">
        <v>1.3748E-2</v>
      </c>
      <c r="M1097" t="s">
        <v>0</v>
      </c>
      <c r="N1097">
        <v>5250</v>
      </c>
      <c r="O1097">
        <v>144</v>
      </c>
      <c r="P1097">
        <v>1887</v>
      </c>
      <c r="Q1097">
        <v>0</v>
      </c>
      <c r="R1097">
        <v>13697642043</v>
      </c>
      <c r="S1097">
        <v>35676061.060000002</v>
      </c>
      <c r="T1097">
        <v>13489506658.5</v>
      </c>
      <c r="U1097">
        <v>13630895319.4</v>
      </c>
      <c r="V1097">
        <v>0.14105000000000001</v>
      </c>
      <c r="W1097">
        <v>2.6883000000000001E-2</v>
      </c>
    </row>
    <row r="1098" spans="1:23" x14ac:dyDescent="0.35">
      <c r="A1098" t="s">
        <v>1</v>
      </c>
      <c r="B1098">
        <v>5250</v>
      </c>
      <c r="C1098">
        <v>168</v>
      </c>
      <c r="D1098">
        <v>128</v>
      </c>
      <c r="E1098">
        <v>0</v>
      </c>
      <c r="F1098">
        <v>967417941</v>
      </c>
      <c r="G1098">
        <v>2847607.97</v>
      </c>
      <c r="H1098">
        <v>964570333.02999997</v>
      </c>
      <c r="I1098">
        <v>964570333.02999997</v>
      </c>
      <c r="J1098">
        <v>0</v>
      </c>
      <c r="K1098">
        <v>0</v>
      </c>
      <c r="M1098" t="s">
        <v>1</v>
      </c>
      <c r="N1098">
        <v>4750</v>
      </c>
      <c r="O1098">
        <v>168</v>
      </c>
      <c r="P1098">
        <v>1864</v>
      </c>
      <c r="Q1098">
        <v>0</v>
      </c>
      <c r="R1098">
        <v>18164213413</v>
      </c>
      <c r="S1098">
        <v>55718481.579999998</v>
      </c>
      <c r="T1098">
        <v>18029865359.490002</v>
      </c>
      <c r="U1098">
        <v>18086087755.759998</v>
      </c>
      <c r="V1098">
        <v>5.0727000000000001E-2</v>
      </c>
      <c r="W1098">
        <v>1.4703000000000001E-2</v>
      </c>
    </row>
    <row r="1099" spans="1:23" x14ac:dyDescent="0.35">
      <c r="A1099" t="s">
        <v>3</v>
      </c>
      <c r="B1099">
        <v>6250</v>
      </c>
      <c r="C1099">
        <v>18</v>
      </c>
      <c r="D1099">
        <v>61</v>
      </c>
      <c r="E1099">
        <v>0</v>
      </c>
      <c r="F1099">
        <v>1629346044</v>
      </c>
      <c r="G1099">
        <v>1741289.06</v>
      </c>
      <c r="H1099">
        <v>1627604754.9400001</v>
      </c>
      <c r="I1099">
        <v>1627604754.9400001</v>
      </c>
      <c r="J1099">
        <v>0</v>
      </c>
      <c r="K1099">
        <v>0</v>
      </c>
      <c r="M1099" t="s">
        <v>1</v>
      </c>
      <c r="N1099">
        <v>5250</v>
      </c>
      <c r="O1099">
        <v>144</v>
      </c>
      <c r="P1099">
        <v>117</v>
      </c>
      <c r="Q1099">
        <v>0</v>
      </c>
      <c r="R1099">
        <v>993936202</v>
      </c>
      <c r="S1099">
        <v>2592539.39</v>
      </c>
      <c r="T1099">
        <v>983295055.00999999</v>
      </c>
      <c r="U1099">
        <v>991343662.61000001</v>
      </c>
      <c r="V1099">
        <v>9.2959E-2</v>
      </c>
      <c r="W1099">
        <v>0</v>
      </c>
    </row>
    <row r="1100" spans="1:23" x14ac:dyDescent="0.35">
      <c r="A1100" t="s">
        <v>3</v>
      </c>
      <c r="B1100">
        <v>6250</v>
      </c>
      <c r="C1100">
        <v>16</v>
      </c>
      <c r="D1100">
        <v>49</v>
      </c>
      <c r="E1100">
        <v>0</v>
      </c>
      <c r="F1100">
        <v>1405330249</v>
      </c>
      <c r="G1100">
        <v>1480093.98</v>
      </c>
      <c r="H1100">
        <v>1403850155.02</v>
      </c>
      <c r="I1100">
        <v>1403850155.02</v>
      </c>
      <c r="J1100">
        <v>0</v>
      </c>
      <c r="K1100">
        <v>0</v>
      </c>
      <c r="M1100" t="s">
        <v>2</v>
      </c>
      <c r="N1100">
        <v>4250</v>
      </c>
      <c r="O1100">
        <v>120</v>
      </c>
      <c r="P1100">
        <v>4093</v>
      </c>
      <c r="Q1100">
        <v>0</v>
      </c>
      <c r="R1100">
        <v>36349416444</v>
      </c>
      <c r="S1100">
        <v>93600229</v>
      </c>
      <c r="T1100">
        <v>35993119349.870003</v>
      </c>
      <c r="U1100">
        <v>36239869058.550003</v>
      </c>
      <c r="V1100">
        <v>8.3358000000000002E-2</v>
      </c>
      <c r="W1100">
        <v>5.2519999999999997E-3</v>
      </c>
    </row>
    <row r="1101" spans="1:23" x14ac:dyDescent="0.35">
      <c r="A1101" t="s">
        <v>3</v>
      </c>
      <c r="B1101">
        <v>6750</v>
      </c>
      <c r="C1101">
        <v>18</v>
      </c>
      <c r="D1101">
        <v>30</v>
      </c>
      <c r="E1101">
        <v>0</v>
      </c>
      <c r="F1101">
        <v>879748490</v>
      </c>
      <c r="G1101">
        <v>858381.59</v>
      </c>
      <c r="H1101">
        <v>878890108.40999997</v>
      </c>
      <c r="I1101">
        <v>878890108.40999997</v>
      </c>
      <c r="J1101">
        <v>0</v>
      </c>
      <c r="K1101">
        <v>0</v>
      </c>
      <c r="M1101" t="s">
        <v>0</v>
      </c>
      <c r="N1101">
        <v>5250</v>
      </c>
      <c r="O1101">
        <v>120</v>
      </c>
      <c r="P1101">
        <v>671</v>
      </c>
      <c r="Q1101">
        <v>0</v>
      </c>
      <c r="R1101">
        <v>5727872250</v>
      </c>
      <c r="S1101">
        <v>13123611.789999999</v>
      </c>
      <c r="T1101">
        <v>5683548692.4300003</v>
      </c>
      <c r="U1101">
        <v>5697016065.1899996</v>
      </c>
      <c r="V1101">
        <v>6.3440999999999997E-2</v>
      </c>
      <c r="W1101">
        <v>3.6524000000000001E-2</v>
      </c>
    </row>
    <row r="1102" spans="1:23" x14ac:dyDescent="0.35">
      <c r="A1102" t="s">
        <v>3</v>
      </c>
      <c r="B1102">
        <v>5750</v>
      </c>
      <c r="C1102">
        <v>16</v>
      </c>
      <c r="D1102">
        <v>19</v>
      </c>
      <c r="E1102">
        <v>0</v>
      </c>
      <c r="F1102">
        <v>512769867</v>
      </c>
      <c r="G1102">
        <v>592451.16</v>
      </c>
      <c r="H1102">
        <v>512177415.83999997</v>
      </c>
      <c r="I1102">
        <v>512177415.83999997</v>
      </c>
      <c r="J1102">
        <v>0</v>
      </c>
      <c r="K1102">
        <v>0</v>
      </c>
      <c r="M1102" t="s">
        <v>0</v>
      </c>
      <c r="N1102">
        <v>2750</v>
      </c>
      <c r="O1102">
        <v>120</v>
      </c>
      <c r="P1102">
        <v>492</v>
      </c>
      <c r="Q1102">
        <v>0</v>
      </c>
      <c r="R1102">
        <v>6932224153</v>
      </c>
      <c r="S1102">
        <v>21056140.879999999</v>
      </c>
      <c r="T1102">
        <v>6886001319.1300001</v>
      </c>
      <c r="U1102">
        <v>6911168012.1199999</v>
      </c>
      <c r="V1102">
        <v>4.2705E-2</v>
      </c>
      <c r="W1102">
        <v>0</v>
      </c>
    </row>
    <row r="1103" spans="1:23" x14ac:dyDescent="0.35">
      <c r="A1103" t="s">
        <v>3</v>
      </c>
      <c r="B1103">
        <v>6750</v>
      </c>
      <c r="C1103">
        <v>14</v>
      </c>
      <c r="D1103">
        <v>68</v>
      </c>
      <c r="E1103">
        <v>0</v>
      </c>
      <c r="F1103">
        <v>2150556876</v>
      </c>
      <c r="G1103">
        <v>2045758.91</v>
      </c>
      <c r="H1103">
        <v>2135970351.6199999</v>
      </c>
      <c r="I1103">
        <v>2148511117.0900002</v>
      </c>
      <c r="J1103">
        <v>6.7776000000000003E-2</v>
      </c>
      <c r="K1103">
        <v>0</v>
      </c>
      <c r="M1103" t="s">
        <v>2</v>
      </c>
      <c r="N1103">
        <v>4750</v>
      </c>
      <c r="O1103">
        <v>120</v>
      </c>
      <c r="P1103">
        <v>408</v>
      </c>
      <c r="Q1103">
        <v>0</v>
      </c>
      <c r="R1103">
        <v>3226432497</v>
      </c>
      <c r="S1103">
        <v>7671062.2999999998</v>
      </c>
      <c r="T1103">
        <v>3211844010.5100002</v>
      </c>
      <c r="U1103">
        <v>3216418168.8099999</v>
      </c>
      <c r="V1103">
        <v>2.5427000000000002E-2</v>
      </c>
      <c r="W1103">
        <v>8.6809999999999995E-3</v>
      </c>
    </row>
    <row r="1104" spans="1:23" x14ac:dyDescent="0.35">
      <c r="A1104" t="s">
        <v>3</v>
      </c>
      <c r="B1104">
        <v>6000</v>
      </c>
      <c r="C1104">
        <v>12</v>
      </c>
      <c r="D1104">
        <v>25</v>
      </c>
      <c r="E1104">
        <v>0</v>
      </c>
      <c r="F1104">
        <v>729877617</v>
      </c>
      <c r="G1104">
        <v>786217.02</v>
      </c>
      <c r="H1104">
        <v>729091399.98000002</v>
      </c>
      <c r="I1104">
        <v>729091399.98000002</v>
      </c>
      <c r="J1104">
        <v>0</v>
      </c>
      <c r="K1104">
        <v>0</v>
      </c>
      <c r="M1104" t="s">
        <v>0</v>
      </c>
      <c r="N1104">
        <v>3250</v>
      </c>
      <c r="O1104">
        <v>108</v>
      </c>
      <c r="P1104">
        <v>2137</v>
      </c>
      <c r="Q1104">
        <v>0</v>
      </c>
      <c r="R1104">
        <v>32748082118</v>
      </c>
      <c r="S1104">
        <v>88568967.459999993</v>
      </c>
      <c r="T1104">
        <v>32506722956.869999</v>
      </c>
      <c r="U1104">
        <v>32632148472.200001</v>
      </c>
      <c r="V1104">
        <v>5.4573000000000003E-2</v>
      </c>
      <c r="W1104">
        <v>9.9810000000000003E-3</v>
      </c>
    </row>
    <row r="1105" spans="1:23" x14ac:dyDescent="0.35">
      <c r="A1105" t="s">
        <v>3</v>
      </c>
      <c r="B1105">
        <v>6250</v>
      </c>
      <c r="C1105">
        <v>12</v>
      </c>
      <c r="D1105">
        <v>80</v>
      </c>
      <c r="E1105">
        <v>0</v>
      </c>
      <c r="F1105">
        <v>2500818155</v>
      </c>
      <c r="G1105">
        <v>2564134.21</v>
      </c>
      <c r="H1105">
        <v>2498254020.79</v>
      </c>
      <c r="I1105">
        <v>2498254020.79</v>
      </c>
      <c r="J1105">
        <v>0</v>
      </c>
      <c r="K1105">
        <v>0</v>
      </c>
      <c r="M1105" t="s">
        <v>1</v>
      </c>
      <c r="N1105">
        <v>5750</v>
      </c>
      <c r="O1105">
        <v>96</v>
      </c>
      <c r="P1105">
        <v>1112</v>
      </c>
      <c r="Q1105">
        <v>0</v>
      </c>
      <c r="R1105">
        <v>13666799478</v>
      </c>
      <c r="S1105">
        <v>25019260.120000001</v>
      </c>
      <c r="T1105">
        <v>13493866120.190001</v>
      </c>
      <c r="U1105">
        <v>13641780217.879999</v>
      </c>
      <c r="V1105">
        <v>0.122416</v>
      </c>
      <c r="W1105">
        <v>0</v>
      </c>
    </row>
    <row r="1106" spans="1:23" x14ac:dyDescent="0.35">
      <c r="A1106" t="s">
        <v>3</v>
      </c>
      <c r="B1106">
        <v>6250</v>
      </c>
      <c r="C1106">
        <v>10</v>
      </c>
      <c r="D1106">
        <v>39</v>
      </c>
      <c r="E1106">
        <v>0</v>
      </c>
      <c r="F1106">
        <v>1156611721</v>
      </c>
      <c r="G1106">
        <v>1173461.1499999999</v>
      </c>
      <c r="H1106">
        <v>1155438259.8499999</v>
      </c>
      <c r="I1106">
        <v>1155438259.8499999</v>
      </c>
      <c r="J1106">
        <v>0</v>
      </c>
      <c r="K1106">
        <v>0</v>
      </c>
      <c r="M1106" t="s">
        <v>0</v>
      </c>
      <c r="N1106">
        <v>5250</v>
      </c>
      <c r="O1106">
        <v>108</v>
      </c>
      <c r="P1106">
        <v>5262</v>
      </c>
      <c r="Q1106">
        <v>0</v>
      </c>
      <c r="R1106">
        <v>60555245803</v>
      </c>
      <c r="S1106">
        <v>127644614.81</v>
      </c>
      <c r="T1106">
        <v>59912867912.379997</v>
      </c>
      <c r="U1106">
        <v>60320110411.080002</v>
      </c>
      <c r="V1106">
        <v>9.7366999999999995E-2</v>
      </c>
      <c r="W1106">
        <v>2.1094000000000002E-2</v>
      </c>
    </row>
    <row r="1107" spans="1:23" x14ac:dyDescent="0.35">
      <c r="A1107" t="s">
        <v>3</v>
      </c>
      <c r="B1107">
        <v>6750</v>
      </c>
      <c r="C1107">
        <v>9</v>
      </c>
      <c r="D1107">
        <v>34</v>
      </c>
      <c r="E1107">
        <v>0</v>
      </c>
      <c r="F1107">
        <v>923198368</v>
      </c>
      <c r="G1107">
        <v>851977.22</v>
      </c>
      <c r="H1107">
        <v>922346390.77999997</v>
      </c>
      <c r="I1107">
        <v>922346390.77999997</v>
      </c>
      <c r="J1107">
        <v>0</v>
      </c>
      <c r="K1107">
        <v>0</v>
      </c>
      <c r="M1107" t="s">
        <v>0</v>
      </c>
      <c r="N1107">
        <v>4250</v>
      </c>
      <c r="O1107">
        <v>240</v>
      </c>
      <c r="P1107">
        <v>2</v>
      </c>
      <c r="Q1107">
        <v>0</v>
      </c>
      <c r="R1107">
        <v>13362819</v>
      </c>
      <c r="S1107">
        <v>77511.19</v>
      </c>
      <c r="T1107">
        <v>13285307.810000001</v>
      </c>
      <c r="U1107">
        <v>13285307.810000001</v>
      </c>
      <c r="V1107">
        <v>0</v>
      </c>
      <c r="W1107">
        <v>0</v>
      </c>
    </row>
    <row r="1108" spans="1:23" x14ac:dyDescent="0.35">
      <c r="A1108" t="s">
        <v>3</v>
      </c>
      <c r="B1108">
        <v>6500</v>
      </c>
      <c r="C1108">
        <v>10</v>
      </c>
      <c r="D1108">
        <v>44</v>
      </c>
      <c r="E1108">
        <v>0</v>
      </c>
      <c r="F1108">
        <v>1213652868</v>
      </c>
      <c r="G1108">
        <v>1177435</v>
      </c>
      <c r="H1108">
        <v>1212475433</v>
      </c>
      <c r="I1108">
        <v>1212475433</v>
      </c>
      <c r="J1108">
        <v>0</v>
      </c>
      <c r="K1108">
        <v>0</v>
      </c>
      <c r="M1108" t="s">
        <v>2</v>
      </c>
      <c r="N1108">
        <v>4500</v>
      </c>
      <c r="O1108">
        <v>240</v>
      </c>
      <c r="P1108">
        <v>7</v>
      </c>
      <c r="Q1108">
        <v>0</v>
      </c>
      <c r="R1108">
        <v>39606173</v>
      </c>
      <c r="S1108">
        <v>237369.68</v>
      </c>
      <c r="T1108">
        <v>39368803.32</v>
      </c>
      <c r="U1108">
        <v>39368803.32</v>
      </c>
      <c r="V1108">
        <v>0</v>
      </c>
      <c r="W1108">
        <v>0</v>
      </c>
    </row>
    <row r="1109" spans="1:23" x14ac:dyDescent="0.35">
      <c r="A1109" t="s">
        <v>3</v>
      </c>
      <c r="B1109">
        <v>6250</v>
      </c>
      <c r="C1109">
        <v>9</v>
      </c>
      <c r="D1109">
        <v>46</v>
      </c>
      <c r="E1109">
        <v>0</v>
      </c>
      <c r="F1109">
        <v>1344101292</v>
      </c>
      <c r="G1109">
        <v>1352201.53</v>
      </c>
      <c r="H1109">
        <v>1342749090.47</v>
      </c>
      <c r="I1109">
        <v>1342749090.47</v>
      </c>
      <c r="J1109">
        <v>0</v>
      </c>
      <c r="K1109">
        <v>0</v>
      </c>
      <c r="M1109" t="s">
        <v>2</v>
      </c>
      <c r="N1109">
        <v>4250</v>
      </c>
      <c r="O1109">
        <v>320</v>
      </c>
      <c r="P1109">
        <v>1</v>
      </c>
      <c r="Q1109">
        <v>0</v>
      </c>
      <c r="R1109">
        <v>4171839</v>
      </c>
      <c r="S1109">
        <v>31427.17</v>
      </c>
      <c r="T1109">
        <v>4140411.83</v>
      </c>
      <c r="U1109">
        <v>4140411.83</v>
      </c>
      <c r="V1109">
        <v>0</v>
      </c>
      <c r="W1109">
        <v>0</v>
      </c>
    </row>
    <row r="1110" spans="1:23" x14ac:dyDescent="0.35">
      <c r="A1110" t="s">
        <v>3</v>
      </c>
      <c r="B1110">
        <v>6750</v>
      </c>
      <c r="C1110">
        <v>10</v>
      </c>
      <c r="D1110">
        <v>34</v>
      </c>
      <c r="E1110">
        <v>0</v>
      </c>
      <c r="F1110">
        <v>1092792684</v>
      </c>
      <c r="G1110">
        <v>1015210.43</v>
      </c>
      <c r="H1110">
        <v>1091777473.5699999</v>
      </c>
      <c r="I1110">
        <v>1091777473.5699999</v>
      </c>
      <c r="J1110">
        <v>0</v>
      </c>
      <c r="K1110">
        <v>0</v>
      </c>
      <c r="M1110" t="s">
        <v>0</v>
      </c>
      <c r="N1110">
        <v>5250</v>
      </c>
      <c r="O1110">
        <v>168</v>
      </c>
      <c r="P1110">
        <v>1711</v>
      </c>
      <c r="Q1110">
        <v>0</v>
      </c>
      <c r="R1110">
        <v>12761812226</v>
      </c>
      <c r="S1110">
        <v>37420515.700000003</v>
      </c>
      <c r="T1110">
        <v>12662845521.17</v>
      </c>
      <c r="U1110">
        <v>12724391710.299999</v>
      </c>
      <c r="V1110">
        <v>5.6362000000000002E-2</v>
      </c>
      <c r="W1110">
        <v>0</v>
      </c>
    </row>
    <row r="1111" spans="1:23" x14ac:dyDescent="0.35">
      <c r="A1111" t="s">
        <v>3</v>
      </c>
      <c r="B1111">
        <v>3250</v>
      </c>
      <c r="C1111">
        <v>168</v>
      </c>
      <c r="D1111">
        <v>481</v>
      </c>
      <c r="E1111">
        <v>0</v>
      </c>
      <c r="F1111">
        <v>5907061933</v>
      </c>
      <c r="G1111">
        <v>22194008.350000001</v>
      </c>
      <c r="H1111">
        <v>5855678919.4099998</v>
      </c>
      <c r="I1111">
        <v>5884867924.6499996</v>
      </c>
      <c r="J1111">
        <v>5.7710999999999998E-2</v>
      </c>
      <c r="K1111">
        <v>0</v>
      </c>
      <c r="M1111" t="s">
        <v>1</v>
      </c>
      <c r="N1111">
        <v>5250</v>
      </c>
      <c r="O1111">
        <v>168</v>
      </c>
      <c r="P1111">
        <v>130</v>
      </c>
      <c r="Q1111">
        <v>0</v>
      </c>
      <c r="R1111">
        <v>991191919</v>
      </c>
      <c r="S1111">
        <v>2901840.68</v>
      </c>
      <c r="T1111">
        <v>970288063.48000002</v>
      </c>
      <c r="U1111">
        <v>988290078.32000005</v>
      </c>
      <c r="V1111">
        <v>0.197439</v>
      </c>
      <c r="W1111">
        <v>0</v>
      </c>
    </row>
    <row r="1112" spans="1:23" x14ac:dyDescent="0.35">
      <c r="A1112" t="s">
        <v>1</v>
      </c>
      <c r="B1112">
        <v>3250</v>
      </c>
      <c r="C1112">
        <v>60</v>
      </c>
      <c r="D1112">
        <v>36494</v>
      </c>
      <c r="E1112">
        <v>0</v>
      </c>
      <c r="F1112">
        <v>953506608844</v>
      </c>
      <c r="G1112">
        <v>2064705510.46</v>
      </c>
      <c r="H1112">
        <v>942346535862.31995</v>
      </c>
      <c r="I1112">
        <v>949881722926.68005</v>
      </c>
      <c r="J1112">
        <v>0.10864799999999999</v>
      </c>
      <c r="K1112">
        <v>1.9459000000000001E-2</v>
      </c>
      <c r="M1112" t="s">
        <v>3</v>
      </c>
      <c r="N1112">
        <v>6250</v>
      </c>
      <c r="O1112">
        <v>16</v>
      </c>
      <c r="P1112">
        <v>62</v>
      </c>
      <c r="Q1112">
        <v>0</v>
      </c>
      <c r="R1112">
        <v>1794331772</v>
      </c>
      <c r="S1112">
        <v>1888396.22</v>
      </c>
      <c r="T1112">
        <v>1792443375.78</v>
      </c>
      <c r="U1112">
        <v>1792443375.78</v>
      </c>
      <c r="V1112">
        <v>0</v>
      </c>
      <c r="W1112">
        <v>0</v>
      </c>
    </row>
    <row r="1113" spans="1:23" x14ac:dyDescent="0.35">
      <c r="A1113" t="s">
        <v>1</v>
      </c>
      <c r="B1113">
        <v>4250</v>
      </c>
      <c r="C1113">
        <v>72</v>
      </c>
      <c r="D1113">
        <v>1258</v>
      </c>
      <c r="E1113">
        <v>0</v>
      </c>
      <c r="F1113">
        <v>23624435738</v>
      </c>
      <c r="G1113">
        <v>46575056.770000003</v>
      </c>
      <c r="H1113">
        <v>23150965991.98</v>
      </c>
      <c r="I1113">
        <v>23372141093.470001</v>
      </c>
      <c r="J1113">
        <v>0.19653699999999999</v>
      </c>
      <c r="K1113">
        <v>9.9632999999999999E-2</v>
      </c>
      <c r="M1113" t="s">
        <v>3</v>
      </c>
      <c r="N1113">
        <v>6250</v>
      </c>
      <c r="O1113">
        <v>18</v>
      </c>
      <c r="P1113">
        <v>63</v>
      </c>
      <c r="Q1113">
        <v>0</v>
      </c>
      <c r="R1113">
        <v>1655698010</v>
      </c>
      <c r="S1113">
        <v>1774142.43</v>
      </c>
      <c r="T1113">
        <v>1653923867.5699999</v>
      </c>
      <c r="U1113">
        <v>1653923867.5699999</v>
      </c>
      <c r="V1113">
        <v>0</v>
      </c>
      <c r="W1113">
        <v>0</v>
      </c>
    </row>
    <row r="1114" spans="1:23" x14ac:dyDescent="0.35">
      <c r="A1114" t="s">
        <v>1</v>
      </c>
      <c r="B1114">
        <v>4750</v>
      </c>
      <c r="C1114">
        <v>72</v>
      </c>
      <c r="D1114">
        <v>378</v>
      </c>
      <c r="E1114">
        <v>0</v>
      </c>
      <c r="F1114">
        <v>6542739781</v>
      </c>
      <c r="G1114">
        <v>12085103.27</v>
      </c>
      <c r="H1114">
        <v>6451783636.6700001</v>
      </c>
      <c r="I1114">
        <v>6480602991.7200003</v>
      </c>
      <c r="J1114">
        <v>0.13544100000000001</v>
      </c>
      <c r="K1114">
        <v>8.8034000000000001E-2</v>
      </c>
      <c r="M1114" t="s">
        <v>3</v>
      </c>
      <c r="N1114">
        <v>6750</v>
      </c>
      <c r="O1114">
        <v>16</v>
      </c>
      <c r="P1114">
        <v>34</v>
      </c>
      <c r="Q1114">
        <v>0</v>
      </c>
      <c r="R1114">
        <v>985480835</v>
      </c>
      <c r="S1114">
        <v>954422.17</v>
      </c>
      <c r="T1114">
        <v>984526412.83000004</v>
      </c>
      <c r="U1114">
        <v>984526412.83000004</v>
      </c>
      <c r="V1114">
        <v>0</v>
      </c>
      <c r="W1114">
        <v>0</v>
      </c>
    </row>
    <row r="1115" spans="1:23" x14ac:dyDescent="0.35">
      <c r="A1115" t="s">
        <v>3</v>
      </c>
      <c r="B1115">
        <v>5250</v>
      </c>
      <c r="C1115">
        <v>168</v>
      </c>
      <c r="D1115">
        <v>9</v>
      </c>
      <c r="E1115">
        <v>0</v>
      </c>
      <c r="F1115">
        <v>68896165</v>
      </c>
      <c r="G1115">
        <v>202061.15</v>
      </c>
      <c r="H1115">
        <v>68694103.849999994</v>
      </c>
      <c r="I1115">
        <v>68694103.849999994</v>
      </c>
      <c r="J1115">
        <v>0</v>
      </c>
      <c r="K1115">
        <v>0</v>
      </c>
      <c r="M1115" t="s">
        <v>3</v>
      </c>
      <c r="N1115">
        <v>6250</v>
      </c>
      <c r="O1115">
        <v>14</v>
      </c>
      <c r="P1115">
        <v>36</v>
      </c>
      <c r="Q1115">
        <v>0</v>
      </c>
      <c r="R1115">
        <v>937618460</v>
      </c>
      <c r="S1115">
        <v>975312.43</v>
      </c>
      <c r="T1115">
        <v>936643147.57000005</v>
      </c>
      <c r="U1115">
        <v>936643147.57000005</v>
      </c>
      <c r="V1115">
        <v>0</v>
      </c>
      <c r="W1115">
        <v>0</v>
      </c>
    </row>
    <row r="1116" spans="1:23" x14ac:dyDescent="0.35">
      <c r="A1116" t="s">
        <v>0</v>
      </c>
      <c r="B1116">
        <v>5750</v>
      </c>
      <c r="C1116">
        <v>96</v>
      </c>
      <c r="D1116">
        <v>13632</v>
      </c>
      <c r="E1116">
        <v>0</v>
      </c>
      <c r="F1116">
        <v>173210638940</v>
      </c>
      <c r="G1116">
        <v>318101712.88</v>
      </c>
      <c r="H1116">
        <v>171248453017.45001</v>
      </c>
      <c r="I1116">
        <v>172407693528.01001</v>
      </c>
      <c r="J1116">
        <v>0.10814</v>
      </c>
      <c r="K1116">
        <v>3.3078000000000003E-2</v>
      </c>
      <c r="M1116" t="s">
        <v>3</v>
      </c>
      <c r="N1116">
        <v>5750</v>
      </c>
      <c r="O1116">
        <v>14</v>
      </c>
      <c r="P1116">
        <v>13</v>
      </c>
      <c r="Q1116">
        <v>0</v>
      </c>
      <c r="R1116">
        <v>348615908</v>
      </c>
      <c r="S1116">
        <v>394520.15</v>
      </c>
      <c r="T1116">
        <v>348221387.85000002</v>
      </c>
      <c r="U1116">
        <v>348221387.85000002</v>
      </c>
      <c r="V1116">
        <v>0</v>
      </c>
      <c r="W1116">
        <v>0</v>
      </c>
    </row>
    <row r="1117" spans="1:23" x14ac:dyDescent="0.35">
      <c r="A1117" t="s">
        <v>2</v>
      </c>
      <c r="B1117">
        <v>5250</v>
      </c>
      <c r="C1117">
        <v>168</v>
      </c>
      <c r="D1117">
        <v>13</v>
      </c>
      <c r="E1117">
        <v>0</v>
      </c>
      <c r="F1117">
        <v>78874893</v>
      </c>
      <c r="G1117">
        <v>231499.42</v>
      </c>
      <c r="H1117">
        <v>78643393.579999998</v>
      </c>
      <c r="I1117">
        <v>78643393.579999998</v>
      </c>
      <c r="J1117">
        <v>0</v>
      </c>
      <c r="K1117">
        <v>0</v>
      </c>
      <c r="M1117" t="s">
        <v>3</v>
      </c>
      <c r="N1117">
        <v>6750</v>
      </c>
      <c r="O1117">
        <v>14</v>
      </c>
      <c r="P1117">
        <v>62</v>
      </c>
      <c r="Q1117">
        <v>0</v>
      </c>
      <c r="R1117">
        <v>1924423266</v>
      </c>
      <c r="S1117">
        <v>1829230.62</v>
      </c>
      <c r="T1117">
        <v>1906035831.27</v>
      </c>
      <c r="U1117">
        <v>1922594035.3800001</v>
      </c>
      <c r="V1117">
        <v>9.8502000000000006E-2</v>
      </c>
      <c r="W1117">
        <v>0</v>
      </c>
    </row>
    <row r="1118" spans="1:23" x14ac:dyDescent="0.35">
      <c r="A1118" t="s">
        <v>0</v>
      </c>
      <c r="B1118">
        <v>7750</v>
      </c>
      <c r="C1118">
        <v>20</v>
      </c>
      <c r="D1118">
        <v>1968</v>
      </c>
      <c r="E1118">
        <v>0</v>
      </c>
      <c r="F1118">
        <v>50113097142</v>
      </c>
      <c r="G1118">
        <v>41100039.740000002</v>
      </c>
      <c r="H1118">
        <v>48541691468.440002</v>
      </c>
      <c r="I1118">
        <v>49156191273.059998</v>
      </c>
      <c r="J1118">
        <v>0.310753</v>
      </c>
      <c r="K1118">
        <v>0.198545</v>
      </c>
      <c r="M1118" t="s">
        <v>3</v>
      </c>
      <c r="N1118">
        <v>6750</v>
      </c>
      <c r="O1118">
        <v>12</v>
      </c>
      <c r="P1118">
        <v>56</v>
      </c>
      <c r="Q1118">
        <v>0</v>
      </c>
      <c r="R1118">
        <v>1710379941</v>
      </c>
      <c r="S1118">
        <v>1603093.29</v>
      </c>
      <c r="T1118">
        <v>1708776847.71</v>
      </c>
      <c r="U1118">
        <v>1708776847.71</v>
      </c>
      <c r="V1118">
        <v>0</v>
      </c>
      <c r="W1118">
        <v>0</v>
      </c>
    </row>
    <row r="1119" spans="1:23" x14ac:dyDescent="0.35">
      <c r="A1119" t="s">
        <v>3</v>
      </c>
      <c r="B1119">
        <v>3750</v>
      </c>
      <c r="C1119">
        <v>144</v>
      </c>
      <c r="D1119">
        <v>768</v>
      </c>
      <c r="E1119">
        <v>0</v>
      </c>
      <c r="F1119">
        <v>10788637231</v>
      </c>
      <c r="G1119">
        <v>32329102.77</v>
      </c>
      <c r="H1119">
        <v>10671746785.77</v>
      </c>
      <c r="I1119">
        <v>10756308128.23</v>
      </c>
      <c r="J1119">
        <v>9.0105000000000005E-2</v>
      </c>
      <c r="K1119">
        <v>0</v>
      </c>
      <c r="M1119" t="s">
        <v>3</v>
      </c>
      <c r="N1119">
        <v>6000</v>
      </c>
      <c r="O1119">
        <v>12</v>
      </c>
      <c r="P1119">
        <v>21</v>
      </c>
      <c r="Q1119">
        <v>0</v>
      </c>
      <c r="R1119">
        <v>580424837</v>
      </c>
      <c r="S1119">
        <v>624591.27</v>
      </c>
      <c r="T1119">
        <v>579800245.73000002</v>
      </c>
      <c r="U1119">
        <v>579800245.73000002</v>
      </c>
      <c r="V1119">
        <v>0</v>
      </c>
      <c r="W1119">
        <v>0</v>
      </c>
    </row>
    <row r="1120" spans="1:23" x14ac:dyDescent="0.35">
      <c r="A1120" t="s">
        <v>3</v>
      </c>
      <c r="B1120">
        <v>6000</v>
      </c>
      <c r="C1120">
        <v>9</v>
      </c>
      <c r="D1120">
        <v>8</v>
      </c>
      <c r="E1120">
        <v>0</v>
      </c>
      <c r="F1120">
        <v>210089172</v>
      </c>
      <c r="G1120">
        <v>224151.31</v>
      </c>
      <c r="H1120">
        <v>209865020.69</v>
      </c>
      <c r="I1120">
        <v>209865020.69</v>
      </c>
      <c r="J1120">
        <v>0</v>
      </c>
      <c r="K1120">
        <v>0</v>
      </c>
      <c r="M1120" t="s">
        <v>3</v>
      </c>
      <c r="N1120">
        <v>6250</v>
      </c>
      <c r="O1120">
        <v>10</v>
      </c>
      <c r="P1120">
        <v>41</v>
      </c>
      <c r="Q1120">
        <v>0</v>
      </c>
      <c r="R1120">
        <v>1281566287</v>
      </c>
      <c r="S1120">
        <v>1300786.99</v>
      </c>
      <c r="T1120">
        <v>1280265500.01</v>
      </c>
      <c r="U1120">
        <v>1280265500.01</v>
      </c>
      <c r="V1120">
        <v>0</v>
      </c>
      <c r="W1120">
        <v>0</v>
      </c>
    </row>
    <row r="1121" spans="1:23" x14ac:dyDescent="0.35">
      <c r="A1121" t="s">
        <v>3</v>
      </c>
      <c r="B1121">
        <v>6250</v>
      </c>
      <c r="C1121">
        <v>8</v>
      </c>
      <c r="D1121">
        <v>48</v>
      </c>
      <c r="E1121">
        <v>0</v>
      </c>
      <c r="F1121">
        <v>1386779042</v>
      </c>
      <c r="G1121">
        <v>1388296.14</v>
      </c>
      <c r="H1121">
        <v>1385390745.8599999</v>
      </c>
      <c r="I1121">
        <v>1385390745.8599999</v>
      </c>
      <c r="J1121">
        <v>0</v>
      </c>
      <c r="K1121">
        <v>0</v>
      </c>
      <c r="M1121" t="s">
        <v>3</v>
      </c>
      <c r="N1121">
        <v>6250</v>
      </c>
      <c r="O1121">
        <v>9</v>
      </c>
      <c r="P1121">
        <v>39</v>
      </c>
      <c r="Q1121">
        <v>0</v>
      </c>
      <c r="R1121">
        <v>1157777601</v>
      </c>
      <c r="S1121">
        <v>1167401.95</v>
      </c>
      <c r="T1121">
        <v>1156610199.05</v>
      </c>
      <c r="U1121">
        <v>1156610199.05</v>
      </c>
      <c r="V1121">
        <v>0</v>
      </c>
      <c r="W1121">
        <v>0</v>
      </c>
    </row>
    <row r="1122" spans="1:23" x14ac:dyDescent="0.35">
      <c r="A1122" t="s">
        <v>3</v>
      </c>
      <c r="B1122">
        <v>5750</v>
      </c>
      <c r="C1122">
        <v>8</v>
      </c>
      <c r="D1122">
        <v>11</v>
      </c>
      <c r="E1122">
        <v>0</v>
      </c>
      <c r="F1122">
        <v>300346029</v>
      </c>
      <c r="G1122">
        <v>328998.76</v>
      </c>
      <c r="H1122">
        <v>300017030.24000001</v>
      </c>
      <c r="I1122">
        <v>300017030.24000001</v>
      </c>
      <c r="J1122">
        <v>0</v>
      </c>
      <c r="K1122">
        <v>0</v>
      </c>
      <c r="M1122" t="s">
        <v>3</v>
      </c>
      <c r="N1122">
        <v>6750</v>
      </c>
      <c r="O1122">
        <v>8</v>
      </c>
      <c r="P1122">
        <v>34</v>
      </c>
      <c r="Q1122">
        <v>0</v>
      </c>
      <c r="R1122">
        <v>924164772</v>
      </c>
      <c r="S1122">
        <v>847364.13</v>
      </c>
      <c r="T1122">
        <v>923317407.87</v>
      </c>
      <c r="U1122">
        <v>923317407.87</v>
      </c>
      <c r="V1122">
        <v>0</v>
      </c>
      <c r="W1122">
        <v>0</v>
      </c>
    </row>
    <row r="1123" spans="1:23" x14ac:dyDescent="0.35">
      <c r="A1123" t="s">
        <v>3</v>
      </c>
      <c r="B1123">
        <v>4750</v>
      </c>
      <c r="C1123">
        <v>168</v>
      </c>
      <c r="D1123">
        <v>86</v>
      </c>
      <c r="E1123">
        <v>0</v>
      </c>
      <c r="F1123">
        <v>811402277</v>
      </c>
      <c r="G1123">
        <v>2477741.5499999998</v>
      </c>
      <c r="H1123">
        <v>808924535.45000005</v>
      </c>
      <c r="I1123">
        <v>808924535.45000005</v>
      </c>
      <c r="J1123">
        <v>0</v>
      </c>
      <c r="K1123">
        <v>0</v>
      </c>
      <c r="M1123" t="s">
        <v>3</v>
      </c>
      <c r="N1123">
        <v>6500</v>
      </c>
      <c r="O1123">
        <v>9</v>
      </c>
      <c r="P1123">
        <v>45</v>
      </c>
      <c r="Q1123">
        <v>0</v>
      </c>
      <c r="R1123">
        <v>1256092475</v>
      </c>
      <c r="S1123">
        <v>1211560.47</v>
      </c>
      <c r="T1123">
        <v>1213818585.98</v>
      </c>
      <c r="U1123">
        <v>1254880914.53</v>
      </c>
      <c r="V1123">
        <v>0.328903</v>
      </c>
      <c r="W1123">
        <v>0</v>
      </c>
    </row>
    <row r="1124" spans="1:23" x14ac:dyDescent="0.35">
      <c r="A1124" t="s">
        <v>3</v>
      </c>
      <c r="B1124">
        <v>4250</v>
      </c>
      <c r="C1124">
        <v>144</v>
      </c>
      <c r="D1124">
        <v>963</v>
      </c>
      <c r="E1124">
        <v>0</v>
      </c>
      <c r="F1124">
        <v>9669309067</v>
      </c>
      <c r="G1124">
        <v>28185442.359999999</v>
      </c>
      <c r="H1124">
        <v>9571847626.2299995</v>
      </c>
      <c r="I1124">
        <v>9641123624.6399994</v>
      </c>
      <c r="J1124">
        <v>8.2666000000000003E-2</v>
      </c>
      <c r="K1124">
        <v>0</v>
      </c>
      <c r="M1124" t="s">
        <v>3</v>
      </c>
      <c r="N1124">
        <v>6250</v>
      </c>
      <c r="O1124">
        <v>8</v>
      </c>
      <c r="P1124">
        <v>46</v>
      </c>
      <c r="Q1124">
        <v>0</v>
      </c>
      <c r="R1124">
        <v>1345622736</v>
      </c>
      <c r="S1124">
        <v>1345388.51</v>
      </c>
      <c r="T1124">
        <v>1344277347.49</v>
      </c>
      <c r="U1124">
        <v>1344277347.49</v>
      </c>
      <c r="V1124">
        <v>0</v>
      </c>
      <c r="W1124">
        <v>0</v>
      </c>
    </row>
    <row r="1125" spans="1:23" x14ac:dyDescent="0.35">
      <c r="A1125" t="s">
        <v>3</v>
      </c>
      <c r="B1125">
        <v>4750</v>
      </c>
      <c r="C1125">
        <v>144</v>
      </c>
      <c r="D1125">
        <v>114</v>
      </c>
      <c r="E1125">
        <v>0</v>
      </c>
      <c r="F1125">
        <v>1064060865</v>
      </c>
      <c r="G1125">
        <v>2978018.11</v>
      </c>
      <c r="H1125">
        <v>1061082846.89</v>
      </c>
      <c r="I1125">
        <v>1061082846.89</v>
      </c>
      <c r="J1125">
        <v>0</v>
      </c>
      <c r="K1125">
        <v>0</v>
      </c>
      <c r="M1125" t="s">
        <v>3</v>
      </c>
      <c r="N1125">
        <v>6750</v>
      </c>
      <c r="O1125">
        <v>9</v>
      </c>
      <c r="P1125">
        <v>34</v>
      </c>
      <c r="Q1125">
        <v>0</v>
      </c>
      <c r="R1125">
        <v>1093960221</v>
      </c>
      <c r="S1125">
        <v>1009728.15</v>
      </c>
      <c r="T1125">
        <v>1092950492.8499999</v>
      </c>
      <c r="U1125">
        <v>1092950492.8499999</v>
      </c>
      <c r="V1125">
        <v>0</v>
      </c>
      <c r="W1125">
        <v>0</v>
      </c>
    </row>
    <row r="1126" spans="1:23" x14ac:dyDescent="0.35">
      <c r="A1126" t="s">
        <v>3</v>
      </c>
      <c r="B1126">
        <v>5000</v>
      </c>
      <c r="C1126">
        <v>144</v>
      </c>
      <c r="D1126">
        <v>7</v>
      </c>
      <c r="E1126">
        <v>0</v>
      </c>
      <c r="F1126">
        <v>81840342</v>
      </c>
      <c r="G1126">
        <v>224802.73</v>
      </c>
      <c r="H1126">
        <v>81615539.269999996</v>
      </c>
      <c r="I1126">
        <v>81615539.269999996</v>
      </c>
      <c r="J1126">
        <v>0</v>
      </c>
      <c r="K1126">
        <v>0</v>
      </c>
      <c r="M1126" t="s">
        <v>3</v>
      </c>
      <c r="N1126">
        <v>3250</v>
      </c>
      <c r="O1126">
        <v>168</v>
      </c>
      <c r="P1126">
        <v>482</v>
      </c>
      <c r="Q1126">
        <v>0</v>
      </c>
      <c r="R1126">
        <v>5945329676</v>
      </c>
      <c r="S1126">
        <v>22194102.75</v>
      </c>
      <c r="T1126">
        <v>5913924645.96</v>
      </c>
      <c r="U1126">
        <v>5923135573.25</v>
      </c>
      <c r="V1126">
        <v>1.8433999999999999E-2</v>
      </c>
      <c r="W1126">
        <v>0</v>
      </c>
    </row>
    <row r="1127" spans="1:23" x14ac:dyDescent="0.35">
      <c r="A1127" t="s">
        <v>3</v>
      </c>
      <c r="B1127">
        <v>4750</v>
      </c>
      <c r="C1127">
        <v>96</v>
      </c>
      <c r="D1127">
        <v>203</v>
      </c>
      <c r="E1127">
        <v>0</v>
      </c>
      <c r="F1127">
        <v>2693239740</v>
      </c>
      <c r="G1127">
        <v>5680552</v>
      </c>
      <c r="H1127">
        <v>2686695048.0100002</v>
      </c>
      <c r="I1127">
        <v>2687559188</v>
      </c>
      <c r="J1127">
        <v>3.8430000000000001E-3</v>
      </c>
      <c r="K1127">
        <v>0</v>
      </c>
      <c r="M1127" t="s">
        <v>0</v>
      </c>
      <c r="N1127">
        <v>5750</v>
      </c>
      <c r="O1127">
        <v>168</v>
      </c>
      <c r="P1127">
        <v>109</v>
      </c>
      <c r="Q1127">
        <v>0</v>
      </c>
      <c r="R1127">
        <v>743379182</v>
      </c>
      <c r="S1127">
        <v>2051677.66</v>
      </c>
      <c r="T1127">
        <v>741327504.34000003</v>
      </c>
      <c r="U1127">
        <v>741327504.34000003</v>
      </c>
      <c r="V1127">
        <v>0</v>
      </c>
      <c r="W1127">
        <v>0</v>
      </c>
    </row>
    <row r="1128" spans="1:23" x14ac:dyDescent="0.35">
      <c r="A1128" t="s">
        <v>1</v>
      </c>
      <c r="B1128">
        <v>4750</v>
      </c>
      <c r="C1128">
        <v>120</v>
      </c>
      <c r="D1128">
        <v>822</v>
      </c>
      <c r="E1128">
        <v>0</v>
      </c>
      <c r="F1128">
        <v>9616017770</v>
      </c>
      <c r="G1128">
        <v>23212062.210000001</v>
      </c>
      <c r="H1128">
        <v>9517180062.8999996</v>
      </c>
      <c r="I1128">
        <v>9580397156.8600006</v>
      </c>
      <c r="J1128">
        <v>9.0398000000000006E-2</v>
      </c>
      <c r="K1128">
        <v>1.5375E-2</v>
      </c>
      <c r="M1128" t="s">
        <v>1</v>
      </c>
      <c r="N1128">
        <v>3250</v>
      </c>
      <c r="O1128">
        <v>60</v>
      </c>
      <c r="P1128">
        <v>36192</v>
      </c>
      <c r="Q1128">
        <v>0</v>
      </c>
      <c r="R1128">
        <v>928749644537</v>
      </c>
      <c r="S1128">
        <v>2010555479.6500001</v>
      </c>
      <c r="T1128">
        <v>919648741729.23999</v>
      </c>
      <c r="U1128">
        <v>925480167033.44995</v>
      </c>
      <c r="V1128">
        <v>8.7860999999999995E-2</v>
      </c>
      <c r="W1128">
        <v>1.6145E-2</v>
      </c>
    </row>
    <row r="1129" spans="1:23" x14ac:dyDescent="0.35">
      <c r="A1129" t="s">
        <v>2</v>
      </c>
      <c r="B1129">
        <v>5750</v>
      </c>
      <c r="C1129">
        <v>96</v>
      </c>
      <c r="D1129">
        <v>436</v>
      </c>
      <c r="E1129">
        <v>0</v>
      </c>
      <c r="F1129">
        <v>3963202755</v>
      </c>
      <c r="G1129">
        <v>7209927.0499999998</v>
      </c>
      <c r="H1129">
        <v>3931809223.6599998</v>
      </c>
      <c r="I1129">
        <v>3950210931.5599999</v>
      </c>
      <c r="J1129">
        <v>7.0816000000000004E-2</v>
      </c>
      <c r="K1129">
        <v>1.7367E-2</v>
      </c>
      <c r="M1129" t="s">
        <v>1</v>
      </c>
      <c r="N1129">
        <v>4250</v>
      </c>
      <c r="O1129">
        <v>72</v>
      </c>
      <c r="P1129">
        <v>1550</v>
      </c>
      <c r="Q1129">
        <v>0</v>
      </c>
      <c r="R1129">
        <v>28496347328</v>
      </c>
      <c r="S1129">
        <v>56367724.600000001</v>
      </c>
      <c r="T1129">
        <v>28111660565.599998</v>
      </c>
      <c r="U1129">
        <v>28343231194.599998</v>
      </c>
      <c r="V1129">
        <v>0.12982399999999999</v>
      </c>
      <c r="W1129">
        <v>3.9988999999999997E-2</v>
      </c>
    </row>
    <row r="1130" spans="1:23" x14ac:dyDescent="0.35">
      <c r="A1130" t="s">
        <v>3</v>
      </c>
      <c r="B1130">
        <v>5250</v>
      </c>
      <c r="C1130">
        <v>144</v>
      </c>
      <c r="D1130">
        <v>1</v>
      </c>
      <c r="E1130">
        <v>0</v>
      </c>
      <c r="F1130">
        <v>8207084</v>
      </c>
      <c r="G1130">
        <v>20078.650000000001</v>
      </c>
      <c r="H1130">
        <v>8187005.3499999996</v>
      </c>
      <c r="I1130">
        <v>8187005.3499999996</v>
      </c>
      <c r="J1130">
        <v>0</v>
      </c>
      <c r="K1130">
        <v>0</v>
      </c>
      <c r="M1130" t="s">
        <v>1</v>
      </c>
      <c r="N1130">
        <v>4750</v>
      </c>
      <c r="O1130">
        <v>72</v>
      </c>
      <c r="P1130">
        <v>502</v>
      </c>
      <c r="Q1130">
        <v>0</v>
      </c>
      <c r="R1130">
        <v>8388946308</v>
      </c>
      <c r="S1130">
        <v>15553122.359999999</v>
      </c>
      <c r="T1130">
        <v>8299869924.0500002</v>
      </c>
      <c r="U1130">
        <v>8373393185.6400003</v>
      </c>
      <c r="V1130">
        <v>0.100247</v>
      </c>
      <c r="W1130">
        <v>0</v>
      </c>
    </row>
    <row r="1131" spans="1:23" x14ac:dyDescent="0.35">
      <c r="A1131" t="s">
        <v>3</v>
      </c>
      <c r="B1131">
        <v>3750</v>
      </c>
      <c r="C1131">
        <v>120</v>
      </c>
      <c r="D1131">
        <v>434</v>
      </c>
      <c r="E1131">
        <v>0</v>
      </c>
      <c r="F1131">
        <v>5856812751</v>
      </c>
      <c r="G1131">
        <v>16011878.369999999</v>
      </c>
      <c r="H1131">
        <v>5821174242.8900003</v>
      </c>
      <c r="I1131">
        <v>5840800872.6300001</v>
      </c>
      <c r="J1131">
        <v>3.9480000000000001E-2</v>
      </c>
      <c r="K1131">
        <v>0</v>
      </c>
      <c r="M1131" t="s">
        <v>1</v>
      </c>
      <c r="N1131">
        <v>3250</v>
      </c>
      <c r="O1131">
        <v>96</v>
      </c>
      <c r="P1131">
        <v>154</v>
      </c>
      <c r="Q1131">
        <v>0</v>
      </c>
      <c r="R1131">
        <v>2624973657</v>
      </c>
      <c r="S1131">
        <v>6760578.6299999999</v>
      </c>
      <c r="T1131">
        <v>2600759288.9200001</v>
      </c>
      <c r="U1131">
        <v>2618213078.3699999</v>
      </c>
      <c r="V1131">
        <v>7.6935000000000003E-2</v>
      </c>
      <c r="W1131">
        <v>0</v>
      </c>
    </row>
    <row r="1132" spans="1:23" x14ac:dyDescent="0.35">
      <c r="A1132" t="s">
        <v>2</v>
      </c>
      <c r="B1132">
        <v>5250</v>
      </c>
      <c r="C1132">
        <v>144</v>
      </c>
      <c r="D1132">
        <v>7</v>
      </c>
      <c r="E1132">
        <v>0</v>
      </c>
      <c r="F1132">
        <v>54289489</v>
      </c>
      <c r="G1132">
        <v>141698.84</v>
      </c>
      <c r="H1132">
        <v>54147790.159999996</v>
      </c>
      <c r="I1132">
        <v>54147790.159999996</v>
      </c>
      <c r="J1132">
        <v>0</v>
      </c>
      <c r="K1132">
        <v>0</v>
      </c>
      <c r="M1132" t="s">
        <v>2</v>
      </c>
      <c r="N1132">
        <v>3250</v>
      </c>
      <c r="O1132">
        <v>96</v>
      </c>
      <c r="P1132">
        <v>50</v>
      </c>
      <c r="Q1132">
        <v>0</v>
      </c>
      <c r="R1132">
        <v>565672090</v>
      </c>
      <c r="S1132">
        <v>1464063.85</v>
      </c>
      <c r="T1132">
        <v>545999487.65999997</v>
      </c>
      <c r="U1132">
        <v>564208026.14999998</v>
      </c>
      <c r="V1132">
        <v>0.32471699999999998</v>
      </c>
      <c r="W1132">
        <v>0</v>
      </c>
    </row>
    <row r="1133" spans="1:23" x14ac:dyDescent="0.35">
      <c r="A1133" t="s">
        <v>1</v>
      </c>
      <c r="B1133">
        <v>5250</v>
      </c>
      <c r="C1133">
        <v>120</v>
      </c>
      <c r="D1133">
        <v>76</v>
      </c>
      <c r="E1133">
        <v>0</v>
      </c>
      <c r="F1133">
        <v>708588685</v>
      </c>
      <c r="G1133">
        <v>1605509.07</v>
      </c>
      <c r="H1133">
        <v>706983175.92999995</v>
      </c>
      <c r="I1133">
        <v>706983175.92999995</v>
      </c>
      <c r="J1133">
        <v>0</v>
      </c>
      <c r="K1133">
        <v>0</v>
      </c>
      <c r="M1133" t="s">
        <v>0</v>
      </c>
      <c r="N1133">
        <v>3250</v>
      </c>
      <c r="O1133">
        <v>96</v>
      </c>
      <c r="P1133">
        <v>431</v>
      </c>
      <c r="Q1133">
        <v>0</v>
      </c>
      <c r="R1133">
        <v>5441654023</v>
      </c>
      <c r="S1133">
        <v>14026098.41</v>
      </c>
      <c r="T1133">
        <v>5415929202.1899996</v>
      </c>
      <c r="U1133">
        <v>5427627924.5900002</v>
      </c>
      <c r="V1133">
        <v>2.5495E-2</v>
      </c>
      <c r="W1133">
        <v>0</v>
      </c>
    </row>
    <row r="1134" spans="1:23" x14ac:dyDescent="0.35">
      <c r="A1134" t="s">
        <v>3</v>
      </c>
      <c r="B1134">
        <v>3250</v>
      </c>
      <c r="C1134">
        <v>120</v>
      </c>
      <c r="D1134">
        <v>354</v>
      </c>
      <c r="E1134">
        <v>0</v>
      </c>
      <c r="F1134">
        <v>5430235097</v>
      </c>
      <c r="G1134">
        <v>15675816.41</v>
      </c>
      <c r="H1134">
        <v>5409107766.4300003</v>
      </c>
      <c r="I1134">
        <v>5414559280.5900002</v>
      </c>
      <c r="J1134">
        <v>1.1981E-2</v>
      </c>
      <c r="K1134">
        <v>0</v>
      </c>
      <c r="M1134" t="s">
        <v>3</v>
      </c>
      <c r="N1134">
        <v>5250</v>
      </c>
      <c r="O1134">
        <v>144</v>
      </c>
      <c r="P1134">
        <v>2</v>
      </c>
      <c r="Q1134">
        <v>0</v>
      </c>
      <c r="R1134">
        <v>12026498</v>
      </c>
      <c r="S1134">
        <v>30731.96</v>
      </c>
      <c r="T1134">
        <v>11995766.039999999</v>
      </c>
      <c r="U1134">
        <v>11995766.039999999</v>
      </c>
      <c r="V1134">
        <v>0</v>
      </c>
      <c r="W1134">
        <v>0</v>
      </c>
    </row>
    <row r="1135" spans="1:23" x14ac:dyDescent="0.35">
      <c r="A1135" t="s">
        <v>3</v>
      </c>
      <c r="B1135">
        <v>4250</v>
      </c>
      <c r="C1135">
        <v>120</v>
      </c>
      <c r="D1135">
        <v>279</v>
      </c>
      <c r="E1135">
        <v>0</v>
      </c>
      <c r="F1135">
        <v>2901986682</v>
      </c>
      <c r="G1135">
        <v>7405833.5499999998</v>
      </c>
      <c r="H1135">
        <v>2894580848.4499998</v>
      </c>
      <c r="I1135">
        <v>2894580848.4499998</v>
      </c>
      <c r="J1135">
        <v>0</v>
      </c>
      <c r="K1135">
        <v>0</v>
      </c>
      <c r="M1135" t="s">
        <v>0</v>
      </c>
      <c r="N1135">
        <v>5750</v>
      </c>
      <c r="O1135">
        <v>96</v>
      </c>
      <c r="P1135">
        <v>12783</v>
      </c>
      <c r="Q1135">
        <v>0</v>
      </c>
      <c r="R1135">
        <v>162535987452</v>
      </c>
      <c r="S1135">
        <v>297890308.88999999</v>
      </c>
      <c r="T1135">
        <v>161024503276.12</v>
      </c>
      <c r="U1135">
        <v>161938891249.63</v>
      </c>
      <c r="V1135">
        <v>8.6010000000000003E-2</v>
      </c>
      <c r="W1135">
        <v>2.1867999999999999E-2</v>
      </c>
    </row>
    <row r="1136" spans="1:23" x14ac:dyDescent="0.35">
      <c r="A1136" t="s">
        <v>3</v>
      </c>
      <c r="B1136">
        <v>4750</v>
      </c>
      <c r="C1136">
        <v>120</v>
      </c>
      <c r="D1136">
        <v>18</v>
      </c>
      <c r="E1136">
        <v>0</v>
      </c>
      <c r="F1136">
        <v>170414151</v>
      </c>
      <c r="G1136">
        <v>415735.99</v>
      </c>
      <c r="H1136">
        <v>169998415.00999999</v>
      </c>
      <c r="I1136">
        <v>169998415.00999999</v>
      </c>
      <c r="J1136">
        <v>0</v>
      </c>
      <c r="K1136">
        <v>0</v>
      </c>
      <c r="M1136" t="s">
        <v>2</v>
      </c>
      <c r="N1136">
        <v>5250</v>
      </c>
      <c r="O1136">
        <v>168</v>
      </c>
      <c r="P1136">
        <v>14</v>
      </c>
      <c r="Q1136">
        <v>0</v>
      </c>
      <c r="R1136">
        <v>79174128</v>
      </c>
      <c r="S1136">
        <v>230701.09</v>
      </c>
      <c r="T1136">
        <v>78919423.950000003</v>
      </c>
      <c r="U1136">
        <v>78943426.909999996</v>
      </c>
      <c r="V1136">
        <v>3.6319999999999998E-3</v>
      </c>
      <c r="W1136">
        <v>0</v>
      </c>
    </row>
    <row r="1137" spans="1:23" x14ac:dyDescent="0.35">
      <c r="A1137" t="s">
        <v>3</v>
      </c>
      <c r="B1137">
        <v>4500</v>
      </c>
      <c r="C1137">
        <v>120</v>
      </c>
      <c r="D1137">
        <v>141</v>
      </c>
      <c r="E1137">
        <v>0</v>
      </c>
      <c r="F1137">
        <v>1406905200</v>
      </c>
      <c r="G1137">
        <v>3488982.29</v>
      </c>
      <c r="H1137">
        <v>1403416217.71</v>
      </c>
      <c r="I1137">
        <v>1403416217.71</v>
      </c>
      <c r="J1137">
        <v>0</v>
      </c>
      <c r="K1137">
        <v>0</v>
      </c>
      <c r="M1137" t="s">
        <v>0</v>
      </c>
      <c r="N1137">
        <v>7500</v>
      </c>
      <c r="O1137">
        <v>18</v>
      </c>
      <c r="P1137">
        <v>923</v>
      </c>
      <c r="Q1137">
        <v>0</v>
      </c>
      <c r="R1137">
        <v>22610625397</v>
      </c>
      <c r="S1137">
        <v>19261266.940000001</v>
      </c>
      <c r="T1137">
        <v>22288036741.900002</v>
      </c>
      <c r="U1137">
        <v>22571416659.299999</v>
      </c>
      <c r="V1137">
        <v>0.149621</v>
      </c>
      <c r="W1137">
        <v>1.0534999999999999E-2</v>
      </c>
    </row>
    <row r="1138" spans="1:23" x14ac:dyDescent="0.35">
      <c r="A1138" t="s">
        <v>3</v>
      </c>
      <c r="B1138">
        <v>3500</v>
      </c>
      <c r="C1138">
        <v>120</v>
      </c>
      <c r="D1138">
        <v>302</v>
      </c>
      <c r="E1138">
        <v>0</v>
      </c>
      <c r="F1138">
        <v>4291105834</v>
      </c>
      <c r="G1138">
        <v>12178666.98</v>
      </c>
      <c r="H1138">
        <v>4240326733.6399999</v>
      </c>
      <c r="I1138">
        <v>4278927167.02</v>
      </c>
      <c r="J1138">
        <v>0.10276200000000001</v>
      </c>
      <c r="K1138">
        <v>0</v>
      </c>
      <c r="M1138" t="s">
        <v>0</v>
      </c>
      <c r="N1138">
        <v>7750</v>
      </c>
      <c r="O1138">
        <v>18</v>
      </c>
      <c r="P1138">
        <v>1264</v>
      </c>
      <c r="Q1138">
        <v>0</v>
      </c>
      <c r="R1138">
        <v>32947358003</v>
      </c>
      <c r="S1138">
        <v>26590507.190000001</v>
      </c>
      <c r="T1138">
        <v>32356094388.540001</v>
      </c>
      <c r="U1138">
        <v>32654160118.32</v>
      </c>
      <c r="V1138">
        <v>0.18734300000000001</v>
      </c>
      <c r="W1138">
        <v>9.2896000000000006E-2</v>
      </c>
    </row>
    <row r="1139" spans="1:23" x14ac:dyDescent="0.35">
      <c r="A1139" t="s">
        <v>1</v>
      </c>
      <c r="B1139">
        <v>2500</v>
      </c>
      <c r="C1139">
        <v>120</v>
      </c>
      <c r="D1139">
        <v>4</v>
      </c>
      <c r="E1139">
        <v>0</v>
      </c>
      <c r="F1139">
        <v>54027169</v>
      </c>
      <c r="G1139">
        <v>169317.59</v>
      </c>
      <c r="H1139">
        <v>53857851.409999996</v>
      </c>
      <c r="I1139">
        <v>53857851.409999996</v>
      </c>
      <c r="J1139">
        <v>0</v>
      </c>
      <c r="K1139">
        <v>0</v>
      </c>
      <c r="M1139" t="s">
        <v>3</v>
      </c>
      <c r="N1139">
        <v>3750</v>
      </c>
      <c r="O1139">
        <v>144</v>
      </c>
      <c r="P1139">
        <v>731</v>
      </c>
      <c r="Q1139">
        <v>0</v>
      </c>
      <c r="R1139">
        <v>10331359780</v>
      </c>
      <c r="S1139">
        <v>30870286.239999998</v>
      </c>
      <c r="T1139">
        <v>10209928305.700001</v>
      </c>
      <c r="U1139">
        <v>10300489493.76</v>
      </c>
      <c r="V1139">
        <v>0.100262</v>
      </c>
      <c r="W1139">
        <v>0</v>
      </c>
    </row>
    <row r="1140" spans="1:23" x14ac:dyDescent="0.35">
      <c r="A1140" t="s">
        <v>3</v>
      </c>
      <c r="B1140">
        <v>4250</v>
      </c>
      <c r="C1140">
        <v>108</v>
      </c>
      <c r="D1140">
        <v>295</v>
      </c>
      <c r="E1140">
        <v>0</v>
      </c>
      <c r="F1140">
        <v>3964622574</v>
      </c>
      <c r="G1140">
        <v>9568640.5199999996</v>
      </c>
      <c r="H1140">
        <v>3921339915.7600002</v>
      </c>
      <c r="I1140">
        <v>3955053933.48</v>
      </c>
      <c r="J1140">
        <v>9.7405000000000005E-2</v>
      </c>
      <c r="K1140">
        <v>0</v>
      </c>
      <c r="M1140" t="s">
        <v>3</v>
      </c>
      <c r="N1140">
        <v>6000</v>
      </c>
      <c r="O1140">
        <v>8</v>
      </c>
      <c r="P1140">
        <v>8</v>
      </c>
      <c r="Q1140">
        <v>0</v>
      </c>
      <c r="R1140">
        <v>210425400</v>
      </c>
      <c r="S1140">
        <v>223170.89</v>
      </c>
      <c r="T1140">
        <v>210202229.11000001</v>
      </c>
      <c r="U1140">
        <v>210202229.11000001</v>
      </c>
      <c r="V1140">
        <v>0</v>
      </c>
      <c r="W1140">
        <v>0</v>
      </c>
    </row>
    <row r="1141" spans="1:23" x14ac:dyDescent="0.35">
      <c r="A1141" t="s">
        <v>1</v>
      </c>
      <c r="B1141">
        <v>6750</v>
      </c>
      <c r="C1141">
        <v>9</v>
      </c>
      <c r="D1141">
        <v>5490</v>
      </c>
      <c r="E1141">
        <v>0</v>
      </c>
      <c r="F1141">
        <v>186521379835</v>
      </c>
      <c r="G1141">
        <v>172999192.93000001</v>
      </c>
      <c r="H1141">
        <v>179047863809.29001</v>
      </c>
      <c r="I1141">
        <v>185950756725.42999</v>
      </c>
      <c r="J1141">
        <v>0.38067400000000001</v>
      </c>
      <c r="K1141">
        <v>2.5284000000000001E-2</v>
      </c>
      <c r="M1141" t="s">
        <v>3</v>
      </c>
      <c r="N1141">
        <v>6250</v>
      </c>
      <c r="O1141">
        <v>7</v>
      </c>
      <c r="P1141">
        <v>48</v>
      </c>
      <c r="Q1141">
        <v>0</v>
      </c>
      <c r="R1141">
        <v>1388434446</v>
      </c>
      <c r="S1141">
        <v>1381401.6000000001</v>
      </c>
      <c r="T1141">
        <v>1387053044.4000001</v>
      </c>
      <c r="U1141">
        <v>1387053044.4000001</v>
      </c>
      <c r="V1141">
        <v>0</v>
      </c>
      <c r="W1141">
        <v>0</v>
      </c>
    </row>
    <row r="1142" spans="1:23" x14ac:dyDescent="0.35">
      <c r="A1142" t="s">
        <v>1</v>
      </c>
      <c r="B1142">
        <v>6500</v>
      </c>
      <c r="C1142">
        <v>7</v>
      </c>
      <c r="D1142">
        <v>3431</v>
      </c>
      <c r="E1142">
        <v>0</v>
      </c>
      <c r="F1142">
        <v>117399554750</v>
      </c>
      <c r="G1142">
        <v>111844424.05</v>
      </c>
      <c r="H1142">
        <v>98324207799.789993</v>
      </c>
      <c r="I1142">
        <v>117190494636.89999</v>
      </c>
      <c r="J1142">
        <v>0.87926000000000004</v>
      </c>
      <c r="K1142">
        <v>9.8919999999999998E-3</v>
      </c>
      <c r="M1142" t="s">
        <v>3</v>
      </c>
      <c r="N1142">
        <v>5750</v>
      </c>
      <c r="O1142">
        <v>7</v>
      </c>
      <c r="P1142">
        <v>11</v>
      </c>
      <c r="Q1142">
        <v>0</v>
      </c>
      <c r="R1142">
        <v>301410020</v>
      </c>
      <c r="S1142">
        <v>328242.68</v>
      </c>
      <c r="T1142">
        <v>301081777.31999999</v>
      </c>
      <c r="U1142">
        <v>301081777.31999999</v>
      </c>
      <c r="V1142">
        <v>0</v>
      </c>
      <c r="W1142">
        <v>0</v>
      </c>
    </row>
    <row r="1143" spans="1:23" x14ac:dyDescent="0.35">
      <c r="A1143" t="s">
        <v>3</v>
      </c>
      <c r="B1143">
        <v>5250</v>
      </c>
      <c r="C1143">
        <v>108</v>
      </c>
      <c r="D1143">
        <v>15</v>
      </c>
      <c r="E1143">
        <v>0</v>
      </c>
      <c r="F1143">
        <v>174756479</v>
      </c>
      <c r="G1143">
        <v>368946.76</v>
      </c>
      <c r="H1143">
        <v>174387532.24000001</v>
      </c>
      <c r="I1143">
        <v>174387532.24000001</v>
      </c>
      <c r="J1143">
        <v>0</v>
      </c>
      <c r="K1143">
        <v>0</v>
      </c>
      <c r="M1143" t="s">
        <v>3</v>
      </c>
      <c r="N1143">
        <v>4750</v>
      </c>
      <c r="O1143">
        <v>168</v>
      </c>
      <c r="P1143">
        <v>80</v>
      </c>
      <c r="Q1143">
        <v>0</v>
      </c>
      <c r="R1143">
        <v>755144576</v>
      </c>
      <c r="S1143">
        <v>2294510.39</v>
      </c>
      <c r="T1143">
        <v>752850065.61000001</v>
      </c>
      <c r="U1143">
        <v>752850065.61000001</v>
      </c>
      <c r="V1143">
        <v>0</v>
      </c>
      <c r="W1143">
        <v>0</v>
      </c>
    </row>
    <row r="1144" spans="1:23" x14ac:dyDescent="0.35">
      <c r="A1144" t="s">
        <v>0</v>
      </c>
      <c r="B1144">
        <v>5750</v>
      </c>
      <c r="C1144">
        <v>120</v>
      </c>
      <c r="D1144">
        <v>37</v>
      </c>
      <c r="E1144">
        <v>0</v>
      </c>
      <c r="F1144">
        <v>344091771</v>
      </c>
      <c r="G1144">
        <v>733602.37</v>
      </c>
      <c r="H1144">
        <v>343358168.63</v>
      </c>
      <c r="I1144">
        <v>343358168.63</v>
      </c>
      <c r="J1144">
        <v>0</v>
      </c>
      <c r="K1144">
        <v>0</v>
      </c>
      <c r="M1144" t="s">
        <v>3</v>
      </c>
      <c r="N1144">
        <v>4250</v>
      </c>
      <c r="O1144">
        <v>144</v>
      </c>
      <c r="P1144">
        <v>978</v>
      </c>
      <c r="Q1144">
        <v>0</v>
      </c>
      <c r="R1144">
        <v>9978994944</v>
      </c>
      <c r="S1144">
        <v>29001489.440000001</v>
      </c>
      <c r="T1144">
        <v>9872969826.8899994</v>
      </c>
      <c r="U1144">
        <v>9942669377.8199997</v>
      </c>
      <c r="V1144">
        <v>8.8789999999999994E-2</v>
      </c>
      <c r="W1144">
        <v>8.7720000000000003E-3</v>
      </c>
    </row>
    <row r="1145" spans="1:23" x14ac:dyDescent="0.35">
      <c r="A1145" t="s">
        <v>1</v>
      </c>
      <c r="B1145">
        <v>5250</v>
      </c>
      <c r="C1145">
        <v>9</v>
      </c>
      <c r="D1145">
        <v>385</v>
      </c>
      <c r="E1145">
        <v>0</v>
      </c>
      <c r="F1145">
        <v>16604383201</v>
      </c>
      <c r="G1145">
        <v>20120429.809999999</v>
      </c>
      <c r="H1145">
        <v>16584262771.190001</v>
      </c>
      <c r="I1145">
        <v>16584262771.190001</v>
      </c>
      <c r="J1145">
        <v>0</v>
      </c>
      <c r="K1145">
        <v>0</v>
      </c>
      <c r="M1145" t="s">
        <v>3</v>
      </c>
      <c r="N1145">
        <v>4750</v>
      </c>
      <c r="O1145">
        <v>144</v>
      </c>
      <c r="P1145">
        <v>120</v>
      </c>
      <c r="Q1145">
        <v>0</v>
      </c>
      <c r="R1145">
        <v>1127144382</v>
      </c>
      <c r="S1145">
        <v>3144015.65</v>
      </c>
      <c r="T1145">
        <v>1124000366.3499999</v>
      </c>
      <c r="U1145">
        <v>1124000366.3499999</v>
      </c>
      <c r="V1145">
        <v>0</v>
      </c>
      <c r="W1145">
        <v>0</v>
      </c>
    </row>
    <row r="1146" spans="1:23" x14ac:dyDescent="0.35">
      <c r="A1146" t="s">
        <v>1</v>
      </c>
      <c r="B1146">
        <v>5250</v>
      </c>
      <c r="C1146">
        <v>10</v>
      </c>
      <c r="D1146">
        <v>387</v>
      </c>
      <c r="E1146">
        <v>0</v>
      </c>
      <c r="F1146">
        <v>15331035339</v>
      </c>
      <c r="G1146">
        <v>18694908.329999998</v>
      </c>
      <c r="H1146">
        <v>15312340430.67</v>
      </c>
      <c r="I1146">
        <v>15312340430.67</v>
      </c>
      <c r="J1146">
        <v>0</v>
      </c>
      <c r="K1146">
        <v>0</v>
      </c>
      <c r="M1146" t="s">
        <v>3</v>
      </c>
      <c r="N1146">
        <v>5000</v>
      </c>
      <c r="O1146">
        <v>144</v>
      </c>
      <c r="P1146">
        <v>9</v>
      </c>
      <c r="Q1146">
        <v>0</v>
      </c>
      <c r="R1146">
        <v>99697238</v>
      </c>
      <c r="S1146">
        <v>277957.78000000003</v>
      </c>
      <c r="T1146">
        <v>99419280.219999999</v>
      </c>
      <c r="U1146">
        <v>99419280.219999999</v>
      </c>
      <c r="V1146">
        <v>0</v>
      </c>
      <c r="W1146">
        <v>0</v>
      </c>
    </row>
    <row r="1147" spans="1:23" x14ac:dyDescent="0.35">
      <c r="A1147" t="s">
        <v>2</v>
      </c>
      <c r="B1147">
        <v>7250</v>
      </c>
      <c r="C1147">
        <v>42</v>
      </c>
      <c r="D1147">
        <v>1092</v>
      </c>
      <c r="E1147">
        <v>0</v>
      </c>
      <c r="F1147">
        <v>14594015388</v>
      </c>
      <c r="G1147">
        <v>15187728.41</v>
      </c>
      <c r="H1147">
        <v>14357081196.43</v>
      </c>
      <c r="I1147">
        <v>14483996919.83</v>
      </c>
      <c r="J1147">
        <v>0.16784099999999999</v>
      </c>
      <c r="K1147">
        <v>7.5247999999999995E-2</v>
      </c>
      <c r="M1147" t="s">
        <v>3</v>
      </c>
      <c r="N1147">
        <v>4750</v>
      </c>
      <c r="O1147">
        <v>96</v>
      </c>
      <c r="P1147">
        <v>204</v>
      </c>
      <c r="Q1147">
        <v>0</v>
      </c>
      <c r="R1147">
        <v>2695794924</v>
      </c>
      <c r="S1147">
        <v>5677717.25</v>
      </c>
      <c r="T1147">
        <v>2690117206.75</v>
      </c>
      <c r="U1147">
        <v>2690117206.75</v>
      </c>
      <c r="V1147">
        <v>0</v>
      </c>
      <c r="W1147">
        <v>0</v>
      </c>
    </row>
    <row r="1148" spans="1:23" x14ac:dyDescent="0.35">
      <c r="A1148" t="s">
        <v>1</v>
      </c>
      <c r="B1148">
        <v>7250</v>
      </c>
      <c r="C1148">
        <v>42</v>
      </c>
      <c r="D1148">
        <v>2210</v>
      </c>
      <c r="E1148">
        <v>0</v>
      </c>
      <c r="F1148">
        <v>49150808095</v>
      </c>
      <c r="G1148">
        <v>51190484.460000001</v>
      </c>
      <c r="H1148">
        <v>47265426807.879997</v>
      </c>
      <c r="I1148">
        <v>48417019437.580002</v>
      </c>
      <c r="J1148">
        <v>0.36642799999999998</v>
      </c>
      <c r="K1148">
        <v>0.15449599999999999</v>
      </c>
      <c r="M1148" t="s">
        <v>1</v>
      </c>
      <c r="N1148">
        <v>4750</v>
      </c>
      <c r="O1148">
        <v>120</v>
      </c>
      <c r="P1148">
        <v>703</v>
      </c>
      <c r="Q1148">
        <v>0</v>
      </c>
      <c r="R1148">
        <v>8001852831</v>
      </c>
      <c r="S1148">
        <v>19388709.609999999</v>
      </c>
      <c r="T1148">
        <v>7916535840.3999996</v>
      </c>
      <c r="U1148">
        <v>7974127009.71</v>
      </c>
      <c r="V1148">
        <v>9.4509999999999997E-2</v>
      </c>
      <c r="W1148">
        <v>1.2430999999999999E-2</v>
      </c>
    </row>
    <row r="1149" spans="1:23" x14ac:dyDescent="0.35">
      <c r="A1149" t="s">
        <v>3</v>
      </c>
      <c r="B1149">
        <v>4500</v>
      </c>
      <c r="C1149">
        <v>108</v>
      </c>
      <c r="D1149">
        <v>233</v>
      </c>
      <c r="E1149">
        <v>0</v>
      </c>
      <c r="F1149">
        <v>3067392773</v>
      </c>
      <c r="G1149">
        <v>7138087.6299999999</v>
      </c>
      <c r="H1149">
        <v>3060254685.3699999</v>
      </c>
      <c r="I1149">
        <v>3060254685.3699999</v>
      </c>
      <c r="J1149">
        <v>0</v>
      </c>
      <c r="K1149">
        <v>0</v>
      </c>
      <c r="M1149" t="s">
        <v>3</v>
      </c>
      <c r="N1149">
        <v>4250</v>
      </c>
      <c r="O1149">
        <v>120</v>
      </c>
      <c r="P1149">
        <v>258</v>
      </c>
      <c r="Q1149">
        <v>0</v>
      </c>
      <c r="R1149">
        <v>2538819516</v>
      </c>
      <c r="S1149">
        <v>6493597.3300000001</v>
      </c>
      <c r="T1149">
        <v>2532325918.6700001</v>
      </c>
      <c r="U1149">
        <v>2532325918.6700001</v>
      </c>
      <c r="V1149">
        <v>0</v>
      </c>
      <c r="W1149">
        <v>0</v>
      </c>
    </row>
    <row r="1150" spans="1:23" x14ac:dyDescent="0.35">
      <c r="A1150" t="s">
        <v>3</v>
      </c>
      <c r="B1150">
        <v>4750</v>
      </c>
      <c r="C1150">
        <v>108</v>
      </c>
      <c r="D1150">
        <v>84</v>
      </c>
      <c r="E1150">
        <v>0</v>
      </c>
      <c r="F1150">
        <v>935000323</v>
      </c>
      <c r="G1150">
        <v>2095598.36</v>
      </c>
      <c r="H1150">
        <v>924227195.38</v>
      </c>
      <c r="I1150">
        <v>932904724.63999999</v>
      </c>
      <c r="J1150">
        <v>0.10585700000000001</v>
      </c>
      <c r="K1150">
        <v>0</v>
      </c>
      <c r="M1150" t="s">
        <v>2</v>
      </c>
      <c r="N1150">
        <v>5750</v>
      </c>
      <c r="O1150">
        <v>96</v>
      </c>
      <c r="P1150">
        <v>438</v>
      </c>
      <c r="Q1150">
        <v>0</v>
      </c>
      <c r="R1150">
        <v>4004937397</v>
      </c>
      <c r="S1150">
        <v>7239411.5700000003</v>
      </c>
      <c r="T1150">
        <v>3946581489.3899999</v>
      </c>
      <c r="U1150">
        <v>3997697985.4299998</v>
      </c>
      <c r="V1150">
        <v>0.14285300000000001</v>
      </c>
      <c r="W1150">
        <v>0</v>
      </c>
    </row>
    <row r="1151" spans="1:23" x14ac:dyDescent="0.35">
      <c r="A1151" t="s">
        <v>3</v>
      </c>
      <c r="B1151">
        <v>3750</v>
      </c>
      <c r="C1151">
        <v>108</v>
      </c>
      <c r="D1151">
        <v>325</v>
      </c>
      <c r="E1151">
        <v>0</v>
      </c>
      <c r="F1151">
        <v>4661808471</v>
      </c>
      <c r="G1151">
        <v>11883239.58</v>
      </c>
      <c r="H1151">
        <v>4623415693.3699999</v>
      </c>
      <c r="I1151">
        <v>4649925231.4200001</v>
      </c>
      <c r="J1151">
        <v>6.6143999999999994E-2</v>
      </c>
      <c r="K1151">
        <v>0</v>
      </c>
      <c r="M1151" t="s">
        <v>3</v>
      </c>
      <c r="N1151">
        <v>4500</v>
      </c>
      <c r="O1151">
        <v>120</v>
      </c>
      <c r="P1151">
        <v>137</v>
      </c>
      <c r="Q1151">
        <v>0</v>
      </c>
      <c r="R1151">
        <v>1360585968</v>
      </c>
      <c r="S1151">
        <v>3372568.31</v>
      </c>
      <c r="T1151">
        <v>1357213399.6900001</v>
      </c>
      <c r="U1151">
        <v>1357213399.6900001</v>
      </c>
      <c r="V1151">
        <v>0</v>
      </c>
      <c r="W1151">
        <v>0</v>
      </c>
    </row>
    <row r="1152" spans="1:23" x14ac:dyDescent="0.35">
      <c r="A1152" t="s">
        <v>0</v>
      </c>
      <c r="B1152">
        <v>5750</v>
      </c>
      <c r="C1152">
        <v>108</v>
      </c>
      <c r="D1152">
        <v>612</v>
      </c>
      <c r="E1152">
        <v>0</v>
      </c>
      <c r="F1152">
        <v>7410047947</v>
      </c>
      <c r="G1152">
        <v>14379168.49</v>
      </c>
      <c r="H1152">
        <v>7302804439.3999996</v>
      </c>
      <c r="I1152">
        <v>7354723037.8199997</v>
      </c>
      <c r="J1152">
        <v>0.14044200000000001</v>
      </c>
      <c r="K1152">
        <v>6.4329999999999998E-2</v>
      </c>
      <c r="M1152" t="s">
        <v>3</v>
      </c>
      <c r="N1152">
        <v>3750</v>
      </c>
      <c r="O1152">
        <v>120</v>
      </c>
      <c r="P1152">
        <v>459</v>
      </c>
      <c r="Q1152">
        <v>0</v>
      </c>
      <c r="R1152">
        <v>6145361790</v>
      </c>
      <c r="S1152">
        <v>16792246.390000001</v>
      </c>
      <c r="T1152">
        <v>6128569543.6099997</v>
      </c>
      <c r="U1152">
        <v>6128569543.6099997</v>
      </c>
      <c r="V1152">
        <v>0</v>
      </c>
      <c r="W1152">
        <v>0</v>
      </c>
    </row>
    <row r="1153" spans="1:23" x14ac:dyDescent="0.35">
      <c r="A1153" t="s">
        <v>0</v>
      </c>
      <c r="B1153">
        <v>2750</v>
      </c>
      <c r="C1153">
        <v>108</v>
      </c>
      <c r="D1153">
        <v>23</v>
      </c>
      <c r="E1153">
        <v>0</v>
      </c>
      <c r="F1153">
        <v>303078347</v>
      </c>
      <c r="G1153">
        <v>871424.09</v>
      </c>
      <c r="H1153">
        <v>302206922.91000003</v>
      </c>
      <c r="I1153">
        <v>302206922.91000003</v>
      </c>
      <c r="J1153">
        <v>0</v>
      </c>
      <c r="K1153">
        <v>0</v>
      </c>
      <c r="M1153" t="s">
        <v>2</v>
      </c>
      <c r="N1153">
        <v>5250</v>
      </c>
      <c r="O1153">
        <v>144</v>
      </c>
      <c r="P1153">
        <v>7</v>
      </c>
      <c r="Q1153">
        <v>0</v>
      </c>
      <c r="R1153">
        <v>54433631</v>
      </c>
      <c r="S1153">
        <v>141104.57999999999</v>
      </c>
      <c r="T1153">
        <v>54292526.420000002</v>
      </c>
      <c r="U1153">
        <v>54292526.420000002</v>
      </c>
      <c r="V1153">
        <v>0</v>
      </c>
      <c r="W1153">
        <v>0</v>
      </c>
    </row>
    <row r="1154" spans="1:23" x14ac:dyDescent="0.35">
      <c r="A1154" t="s">
        <v>2</v>
      </c>
      <c r="B1154">
        <v>5250</v>
      </c>
      <c r="C1154">
        <v>108</v>
      </c>
      <c r="D1154">
        <v>181</v>
      </c>
      <c r="E1154">
        <v>0</v>
      </c>
      <c r="F1154">
        <v>1668752443</v>
      </c>
      <c r="G1154">
        <v>3417975.04</v>
      </c>
      <c r="H1154">
        <v>1658124260.4400001</v>
      </c>
      <c r="I1154">
        <v>1665334467.96</v>
      </c>
      <c r="J1154">
        <v>5.0633999999999998E-2</v>
      </c>
      <c r="K1154">
        <v>0</v>
      </c>
      <c r="M1154" t="s">
        <v>1</v>
      </c>
      <c r="N1154">
        <v>5250</v>
      </c>
      <c r="O1154">
        <v>120</v>
      </c>
      <c r="P1154">
        <v>54</v>
      </c>
      <c r="Q1154">
        <v>0</v>
      </c>
      <c r="R1154">
        <v>466788127</v>
      </c>
      <c r="S1154">
        <v>1068908.6299999999</v>
      </c>
      <c r="T1154">
        <v>459078553.87</v>
      </c>
      <c r="U1154">
        <v>459078553.87</v>
      </c>
      <c r="V1154">
        <v>0.157972</v>
      </c>
      <c r="W1154">
        <v>0.157972</v>
      </c>
    </row>
    <row r="1155" spans="1:23" x14ac:dyDescent="0.35">
      <c r="A1155" t="s">
        <v>3</v>
      </c>
      <c r="B1155">
        <v>4250</v>
      </c>
      <c r="C1155">
        <v>96</v>
      </c>
      <c r="D1155">
        <v>114</v>
      </c>
      <c r="E1155">
        <v>0</v>
      </c>
      <c r="F1155">
        <v>1873411250</v>
      </c>
      <c r="G1155">
        <v>4193556.46</v>
      </c>
      <c r="H1155">
        <v>1869217693.54</v>
      </c>
      <c r="I1155">
        <v>1869217693.54</v>
      </c>
      <c r="J1155">
        <v>0</v>
      </c>
      <c r="K1155">
        <v>0</v>
      </c>
      <c r="M1155" t="s">
        <v>3</v>
      </c>
      <c r="N1155">
        <v>3250</v>
      </c>
      <c r="O1155">
        <v>120</v>
      </c>
      <c r="P1155">
        <v>367</v>
      </c>
      <c r="Q1155">
        <v>0</v>
      </c>
      <c r="R1155">
        <v>5639017560</v>
      </c>
      <c r="S1155">
        <v>16204223.060000001</v>
      </c>
      <c r="T1155">
        <v>5608254026.29</v>
      </c>
      <c r="U1155">
        <v>5622813336.9399996</v>
      </c>
      <c r="V1155">
        <v>3.0546E-2</v>
      </c>
      <c r="W1155">
        <v>0</v>
      </c>
    </row>
    <row r="1156" spans="1:23" x14ac:dyDescent="0.35">
      <c r="A1156" t="s">
        <v>3</v>
      </c>
      <c r="B1156">
        <v>4500</v>
      </c>
      <c r="C1156">
        <v>96</v>
      </c>
      <c r="D1156">
        <v>156</v>
      </c>
      <c r="E1156">
        <v>0</v>
      </c>
      <c r="F1156">
        <v>2396086300</v>
      </c>
      <c r="G1156">
        <v>5224436.54</v>
      </c>
      <c r="H1156">
        <v>2390861863.46</v>
      </c>
      <c r="I1156">
        <v>2390861863.46</v>
      </c>
      <c r="J1156">
        <v>0</v>
      </c>
      <c r="K1156">
        <v>0</v>
      </c>
      <c r="M1156" t="s">
        <v>3</v>
      </c>
      <c r="N1156">
        <v>3500</v>
      </c>
      <c r="O1156">
        <v>120</v>
      </c>
      <c r="P1156">
        <v>325</v>
      </c>
      <c r="Q1156">
        <v>0</v>
      </c>
      <c r="R1156">
        <v>4603446483</v>
      </c>
      <c r="S1156">
        <v>13017989.939999999</v>
      </c>
      <c r="T1156">
        <v>4560027558.7200003</v>
      </c>
      <c r="U1156">
        <v>4590428493.0600004</v>
      </c>
      <c r="V1156">
        <v>7.6430999999999999E-2</v>
      </c>
      <c r="W1156">
        <v>0</v>
      </c>
    </row>
    <row r="1157" spans="1:23" x14ac:dyDescent="0.35">
      <c r="A1157" t="s">
        <v>3</v>
      </c>
      <c r="B1157">
        <v>5250</v>
      </c>
      <c r="C1157">
        <v>96</v>
      </c>
      <c r="D1157">
        <v>108</v>
      </c>
      <c r="E1157">
        <v>0</v>
      </c>
      <c r="F1157">
        <v>1488515947</v>
      </c>
      <c r="G1157">
        <v>2943949.16</v>
      </c>
      <c r="H1157">
        <v>1485571997.8399999</v>
      </c>
      <c r="I1157">
        <v>1485571997.8399999</v>
      </c>
      <c r="J1157">
        <v>0</v>
      </c>
      <c r="K1157">
        <v>0</v>
      </c>
      <c r="M1157" t="s">
        <v>3</v>
      </c>
      <c r="N1157">
        <v>4750</v>
      </c>
      <c r="O1157">
        <v>120</v>
      </c>
      <c r="P1157">
        <v>14</v>
      </c>
      <c r="Q1157">
        <v>0</v>
      </c>
      <c r="R1157">
        <v>150635147</v>
      </c>
      <c r="S1157">
        <v>366964.87</v>
      </c>
      <c r="T1157">
        <v>150268182.13</v>
      </c>
      <c r="U1157">
        <v>150268182.13</v>
      </c>
      <c r="V1157">
        <v>0</v>
      </c>
      <c r="W1157">
        <v>0</v>
      </c>
    </row>
    <row r="1158" spans="1:23" x14ac:dyDescent="0.35">
      <c r="A1158" t="s">
        <v>3</v>
      </c>
      <c r="B1158">
        <v>5000</v>
      </c>
      <c r="C1158">
        <v>96</v>
      </c>
      <c r="D1158">
        <v>191</v>
      </c>
      <c r="E1158">
        <v>0</v>
      </c>
      <c r="F1158">
        <v>2740983859</v>
      </c>
      <c r="G1158">
        <v>5603512.4800000004</v>
      </c>
      <c r="H1158">
        <v>2706536550.8899999</v>
      </c>
      <c r="I1158">
        <v>2735380346.52</v>
      </c>
      <c r="J1158">
        <v>0.11922000000000001</v>
      </c>
      <c r="K1158">
        <v>0</v>
      </c>
      <c r="M1158" t="s">
        <v>3</v>
      </c>
      <c r="N1158">
        <v>4500</v>
      </c>
      <c r="O1158">
        <v>108</v>
      </c>
      <c r="P1158">
        <v>230</v>
      </c>
      <c r="Q1158">
        <v>0</v>
      </c>
      <c r="R1158">
        <v>2899091435</v>
      </c>
      <c r="S1158">
        <v>6743224.1500000004</v>
      </c>
      <c r="T1158">
        <v>2871129604.3699999</v>
      </c>
      <c r="U1158">
        <v>2892348210.8499999</v>
      </c>
      <c r="V1158">
        <v>8.4377999999999995E-2</v>
      </c>
      <c r="W1158">
        <v>0</v>
      </c>
    </row>
    <row r="1159" spans="1:23" x14ac:dyDescent="0.35">
      <c r="A1159" t="s">
        <v>3</v>
      </c>
      <c r="B1159">
        <v>5750</v>
      </c>
      <c r="C1159">
        <v>108</v>
      </c>
      <c r="D1159">
        <v>3</v>
      </c>
      <c r="E1159">
        <v>0</v>
      </c>
      <c r="F1159">
        <v>37930513</v>
      </c>
      <c r="G1159">
        <v>73440.509999999995</v>
      </c>
      <c r="H1159">
        <v>37857072.490000002</v>
      </c>
      <c r="I1159">
        <v>37857072.490000002</v>
      </c>
      <c r="J1159">
        <v>0</v>
      </c>
      <c r="K1159">
        <v>0</v>
      </c>
      <c r="M1159" t="s">
        <v>1</v>
      </c>
      <c r="N1159">
        <v>2500</v>
      </c>
      <c r="O1159">
        <v>120</v>
      </c>
      <c r="P1159">
        <v>4</v>
      </c>
      <c r="Q1159">
        <v>0</v>
      </c>
      <c r="R1159">
        <v>54204990</v>
      </c>
      <c r="S1159">
        <v>168992.48</v>
      </c>
      <c r="T1159">
        <v>54035997.520000003</v>
      </c>
      <c r="U1159">
        <v>54035997.520000003</v>
      </c>
      <c r="V1159">
        <v>0</v>
      </c>
      <c r="W1159">
        <v>0</v>
      </c>
    </row>
    <row r="1160" spans="1:23" x14ac:dyDescent="0.35">
      <c r="A1160" t="s">
        <v>0</v>
      </c>
      <c r="B1160">
        <v>6250</v>
      </c>
      <c r="C1160">
        <v>108</v>
      </c>
      <c r="D1160">
        <v>124</v>
      </c>
      <c r="E1160">
        <v>0</v>
      </c>
      <c r="F1160">
        <v>1367279418</v>
      </c>
      <c r="G1160">
        <v>2506427.0499999998</v>
      </c>
      <c r="H1160">
        <v>1351648194.1199999</v>
      </c>
      <c r="I1160">
        <v>1364772990.95</v>
      </c>
      <c r="J1160">
        <v>0.10929899999999999</v>
      </c>
      <c r="K1160">
        <v>0</v>
      </c>
      <c r="M1160" t="s">
        <v>3</v>
      </c>
      <c r="N1160">
        <v>4250</v>
      </c>
      <c r="O1160">
        <v>108</v>
      </c>
      <c r="P1160">
        <v>317</v>
      </c>
      <c r="Q1160">
        <v>0</v>
      </c>
      <c r="R1160">
        <v>4146756529</v>
      </c>
      <c r="S1160">
        <v>10022829.619999999</v>
      </c>
      <c r="T1160">
        <v>4121006061.9200001</v>
      </c>
      <c r="U1160">
        <v>4136733699.3800001</v>
      </c>
      <c r="V1160">
        <v>4.4575999999999998E-2</v>
      </c>
      <c r="W1160">
        <v>0</v>
      </c>
    </row>
    <row r="1161" spans="1:23" x14ac:dyDescent="0.35">
      <c r="A1161" t="s">
        <v>0</v>
      </c>
      <c r="B1161">
        <v>6250</v>
      </c>
      <c r="C1161">
        <v>96</v>
      </c>
      <c r="D1161">
        <v>1339</v>
      </c>
      <c r="E1161">
        <v>0</v>
      </c>
      <c r="F1161">
        <v>16644019689</v>
      </c>
      <c r="G1161">
        <v>28558126.399999999</v>
      </c>
      <c r="H1161">
        <v>16416197174.709999</v>
      </c>
      <c r="I1161">
        <v>16488172783.120001</v>
      </c>
      <c r="J1161">
        <v>0.134573</v>
      </c>
      <c r="K1161">
        <v>8.8009000000000004E-2</v>
      </c>
      <c r="M1161" t="s">
        <v>1</v>
      </c>
      <c r="N1161">
        <v>6750</v>
      </c>
      <c r="O1161">
        <v>8</v>
      </c>
      <c r="P1161">
        <v>6025</v>
      </c>
      <c r="Q1161">
        <v>0</v>
      </c>
      <c r="R1161">
        <v>207315644930</v>
      </c>
      <c r="S1161">
        <v>191059936.81999999</v>
      </c>
      <c r="T1161">
        <v>186568888083.73999</v>
      </c>
      <c r="U1161">
        <v>206772019719.44</v>
      </c>
      <c r="V1161">
        <v>0.71435899999999997</v>
      </c>
      <c r="W1161">
        <v>2.0218E-2</v>
      </c>
    </row>
    <row r="1162" spans="1:23" x14ac:dyDescent="0.35">
      <c r="A1162" t="s">
        <v>1</v>
      </c>
      <c r="B1162">
        <v>5750</v>
      </c>
      <c r="C1162">
        <v>108</v>
      </c>
      <c r="D1162">
        <v>33</v>
      </c>
      <c r="E1162">
        <v>0</v>
      </c>
      <c r="F1162">
        <v>378904611</v>
      </c>
      <c r="G1162">
        <v>734684.85</v>
      </c>
      <c r="H1162">
        <v>370561195.00999999</v>
      </c>
      <c r="I1162">
        <v>378169926.14999998</v>
      </c>
      <c r="J1162">
        <v>0.21606</v>
      </c>
      <c r="K1162">
        <v>0</v>
      </c>
      <c r="M1162" t="s">
        <v>1</v>
      </c>
      <c r="N1162">
        <v>6500</v>
      </c>
      <c r="O1162">
        <v>6</v>
      </c>
      <c r="P1162">
        <v>3440</v>
      </c>
      <c r="Q1162">
        <v>0</v>
      </c>
      <c r="R1162">
        <v>118112154717</v>
      </c>
      <c r="S1162">
        <v>111813248.28</v>
      </c>
      <c r="T1162">
        <v>117621530342.78</v>
      </c>
      <c r="U1162">
        <v>117894388660.37</v>
      </c>
      <c r="V1162">
        <v>3.7815000000000001E-2</v>
      </c>
      <c r="W1162">
        <v>1.0711999999999999E-2</v>
      </c>
    </row>
    <row r="1163" spans="1:23" x14ac:dyDescent="0.35">
      <c r="A1163" t="s">
        <v>1</v>
      </c>
      <c r="B1163">
        <v>3750</v>
      </c>
      <c r="C1163">
        <v>320</v>
      </c>
      <c r="D1163">
        <v>10</v>
      </c>
      <c r="E1163">
        <v>0</v>
      </c>
      <c r="F1163">
        <v>56787560</v>
      </c>
      <c r="G1163">
        <v>466938.54</v>
      </c>
      <c r="H1163">
        <v>56320621.460000001</v>
      </c>
      <c r="I1163">
        <v>56320621.460000001</v>
      </c>
      <c r="J1163">
        <v>0</v>
      </c>
      <c r="K1163">
        <v>0</v>
      </c>
      <c r="M1163" t="s">
        <v>1</v>
      </c>
      <c r="N1163">
        <v>5250</v>
      </c>
      <c r="O1163">
        <v>108</v>
      </c>
      <c r="P1163">
        <v>454</v>
      </c>
      <c r="Q1163">
        <v>0</v>
      </c>
      <c r="R1163">
        <v>5253826566</v>
      </c>
      <c r="S1163">
        <v>11085626.380000001</v>
      </c>
      <c r="T1163">
        <v>5130357612.3599997</v>
      </c>
      <c r="U1163">
        <v>5214441928.5900002</v>
      </c>
      <c r="V1163">
        <v>0.228543</v>
      </c>
      <c r="W1163">
        <v>6.2755000000000005E-2</v>
      </c>
    </row>
    <row r="1164" spans="1:23" x14ac:dyDescent="0.35">
      <c r="A1164" t="s">
        <v>1</v>
      </c>
      <c r="B1164">
        <v>3750</v>
      </c>
      <c r="C1164">
        <v>216</v>
      </c>
      <c r="D1164">
        <v>4</v>
      </c>
      <c r="E1164">
        <v>0</v>
      </c>
      <c r="F1164">
        <v>34977755</v>
      </c>
      <c r="G1164">
        <v>175972.19</v>
      </c>
      <c r="H1164">
        <v>34801782.810000002</v>
      </c>
      <c r="I1164">
        <v>34801782.810000002</v>
      </c>
      <c r="J1164">
        <v>0</v>
      </c>
      <c r="K1164">
        <v>0</v>
      </c>
      <c r="M1164" t="s">
        <v>3</v>
      </c>
      <c r="N1164">
        <v>5250</v>
      </c>
      <c r="O1164">
        <v>108</v>
      </c>
      <c r="P1164">
        <v>11</v>
      </c>
      <c r="Q1164">
        <v>0</v>
      </c>
      <c r="R1164">
        <v>118570049</v>
      </c>
      <c r="S1164">
        <v>251288.78</v>
      </c>
      <c r="T1164">
        <v>118318760.22</v>
      </c>
      <c r="U1164">
        <v>118318760.22</v>
      </c>
      <c r="V1164">
        <v>0</v>
      </c>
      <c r="W1164">
        <v>0</v>
      </c>
    </row>
    <row r="1165" spans="1:23" x14ac:dyDescent="0.35">
      <c r="A1165" t="s">
        <v>3</v>
      </c>
      <c r="B1165">
        <v>5500</v>
      </c>
      <c r="C1165">
        <v>96</v>
      </c>
      <c r="D1165">
        <v>38</v>
      </c>
      <c r="E1165">
        <v>0</v>
      </c>
      <c r="F1165">
        <v>457632554</v>
      </c>
      <c r="G1165">
        <v>871945.52</v>
      </c>
      <c r="H1165">
        <v>456760608.48000002</v>
      </c>
      <c r="I1165">
        <v>456760608.48000002</v>
      </c>
      <c r="J1165">
        <v>0</v>
      </c>
      <c r="K1165">
        <v>0</v>
      </c>
      <c r="M1165" t="s">
        <v>0</v>
      </c>
      <c r="N1165">
        <v>5750</v>
      </c>
      <c r="O1165">
        <v>108</v>
      </c>
      <c r="P1165">
        <v>301</v>
      </c>
      <c r="Q1165">
        <v>0</v>
      </c>
      <c r="R1165">
        <v>3408512950</v>
      </c>
      <c r="S1165">
        <v>6652352.8899999997</v>
      </c>
      <c r="T1165">
        <v>3375754943.5599999</v>
      </c>
      <c r="U1165">
        <v>3401860597.1100001</v>
      </c>
      <c r="V1165">
        <v>8.8133000000000003E-2</v>
      </c>
      <c r="W1165">
        <v>0</v>
      </c>
    </row>
    <row r="1166" spans="1:23" x14ac:dyDescent="0.35">
      <c r="A1166" t="s">
        <v>1</v>
      </c>
      <c r="B1166">
        <v>6250</v>
      </c>
      <c r="C1166">
        <v>96</v>
      </c>
      <c r="D1166">
        <v>69</v>
      </c>
      <c r="E1166">
        <v>0</v>
      </c>
      <c r="F1166">
        <v>750626817</v>
      </c>
      <c r="G1166">
        <v>1281464.95</v>
      </c>
      <c r="H1166">
        <v>738688728.25</v>
      </c>
      <c r="I1166">
        <v>749345352.04999995</v>
      </c>
      <c r="J1166">
        <v>0.15767100000000001</v>
      </c>
      <c r="K1166">
        <v>0</v>
      </c>
      <c r="M1166" t="s">
        <v>3</v>
      </c>
      <c r="N1166">
        <v>4750</v>
      </c>
      <c r="O1166">
        <v>108</v>
      </c>
      <c r="P1166">
        <v>74</v>
      </c>
      <c r="Q1166">
        <v>0</v>
      </c>
      <c r="R1166">
        <v>778569825</v>
      </c>
      <c r="S1166">
        <v>1747614.54</v>
      </c>
      <c r="T1166">
        <v>776822210.46000004</v>
      </c>
      <c r="U1166">
        <v>776822210.46000004</v>
      </c>
      <c r="V1166">
        <v>0</v>
      </c>
      <c r="W1166">
        <v>0</v>
      </c>
    </row>
    <row r="1167" spans="1:23" x14ac:dyDescent="0.35">
      <c r="A1167" t="s">
        <v>0</v>
      </c>
      <c r="B1167">
        <v>3750</v>
      </c>
      <c r="C1167">
        <v>96</v>
      </c>
      <c r="D1167">
        <v>2837</v>
      </c>
      <c r="E1167">
        <v>0</v>
      </c>
      <c r="F1167">
        <v>40744735999</v>
      </c>
      <c r="G1167">
        <v>98060950.930000007</v>
      </c>
      <c r="H1167">
        <v>40340295399.25</v>
      </c>
      <c r="I1167">
        <v>40547307493.730003</v>
      </c>
      <c r="J1167">
        <v>8.6594000000000004E-2</v>
      </c>
      <c r="K1167">
        <v>2.8875999999999999E-2</v>
      </c>
      <c r="M1167" t="s">
        <v>1</v>
      </c>
      <c r="N1167">
        <v>5250</v>
      </c>
      <c r="O1167">
        <v>8</v>
      </c>
      <c r="P1167">
        <v>387</v>
      </c>
      <c r="Q1167">
        <v>0</v>
      </c>
      <c r="R1167">
        <v>16695507434</v>
      </c>
      <c r="S1167">
        <v>20118485.539999999</v>
      </c>
      <c r="T1167">
        <v>16648475498.76</v>
      </c>
      <c r="U1167">
        <v>16675388948.459999</v>
      </c>
      <c r="V1167">
        <v>1.9174E-2</v>
      </c>
      <c r="W1167">
        <v>0</v>
      </c>
    </row>
    <row r="1168" spans="1:23" x14ac:dyDescent="0.35">
      <c r="A1168" t="s">
        <v>2</v>
      </c>
      <c r="B1168">
        <v>3250</v>
      </c>
      <c r="C1168">
        <v>96</v>
      </c>
      <c r="D1168">
        <v>47</v>
      </c>
      <c r="E1168">
        <v>0</v>
      </c>
      <c r="F1168">
        <v>504168189</v>
      </c>
      <c r="G1168">
        <v>1292570.81</v>
      </c>
      <c r="H1168">
        <v>502875618.19</v>
      </c>
      <c r="I1168">
        <v>502875618.19</v>
      </c>
      <c r="J1168">
        <v>0</v>
      </c>
      <c r="K1168">
        <v>0</v>
      </c>
      <c r="M1168" t="s">
        <v>1</v>
      </c>
      <c r="N1168">
        <v>5250</v>
      </c>
      <c r="O1168">
        <v>9</v>
      </c>
      <c r="P1168">
        <v>389</v>
      </c>
      <c r="Q1168">
        <v>0</v>
      </c>
      <c r="R1168">
        <v>15406285823</v>
      </c>
      <c r="S1168">
        <v>18682248.350000001</v>
      </c>
      <c r="T1168">
        <v>15334906162.85</v>
      </c>
      <c r="U1168">
        <v>15387603574.65</v>
      </c>
      <c r="V1168">
        <v>4.0282999999999999E-2</v>
      </c>
      <c r="W1168">
        <v>0</v>
      </c>
    </row>
    <row r="1169" spans="1:23" x14ac:dyDescent="0.35">
      <c r="A1169" t="s">
        <v>1</v>
      </c>
      <c r="B1169">
        <v>3250</v>
      </c>
      <c r="C1169">
        <v>96</v>
      </c>
      <c r="D1169">
        <v>111</v>
      </c>
      <c r="E1169">
        <v>0</v>
      </c>
      <c r="F1169">
        <v>1867182529</v>
      </c>
      <c r="G1169">
        <v>4769752.7699999996</v>
      </c>
      <c r="H1169">
        <v>1837594413.8299999</v>
      </c>
      <c r="I1169">
        <v>1862412776.23</v>
      </c>
      <c r="J1169">
        <v>0.148344</v>
      </c>
      <c r="K1169">
        <v>0</v>
      </c>
      <c r="M1169" t="s">
        <v>2</v>
      </c>
      <c r="N1169">
        <v>7250</v>
      </c>
      <c r="O1169">
        <v>42</v>
      </c>
      <c r="P1169">
        <v>924</v>
      </c>
      <c r="Q1169">
        <v>0</v>
      </c>
      <c r="R1169">
        <v>12303560948</v>
      </c>
      <c r="S1169">
        <v>12753219.74</v>
      </c>
      <c r="T1169">
        <v>12056324817.84</v>
      </c>
      <c r="U1169">
        <v>12182189909</v>
      </c>
      <c r="V1169">
        <v>0.20618500000000001</v>
      </c>
      <c r="W1169">
        <v>0.100943</v>
      </c>
    </row>
    <row r="1170" spans="1:23" x14ac:dyDescent="0.35">
      <c r="A1170" t="s">
        <v>0</v>
      </c>
      <c r="B1170">
        <v>3250</v>
      </c>
      <c r="C1170">
        <v>96</v>
      </c>
      <c r="D1170">
        <v>403</v>
      </c>
      <c r="E1170">
        <v>0</v>
      </c>
      <c r="F1170">
        <v>5126421144</v>
      </c>
      <c r="G1170">
        <v>13156495.800000001</v>
      </c>
      <c r="H1170">
        <v>5067661253.4700003</v>
      </c>
      <c r="I1170">
        <v>5113264648.1999998</v>
      </c>
      <c r="J1170">
        <v>0.101678</v>
      </c>
      <c r="K1170">
        <v>0</v>
      </c>
      <c r="M1170" t="s">
        <v>1</v>
      </c>
      <c r="N1170">
        <v>7250</v>
      </c>
      <c r="O1170">
        <v>42</v>
      </c>
      <c r="P1170">
        <v>1881</v>
      </c>
      <c r="Q1170">
        <v>0</v>
      </c>
      <c r="R1170">
        <v>41618192514</v>
      </c>
      <c r="S1170">
        <v>43225676.450000003</v>
      </c>
      <c r="T1170">
        <v>39896031860.440002</v>
      </c>
      <c r="U1170">
        <v>41086412123.879997</v>
      </c>
      <c r="V1170">
        <v>0.38990000000000002</v>
      </c>
      <c r="W1170">
        <v>0.13211899999999999</v>
      </c>
    </row>
    <row r="1171" spans="1:23" x14ac:dyDescent="0.35">
      <c r="A1171" t="s">
        <v>2</v>
      </c>
      <c r="B1171">
        <v>5500</v>
      </c>
      <c r="C1171">
        <v>108</v>
      </c>
      <c r="D1171">
        <v>2</v>
      </c>
      <c r="E1171">
        <v>0</v>
      </c>
      <c r="F1171">
        <v>11992143</v>
      </c>
      <c r="G1171">
        <v>24763.49</v>
      </c>
      <c r="H1171">
        <v>11967379.51</v>
      </c>
      <c r="I1171">
        <v>11967379.51</v>
      </c>
      <c r="J1171">
        <v>0</v>
      </c>
      <c r="K1171">
        <v>0</v>
      </c>
      <c r="M1171" t="s">
        <v>3</v>
      </c>
      <c r="N1171">
        <v>3750</v>
      </c>
      <c r="O1171">
        <v>108</v>
      </c>
      <c r="P1171">
        <v>336</v>
      </c>
      <c r="Q1171">
        <v>0</v>
      </c>
      <c r="R1171">
        <v>4835981689</v>
      </c>
      <c r="S1171">
        <v>12300019.199999999</v>
      </c>
      <c r="T1171">
        <v>4799010584.3999996</v>
      </c>
      <c r="U1171">
        <v>4823681669.8000002</v>
      </c>
      <c r="V1171">
        <v>5.953E-2</v>
      </c>
      <c r="W1171">
        <v>0</v>
      </c>
    </row>
    <row r="1172" spans="1:23" x14ac:dyDescent="0.35">
      <c r="A1172" t="s">
        <v>0</v>
      </c>
      <c r="B1172">
        <v>6500</v>
      </c>
      <c r="C1172">
        <v>96</v>
      </c>
      <c r="D1172">
        <v>100</v>
      </c>
      <c r="E1172">
        <v>0</v>
      </c>
      <c r="F1172">
        <v>1129100421</v>
      </c>
      <c r="G1172">
        <v>1858678.65</v>
      </c>
      <c r="H1172">
        <v>1127241742.3499999</v>
      </c>
      <c r="I1172">
        <v>1127241742.3499999</v>
      </c>
      <c r="J1172">
        <v>0</v>
      </c>
      <c r="K1172">
        <v>0</v>
      </c>
      <c r="M1172" t="s">
        <v>0</v>
      </c>
      <c r="N1172">
        <v>2750</v>
      </c>
      <c r="O1172">
        <v>108</v>
      </c>
      <c r="P1172">
        <v>24</v>
      </c>
      <c r="Q1172">
        <v>0</v>
      </c>
      <c r="R1172">
        <v>316344789</v>
      </c>
      <c r="S1172">
        <v>906390.05</v>
      </c>
      <c r="T1172">
        <v>315438398.94999999</v>
      </c>
      <c r="U1172">
        <v>315438398.94999999</v>
      </c>
      <c r="V1172">
        <v>0</v>
      </c>
      <c r="W1172">
        <v>0</v>
      </c>
    </row>
    <row r="1173" spans="1:23" x14ac:dyDescent="0.35">
      <c r="A1173" t="s">
        <v>3</v>
      </c>
      <c r="B1173">
        <v>5750</v>
      </c>
      <c r="C1173">
        <v>96</v>
      </c>
      <c r="D1173">
        <v>42</v>
      </c>
      <c r="E1173">
        <v>0</v>
      </c>
      <c r="F1173">
        <v>515731983</v>
      </c>
      <c r="G1173">
        <v>951897.96</v>
      </c>
      <c r="H1173">
        <v>514780085.04000002</v>
      </c>
      <c r="I1173">
        <v>514780085.04000002</v>
      </c>
      <c r="J1173">
        <v>0</v>
      </c>
      <c r="K1173">
        <v>0</v>
      </c>
      <c r="M1173" t="s">
        <v>3</v>
      </c>
      <c r="N1173">
        <v>5000</v>
      </c>
      <c r="O1173">
        <v>96</v>
      </c>
      <c r="P1173">
        <v>197</v>
      </c>
      <c r="Q1173">
        <v>0</v>
      </c>
      <c r="R1173">
        <v>2815054530</v>
      </c>
      <c r="S1173">
        <v>5734571.7300000004</v>
      </c>
      <c r="T1173">
        <v>2809319958.27</v>
      </c>
      <c r="U1173">
        <v>2809319958.27</v>
      </c>
      <c r="V1173">
        <v>0</v>
      </c>
      <c r="W1173">
        <v>0</v>
      </c>
    </row>
    <row r="1174" spans="1:23" x14ac:dyDescent="0.35">
      <c r="A1174" t="s">
        <v>0</v>
      </c>
      <c r="B1174">
        <v>5750</v>
      </c>
      <c r="C1174">
        <v>84</v>
      </c>
      <c r="D1174">
        <v>4093</v>
      </c>
      <c r="E1174">
        <v>0</v>
      </c>
      <c r="F1174">
        <v>52323879723</v>
      </c>
      <c r="G1174">
        <v>91012448.870000005</v>
      </c>
      <c r="H1174">
        <v>51656582749.190002</v>
      </c>
      <c r="I1174">
        <v>52051325482.519997</v>
      </c>
      <c r="J1174">
        <v>0.124446</v>
      </c>
      <c r="K1174">
        <v>4.0849999999999997E-2</v>
      </c>
      <c r="M1174" t="s">
        <v>3</v>
      </c>
      <c r="N1174">
        <v>4250</v>
      </c>
      <c r="O1174">
        <v>96</v>
      </c>
      <c r="P1174">
        <v>121</v>
      </c>
      <c r="Q1174">
        <v>0</v>
      </c>
      <c r="R1174">
        <v>2017809192</v>
      </c>
      <c r="S1174">
        <v>4538216.8</v>
      </c>
      <c r="T1174">
        <v>2013270975.2</v>
      </c>
      <c r="U1174">
        <v>2013270975.2</v>
      </c>
      <c r="V1174">
        <v>0</v>
      </c>
      <c r="W1174">
        <v>0</v>
      </c>
    </row>
    <row r="1175" spans="1:23" x14ac:dyDescent="0.35">
      <c r="A1175" t="s">
        <v>0</v>
      </c>
      <c r="B1175">
        <v>6750</v>
      </c>
      <c r="C1175">
        <v>96</v>
      </c>
      <c r="D1175">
        <v>30</v>
      </c>
      <c r="E1175">
        <v>0</v>
      </c>
      <c r="F1175">
        <v>325703740</v>
      </c>
      <c r="G1175">
        <v>524690.11</v>
      </c>
      <c r="H1175">
        <v>325179049.88999999</v>
      </c>
      <c r="I1175">
        <v>325179049.88999999</v>
      </c>
      <c r="J1175">
        <v>0</v>
      </c>
      <c r="K1175">
        <v>0</v>
      </c>
      <c r="M1175" t="s">
        <v>3</v>
      </c>
      <c r="N1175">
        <v>4500</v>
      </c>
      <c r="O1175">
        <v>96</v>
      </c>
      <c r="P1175">
        <v>163</v>
      </c>
      <c r="Q1175">
        <v>0</v>
      </c>
      <c r="R1175">
        <v>2549716707</v>
      </c>
      <c r="S1175">
        <v>5573501.4000000004</v>
      </c>
      <c r="T1175">
        <v>2513152182.77</v>
      </c>
      <c r="U1175">
        <v>2544143205.5999999</v>
      </c>
      <c r="V1175">
        <v>0.13649</v>
      </c>
      <c r="W1175">
        <v>0</v>
      </c>
    </row>
    <row r="1176" spans="1:23" x14ac:dyDescent="0.35">
      <c r="A1176" t="s">
        <v>2</v>
      </c>
      <c r="B1176">
        <v>5250</v>
      </c>
      <c r="C1176">
        <v>84</v>
      </c>
      <c r="D1176">
        <v>224</v>
      </c>
      <c r="E1176">
        <v>0</v>
      </c>
      <c r="F1176">
        <v>2137989057</v>
      </c>
      <c r="G1176">
        <v>3966752.07</v>
      </c>
      <c r="H1176">
        <v>2112289596.6600001</v>
      </c>
      <c r="I1176">
        <v>2134022304.9300001</v>
      </c>
      <c r="J1176">
        <v>0.115387</v>
      </c>
      <c r="K1176">
        <v>0</v>
      </c>
      <c r="M1176" t="s">
        <v>3</v>
      </c>
      <c r="N1176">
        <v>5250</v>
      </c>
      <c r="O1176">
        <v>96</v>
      </c>
      <c r="P1176">
        <v>105</v>
      </c>
      <c r="Q1176">
        <v>0</v>
      </c>
      <c r="R1176">
        <v>1453407888</v>
      </c>
      <c r="S1176">
        <v>2867365.53</v>
      </c>
      <c r="T1176">
        <v>1450540522.47</v>
      </c>
      <c r="U1176">
        <v>1450540522.47</v>
      </c>
      <c r="V1176">
        <v>0</v>
      </c>
      <c r="W1176">
        <v>0</v>
      </c>
    </row>
    <row r="1177" spans="1:23" x14ac:dyDescent="0.35">
      <c r="A1177" t="s">
        <v>2</v>
      </c>
      <c r="B1177">
        <v>5500</v>
      </c>
      <c r="C1177">
        <v>84</v>
      </c>
      <c r="D1177">
        <v>18</v>
      </c>
      <c r="E1177">
        <v>0</v>
      </c>
      <c r="F1177">
        <v>197612908</v>
      </c>
      <c r="G1177">
        <v>366466.96</v>
      </c>
      <c r="H1177">
        <v>184790759.53</v>
      </c>
      <c r="I1177">
        <v>197246441.03999999</v>
      </c>
      <c r="J1177">
        <v>0.54217000000000004</v>
      </c>
      <c r="K1177">
        <v>0</v>
      </c>
      <c r="M1177" t="s">
        <v>2</v>
      </c>
      <c r="N1177">
        <v>2250</v>
      </c>
      <c r="O1177">
        <v>72</v>
      </c>
      <c r="P1177">
        <v>4465</v>
      </c>
      <c r="Q1177">
        <v>0</v>
      </c>
      <c r="R1177">
        <v>79339967693</v>
      </c>
      <c r="S1177">
        <v>199943539.02000001</v>
      </c>
      <c r="T1177">
        <v>78747724361.699997</v>
      </c>
      <c r="U1177">
        <v>79082660936.949997</v>
      </c>
      <c r="V1177">
        <v>5.7747E-2</v>
      </c>
      <c r="W1177">
        <v>8.6420000000000004E-3</v>
      </c>
    </row>
    <row r="1178" spans="1:23" x14ac:dyDescent="0.35">
      <c r="A1178" t="s">
        <v>1</v>
      </c>
      <c r="B1178">
        <v>6500</v>
      </c>
      <c r="C1178">
        <v>96</v>
      </c>
      <c r="D1178">
        <v>2</v>
      </c>
      <c r="E1178">
        <v>0</v>
      </c>
      <c r="F1178">
        <v>16770350</v>
      </c>
      <c r="G1178">
        <v>27691.96</v>
      </c>
      <c r="H1178">
        <v>16742658.039999999</v>
      </c>
      <c r="I1178">
        <v>16742658.039999999</v>
      </c>
      <c r="J1178">
        <v>0</v>
      </c>
      <c r="K1178">
        <v>0</v>
      </c>
      <c r="M1178" t="s">
        <v>3</v>
      </c>
      <c r="N1178">
        <v>5750</v>
      </c>
      <c r="O1178">
        <v>96</v>
      </c>
      <c r="P1178">
        <v>44</v>
      </c>
      <c r="Q1178">
        <v>0</v>
      </c>
      <c r="R1178">
        <v>547235760</v>
      </c>
      <c r="S1178">
        <v>1007303.97</v>
      </c>
      <c r="T1178">
        <v>546228456.02999997</v>
      </c>
      <c r="U1178">
        <v>546228456.02999997</v>
      </c>
      <c r="V1178">
        <v>0</v>
      </c>
      <c r="W1178">
        <v>0</v>
      </c>
    </row>
    <row r="1179" spans="1:23" x14ac:dyDescent="0.35">
      <c r="A1179" t="s">
        <v>3</v>
      </c>
      <c r="B1179">
        <v>6000</v>
      </c>
      <c r="C1179">
        <v>96</v>
      </c>
      <c r="D1179">
        <v>5</v>
      </c>
      <c r="E1179">
        <v>0</v>
      </c>
      <c r="F1179">
        <v>50581899</v>
      </c>
      <c r="G1179">
        <v>88074.559999999998</v>
      </c>
      <c r="H1179">
        <v>50493824.439999998</v>
      </c>
      <c r="I1179">
        <v>50493824.439999998</v>
      </c>
      <c r="J1179">
        <v>0</v>
      </c>
      <c r="K1179">
        <v>0</v>
      </c>
      <c r="M1179" t="s">
        <v>0</v>
      </c>
      <c r="N1179">
        <v>6250</v>
      </c>
      <c r="O1179">
        <v>108</v>
      </c>
      <c r="P1179">
        <v>91</v>
      </c>
      <c r="Q1179">
        <v>0</v>
      </c>
      <c r="R1179">
        <v>1011935253</v>
      </c>
      <c r="S1179">
        <v>1861199.39</v>
      </c>
      <c r="T1179">
        <v>992303463.51999998</v>
      </c>
      <c r="U1179">
        <v>1010074053.61</v>
      </c>
      <c r="V1179">
        <v>0.191524</v>
      </c>
      <c r="W1179">
        <v>0</v>
      </c>
    </row>
    <row r="1180" spans="1:23" x14ac:dyDescent="0.35">
      <c r="A1180" t="s">
        <v>1</v>
      </c>
      <c r="B1180">
        <v>5750</v>
      </c>
      <c r="C1180">
        <v>84</v>
      </c>
      <c r="D1180">
        <v>270</v>
      </c>
      <c r="E1180">
        <v>0</v>
      </c>
      <c r="F1180">
        <v>3504087754</v>
      </c>
      <c r="G1180">
        <v>6095267.8200000003</v>
      </c>
      <c r="H1180">
        <v>3421334625.48</v>
      </c>
      <c r="I1180">
        <v>3472807023.2399998</v>
      </c>
      <c r="J1180">
        <v>0.233127</v>
      </c>
      <c r="K1180">
        <v>8.2919999999999994E-2</v>
      </c>
      <c r="M1180" t="s">
        <v>2</v>
      </c>
      <c r="N1180">
        <v>5250</v>
      </c>
      <c r="O1180">
        <v>108</v>
      </c>
      <c r="P1180">
        <v>13</v>
      </c>
      <c r="Q1180">
        <v>0</v>
      </c>
      <c r="R1180">
        <v>131735958</v>
      </c>
      <c r="S1180">
        <v>271226.40000000002</v>
      </c>
      <c r="T1180">
        <v>131464731.59999999</v>
      </c>
      <c r="U1180">
        <v>131464731.59999999</v>
      </c>
      <c r="V1180">
        <v>0</v>
      </c>
      <c r="W1180">
        <v>0</v>
      </c>
    </row>
    <row r="1181" spans="1:23" x14ac:dyDescent="0.35">
      <c r="A1181" t="s">
        <v>2</v>
      </c>
      <c r="B1181">
        <v>4250</v>
      </c>
      <c r="C1181">
        <v>72</v>
      </c>
      <c r="D1181">
        <v>1243</v>
      </c>
      <c r="E1181">
        <v>0</v>
      </c>
      <c r="F1181">
        <v>14802203112</v>
      </c>
      <c r="G1181">
        <v>29636582.420000002</v>
      </c>
      <c r="H1181">
        <v>14642520019.68</v>
      </c>
      <c r="I1181">
        <v>14758149517.639999</v>
      </c>
      <c r="J1181">
        <v>0.100479</v>
      </c>
      <c r="K1181">
        <v>1.1625E-2</v>
      </c>
      <c r="M1181" t="s">
        <v>0</v>
      </c>
      <c r="N1181">
        <v>6250</v>
      </c>
      <c r="O1181">
        <v>96</v>
      </c>
      <c r="P1181">
        <v>1307</v>
      </c>
      <c r="Q1181">
        <v>0</v>
      </c>
      <c r="R1181">
        <v>16146718256</v>
      </c>
      <c r="S1181">
        <v>27614908.440000001</v>
      </c>
      <c r="T1181">
        <v>15963922046.66</v>
      </c>
      <c r="U1181">
        <v>16032958944.91</v>
      </c>
      <c r="V1181">
        <v>0.10942300000000001</v>
      </c>
      <c r="W1181">
        <v>6.2176000000000002E-2</v>
      </c>
    </row>
    <row r="1182" spans="1:23" x14ac:dyDescent="0.35">
      <c r="A1182" t="s">
        <v>0</v>
      </c>
      <c r="B1182">
        <v>6250</v>
      </c>
      <c r="C1182">
        <v>84</v>
      </c>
      <c r="D1182">
        <v>295</v>
      </c>
      <c r="E1182">
        <v>0</v>
      </c>
      <c r="F1182">
        <v>3393326076</v>
      </c>
      <c r="G1182">
        <v>5515456.8300000001</v>
      </c>
      <c r="H1182">
        <v>3333634146.1100001</v>
      </c>
      <c r="I1182">
        <v>3362231686.0599999</v>
      </c>
      <c r="J1182">
        <v>0.17562800000000001</v>
      </c>
      <c r="K1182">
        <v>8.6799000000000001E-2</v>
      </c>
      <c r="M1182" t="s">
        <v>1</v>
      </c>
      <c r="N1182">
        <v>3750</v>
      </c>
      <c r="O1182">
        <v>320</v>
      </c>
      <c r="P1182">
        <v>10</v>
      </c>
      <c r="Q1182">
        <v>0</v>
      </c>
      <c r="R1182">
        <v>57337478</v>
      </c>
      <c r="S1182">
        <v>466207.79</v>
      </c>
      <c r="T1182">
        <v>56871270.210000001</v>
      </c>
      <c r="U1182">
        <v>56871270.210000001</v>
      </c>
      <c r="V1182">
        <v>0</v>
      </c>
      <c r="W1182">
        <v>0</v>
      </c>
    </row>
    <row r="1183" spans="1:23" x14ac:dyDescent="0.35">
      <c r="A1183" t="s">
        <v>3</v>
      </c>
      <c r="B1183">
        <v>4500</v>
      </c>
      <c r="C1183">
        <v>84</v>
      </c>
      <c r="D1183">
        <v>110</v>
      </c>
      <c r="E1183">
        <v>0</v>
      </c>
      <c r="F1183">
        <v>1605902594</v>
      </c>
      <c r="G1183">
        <v>3295752</v>
      </c>
      <c r="H1183">
        <v>1552955336.77</v>
      </c>
      <c r="I1183">
        <v>1602606842</v>
      </c>
      <c r="J1183">
        <v>0.313998</v>
      </c>
      <c r="K1183">
        <v>0</v>
      </c>
      <c r="M1183" t="s">
        <v>1</v>
      </c>
      <c r="N1183">
        <v>3750</v>
      </c>
      <c r="O1183">
        <v>216</v>
      </c>
      <c r="P1183">
        <v>4</v>
      </c>
      <c r="Q1183">
        <v>0</v>
      </c>
      <c r="R1183">
        <v>35119283</v>
      </c>
      <c r="S1183">
        <v>175260.57</v>
      </c>
      <c r="T1183">
        <v>34944022.43</v>
      </c>
      <c r="U1183">
        <v>34944022.43</v>
      </c>
      <c r="V1183">
        <v>0</v>
      </c>
      <c r="W1183">
        <v>0</v>
      </c>
    </row>
    <row r="1184" spans="1:23" x14ac:dyDescent="0.35">
      <c r="A1184" t="s">
        <v>3</v>
      </c>
      <c r="B1184">
        <v>4750</v>
      </c>
      <c r="C1184">
        <v>84</v>
      </c>
      <c r="D1184">
        <v>158</v>
      </c>
      <c r="E1184">
        <v>0</v>
      </c>
      <c r="F1184">
        <v>2171403251</v>
      </c>
      <c r="G1184">
        <v>4333205.9400000004</v>
      </c>
      <c r="H1184">
        <v>2167070045.0599999</v>
      </c>
      <c r="I1184">
        <v>2167070045.0599999</v>
      </c>
      <c r="J1184">
        <v>0</v>
      </c>
      <c r="K1184">
        <v>0</v>
      </c>
      <c r="M1184" t="s">
        <v>3</v>
      </c>
      <c r="N1184">
        <v>5500</v>
      </c>
      <c r="O1184">
        <v>96</v>
      </c>
      <c r="P1184">
        <v>37</v>
      </c>
      <c r="Q1184">
        <v>0</v>
      </c>
      <c r="R1184">
        <v>442747137</v>
      </c>
      <c r="S1184">
        <v>839011.4</v>
      </c>
      <c r="T1184">
        <v>441908125.60000002</v>
      </c>
      <c r="U1184">
        <v>441908125.60000002</v>
      </c>
      <c r="V1184">
        <v>0</v>
      </c>
      <c r="W1184">
        <v>0</v>
      </c>
    </row>
    <row r="1185" spans="1:23" x14ac:dyDescent="0.35">
      <c r="A1185" t="s">
        <v>3</v>
      </c>
      <c r="B1185">
        <v>5000</v>
      </c>
      <c r="C1185">
        <v>84</v>
      </c>
      <c r="D1185">
        <v>21</v>
      </c>
      <c r="E1185">
        <v>0</v>
      </c>
      <c r="F1185">
        <v>236731371</v>
      </c>
      <c r="G1185">
        <v>456791.94</v>
      </c>
      <c r="H1185">
        <v>236274579.06</v>
      </c>
      <c r="I1185">
        <v>236274579.06</v>
      </c>
      <c r="J1185">
        <v>0</v>
      </c>
      <c r="K1185">
        <v>0</v>
      </c>
      <c r="M1185" t="s">
        <v>1</v>
      </c>
      <c r="N1185">
        <v>5750</v>
      </c>
      <c r="O1185">
        <v>108</v>
      </c>
      <c r="P1185">
        <v>13</v>
      </c>
      <c r="Q1185">
        <v>0</v>
      </c>
      <c r="R1185">
        <v>167221431</v>
      </c>
      <c r="S1185">
        <v>324805.78999999998</v>
      </c>
      <c r="T1185">
        <v>166896625.21000001</v>
      </c>
      <c r="U1185">
        <v>166896625.21000001</v>
      </c>
      <c r="V1185">
        <v>0</v>
      </c>
      <c r="W1185">
        <v>0</v>
      </c>
    </row>
    <row r="1186" spans="1:23" x14ac:dyDescent="0.35">
      <c r="A1186" t="s">
        <v>0</v>
      </c>
      <c r="B1186">
        <v>6500</v>
      </c>
      <c r="C1186">
        <v>84</v>
      </c>
      <c r="D1186">
        <v>25</v>
      </c>
      <c r="E1186">
        <v>0</v>
      </c>
      <c r="F1186">
        <v>204073804</v>
      </c>
      <c r="G1186">
        <v>316431.38</v>
      </c>
      <c r="H1186">
        <v>203757372.62</v>
      </c>
      <c r="I1186">
        <v>203757372.62</v>
      </c>
      <c r="J1186">
        <v>0</v>
      </c>
      <c r="K1186">
        <v>0</v>
      </c>
      <c r="M1186" t="s">
        <v>1</v>
      </c>
      <c r="N1186">
        <v>6250</v>
      </c>
      <c r="O1186">
        <v>96</v>
      </c>
      <c r="P1186">
        <v>67</v>
      </c>
      <c r="Q1186">
        <v>0</v>
      </c>
      <c r="R1186">
        <v>725429135</v>
      </c>
      <c r="S1186">
        <v>1232095.28</v>
      </c>
      <c r="T1186">
        <v>700684368.38999999</v>
      </c>
      <c r="U1186">
        <v>724197039.72000003</v>
      </c>
      <c r="V1186">
        <v>0.32658100000000001</v>
      </c>
      <c r="W1186">
        <v>0</v>
      </c>
    </row>
    <row r="1187" spans="1:23" x14ac:dyDescent="0.35">
      <c r="A1187" t="s">
        <v>2</v>
      </c>
      <c r="B1187">
        <v>5750</v>
      </c>
      <c r="C1187">
        <v>84</v>
      </c>
      <c r="D1187">
        <v>8</v>
      </c>
      <c r="E1187">
        <v>0</v>
      </c>
      <c r="F1187">
        <v>61905745</v>
      </c>
      <c r="G1187">
        <v>105080.18</v>
      </c>
      <c r="H1187">
        <v>61800664.82</v>
      </c>
      <c r="I1187">
        <v>61800664.82</v>
      </c>
      <c r="J1187">
        <v>0</v>
      </c>
      <c r="K1187">
        <v>0</v>
      </c>
      <c r="M1187" t="s">
        <v>0</v>
      </c>
      <c r="N1187">
        <v>6500</v>
      </c>
      <c r="O1187">
        <v>96</v>
      </c>
      <c r="P1187">
        <v>92</v>
      </c>
      <c r="Q1187">
        <v>0</v>
      </c>
      <c r="R1187">
        <v>1060385853</v>
      </c>
      <c r="S1187">
        <v>1738123.78</v>
      </c>
      <c r="T1187">
        <v>1040197921.26</v>
      </c>
      <c r="U1187">
        <v>1058647729.22</v>
      </c>
      <c r="V1187">
        <v>0.18992400000000001</v>
      </c>
      <c r="W1187">
        <v>0</v>
      </c>
    </row>
    <row r="1188" spans="1:23" x14ac:dyDescent="0.35">
      <c r="A1188" t="s">
        <v>3</v>
      </c>
      <c r="B1188">
        <v>4250</v>
      </c>
      <c r="C1188">
        <v>84</v>
      </c>
      <c r="D1188">
        <v>203</v>
      </c>
      <c r="E1188">
        <v>0</v>
      </c>
      <c r="F1188">
        <v>3304677827</v>
      </c>
      <c r="G1188">
        <v>7014673.4500000002</v>
      </c>
      <c r="H1188">
        <v>3274719016</v>
      </c>
      <c r="I1188">
        <v>3297663153.5500002</v>
      </c>
      <c r="J1188">
        <v>8.0206E-2</v>
      </c>
      <c r="K1188">
        <v>0</v>
      </c>
      <c r="M1188" t="s">
        <v>1</v>
      </c>
      <c r="N1188">
        <v>7750</v>
      </c>
      <c r="O1188">
        <v>42</v>
      </c>
      <c r="P1188">
        <v>218</v>
      </c>
      <c r="Q1188">
        <v>0</v>
      </c>
      <c r="R1188">
        <v>4346870548</v>
      </c>
      <c r="S1188">
        <v>4126037.79</v>
      </c>
      <c r="T1188">
        <v>4183214748.5300002</v>
      </c>
      <c r="U1188">
        <v>4257878519.1599998</v>
      </c>
      <c r="V1188">
        <v>0.36153200000000002</v>
      </c>
      <c r="W1188">
        <v>0.21069199999999999</v>
      </c>
    </row>
    <row r="1189" spans="1:23" x14ac:dyDescent="0.35">
      <c r="A1189" t="s">
        <v>3</v>
      </c>
      <c r="B1189">
        <v>5250</v>
      </c>
      <c r="C1189">
        <v>84</v>
      </c>
      <c r="D1189">
        <v>25</v>
      </c>
      <c r="E1189">
        <v>0</v>
      </c>
      <c r="F1189">
        <v>335058220</v>
      </c>
      <c r="G1189">
        <v>623870.61</v>
      </c>
      <c r="H1189">
        <v>334434349.38999999</v>
      </c>
      <c r="I1189">
        <v>334434349.38999999</v>
      </c>
      <c r="J1189">
        <v>0</v>
      </c>
      <c r="K1189">
        <v>0</v>
      </c>
      <c r="M1189" t="s">
        <v>0</v>
      </c>
      <c r="N1189">
        <v>5750</v>
      </c>
      <c r="O1189">
        <v>84</v>
      </c>
      <c r="P1189">
        <v>5363</v>
      </c>
      <c r="Q1189">
        <v>0</v>
      </c>
      <c r="R1189">
        <v>68835339044</v>
      </c>
      <c r="S1189">
        <v>119610181.88</v>
      </c>
      <c r="T1189">
        <v>68177668346.370003</v>
      </c>
      <c r="U1189">
        <v>68608964157.540001</v>
      </c>
      <c r="V1189">
        <v>8.9870000000000005E-2</v>
      </c>
      <c r="W1189">
        <v>1.8454000000000002E-2</v>
      </c>
    </row>
    <row r="1190" spans="1:23" x14ac:dyDescent="0.35">
      <c r="A1190" t="s">
        <v>3</v>
      </c>
      <c r="B1190">
        <v>4000</v>
      </c>
      <c r="C1190">
        <v>84</v>
      </c>
      <c r="D1190">
        <v>205</v>
      </c>
      <c r="E1190">
        <v>0</v>
      </c>
      <c r="F1190">
        <v>3421204089</v>
      </c>
      <c r="G1190">
        <v>7436421.4699999997</v>
      </c>
      <c r="H1190">
        <v>3413767667.5300002</v>
      </c>
      <c r="I1190">
        <v>3413767667.5300002</v>
      </c>
      <c r="J1190">
        <v>0</v>
      </c>
      <c r="K1190">
        <v>0</v>
      </c>
      <c r="M1190" t="s">
        <v>0</v>
      </c>
      <c r="N1190">
        <v>6750</v>
      </c>
      <c r="O1190">
        <v>96</v>
      </c>
      <c r="P1190">
        <v>29</v>
      </c>
      <c r="Q1190">
        <v>0</v>
      </c>
      <c r="R1190">
        <v>322506973</v>
      </c>
      <c r="S1190">
        <v>516033.07</v>
      </c>
      <c r="T1190">
        <v>321990939.93000001</v>
      </c>
      <c r="U1190">
        <v>321990939.93000001</v>
      </c>
      <c r="V1190">
        <v>0</v>
      </c>
      <c r="W1190">
        <v>0</v>
      </c>
    </row>
    <row r="1191" spans="1:23" x14ac:dyDescent="0.35">
      <c r="A1191" t="s">
        <v>3</v>
      </c>
      <c r="B1191">
        <v>3750</v>
      </c>
      <c r="C1191">
        <v>84</v>
      </c>
      <c r="D1191">
        <v>312</v>
      </c>
      <c r="E1191">
        <v>0</v>
      </c>
      <c r="F1191">
        <v>5672018676</v>
      </c>
      <c r="G1191">
        <v>12667438.18</v>
      </c>
      <c r="H1191">
        <v>5635531173.5</v>
      </c>
      <c r="I1191">
        <v>5659351237.8199997</v>
      </c>
      <c r="J1191">
        <v>4.9246999999999999E-2</v>
      </c>
      <c r="K1191">
        <v>0</v>
      </c>
      <c r="M1191" t="s">
        <v>1</v>
      </c>
      <c r="N1191">
        <v>6500</v>
      </c>
      <c r="O1191">
        <v>96</v>
      </c>
      <c r="P1191">
        <v>2</v>
      </c>
      <c r="Q1191">
        <v>0</v>
      </c>
      <c r="R1191">
        <v>16848601</v>
      </c>
      <c r="S1191">
        <v>27627.93</v>
      </c>
      <c r="T1191">
        <v>16820973.07</v>
      </c>
      <c r="U1191">
        <v>16820973.07</v>
      </c>
      <c r="V1191">
        <v>0</v>
      </c>
      <c r="W1191">
        <v>0</v>
      </c>
    </row>
    <row r="1192" spans="1:23" x14ac:dyDescent="0.35">
      <c r="A1192" t="s">
        <v>3</v>
      </c>
      <c r="B1192">
        <v>5750</v>
      </c>
      <c r="C1192">
        <v>84</v>
      </c>
      <c r="D1192">
        <v>12</v>
      </c>
      <c r="E1192">
        <v>0</v>
      </c>
      <c r="F1192">
        <v>112716020</v>
      </c>
      <c r="G1192">
        <v>197127.16</v>
      </c>
      <c r="H1192">
        <v>112518892.84</v>
      </c>
      <c r="I1192">
        <v>112518892.84</v>
      </c>
      <c r="J1192">
        <v>0</v>
      </c>
      <c r="K1192">
        <v>0</v>
      </c>
      <c r="M1192" t="s">
        <v>3</v>
      </c>
      <c r="N1192">
        <v>6000</v>
      </c>
      <c r="O1192">
        <v>96</v>
      </c>
      <c r="P1192">
        <v>5</v>
      </c>
      <c r="Q1192">
        <v>0</v>
      </c>
      <c r="R1192">
        <v>50690916</v>
      </c>
      <c r="S1192">
        <v>87673.77</v>
      </c>
      <c r="T1192">
        <v>50603242.229999997</v>
      </c>
      <c r="U1192">
        <v>50603242.229999997</v>
      </c>
      <c r="V1192">
        <v>0</v>
      </c>
      <c r="W1192">
        <v>0</v>
      </c>
    </row>
    <row r="1193" spans="1:23" x14ac:dyDescent="0.35">
      <c r="A1193" t="s">
        <v>0</v>
      </c>
      <c r="B1193">
        <v>4750</v>
      </c>
      <c r="C1193">
        <v>54</v>
      </c>
      <c r="D1193">
        <v>9071</v>
      </c>
      <c r="E1193">
        <v>0</v>
      </c>
      <c r="F1193">
        <v>205720666107</v>
      </c>
      <c r="G1193">
        <v>342611118.10000002</v>
      </c>
      <c r="H1193">
        <v>203860410160.53</v>
      </c>
      <c r="I1193">
        <v>204708330258.48999</v>
      </c>
      <c r="J1193">
        <v>8.5020999999999999E-2</v>
      </c>
      <c r="K1193">
        <v>3.8373999999999998E-2</v>
      </c>
      <c r="M1193" t="s">
        <v>1</v>
      </c>
      <c r="N1193">
        <v>5750</v>
      </c>
      <c r="O1193">
        <v>84</v>
      </c>
      <c r="P1193">
        <v>360</v>
      </c>
      <c r="Q1193">
        <v>0</v>
      </c>
      <c r="R1193">
        <v>4721383182</v>
      </c>
      <c r="S1193">
        <v>8204674.1299999999</v>
      </c>
      <c r="T1193">
        <v>4661002105.4899998</v>
      </c>
      <c r="U1193">
        <v>4696334220.3100004</v>
      </c>
      <c r="V1193">
        <v>0.12484199999999999</v>
      </c>
      <c r="W1193">
        <v>4.1981999999999998E-2</v>
      </c>
    </row>
    <row r="1194" spans="1:23" x14ac:dyDescent="0.35">
      <c r="A1194" t="s">
        <v>1</v>
      </c>
      <c r="B1194">
        <v>4250</v>
      </c>
      <c r="C1194">
        <v>54</v>
      </c>
      <c r="D1194">
        <v>5721</v>
      </c>
      <c r="E1194">
        <v>0</v>
      </c>
      <c r="F1194">
        <v>162819054856</v>
      </c>
      <c r="G1194">
        <v>292079385.04000002</v>
      </c>
      <c r="H1194">
        <v>160154892262.67999</v>
      </c>
      <c r="I1194">
        <v>161747793462.39001</v>
      </c>
      <c r="J1194">
        <v>0.16147600000000001</v>
      </c>
      <c r="K1194">
        <v>5.5939000000000003E-2</v>
      </c>
      <c r="M1194" t="s">
        <v>2</v>
      </c>
      <c r="N1194">
        <v>4250</v>
      </c>
      <c r="O1194">
        <v>72</v>
      </c>
      <c r="P1194">
        <v>1617</v>
      </c>
      <c r="Q1194">
        <v>0</v>
      </c>
      <c r="R1194">
        <v>19237126643</v>
      </c>
      <c r="S1194">
        <v>38536909.960000001</v>
      </c>
      <c r="T1194">
        <v>19029766493.66</v>
      </c>
      <c r="U1194">
        <v>19187510126.259998</v>
      </c>
      <c r="V1194">
        <v>0.100374</v>
      </c>
      <c r="W1194">
        <v>6.8900000000000003E-3</v>
      </c>
    </row>
    <row r="1195" spans="1:23" x14ac:dyDescent="0.35">
      <c r="A1195" t="s">
        <v>1</v>
      </c>
      <c r="B1195">
        <v>6250</v>
      </c>
      <c r="C1195">
        <v>84</v>
      </c>
      <c r="D1195">
        <v>15</v>
      </c>
      <c r="E1195">
        <v>0</v>
      </c>
      <c r="F1195">
        <v>176473600</v>
      </c>
      <c r="G1195">
        <v>286135</v>
      </c>
      <c r="H1195">
        <v>171558545.96000001</v>
      </c>
      <c r="I1195">
        <v>171558545.96000001</v>
      </c>
      <c r="J1195">
        <v>0.27309699999999998</v>
      </c>
      <c r="K1195">
        <v>0.27309699999999998</v>
      </c>
      <c r="M1195" t="s">
        <v>3</v>
      </c>
      <c r="N1195">
        <v>4500</v>
      </c>
      <c r="O1195">
        <v>84</v>
      </c>
      <c r="P1195">
        <v>123</v>
      </c>
      <c r="Q1195">
        <v>0</v>
      </c>
      <c r="R1195">
        <v>1769347189</v>
      </c>
      <c r="S1195">
        <v>3629347.55</v>
      </c>
      <c r="T1195">
        <v>1747141772.49</v>
      </c>
      <c r="U1195">
        <v>1765717841.45</v>
      </c>
      <c r="V1195">
        <v>0.11896</v>
      </c>
      <c r="W1195">
        <v>0</v>
      </c>
    </row>
    <row r="1196" spans="1:23" x14ac:dyDescent="0.35">
      <c r="A1196" t="s">
        <v>0</v>
      </c>
      <c r="B1196">
        <v>2750</v>
      </c>
      <c r="C1196">
        <v>84</v>
      </c>
      <c r="D1196">
        <v>1811</v>
      </c>
      <c r="E1196">
        <v>0</v>
      </c>
      <c r="F1196">
        <v>38902843414</v>
      </c>
      <c r="G1196">
        <v>96715643.060000002</v>
      </c>
      <c r="H1196">
        <v>38696304176.209999</v>
      </c>
      <c r="I1196">
        <v>38806127770.940002</v>
      </c>
      <c r="J1196">
        <v>3.3355000000000003E-2</v>
      </c>
      <c r="K1196">
        <v>0</v>
      </c>
      <c r="M1196" t="s">
        <v>0</v>
      </c>
      <c r="N1196">
        <v>6500</v>
      </c>
      <c r="O1196">
        <v>84</v>
      </c>
      <c r="P1196">
        <v>34</v>
      </c>
      <c r="Q1196">
        <v>0</v>
      </c>
      <c r="R1196">
        <v>293472613</v>
      </c>
      <c r="S1196">
        <v>456163.85</v>
      </c>
      <c r="T1196">
        <v>293016449.14999998</v>
      </c>
      <c r="U1196">
        <v>293016449.14999998</v>
      </c>
      <c r="V1196">
        <v>0</v>
      </c>
      <c r="W1196">
        <v>0</v>
      </c>
    </row>
    <row r="1197" spans="1:23" x14ac:dyDescent="0.35">
      <c r="A1197" t="s">
        <v>3</v>
      </c>
      <c r="B1197">
        <v>5500</v>
      </c>
      <c r="C1197">
        <v>84</v>
      </c>
      <c r="D1197">
        <v>7</v>
      </c>
      <c r="E1197">
        <v>0</v>
      </c>
      <c r="F1197">
        <v>87264722</v>
      </c>
      <c r="G1197">
        <v>156754.15</v>
      </c>
      <c r="H1197">
        <v>87107967.849999994</v>
      </c>
      <c r="I1197">
        <v>87107967.849999994</v>
      </c>
      <c r="J1197">
        <v>0</v>
      </c>
      <c r="K1197">
        <v>0</v>
      </c>
      <c r="M1197" t="s">
        <v>0</v>
      </c>
      <c r="N1197">
        <v>6250</v>
      </c>
      <c r="O1197">
        <v>84</v>
      </c>
      <c r="P1197">
        <v>373</v>
      </c>
      <c r="Q1197">
        <v>0</v>
      </c>
      <c r="R1197">
        <v>4422707292</v>
      </c>
      <c r="S1197">
        <v>7189073.1399999997</v>
      </c>
      <c r="T1197">
        <v>4390333524.6000004</v>
      </c>
      <c r="U1197">
        <v>4402848406.0699997</v>
      </c>
      <c r="V1197">
        <v>6.6233E-2</v>
      </c>
      <c r="W1197">
        <v>3.3840000000000002E-2</v>
      </c>
    </row>
    <row r="1198" spans="1:23" x14ac:dyDescent="0.35">
      <c r="A1198" t="s">
        <v>0</v>
      </c>
      <c r="B1198">
        <v>5750</v>
      </c>
      <c r="C1198">
        <v>144</v>
      </c>
      <c r="D1198">
        <v>550</v>
      </c>
      <c r="E1198">
        <v>0</v>
      </c>
      <c r="F1198">
        <v>3460024657</v>
      </c>
      <c r="G1198">
        <v>8510807.9100000001</v>
      </c>
      <c r="H1198">
        <v>3417478482.73</v>
      </c>
      <c r="I1198">
        <v>3451513849.0900002</v>
      </c>
      <c r="J1198">
        <v>0.111859</v>
      </c>
      <c r="K1198">
        <v>0</v>
      </c>
      <c r="M1198" t="s">
        <v>3</v>
      </c>
      <c r="N1198">
        <v>4750</v>
      </c>
      <c r="O1198">
        <v>84</v>
      </c>
      <c r="P1198">
        <v>171</v>
      </c>
      <c r="Q1198">
        <v>0</v>
      </c>
      <c r="R1198">
        <v>2363686597</v>
      </c>
      <c r="S1198">
        <v>4695190.12</v>
      </c>
      <c r="T1198">
        <v>2343793346.4200001</v>
      </c>
      <c r="U1198">
        <v>2358991406.8800001</v>
      </c>
      <c r="V1198">
        <v>7.4486999999999998E-2</v>
      </c>
      <c r="W1198">
        <v>0</v>
      </c>
    </row>
    <row r="1199" spans="1:23" x14ac:dyDescent="0.35">
      <c r="A1199" t="s">
        <v>3</v>
      </c>
      <c r="B1199">
        <v>3500</v>
      </c>
      <c r="C1199">
        <v>84</v>
      </c>
      <c r="D1199">
        <v>328</v>
      </c>
      <c r="E1199">
        <v>0</v>
      </c>
      <c r="F1199">
        <v>6238260578</v>
      </c>
      <c r="G1199">
        <v>14279688.5</v>
      </c>
      <c r="H1199">
        <v>6171085333.1800003</v>
      </c>
      <c r="I1199">
        <v>6223980889.5</v>
      </c>
      <c r="J1199">
        <v>9.7137000000000001E-2</v>
      </c>
      <c r="K1199">
        <v>0</v>
      </c>
      <c r="M1199" t="s">
        <v>1</v>
      </c>
      <c r="N1199">
        <v>6250</v>
      </c>
      <c r="O1199">
        <v>84</v>
      </c>
      <c r="P1199">
        <v>19</v>
      </c>
      <c r="Q1199">
        <v>0</v>
      </c>
      <c r="R1199">
        <v>226878450</v>
      </c>
      <c r="S1199">
        <v>367822.91</v>
      </c>
      <c r="T1199">
        <v>226510627.09</v>
      </c>
      <c r="U1199">
        <v>226510627.09</v>
      </c>
      <c r="V1199">
        <v>0</v>
      </c>
      <c r="W1199">
        <v>0</v>
      </c>
    </row>
    <row r="1200" spans="1:23" x14ac:dyDescent="0.35">
      <c r="A1200" t="s">
        <v>3</v>
      </c>
      <c r="B1200">
        <v>3250</v>
      </c>
      <c r="C1200">
        <v>84</v>
      </c>
      <c r="D1200">
        <v>217</v>
      </c>
      <c r="E1200">
        <v>0</v>
      </c>
      <c r="F1200">
        <v>4292384632</v>
      </c>
      <c r="G1200">
        <v>10093899.75</v>
      </c>
      <c r="H1200">
        <v>4282290732.25</v>
      </c>
      <c r="I1200">
        <v>4282290732.25</v>
      </c>
      <c r="J1200">
        <v>0</v>
      </c>
      <c r="K1200">
        <v>0</v>
      </c>
      <c r="M1200" t="s">
        <v>3</v>
      </c>
      <c r="N1200">
        <v>5000</v>
      </c>
      <c r="O1200">
        <v>84</v>
      </c>
      <c r="P1200">
        <v>24</v>
      </c>
      <c r="Q1200">
        <v>0</v>
      </c>
      <c r="R1200">
        <v>284075517</v>
      </c>
      <c r="S1200">
        <v>546579.86</v>
      </c>
      <c r="T1200">
        <v>283528937.13999999</v>
      </c>
      <c r="U1200">
        <v>283528937.13999999</v>
      </c>
      <c r="V1200">
        <v>0</v>
      </c>
      <c r="W1200">
        <v>0</v>
      </c>
    </row>
    <row r="1201" spans="1:23" x14ac:dyDescent="0.35">
      <c r="A1201" t="s">
        <v>2</v>
      </c>
      <c r="B1201">
        <v>4750</v>
      </c>
      <c r="C1201">
        <v>72</v>
      </c>
      <c r="D1201">
        <v>372</v>
      </c>
      <c r="E1201">
        <v>0</v>
      </c>
      <c r="F1201">
        <v>4200032055</v>
      </c>
      <c r="G1201">
        <v>7885441.3499999996</v>
      </c>
      <c r="H1201">
        <v>4120691910.04</v>
      </c>
      <c r="I1201">
        <v>4192146613.6500001</v>
      </c>
      <c r="J1201">
        <v>0.18609500000000001</v>
      </c>
      <c r="K1201">
        <v>0</v>
      </c>
      <c r="M1201" t="s">
        <v>0</v>
      </c>
      <c r="N1201">
        <v>6750</v>
      </c>
      <c r="O1201">
        <v>84</v>
      </c>
      <c r="P1201">
        <v>4</v>
      </c>
      <c r="Q1201">
        <v>0</v>
      </c>
      <c r="R1201">
        <v>29245481</v>
      </c>
      <c r="S1201">
        <v>43486.03</v>
      </c>
      <c r="T1201">
        <v>29201994.969999999</v>
      </c>
      <c r="U1201">
        <v>29201994.969999999</v>
      </c>
      <c r="V1201">
        <v>0</v>
      </c>
      <c r="W1201">
        <v>0</v>
      </c>
    </row>
    <row r="1202" spans="1:23" x14ac:dyDescent="0.35">
      <c r="A1202" t="s">
        <v>1</v>
      </c>
      <c r="B1202">
        <v>5000</v>
      </c>
      <c r="C1202">
        <v>72</v>
      </c>
      <c r="D1202">
        <v>78</v>
      </c>
      <c r="E1202">
        <v>0</v>
      </c>
      <c r="F1202">
        <v>1475193618</v>
      </c>
      <c r="G1202">
        <v>2663858.9</v>
      </c>
      <c r="H1202">
        <v>1472529759.0999999</v>
      </c>
      <c r="I1202">
        <v>1472529759.0999999</v>
      </c>
      <c r="J1202">
        <v>0</v>
      </c>
      <c r="K1202">
        <v>0</v>
      </c>
      <c r="M1202" t="s">
        <v>2</v>
      </c>
      <c r="N1202">
        <v>5750</v>
      </c>
      <c r="O1202">
        <v>84</v>
      </c>
      <c r="P1202">
        <v>10</v>
      </c>
      <c r="Q1202">
        <v>0</v>
      </c>
      <c r="R1202">
        <v>73164804</v>
      </c>
      <c r="S1202">
        <v>124829.04</v>
      </c>
      <c r="T1202">
        <v>73039974.959999993</v>
      </c>
      <c r="U1202">
        <v>73039974.959999993</v>
      </c>
      <c r="V1202">
        <v>0</v>
      </c>
      <c r="W1202">
        <v>0</v>
      </c>
    </row>
    <row r="1203" spans="1:23" x14ac:dyDescent="0.35">
      <c r="A1203" t="s">
        <v>0</v>
      </c>
      <c r="B1203">
        <v>3750</v>
      </c>
      <c r="C1203">
        <v>60</v>
      </c>
      <c r="D1203">
        <v>47317</v>
      </c>
      <c r="E1203">
        <v>0</v>
      </c>
      <c r="F1203">
        <v>942828560164</v>
      </c>
      <c r="G1203">
        <v>1901208935.97</v>
      </c>
      <c r="H1203">
        <v>935321455560.32996</v>
      </c>
      <c r="I1203">
        <v>940064972154.22998</v>
      </c>
      <c r="J1203">
        <v>6.9061999999999998E-2</v>
      </c>
      <c r="K1203">
        <v>1.0921E-2</v>
      </c>
      <c r="M1203" t="s">
        <v>3</v>
      </c>
      <c r="N1203">
        <v>4250</v>
      </c>
      <c r="O1203">
        <v>84</v>
      </c>
      <c r="P1203">
        <v>214</v>
      </c>
      <c r="Q1203">
        <v>0</v>
      </c>
      <c r="R1203">
        <v>3452896310</v>
      </c>
      <c r="S1203">
        <v>7306505.9100000001</v>
      </c>
      <c r="T1203">
        <v>3424022698.1100001</v>
      </c>
      <c r="U1203">
        <v>3445589804.0900002</v>
      </c>
      <c r="V1203">
        <v>7.2430999999999995E-2</v>
      </c>
      <c r="W1203">
        <v>0</v>
      </c>
    </row>
    <row r="1204" spans="1:23" x14ac:dyDescent="0.35">
      <c r="A1204" t="s">
        <v>2</v>
      </c>
      <c r="B1204">
        <v>3750</v>
      </c>
      <c r="C1204">
        <v>60</v>
      </c>
      <c r="D1204">
        <v>3465</v>
      </c>
      <c r="E1204">
        <v>0</v>
      </c>
      <c r="F1204">
        <v>48536236961</v>
      </c>
      <c r="G1204">
        <v>98346263.640000001</v>
      </c>
      <c r="H1204">
        <v>48090343358.610001</v>
      </c>
      <c r="I1204">
        <v>48343271049.190002</v>
      </c>
      <c r="J1204">
        <v>8.2622000000000001E-2</v>
      </c>
      <c r="K1204">
        <v>2.3144000000000001E-2</v>
      </c>
      <c r="M1204" t="s">
        <v>3</v>
      </c>
      <c r="N1204">
        <v>5250</v>
      </c>
      <c r="O1204">
        <v>84</v>
      </c>
      <c r="P1204">
        <v>31</v>
      </c>
      <c r="Q1204">
        <v>0</v>
      </c>
      <c r="R1204">
        <v>422597339</v>
      </c>
      <c r="S1204">
        <v>787960</v>
      </c>
      <c r="T1204">
        <v>421809379</v>
      </c>
      <c r="U1204">
        <v>421809379</v>
      </c>
      <c r="V1204">
        <v>0</v>
      </c>
      <c r="W1204">
        <v>0</v>
      </c>
    </row>
    <row r="1205" spans="1:23" x14ac:dyDescent="0.35">
      <c r="A1205" t="s">
        <v>1</v>
      </c>
      <c r="B1205">
        <v>3750</v>
      </c>
      <c r="C1205">
        <v>60</v>
      </c>
      <c r="D1205">
        <v>9015</v>
      </c>
      <c r="E1205">
        <v>0</v>
      </c>
      <c r="F1205">
        <v>215581290068</v>
      </c>
      <c r="G1205">
        <v>435979327.51999998</v>
      </c>
      <c r="H1205">
        <v>212447023708.47</v>
      </c>
      <c r="I1205">
        <v>214659811444.13</v>
      </c>
      <c r="J1205">
        <v>0.14027600000000001</v>
      </c>
      <c r="K1205">
        <v>2.6692E-2</v>
      </c>
      <c r="M1205" t="s">
        <v>3</v>
      </c>
      <c r="N1205">
        <v>4000</v>
      </c>
      <c r="O1205">
        <v>84</v>
      </c>
      <c r="P1205">
        <v>187</v>
      </c>
      <c r="Q1205">
        <v>0</v>
      </c>
      <c r="R1205">
        <v>3108175857</v>
      </c>
      <c r="S1205">
        <v>6745626.5700000003</v>
      </c>
      <c r="T1205">
        <v>3101430230.4299998</v>
      </c>
      <c r="U1205">
        <v>3101430230.4299998</v>
      </c>
      <c r="V1205">
        <v>0</v>
      </c>
      <c r="W1205">
        <v>0</v>
      </c>
    </row>
    <row r="1206" spans="1:23" x14ac:dyDescent="0.35">
      <c r="A1206" t="s">
        <v>2</v>
      </c>
      <c r="B1206">
        <v>4500</v>
      </c>
      <c r="C1206">
        <v>60</v>
      </c>
      <c r="D1206">
        <v>106</v>
      </c>
      <c r="E1206">
        <v>0</v>
      </c>
      <c r="F1206">
        <v>1273256996</v>
      </c>
      <c r="G1206">
        <v>2378208.3199999998</v>
      </c>
      <c r="H1206">
        <v>1270878787.6800001</v>
      </c>
      <c r="I1206">
        <v>1270878787.6800001</v>
      </c>
      <c r="J1206">
        <v>0</v>
      </c>
      <c r="K1206">
        <v>0</v>
      </c>
      <c r="M1206" t="s">
        <v>3</v>
      </c>
      <c r="N1206">
        <v>3750</v>
      </c>
      <c r="O1206">
        <v>84</v>
      </c>
      <c r="P1206">
        <v>279</v>
      </c>
      <c r="Q1206">
        <v>0</v>
      </c>
      <c r="R1206">
        <v>5075631910</v>
      </c>
      <c r="S1206">
        <v>11311406.699999999</v>
      </c>
      <c r="T1206">
        <v>5037223387.6899996</v>
      </c>
      <c r="U1206">
        <v>5064320503.3000002</v>
      </c>
      <c r="V1206">
        <v>6.2216E-2</v>
      </c>
      <c r="W1206">
        <v>0</v>
      </c>
    </row>
    <row r="1207" spans="1:23" x14ac:dyDescent="0.35">
      <c r="A1207" t="s">
        <v>0</v>
      </c>
      <c r="B1207">
        <v>4250</v>
      </c>
      <c r="C1207">
        <v>60</v>
      </c>
      <c r="D1207">
        <v>9232</v>
      </c>
      <c r="E1207">
        <v>0</v>
      </c>
      <c r="F1207">
        <v>183326695033</v>
      </c>
      <c r="G1207">
        <v>341599362.75999999</v>
      </c>
      <c r="H1207">
        <v>181600890642.42001</v>
      </c>
      <c r="I1207">
        <v>182771042535.17001</v>
      </c>
      <c r="J1207">
        <v>8.6935999999999999E-2</v>
      </c>
      <c r="K1207">
        <v>1.3922E-2</v>
      </c>
      <c r="M1207" t="s">
        <v>3</v>
      </c>
      <c r="N1207">
        <v>5750</v>
      </c>
      <c r="O1207">
        <v>84</v>
      </c>
      <c r="P1207">
        <v>13</v>
      </c>
      <c r="Q1207">
        <v>0</v>
      </c>
      <c r="R1207">
        <v>120367120</v>
      </c>
      <c r="S1207">
        <v>209462.73</v>
      </c>
      <c r="T1207">
        <v>120157657.27</v>
      </c>
      <c r="U1207">
        <v>120157657.27</v>
      </c>
      <c r="V1207">
        <v>0</v>
      </c>
      <c r="W1207">
        <v>0</v>
      </c>
    </row>
    <row r="1208" spans="1:23" x14ac:dyDescent="0.35">
      <c r="A1208" t="s">
        <v>1</v>
      </c>
      <c r="B1208">
        <v>7750</v>
      </c>
      <c r="C1208">
        <v>24</v>
      </c>
      <c r="D1208">
        <v>555</v>
      </c>
      <c r="E1208">
        <v>0</v>
      </c>
      <c r="F1208">
        <v>13330175655</v>
      </c>
      <c r="G1208">
        <v>11369036.130000001</v>
      </c>
      <c r="H1208">
        <v>12779745810.690001</v>
      </c>
      <c r="I1208">
        <v>13058079100.51</v>
      </c>
      <c r="J1208">
        <v>0.39064500000000002</v>
      </c>
      <c r="K1208">
        <v>0.211037</v>
      </c>
      <c r="M1208" t="s">
        <v>0</v>
      </c>
      <c r="N1208">
        <v>4750</v>
      </c>
      <c r="O1208">
        <v>54</v>
      </c>
      <c r="P1208">
        <v>4658</v>
      </c>
      <c r="Q1208">
        <v>0</v>
      </c>
      <c r="R1208">
        <v>105899291207</v>
      </c>
      <c r="S1208">
        <v>176423184.24000001</v>
      </c>
      <c r="T1208">
        <v>105129549892.13</v>
      </c>
      <c r="U1208">
        <v>105526063242.47</v>
      </c>
      <c r="V1208">
        <v>6.5198000000000006E-2</v>
      </c>
      <c r="W1208">
        <v>2.2074E-2</v>
      </c>
    </row>
    <row r="1209" spans="1:23" x14ac:dyDescent="0.35">
      <c r="A1209" t="s">
        <v>2</v>
      </c>
      <c r="B1209">
        <v>7750</v>
      </c>
      <c r="C1209">
        <v>24</v>
      </c>
      <c r="D1209">
        <v>290</v>
      </c>
      <c r="E1209">
        <v>0</v>
      </c>
      <c r="F1209">
        <v>4084054370</v>
      </c>
      <c r="G1209">
        <v>3430726.41</v>
      </c>
      <c r="H1209">
        <v>3888364991.3200002</v>
      </c>
      <c r="I1209">
        <v>4001300995.3800001</v>
      </c>
      <c r="J1209">
        <v>0.43933699999999998</v>
      </c>
      <c r="K1209">
        <v>0.20971600000000001</v>
      </c>
      <c r="M1209" t="s">
        <v>1</v>
      </c>
      <c r="N1209">
        <v>4250</v>
      </c>
      <c r="O1209">
        <v>54</v>
      </c>
      <c r="P1209">
        <v>2562</v>
      </c>
      <c r="Q1209">
        <v>0</v>
      </c>
      <c r="R1209">
        <v>67380411765</v>
      </c>
      <c r="S1209">
        <v>121289471.08</v>
      </c>
      <c r="T1209">
        <v>66681705990.779999</v>
      </c>
      <c r="U1209">
        <v>67158766560.279999</v>
      </c>
      <c r="V1209">
        <v>9.8123000000000002E-2</v>
      </c>
      <c r="W1209">
        <v>1.7727E-2</v>
      </c>
    </row>
    <row r="1210" spans="1:23" x14ac:dyDescent="0.35">
      <c r="A1210" t="s">
        <v>0</v>
      </c>
      <c r="B1210">
        <v>5250</v>
      </c>
      <c r="C1210">
        <v>72</v>
      </c>
      <c r="D1210">
        <v>995</v>
      </c>
      <c r="E1210">
        <v>0</v>
      </c>
      <c r="F1210">
        <v>14636531759</v>
      </c>
      <c r="G1210">
        <v>25085280.77</v>
      </c>
      <c r="H1210">
        <v>14445271543.780001</v>
      </c>
      <c r="I1210">
        <v>14549072277.889999</v>
      </c>
      <c r="J1210">
        <v>0.128048</v>
      </c>
      <c r="K1210">
        <v>4.9957000000000001E-2</v>
      </c>
      <c r="M1210" t="s">
        <v>3</v>
      </c>
      <c r="N1210">
        <v>5500</v>
      </c>
      <c r="O1210">
        <v>84</v>
      </c>
      <c r="P1210">
        <v>8</v>
      </c>
      <c r="Q1210">
        <v>0</v>
      </c>
      <c r="R1210">
        <v>103188852</v>
      </c>
      <c r="S1210">
        <v>185069.86</v>
      </c>
      <c r="T1210">
        <v>103003782.14</v>
      </c>
      <c r="U1210">
        <v>103003782.14</v>
      </c>
      <c r="V1210">
        <v>0</v>
      </c>
      <c r="W1210">
        <v>0</v>
      </c>
    </row>
    <row r="1211" spans="1:23" x14ac:dyDescent="0.35">
      <c r="A1211" t="s">
        <v>0</v>
      </c>
      <c r="B1211">
        <v>5750</v>
      </c>
      <c r="C1211">
        <v>72</v>
      </c>
      <c r="D1211">
        <v>112</v>
      </c>
      <c r="E1211">
        <v>0</v>
      </c>
      <c r="F1211">
        <v>1473562807</v>
      </c>
      <c r="G1211">
        <v>2356890.96</v>
      </c>
      <c r="H1211">
        <v>1454881590.76</v>
      </c>
      <c r="I1211">
        <v>1454881590.76</v>
      </c>
      <c r="J1211">
        <v>0.12512999999999999</v>
      </c>
      <c r="K1211">
        <v>0.12512999999999999</v>
      </c>
      <c r="M1211" t="s">
        <v>2</v>
      </c>
      <c r="N1211">
        <v>2750</v>
      </c>
      <c r="O1211">
        <v>84</v>
      </c>
      <c r="P1211">
        <v>202</v>
      </c>
      <c r="Q1211">
        <v>0</v>
      </c>
      <c r="R1211">
        <v>2761733372</v>
      </c>
      <c r="S1211">
        <v>6904303.2199999997</v>
      </c>
      <c r="T1211">
        <v>2744955149.71</v>
      </c>
      <c r="U1211">
        <v>2754829068.7800002</v>
      </c>
      <c r="V1211">
        <v>4.2069000000000002E-2</v>
      </c>
      <c r="W1211">
        <v>0</v>
      </c>
    </row>
    <row r="1212" spans="1:23" x14ac:dyDescent="0.35">
      <c r="A1212" t="s">
        <v>3</v>
      </c>
      <c r="B1212">
        <v>3750</v>
      </c>
      <c r="C1212">
        <v>72</v>
      </c>
      <c r="D1212">
        <v>84</v>
      </c>
      <c r="E1212">
        <v>0</v>
      </c>
      <c r="F1212">
        <v>1338421251</v>
      </c>
      <c r="G1212">
        <v>2865035.07</v>
      </c>
      <c r="H1212">
        <v>1282506554.8699999</v>
      </c>
      <c r="I1212">
        <v>1335556215.9300001</v>
      </c>
      <c r="J1212">
        <v>0.38449699999999998</v>
      </c>
      <c r="K1212">
        <v>0</v>
      </c>
      <c r="M1212" t="s">
        <v>1</v>
      </c>
      <c r="N1212">
        <v>2750</v>
      </c>
      <c r="O1212">
        <v>84</v>
      </c>
      <c r="P1212">
        <v>3603</v>
      </c>
      <c r="Q1212">
        <v>0</v>
      </c>
      <c r="R1212">
        <v>93142634422</v>
      </c>
      <c r="S1212">
        <v>231968690.72999999</v>
      </c>
      <c r="T1212">
        <v>92533489608.960007</v>
      </c>
      <c r="U1212">
        <v>92910665731.270004</v>
      </c>
      <c r="V1212">
        <v>4.7525999999999999E-2</v>
      </c>
      <c r="W1212">
        <v>0</v>
      </c>
    </row>
    <row r="1213" spans="1:23" x14ac:dyDescent="0.35">
      <c r="A1213" t="s">
        <v>0</v>
      </c>
      <c r="B1213">
        <v>5750</v>
      </c>
      <c r="C1213">
        <v>168</v>
      </c>
      <c r="D1213">
        <v>116</v>
      </c>
      <c r="E1213">
        <v>0</v>
      </c>
      <c r="F1213">
        <v>791596881</v>
      </c>
      <c r="G1213">
        <v>2185222.94</v>
      </c>
      <c r="H1213">
        <v>782797591.65999997</v>
      </c>
      <c r="I1213">
        <v>789411658.05999994</v>
      </c>
      <c r="J1213">
        <v>9.5782999999999993E-2</v>
      </c>
      <c r="K1213">
        <v>0</v>
      </c>
      <c r="M1213" t="s">
        <v>0</v>
      </c>
      <c r="N1213">
        <v>2750</v>
      </c>
      <c r="O1213">
        <v>84</v>
      </c>
      <c r="P1213">
        <v>915</v>
      </c>
      <c r="Q1213">
        <v>0</v>
      </c>
      <c r="R1213">
        <v>18734959994</v>
      </c>
      <c r="S1213">
        <v>46718430.93</v>
      </c>
      <c r="T1213">
        <v>18648104304.810001</v>
      </c>
      <c r="U1213">
        <v>18688241563.07</v>
      </c>
      <c r="V1213">
        <v>2.5408E-2</v>
      </c>
      <c r="W1213">
        <v>0</v>
      </c>
    </row>
    <row r="1214" spans="1:23" x14ac:dyDescent="0.35">
      <c r="A1214" t="s">
        <v>3</v>
      </c>
      <c r="B1214">
        <v>3500</v>
      </c>
      <c r="C1214">
        <v>72</v>
      </c>
      <c r="D1214">
        <v>129</v>
      </c>
      <c r="E1214">
        <v>0</v>
      </c>
      <c r="F1214">
        <v>2101071934</v>
      </c>
      <c r="G1214">
        <v>4624783.9000000004</v>
      </c>
      <c r="H1214">
        <v>2096447150.0999999</v>
      </c>
      <c r="I1214">
        <v>2096447150.0999999</v>
      </c>
      <c r="J1214">
        <v>0</v>
      </c>
      <c r="K1214">
        <v>0</v>
      </c>
      <c r="M1214" t="s">
        <v>0</v>
      </c>
      <c r="N1214">
        <v>5750</v>
      </c>
      <c r="O1214">
        <v>144</v>
      </c>
      <c r="P1214">
        <v>563</v>
      </c>
      <c r="Q1214">
        <v>0</v>
      </c>
      <c r="R1214">
        <v>3553175326</v>
      </c>
      <c r="S1214">
        <v>8694722.6899999995</v>
      </c>
      <c r="T1214">
        <v>3521050842.21</v>
      </c>
      <c r="U1214">
        <v>3538453143.1300001</v>
      </c>
      <c r="V1214">
        <v>7.6321E-2</v>
      </c>
      <c r="W1214">
        <v>2.0167000000000001E-2</v>
      </c>
    </row>
    <row r="1215" spans="1:23" x14ac:dyDescent="0.35">
      <c r="A1215" t="s">
        <v>3</v>
      </c>
      <c r="B1215">
        <v>3250</v>
      </c>
      <c r="C1215">
        <v>72</v>
      </c>
      <c r="D1215">
        <v>392</v>
      </c>
      <c r="E1215">
        <v>0</v>
      </c>
      <c r="F1215">
        <v>7588379375</v>
      </c>
      <c r="G1215">
        <v>17313091.309999999</v>
      </c>
      <c r="H1215">
        <v>7501637770.8400002</v>
      </c>
      <c r="I1215">
        <v>7571066283.6899996</v>
      </c>
      <c r="J1215">
        <v>0.104432</v>
      </c>
      <c r="K1215">
        <v>0</v>
      </c>
      <c r="M1215" t="s">
        <v>3</v>
      </c>
      <c r="N1215">
        <v>3500</v>
      </c>
      <c r="O1215">
        <v>84</v>
      </c>
      <c r="P1215">
        <v>284</v>
      </c>
      <c r="Q1215">
        <v>0</v>
      </c>
      <c r="R1215">
        <v>5361104172</v>
      </c>
      <c r="S1215">
        <v>12247973.380000001</v>
      </c>
      <c r="T1215">
        <v>5348856198.6199999</v>
      </c>
      <c r="U1215">
        <v>5348856198.6199999</v>
      </c>
      <c r="V1215">
        <v>0</v>
      </c>
      <c r="W1215">
        <v>0</v>
      </c>
    </row>
    <row r="1216" spans="1:23" x14ac:dyDescent="0.35">
      <c r="A1216" t="s">
        <v>3</v>
      </c>
      <c r="B1216">
        <v>2750</v>
      </c>
      <c r="C1216">
        <v>72</v>
      </c>
      <c r="D1216">
        <v>1483</v>
      </c>
      <c r="E1216">
        <v>0</v>
      </c>
      <c r="F1216">
        <v>32402553962</v>
      </c>
      <c r="G1216">
        <v>77581132.849999994</v>
      </c>
      <c r="H1216">
        <v>32123281121.029999</v>
      </c>
      <c r="I1216">
        <v>32324972829.150002</v>
      </c>
      <c r="J1216">
        <v>7.2190000000000004E-2</v>
      </c>
      <c r="K1216">
        <v>0</v>
      </c>
      <c r="M1216" t="s">
        <v>3</v>
      </c>
      <c r="N1216">
        <v>3250</v>
      </c>
      <c r="O1216">
        <v>84</v>
      </c>
      <c r="P1216">
        <v>182</v>
      </c>
      <c r="Q1216">
        <v>0</v>
      </c>
      <c r="R1216">
        <v>3727590741</v>
      </c>
      <c r="S1216">
        <v>8740644.5199999996</v>
      </c>
      <c r="T1216">
        <v>3718850096.48</v>
      </c>
      <c r="U1216">
        <v>3718850096.48</v>
      </c>
      <c r="V1216">
        <v>0</v>
      </c>
      <c r="W1216">
        <v>0</v>
      </c>
    </row>
    <row r="1217" spans="1:23" x14ac:dyDescent="0.35">
      <c r="A1217" t="s">
        <v>2</v>
      </c>
      <c r="B1217">
        <v>5250</v>
      </c>
      <c r="C1217">
        <v>72</v>
      </c>
      <c r="D1217">
        <v>107</v>
      </c>
      <c r="E1217">
        <v>0</v>
      </c>
      <c r="F1217">
        <v>1116868355</v>
      </c>
      <c r="G1217">
        <v>1934422.12</v>
      </c>
      <c r="H1217">
        <v>1101254159.1900001</v>
      </c>
      <c r="I1217">
        <v>1114933932.8800001</v>
      </c>
      <c r="J1217">
        <v>0.13747200000000001</v>
      </c>
      <c r="K1217">
        <v>0</v>
      </c>
      <c r="M1217" t="s">
        <v>2</v>
      </c>
      <c r="N1217">
        <v>4750</v>
      </c>
      <c r="O1217">
        <v>72</v>
      </c>
      <c r="P1217">
        <v>446</v>
      </c>
      <c r="Q1217">
        <v>0</v>
      </c>
      <c r="R1217">
        <v>4962952002</v>
      </c>
      <c r="S1217">
        <v>9273860.9499999993</v>
      </c>
      <c r="T1217">
        <v>4887605964</v>
      </c>
      <c r="U1217">
        <v>4925352300.25</v>
      </c>
      <c r="V1217">
        <v>0.148563</v>
      </c>
      <c r="W1217">
        <v>6.6379999999999995E-2</v>
      </c>
    </row>
    <row r="1218" spans="1:23" x14ac:dyDescent="0.35">
      <c r="A1218" t="s">
        <v>1</v>
      </c>
      <c r="B1218">
        <v>5250</v>
      </c>
      <c r="C1218">
        <v>72</v>
      </c>
      <c r="D1218">
        <v>106</v>
      </c>
      <c r="E1218">
        <v>0</v>
      </c>
      <c r="F1218">
        <v>1615975745</v>
      </c>
      <c r="G1218">
        <v>2767756.97</v>
      </c>
      <c r="H1218">
        <v>1574832341.1800001</v>
      </c>
      <c r="I1218">
        <v>1593881781.49</v>
      </c>
      <c r="J1218">
        <v>0.25054599999999999</v>
      </c>
      <c r="K1218">
        <v>0.13444</v>
      </c>
      <c r="M1218" t="s">
        <v>1</v>
      </c>
      <c r="N1218">
        <v>5000</v>
      </c>
      <c r="O1218">
        <v>72</v>
      </c>
      <c r="P1218">
        <v>115</v>
      </c>
      <c r="Q1218">
        <v>0</v>
      </c>
      <c r="R1218">
        <v>2052053582</v>
      </c>
      <c r="S1218">
        <v>3693960.46</v>
      </c>
      <c r="T1218">
        <v>1967638346.1900001</v>
      </c>
      <c r="U1218">
        <v>2020719843.9300001</v>
      </c>
      <c r="V1218">
        <v>0.38219199999999998</v>
      </c>
      <c r="W1218">
        <v>0.15018000000000001</v>
      </c>
    </row>
    <row r="1219" spans="1:23" x14ac:dyDescent="0.35">
      <c r="A1219" t="s">
        <v>1</v>
      </c>
      <c r="B1219">
        <v>2500</v>
      </c>
      <c r="C1219">
        <v>84</v>
      </c>
      <c r="D1219">
        <v>95</v>
      </c>
      <c r="E1219">
        <v>0</v>
      </c>
      <c r="F1219">
        <v>2893187304</v>
      </c>
      <c r="G1219">
        <v>7383232.5800000001</v>
      </c>
      <c r="H1219">
        <v>2885804071.4200001</v>
      </c>
      <c r="I1219">
        <v>2885804071.4200001</v>
      </c>
      <c r="J1219">
        <v>0</v>
      </c>
      <c r="K1219">
        <v>0</v>
      </c>
      <c r="M1219" t="s">
        <v>0</v>
      </c>
      <c r="N1219">
        <v>3750</v>
      </c>
      <c r="O1219">
        <v>60</v>
      </c>
      <c r="P1219">
        <v>43436</v>
      </c>
      <c r="Q1219">
        <v>0</v>
      </c>
      <c r="R1219">
        <v>862202008039</v>
      </c>
      <c r="S1219">
        <v>1735017870.9300001</v>
      </c>
      <c r="T1219">
        <v>855975894785.85999</v>
      </c>
      <c r="U1219">
        <v>859705236199.72998</v>
      </c>
      <c r="V1219">
        <v>6.0746000000000001E-2</v>
      </c>
      <c r="W1219">
        <v>1.0551E-2</v>
      </c>
    </row>
    <row r="1220" spans="1:23" x14ac:dyDescent="0.35">
      <c r="A1220" t="s">
        <v>1</v>
      </c>
      <c r="B1220">
        <v>2250</v>
      </c>
      <c r="C1220">
        <v>84</v>
      </c>
      <c r="D1220">
        <v>15</v>
      </c>
      <c r="E1220">
        <v>0</v>
      </c>
      <c r="F1220">
        <v>417961124</v>
      </c>
      <c r="G1220">
        <v>1102624.68</v>
      </c>
      <c r="H1220">
        <v>416858499.31999999</v>
      </c>
      <c r="I1220">
        <v>416858499.31999999</v>
      </c>
      <c r="J1220">
        <v>0</v>
      </c>
      <c r="K1220">
        <v>0</v>
      </c>
      <c r="M1220" t="s">
        <v>0</v>
      </c>
      <c r="N1220">
        <v>4250</v>
      </c>
      <c r="O1220">
        <v>60</v>
      </c>
      <c r="P1220">
        <v>8288</v>
      </c>
      <c r="Q1220">
        <v>0</v>
      </c>
      <c r="R1220">
        <v>162810266997</v>
      </c>
      <c r="S1220">
        <v>302999452.58999997</v>
      </c>
      <c r="T1220">
        <v>161413311345.04999</v>
      </c>
      <c r="U1220">
        <v>162171787628.88</v>
      </c>
      <c r="V1220">
        <v>7.7715999999999993E-2</v>
      </c>
      <c r="W1220">
        <v>2.4448000000000001E-2</v>
      </c>
    </row>
    <row r="1221" spans="1:23" x14ac:dyDescent="0.35">
      <c r="A1221" t="s">
        <v>3</v>
      </c>
      <c r="B1221">
        <v>4500</v>
      </c>
      <c r="C1221">
        <v>72</v>
      </c>
      <c r="D1221">
        <v>6</v>
      </c>
      <c r="E1221">
        <v>0</v>
      </c>
      <c r="F1221">
        <v>115309620</v>
      </c>
      <c r="G1221">
        <v>221854.14</v>
      </c>
      <c r="H1221">
        <v>115087765.86</v>
      </c>
      <c r="I1221">
        <v>115087765.86</v>
      </c>
      <c r="J1221">
        <v>0</v>
      </c>
      <c r="K1221">
        <v>0</v>
      </c>
      <c r="M1221" t="s">
        <v>2</v>
      </c>
      <c r="N1221">
        <v>4500</v>
      </c>
      <c r="O1221">
        <v>60</v>
      </c>
      <c r="P1221">
        <v>103</v>
      </c>
      <c r="Q1221">
        <v>0</v>
      </c>
      <c r="R1221">
        <v>1215892170</v>
      </c>
      <c r="S1221">
        <v>2279871.37</v>
      </c>
      <c r="T1221">
        <v>1213612298.6300001</v>
      </c>
      <c r="U1221">
        <v>1213612298.6300001</v>
      </c>
      <c r="V1221">
        <v>0</v>
      </c>
      <c r="W1221">
        <v>0</v>
      </c>
    </row>
    <row r="1222" spans="1:23" x14ac:dyDescent="0.35">
      <c r="A1222" t="s">
        <v>0</v>
      </c>
      <c r="B1222">
        <v>6250</v>
      </c>
      <c r="C1222">
        <v>72</v>
      </c>
      <c r="D1222">
        <v>37</v>
      </c>
      <c r="E1222">
        <v>0</v>
      </c>
      <c r="F1222">
        <v>517471789</v>
      </c>
      <c r="G1222">
        <v>763963.58</v>
      </c>
      <c r="H1222">
        <v>516707825.42000002</v>
      </c>
      <c r="I1222">
        <v>516707825.42000002</v>
      </c>
      <c r="J1222">
        <v>0</v>
      </c>
      <c r="K1222">
        <v>0</v>
      </c>
      <c r="M1222" t="s">
        <v>2</v>
      </c>
      <c r="N1222">
        <v>3750</v>
      </c>
      <c r="O1222">
        <v>60</v>
      </c>
      <c r="P1222">
        <v>3396</v>
      </c>
      <c r="Q1222">
        <v>0</v>
      </c>
      <c r="R1222">
        <v>47646624065</v>
      </c>
      <c r="S1222">
        <v>96791310.030000001</v>
      </c>
      <c r="T1222">
        <v>47195341567.57</v>
      </c>
      <c r="U1222">
        <v>47478597251.559998</v>
      </c>
      <c r="V1222">
        <v>8.5716000000000001E-2</v>
      </c>
      <c r="W1222">
        <v>1.7794000000000001E-2</v>
      </c>
    </row>
    <row r="1223" spans="1:23" x14ac:dyDescent="0.35">
      <c r="A1223" t="s">
        <v>0</v>
      </c>
      <c r="B1223">
        <v>6000</v>
      </c>
      <c r="C1223">
        <v>72</v>
      </c>
      <c r="D1223">
        <v>21</v>
      </c>
      <c r="E1223">
        <v>0</v>
      </c>
      <c r="F1223">
        <v>323768355</v>
      </c>
      <c r="G1223">
        <v>505089.91</v>
      </c>
      <c r="H1223">
        <v>323263265.08999997</v>
      </c>
      <c r="I1223">
        <v>323263265.08999997</v>
      </c>
      <c r="J1223">
        <v>0</v>
      </c>
      <c r="K1223">
        <v>0</v>
      </c>
      <c r="M1223" t="s">
        <v>1</v>
      </c>
      <c r="N1223">
        <v>3750</v>
      </c>
      <c r="O1223">
        <v>60</v>
      </c>
      <c r="P1223">
        <v>8136</v>
      </c>
      <c r="Q1223">
        <v>0</v>
      </c>
      <c r="R1223">
        <v>192612028874</v>
      </c>
      <c r="S1223">
        <v>388435125.81</v>
      </c>
      <c r="T1223">
        <v>190359366171.92001</v>
      </c>
      <c r="U1223">
        <v>191687904184.14001</v>
      </c>
      <c r="V1223">
        <v>0.110157</v>
      </c>
      <c r="W1223">
        <v>3.2868000000000001E-2</v>
      </c>
    </row>
    <row r="1224" spans="1:23" x14ac:dyDescent="0.35">
      <c r="A1224" t="s">
        <v>3</v>
      </c>
      <c r="B1224">
        <v>2500</v>
      </c>
      <c r="C1224">
        <v>72</v>
      </c>
      <c r="D1224">
        <v>150</v>
      </c>
      <c r="E1224">
        <v>0</v>
      </c>
      <c r="F1224">
        <v>3127846484</v>
      </c>
      <c r="G1224">
        <v>7658978.2300000004</v>
      </c>
      <c r="H1224">
        <v>3097119755.9099998</v>
      </c>
      <c r="I1224">
        <v>3120187505.77</v>
      </c>
      <c r="J1224">
        <v>8.4997000000000003E-2</v>
      </c>
      <c r="K1224">
        <v>0</v>
      </c>
      <c r="M1224" t="s">
        <v>1</v>
      </c>
      <c r="N1224">
        <v>7750</v>
      </c>
      <c r="O1224">
        <v>24</v>
      </c>
      <c r="P1224">
        <v>702</v>
      </c>
      <c r="Q1224">
        <v>0</v>
      </c>
      <c r="R1224">
        <v>16616746979</v>
      </c>
      <c r="S1224">
        <v>14141128.880000001</v>
      </c>
      <c r="T1224">
        <v>15809893448.559999</v>
      </c>
      <c r="U1224">
        <v>16360932840.950001</v>
      </c>
      <c r="V1224">
        <v>0.44377</v>
      </c>
      <c r="W1224">
        <v>0.161222</v>
      </c>
    </row>
    <row r="1225" spans="1:23" x14ac:dyDescent="0.35">
      <c r="A1225" t="s">
        <v>0</v>
      </c>
      <c r="B1225">
        <v>2500</v>
      </c>
      <c r="C1225">
        <v>84</v>
      </c>
      <c r="D1225">
        <v>10</v>
      </c>
      <c r="E1225">
        <v>0</v>
      </c>
      <c r="F1225">
        <v>137506201</v>
      </c>
      <c r="G1225">
        <v>360619.2</v>
      </c>
      <c r="H1225">
        <v>137145581.80000001</v>
      </c>
      <c r="I1225">
        <v>137145581.80000001</v>
      </c>
      <c r="J1225">
        <v>0</v>
      </c>
      <c r="K1225">
        <v>0</v>
      </c>
      <c r="M1225" t="s">
        <v>2</v>
      </c>
      <c r="N1225">
        <v>7750</v>
      </c>
      <c r="O1225">
        <v>24</v>
      </c>
      <c r="P1225">
        <v>248</v>
      </c>
      <c r="Q1225">
        <v>0</v>
      </c>
      <c r="R1225">
        <v>3651608774</v>
      </c>
      <c r="S1225">
        <v>3073572.78</v>
      </c>
      <c r="T1225">
        <v>3607494230.8800001</v>
      </c>
      <c r="U1225">
        <v>3636732132.7199998</v>
      </c>
      <c r="V1225">
        <v>0.12683700000000001</v>
      </c>
      <c r="W1225">
        <v>3.8105E-2</v>
      </c>
    </row>
    <row r="1226" spans="1:23" x14ac:dyDescent="0.35">
      <c r="A1226" t="s">
        <v>0</v>
      </c>
      <c r="B1226">
        <v>2250</v>
      </c>
      <c r="C1226">
        <v>84</v>
      </c>
      <c r="D1226">
        <v>3</v>
      </c>
      <c r="E1226">
        <v>0</v>
      </c>
      <c r="F1226">
        <v>35331106</v>
      </c>
      <c r="G1226">
        <v>93512.95</v>
      </c>
      <c r="H1226">
        <v>35237593.049999997</v>
      </c>
      <c r="I1226">
        <v>35237593.049999997</v>
      </c>
      <c r="J1226">
        <v>0</v>
      </c>
      <c r="K1226">
        <v>0</v>
      </c>
      <c r="M1226" t="s">
        <v>0</v>
      </c>
      <c r="N1226">
        <v>5250</v>
      </c>
      <c r="O1226">
        <v>72</v>
      </c>
      <c r="P1226">
        <v>1339</v>
      </c>
      <c r="Q1226">
        <v>0</v>
      </c>
      <c r="R1226">
        <v>19785726665</v>
      </c>
      <c r="S1226">
        <v>34080164.020000003</v>
      </c>
      <c r="T1226">
        <v>19658656841.360001</v>
      </c>
      <c r="U1226">
        <v>19751646500.98</v>
      </c>
      <c r="V1226">
        <v>5.4962999999999998E-2</v>
      </c>
      <c r="W1226">
        <v>0</v>
      </c>
    </row>
    <row r="1227" spans="1:23" x14ac:dyDescent="0.35">
      <c r="A1227" t="s">
        <v>2</v>
      </c>
      <c r="B1227">
        <v>2250</v>
      </c>
      <c r="C1227">
        <v>84</v>
      </c>
      <c r="D1227">
        <v>3</v>
      </c>
      <c r="E1227">
        <v>0</v>
      </c>
      <c r="F1227">
        <v>29486910</v>
      </c>
      <c r="G1227">
        <v>79798.69</v>
      </c>
      <c r="H1227">
        <v>29407111.309999999</v>
      </c>
      <c r="I1227">
        <v>29407111.309999999</v>
      </c>
      <c r="J1227">
        <v>0</v>
      </c>
      <c r="K1227">
        <v>0</v>
      </c>
      <c r="M1227" t="s">
        <v>0</v>
      </c>
      <c r="N1227">
        <v>5750</v>
      </c>
      <c r="O1227">
        <v>72</v>
      </c>
      <c r="P1227">
        <v>149</v>
      </c>
      <c r="Q1227">
        <v>0</v>
      </c>
      <c r="R1227">
        <v>1916672706</v>
      </c>
      <c r="S1227">
        <v>3072597.35</v>
      </c>
      <c r="T1227">
        <v>1913600108.6500001</v>
      </c>
      <c r="U1227">
        <v>1913600108.6500001</v>
      </c>
      <c r="V1227">
        <v>0</v>
      </c>
      <c r="W1227">
        <v>0</v>
      </c>
    </row>
    <row r="1228" spans="1:23" x14ac:dyDescent="0.35">
      <c r="A1228" t="s">
        <v>3</v>
      </c>
      <c r="B1228">
        <v>4000</v>
      </c>
      <c r="C1228">
        <v>72</v>
      </c>
      <c r="D1228">
        <v>23</v>
      </c>
      <c r="E1228">
        <v>0</v>
      </c>
      <c r="F1228">
        <v>398337832</v>
      </c>
      <c r="G1228">
        <v>807680.73</v>
      </c>
      <c r="H1228">
        <v>397530151.26999998</v>
      </c>
      <c r="I1228">
        <v>397530151.26999998</v>
      </c>
      <c r="J1228">
        <v>0</v>
      </c>
      <c r="K1228">
        <v>0</v>
      </c>
      <c r="M1228" t="s">
        <v>3</v>
      </c>
      <c r="N1228">
        <v>3750</v>
      </c>
      <c r="O1228">
        <v>72</v>
      </c>
      <c r="P1228">
        <v>111</v>
      </c>
      <c r="Q1228">
        <v>0</v>
      </c>
      <c r="R1228">
        <v>1847761923</v>
      </c>
      <c r="S1228">
        <v>3981101.24</v>
      </c>
      <c r="T1228">
        <v>1808475088.1900001</v>
      </c>
      <c r="U1228">
        <v>1843780821.76</v>
      </c>
      <c r="V1228">
        <v>0.20666200000000001</v>
      </c>
      <c r="W1228">
        <v>0</v>
      </c>
    </row>
    <row r="1229" spans="1:23" x14ac:dyDescent="0.35">
      <c r="A1229" t="s">
        <v>2</v>
      </c>
      <c r="B1229">
        <v>5750</v>
      </c>
      <c r="C1229">
        <v>72</v>
      </c>
      <c r="D1229">
        <v>17</v>
      </c>
      <c r="E1229">
        <v>0</v>
      </c>
      <c r="F1229">
        <v>153273900</v>
      </c>
      <c r="G1229">
        <v>247642.17</v>
      </c>
      <c r="H1229">
        <v>153026257.83000001</v>
      </c>
      <c r="I1229">
        <v>153026257.83000001</v>
      </c>
      <c r="J1229">
        <v>0</v>
      </c>
      <c r="K1229">
        <v>0</v>
      </c>
      <c r="M1229" t="s">
        <v>3</v>
      </c>
      <c r="N1229">
        <v>3500</v>
      </c>
      <c r="O1229">
        <v>72</v>
      </c>
      <c r="P1229">
        <v>163</v>
      </c>
      <c r="Q1229">
        <v>0</v>
      </c>
      <c r="R1229">
        <v>2773993693</v>
      </c>
      <c r="S1229">
        <v>6137789.4199999999</v>
      </c>
      <c r="T1229">
        <v>2727202116.9400001</v>
      </c>
      <c r="U1229">
        <v>2767855903.5799999</v>
      </c>
      <c r="V1229">
        <v>0.162359</v>
      </c>
      <c r="W1229">
        <v>0</v>
      </c>
    </row>
    <row r="1230" spans="1:23" x14ac:dyDescent="0.35">
      <c r="A1230" t="s">
        <v>2</v>
      </c>
      <c r="B1230">
        <v>5500</v>
      </c>
      <c r="C1230">
        <v>72</v>
      </c>
      <c r="D1230">
        <v>13</v>
      </c>
      <c r="E1230">
        <v>0</v>
      </c>
      <c r="F1230">
        <v>107072643</v>
      </c>
      <c r="G1230">
        <v>185158.12</v>
      </c>
      <c r="H1230">
        <v>106887484.88</v>
      </c>
      <c r="I1230">
        <v>106887484.88</v>
      </c>
      <c r="J1230">
        <v>0</v>
      </c>
      <c r="K1230">
        <v>0</v>
      </c>
      <c r="M1230" t="s">
        <v>3</v>
      </c>
      <c r="N1230">
        <v>3250</v>
      </c>
      <c r="O1230">
        <v>72</v>
      </c>
      <c r="P1230">
        <v>406</v>
      </c>
      <c r="Q1230">
        <v>0</v>
      </c>
      <c r="R1230">
        <v>7765703134</v>
      </c>
      <c r="S1230">
        <v>17694599.710000001</v>
      </c>
      <c r="T1230">
        <v>7654478185.3900003</v>
      </c>
      <c r="U1230">
        <v>7748008534.29</v>
      </c>
      <c r="V1230">
        <v>0.135329</v>
      </c>
      <c r="W1230">
        <v>0</v>
      </c>
    </row>
    <row r="1231" spans="1:23" x14ac:dyDescent="0.35">
      <c r="A1231" t="s">
        <v>3</v>
      </c>
      <c r="B1231">
        <v>4750</v>
      </c>
      <c r="C1231">
        <v>72</v>
      </c>
      <c r="D1231">
        <v>5</v>
      </c>
      <c r="E1231">
        <v>0</v>
      </c>
      <c r="F1231">
        <v>58040803</v>
      </c>
      <c r="G1231">
        <v>108124.47</v>
      </c>
      <c r="H1231">
        <v>57932678.530000001</v>
      </c>
      <c r="I1231">
        <v>57932678.530000001</v>
      </c>
      <c r="J1231">
        <v>0</v>
      </c>
      <c r="K1231">
        <v>0</v>
      </c>
      <c r="M1231" t="s">
        <v>3</v>
      </c>
      <c r="N1231">
        <v>2750</v>
      </c>
      <c r="O1231">
        <v>72</v>
      </c>
      <c r="P1231">
        <v>1370</v>
      </c>
      <c r="Q1231">
        <v>0</v>
      </c>
      <c r="R1231">
        <v>30087343582</v>
      </c>
      <c r="S1231">
        <v>71837235.730000004</v>
      </c>
      <c r="T1231">
        <v>29839043274.029999</v>
      </c>
      <c r="U1231">
        <v>30015506346.27</v>
      </c>
      <c r="V1231">
        <v>6.8154000000000006E-2</v>
      </c>
      <c r="W1231">
        <v>0</v>
      </c>
    </row>
    <row r="1232" spans="1:23" x14ac:dyDescent="0.35">
      <c r="A1232" t="s">
        <v>3</v>
      </c>
      <c r="B1232">
        <v>2500</v>
      </c>
      <c r="C1232">
        <v>60</v>
      </c>
      <c r="D1232">
        <v>42</v>
      </c>
      <c r="E1232">
        <v>0</v>
      </c>
      <c r="F1232">
        <v>861638290</v>
      </c>
      <c r="G1232">
        <v>2070278.04</v>
      </c>
      <c r="H1232">
        <v>843054198.49000001</v>
      </c>
      <c r="I1232">
        <v>859568011.96000004</v>
      </c>
      <c r="J1232">
        <v>0.207228</v>
      </c>
      <c r="K1232">
        <v>0</v>
      </c>
      <c r="M1232" t="s">
        <v>1</v>
      </c>
      <c r="N1232">
        <v>5250</v>
      </c>
      <c r="O1232">
        <v>72</v>
      </c>
      <c r="P1232">
        <v>138</v>
      </c>
      <c r="Q1232">
        <v>0</v>
      </c>
      <c r="R1232">
        <v>2073639964</v>
      </c>
      <c r="S1232">
        <v>3567533.66</v>
      </c>
      <c r="T1232">
        <v>2008251477.0999999</v>
      </c>
      <c r="U1232">
        <v>2027713611.0899999</v>
      </c>
      <c r="V1232">
        <v>0.30454900000000001</v>
      </c>
      <c r="W1232">
        <v>0.21937899999999999</v>
      </c>
    </row>
    <row r="1233" spans="1:23" x14ac:dyDescent="0.35">
      <c r="A1233" t="s">
        <v>3</v>
      </c>
      <c r="B1233">
        <v>4250</v>
      </c>
      <c r="C1233">
        <v>72</v>
      </c>
      <c r="D1233">
        <v>19</v>
      </c>
      <c r="E1233">
        <v>0</v>
      </c>
      <c r="F1233">
        <v>230301795</v>
      </c>
      <c r="G1233">
        <v>448860.82</v>
      </c>
      <c r="H1233">
        <v>229852934.18000001</v>
      </c>
      <c r="I1233">
        <v>229852934.18000001</v>
      </c>
      <c r="J1233">
        <v>0</v>
      </c>
      <c r="K1233">
        <v>0</v>
      </c>
      <c r="M1233" t="s">
        <v>3</v>
      </c>
      <c r="N1233">
        <v>4000</v>
      </c>
      <c r="O1233">
        <v>72</v>
      </c>
      <c r="P1233">
        <v>39</v>
      </c>
      <c r="Q1233">
        <v>0</v>
      </c>
      <c r="R1233">
        <v>665611339</v>
      </c>
      <c r="S1233">
        <v>1379472.13</v>
      </c>
      <c r="T1233">
        <v>664231866.87</v>
      </c>
      <c r="U1233">
        <v>664231866.87</v>
      </c>
      <c r="V1233">
        <v>0</v>
      </c>
      <c r="W1233">
        <v>0</v>
      </c>
    </row>
    <row r="1234" spans="1:23" x14ac:dyDescent="0.35">
      <c r="A1234" t="s">
        <v>3</v>
      </c>
      <c r="B1234">
        <v>3250</v>
      </c>
      <c r="C1234">
        <v>60</v>
      </c>
      <c r="D1234">
        <v>352</v>
      </c>
      <c r="E1234">
        <v>0</v>
      </c>
      <c r="F1234">
        <v>5713395798</v>
      </c>
      <c r="G1234">
        <v>12362883.210000001</v>
      </c>
      <c r="H1234">
        <v>5628931723.9099998</v>
      </c>
      <c r="I1234">
        <v>5701032914.79</v>
      </c>
      <c r="J1234">
        <v>0.14135500000000001</v>
      </c>
      <c r="K1234">
        <v>0</v>
      </c>
      <c r="M1234" t="s">
        <v>2</v>
      </c>
      <c r="N1234">
        <v>5750</v>
      </c>
      <c r="O1234">
        <v>72</v>
      </c>
      <c r="P1234">
        <v>17</v>
      </c>
      <c r="Q1234">
        <v>0</v>
      </c>
      <c r="R1234">
        <v>152185174</v>
      </c>
      <c r="S1234">
        <v>245285.16</v>
      </c>
      <c r="T1234">
        <v>151939888.84</v>
      </c>
      <c r="U1234">
        <v>151939888.84</v>
      </c>
      <c r="V1234">
        <v>0</v>
      </c>
      <c r="W1234">
        <v>0</v>
      </c>
    </row>
    <row r="1235" spans="1:23" x14ac:dyDescent="0.35">
      <c r="A1235" t="s">
        <v>3</v>
      </c>
      <c r="B1235">
        <v>3000</v>
      </c>
      <c r="C1235">
        <v>60</v>
      </c>
      <c r="D1235">
        <v>323</v>
      </c>
      <c r="E1235">
        <v>0</v>
      </c>
      <c r="F1235">
        <v>6752871210</v>
      </c>
      <c r="G1235">
        <v>15106071.67</v>
      </c>
      <c r="H1235">
        <v>6724672971.1700001</v>
      </c>
      <c r="I1235">
        <v>6737765138.3299999</v>
      </c>
      <c r="J1235">
        <v>2.3019000000000001E-2</v>
      </c>
      <c r="K1235">
        <v>0</v>
      </c>
      <c r="M1235" t="s">
        <v>2</v>
      </c>
      <c r="N1235">
        <v>5250</v>
      </c>
      <c r="O1235">
        <v>72</v>
      </c>
      <c r="P1235">
        <v>130</v>
      </c>
      <c r="Q1235">
        <v>0</v>
      </c>
      <c r="R1235">
        <v>1352997776</v>
      </c>
      <c r="S1235">
        <v>2337816.0499999998</v>
      </c>
      <c r="T1235">
        <v>1345565564.7</v>
      </c>
      <c r="U1235">
        <v>1345565564.7</v>
      </c>
      <c r="V1235">
        <v>4.4259E-2</v>
      </c>
      <c r="W1235">
        <v>4.4259E-2</v>
      </c>
    </row>
    <row r="1236" spans="1:23" x14ac:dyDescent="0.35">
      <c r="A1236" t="s">
        <v>3</v>
      </c>
      <c r="B1236">
        <v>2750</v>
      </c>
      <c r="C1236">
        <v>60</v>
      </c>
      <c r="D1236">
        <v>343</v>
      </c>
      <c r="E1236">
        <v>0</v>
      </c>
      <c r="F1236">
        <v>8135906666</v>
      </c>
      <c r="G1236">
        <v>18723246.75</v>
      </c>
      <c r="H1236">
        <v>8117183419.25</v>
      </c>
      <c r="I1236">
        <v>8117183419.25</v>
      </c>
      <c r="J1236">
        <v>0</v>
      </c>
      <c r="K1236">
        <v>0</v>
      </c>
      <c r="M1236" t="s">
        <v>0</v>
      </c>
      <c r="N1236">
        <v>6000</v>
      </c>
      <c r="O1236">
        <v>72</v>
      </c>
      <c r="P1236">
        <v>31</v>
      </c>
      <c r="Q1236">
        <v>0</v>
      </c>
      <c r="R1236">
        <v>462033221</v>
      </c>
      <c r="S1236">
        <v>720407.45</v>
      </c>
      <c r="T1236">
        <v>461312813.55000001</v>
      </c>
      <c r="U1236">
        <v>461312813.55000001</v>
      </c>
      <c r="V1236">
        <v>0</v>
      </c>
      <c r="W1236">
        <v>0</v>
      </c>
    </row>
    <row r="1237" spans="1:23" x14ac:dyDescent="0.35">
      <c r="A1237" t="s">
        <v>3</v>
      </c>
      <c r="B1237">
        <v>3750</v>
      </c>
      <c r="C1237">
        <v>54</v>
      </c>
      <c r="D1237">
        <v>88</v>
      </c>
      <c r="E1237">
        <v>0</v>
      </c>
      <c r="F1237">
        <v>2079036131</v>
      </c>
      <c r="G1237">
        <v>4062013.76</v>
      </c>
      <c r="H1237">
        <v>2060726863.5899999</v>
      </c>
      <c r="I1237">
        <v>2074974117.24</v>
      </c>
      <c r="J1237">
        <v>7.9203999999999997E-2</v>
      </c>
      <c r="K1237">
        <v>0</v>
      </c>
      <c r="M1237" t="s">
        <v>3</v>
      </c>
      <c r="N1237">
        <v>5000</v>
      </c>
      <c r="O1237">
        <v>72</v>
      </c>
      <c r="P1237">
        <v>2</v>
      </c>
      <c r="Q1237">
        <v>0</v>
      </c>
      <c r="R1237">
        <v>21978877</v>
      </c>
      <c r="S1237">
        <v>38557.18</v>
      </c>
      <c r="T1237">
        <v>21940319.82</v>
      </c>
      <c r="U1237">
        <v>21940319.82</v>
      </c>
      <c r="V1237">
        <v>0</v>
      </c>
      <c r="W1237">
        <v>0</v>
      </c>
    </row>
    <row r="1238" spans="1:23" x14ac:dyDescent="0.35">
      <c r="A1238" t="s">
        <v>2</v>
      </c>
      <c r="B1238">
        <v>4250</v>
      </c>
      <c r="C1238">
        <v>54</v>
      </c>
      <c r="D1238">
        <v>1712</v>
      </c>
      <c r="E1238">
        <v>0</v>
      </c>
      <c r="F1238">
        <v>25522597725</v>
      </c>
      <c r="G1238">
        <v>46043703.25</v>
      </c>
      <c r="H1238">
        <v>25243609034.77</v>
      </c>
      <c r="I1238">
        <v>25437073118.470001</v>
      </c>
      <c r="J1238">
        <v>0.10419</v>
      </c>
      <c r="K1238">
        <v>1.8405999999999999E-2</v>
      </c>
      <c r="M1238" t="s">
        <v>3</v>
      </c>
      <c r="N1238">
        <v>4250</v>
      </c>
      <c r="O1238">
        <v>72</v>
      </c>
      <c r="P1238">
        <v>23</v>
      </c>
      <c r="Q1238">
        <v>0</v>
      </c>
      <c r="R1238">
        <v>305211329</v>
      </c>
      <c r="S1238">
        <v>603397.66</v>
      </c>
      <c r="T1238">
        <v>299402988.56999999</v>
      </c>
      <c r="U1238">
        <v>304607931.33999997</v>
      </c>
      <c r="V1238">
        <v>0.186499</v>
      </c>
      <c r="W1238">
        <v>0</v>
      </c>
    </row>
    <row r="1239" spans="1:23" x14ac:dyDescent="0.35">
      <c r="A1239" t="s">
        <v>1</v>
      </c>
      <c r="B1239">
        <v>4750</v>
      </c>
      <c r="C1239">
        <v>54</v>
      </c>
      <c r="D1239">
        <v>1425</v>
      </c>
      <c r="E1239">
        <v>0</v>
      </c>
      <c r="F1239">
        <v>37219594558</v>
      </c>
      <c r="G1239">
        <v>62028007.200000003</v>
      </c>
      <c r="H1239">
        <v>36685895087.709999</v>
      </c>
      <c r="I1239">
        <v>37017038775.760002</v>
      </c>
      <c r="J1239">
        <v>0.14190800000000001</v>
      </c>
      <c r="K1239">
        <v>4.4379000000000002E-2</v>
      </c>
      <c r="M1239" t="s">
        <v>3</v>
      </c>
      <c r="N1239">
        <v>4500</v>
      </c>
      <c r="O1239">
        <v>72</v>
      </c>
      <c r="P1239">
        <v>9</v>
      </c>
      <c r="Q1239">
        <v>0</v>
      </c>
      <c r="R1239">
        <v>196920992</v>
      </c>
      <c r="S1239">
        <v>379241.43</v>
      </c>
      <c r="T1239">
        <v>196541750.56999999</v>
      </c>
      <c r="U1239">
        <v>196541750.56999999</v>
      </c>
      <c r="V1239">
        <v>0</v>
      </c>
      <c r="W1239">
        <v>0</v>
      </c>
    </row>
    <row r="1240" spans="1:23" x14ac:dyDescent="0.35">
      <c r="A1240" t="s">
        <v>2</v>
      </c>
      <c r="B1240">
        <v>4750</v>
      </c>
      <c r="C1240">
        <v>54</v>
      </c>
      <c r="D1240">
        <v>440</v>
      </c>
      <c r="E1240">
        <v>0</v>
      </c>
      <c r="F1240">
        <v>5873844160</v>
      </c>
      <c r="G1240">
        <v>9866294.8200000003</v>
      </c>
      <c r="H1240">
        <v>5840125594.5900002</v>
      </c>
      <c r="I1240">
        <v>5852294298.0100002</v>
      </c>
      <c r="J1240">
        <v>4.7655000000000003E-2</v>
      </c>
      <c r="K1240">
        <v>2.3609999999999999E-2</v>
      </c>
      <c r="M1240" t="s">
        <v>2</v>
      </c>
      <c r="N1240">
        <v>5500</v>
      </c>
      <c r="O1240">
        <v>72</v>
      </c>
      <c r="P1240">
        <v>12</v>
      </c>
      <c r="Q1240">
        <v>0</v>
      </c>
      <c r="R1240">
        <v>102780439</v>
      </c>
      <c r="S1240">
        <v>177706.03</v>
      </c>
      <c r="T1240">
        <v>102602732.97</v>
      </c>
      <c r="U1240">
        <v>102602732.97</v>
      </c>
      <c r="V1240">
        <v>0</v>
      </c>
      <c r="W1240">
        <v>0</v>
      </c>
    </row>
    <row r="1241" spans="1:23" x14ac:dyDescent="0.35">
      <c r="A1241" t="s">
        <v>3</v>
      </c>
      <c r="B1241">
        <v>2250</v>
      </c>
      <c r="C1241">
        <v>72</v>
      </c>
      <c r="D1241">
        <v>67</v>
      </c>
      <c r="E1241">
        <v>0</v>
      </c>
      <c r="F1241">
        <v>1381965273</v>
      </c>
      <c r="G1241">
        <v>3468567.99</v>
      </c>
      <c r="H1241">
        <v>1361688507.1400001</v>
      </c>
      <c r="I1241">
        <v>1378496705.01</v>
      </c>
      <c r="J1241">
        <v>0.136572</v>
      </c>
      <c r="K1241">
        <v>0</v>
      </c>
      <c r="M1241" t="s">
        <v>0</v>
      </c>
      <c r="N1241">
        <v>6250</v>
      </c>
      <c r="O1241">
        <v>72</v>
      </c>
      <c r="P1241">
        <v>44</v>
      </c>
      <c r="Q1241">
        <v>0</v>
      </c>
      <c r="R1241">
        <v>640641152</v>
      </c>
      <c r="S1241">
        <v>943232.4</v>
      </c>
      <c r="T1241">
        <v>619450474.90999997</v>
      </c>
      <c r="U1241">
        <v>619450474.90999997</v>
      </c>
      <c r="V1241">
        <v>0.31980900000000001</v>
      </c>
      <c r="W1241">
        <v>0.31980900000000001</v>
      </c>
    </row>
    <row r="1242" spans="1:23" x14ac:dyDescent="0.35">
      <c r="A1242" t="s">
        <v>1</v>
      </c>
      <c r="B1242">
        <v>4250</v>
      </c>
      <c r="C1242">
        <v>60</v>
      </c>
      <c r="D1242">
        <v>929</v>
      </c>
      <c r="E1242">
        <v>0</v>
      </c>
      <c r="F1242">
        <v>21058089398</v>
      </c>
      <c r="G1242">
        <v>39227081.630000003</v>
      </c>
      <c r="H1242">
        <v>20739885659.790001</v>
      </c>
      <c r="I1242">
        <v>20881823148.759998</v>
      </c>
      <c r="J1242">
        <v>0.14788899999999999</v>
      </c>
      <c r="K1242">
        <v>7.5356999999999993E-2</v>
      </c>
      <c r="M1242" t="s">
        <v>3</v>
      </c>
      <c r="N1242">
        <v>2500</v>
      </c>
      <c r="O1242">
        <v>72</v>
      </c>
      <c r="P1242">
        <v>106</v>
      </c>
      <c r="Q1242">
        <v>0</v>
      </c>
      <c r="R1242">
        <v>2251909698</v>
      </c>
      <c r="S1242">
        <v>5504650.0599999996</v>
      </c>
      <c r="T1242">
        <v>2216715740.21</v>
      </c>
      <c r="U1242">
        <v>2246405047.9400001</v>
      </c>
      <c r="V1242">
        <v>0.147226</v>
      </c>
      <c r="W1242">
        <v>0</v>
      </c>
    </row>
    <row r="1243" spans="1:23" x14ac:dyDescent="0.35">
      <c r="A1243" t="s">
        <v>0</v>
      </c>
      <c r="B1243">
        <v>4750</v>
      </c>
      <c r="C1243">
        <v>60</v>
      </c>
      <c r="D1243">
        <v>1737</v>
      </c>
      <c r="E1243">
        <v>0</v>
      </c>
      <c r="F1243">
        <v>36120792316</v>
      </c>
      <c r="G1243">
        <v>62456627.5</v>
      </c>
      <c r="H1243">
        <v>35847803201.18</v>
      </c>
      <c r="I1243">
        <v>35992173062.290001</v>
      </c>
      <c r="J1243">
        <v>6.7743999999999999E-2</v>
      </c>
      <c r="K1243">
        <v>2.1760000000000002E-2</v>
      </c>
      <c r="M1243" t="s">
        <v>0</v>
      </c>
      <c r="N1243">
        <v>2500</v>
      </c>
      <c r="O1243">
        <v>84</v>
      </c>
      <c r="P1243">
        <v>9</v>
      </c>
      <c r="Q1243">
        <v>0</v>
      </c>
      <c r="R1243">
        <v>124842773</v>
      </c>
      <c r="S1243">
        <v>326833.58</v>
      </c>
      <c r="T1243">
        <v>124515939.42</v>
      </c>
      <c r="U1243">
        <v>124515939.42</v>
      </c>
      <c r="V1243">
        <v>0</v>
      </c>
      <c r="W1243">
        <v>0</v>
      </c>
    </row>
    <row r="1244" spans="1:23" x14ac:dyDescent="0.35">
      <c r="A1244" t="s">
        <v>1</v>
      </c>
      <c r="B1244">
        <v>4750</v>
      </c>
      <c r="C1244">
        <v>60</v>
      </c>
      <c r="D1244">
        <v>236</v>
      </c>
      <c r="E1244">
        <v>0</v>
      </c>
      <c r="F1244">
        <v>5430398181</v>
      </c>
      <c r="G1244">
        <v>9378092.3900000006</v>
      </c>
      <c r="H1244">
        <v>5393491152.8900003</v>
      </c>
      <c r="I1244">
        <v>5421020088.6099997</v>
      </c>
      <c r="J1244">
        <v>5.9165000000000002E-2</v>
      </c>
      <c r="K1244">
        <v>0</v>
      </c>
      <c r="M1244" t="s">
        <v>1</v>
      </c>
      <c r="N1244">
        <v>2500</v>
      </c>
      <c r="O1244">
        <v>84</v>
      </c>
      <c r="P1244">
        <v>2</v>
      </c>
      <c r="Q1244">
        <v>0</v>
      </c>
      <c r="R1244">
        <v>17500036</v>
      </c>
      <c r="S1244">
        <v>46227.07</v>
      </c>
      <c r="T1244">
        <v>17453808.93</v>
      </c>
      <c r="U1244">
        <v>17453808.93</v>
      </c>
      <c r="V1244">
        <v>0</v>
      </c>
      <c r="W1244">
        <v>0</v>
      </c>
    </row>
    <row r="1245" spans="1:23" x14ac:dyDescent="0.35">
      <c r="A1245" t="s">
        <v>1</v>
      </c>
      <c r="B1245">
        <v>6250</v>
      </c>
      <c r="C1245">
        <v>48</v>
      </c>
      <c r="D1245">
        <v>3848</v>
      </c>
      <c r="E1245">
        <v>0</v>
      </c>
      <c r="F1245">
        <v>98548608777</v>
      </c>
      <c r="G1245">
        <v>125246309.43000001</v>
      </c>
      <c r="H1245">
        <v>96562938937.720001</v>
      </c>
      <c r="I1245">
        <v>97897426297</v>
      </c>
      <c r="J1245">
        <v>0.20443600000000001</v>
      </c>
      <c r="K1245">
        <v>6.2195E-2</v>
      </c>
      <c r="M1245" t="s">
        <v>2</v>
      </c>
      <c r="N1245">
        <v>2250</v>
      </c>
      <c r="O1245">
        <v>84</v>
      </c>
      <c r="P1245">
        <v>3</v>
      </c>
      <c r="Q1245">
        <v>0</v>
      </c>
      <c r="R1245">
        <v>29566722</v>
      </c>
      <c r="S1245">
        <v>79652.39</v>
      </c>
      <c r="T1245">
        <v>29487069.609999999</v>
      </c>
      <c r="U1245">
        <v>29487069.609999999</v>
      </c>
      <c r="V1245">
        <v>0</v>
      </c>
      <c r="W1245">
        <v>0</v>
      </c>
    </row>
    <row r="1246" spans="1:23" x14ac:dyDescent="0.35">
      <c r="A1246" t="s">
        <v>0</v>
      </c>
      <c r="B1246">
        <v>5250</v>
      </c>
      <c r="C1246">
        <v>60</v>
      </c>
      <c r="D1246">
        <v>417</v>
      </c>
      <c r="E1246">
        <v>0</v>
      </c>
      <c r="F1246">
        <v>7699086104</v>
      </c>
      <c r="G1246">
        <v>12341860.439999999</v>
      </c>
      <c r="H1246">
        <v>7649152812.3800001</v>
      </c>
      <c r="I1246">
        <v>7686744243.5600004</v>
      </c>
      <c r="J1246">
        <v>5.7043000000000003E-2</v>
      </c>
      <c r="K1246">
        <v>0</v>
      </c>
      <c r="M1246" t="s">
        <v>2</v>
      </c>
      <c r="N1246">
        <v>2500</v>
      </c>
      <c r="O1246">
        <v>84</v>
      </c>
      <c r="P1246">
        <v>4</v>
      </c>
      <c r="Q1246">
        <v>0</v>
      </c>
      <c r="R1246">
        <v>52487499</v>
      </c>
      <c r="S1246">
        <v>138318.71</v>
      </c>
      <c r="T1246">
        <v>52349180.289999999</v>
      </c>
      <c r="U1246">
        <v>52349180.289999999</v>
      </c>
      <c r="V1246">
        <v>0</v>
      </c>
      <c r="W1246">
        <v>0</v>
      </c>
    </row>
    <row r="1247" spans="1:23" x14ac:dyDescent="0.35">
      <c r="A1247" t="s">
        <v>1</v>
      </c>
      <c r="B1247">
        <v>5250</v>
      </c>
      <c r="C1247">
        <v>60</v>
      </c>
      <c r="D1247">
        <v>213</v>
      </c>
      <c r="E1247">
        <v>0</v>
      </c>
      <c r="F1247">
        <v>4749186179</v>
      </c>
      <c r="G1247">
        <v>7565368.6699999999</v>
      </c>
      <c r="H1247">
        <v>4629338996.2799997</v>
      </c>
      <c r="I1247">
        <v>4688327732.3500004</v>
      </c>
      <c r="J1247">
        <v>0.24957499999999999</v>
      </c>
      <c r="K1247">
        <v>0.12665000000000001</v>
      </c>
      <c r="M1247" t="s">
        <v>3</v>
      </c>
      <c r="N1247">
        <v>4750</v>
      </c>
      <c r="O1247">
        <v>72</v>
      </c>
      <c r="P1247">
        <v>4</v>
      </c>
      <c r="Q1247">
        <v>0</v>
      </c>
      <c r="R1247">
        <v>53961151</v>
      </c>
      <c r="S1247">
        <v>100270.55</v>
      </c>
      <c r="T1247">
        <v>53860880.450000003</v>
      </c>
      <c r="U1247">
        <v>53860880.450000003</v>
      </c>
      <c r="V1247">
        <v>0</v>
      </c>
      <c r="W1247">
        <v>0</v>
      </c>
    </row>
    <row r="1248" spans="1:23" x14ac:dyDescent="0.35">
      <c r="A1248" t="s">
        <v>0</v>
      </c>
      <c r="B1248">
        <v>5000</v>
      </c>
      <c r="C1248">
        <v>60</v>
      </c>
      <c r="D1248">
        <v>270</v>
      </c>
      <c r="E1248">
        <v>0</v>
      </c>
      <c r="F1248">
        <v>4831216270</v>
      </c>
      <c r="G1248">
        <v>8069752.0800000001</v>
      </c>
      <c r="H1248">
        <v>4737363216.04</v>
      </c>
      <c r="I1248">
        <v>4823146517.9200001</v>
      </c>
      <c r="J1248">
        <v>0.19344800000000001</v>
      </c>
      <c r="K1248">
        <v>0</v>
      </c>
      <c r="M1248" t="s">
        <v>3</v>
      </c>
      <c r="N1248">
        <v>2500</v>
      </c>
      <c r="O1248">
        <v>54</v>
      </c>
      <c r="P1248">
        <v>27</v>
      </c>
      <c r="Q1248">
        <v>0</v>
      </c>
      <c r="R1248">
        <v>555759233</v>
      </c>
      <c r="S1248">
        <v>1299234.02</v>
      </c>
      <c r="T1248">
        <v>525166007.72000003</v>
      </c>
      <c r="U1248">
        <v>554459998.98000002</v>
      </c>
      <c r="V1248">
        <v>0.47784900000000002</v>
      </c>
      <c r="W1248">
        <v>0</v>
      </c>
    </row>
    <row r="1249" spans="1:23" x14ac:dyDescent="0.35">
      <c r="A1249" t="s">
        <v>2</v>
      </c>
      <c r="B1249">
        <v>4750</v>
      </c>
      <c r="C1249">
        <v>60</v>
      </c>
      <c r="D1249">
        <v>105</v>
      </c>
      <c r="E1249">
        <v>0</v>
      </c>
      <c r="F1249">
        <v>1297521915</v>
      </c>
      <c r="G1249">
        <v>2303458.2400000002</v>
      </c>
      <c r="H1249">
        <v>1284644375.3800001</v>
      </c>
      <c r="I1249">
        <v>1284644375.3800001</v>
      </c>
      <c r="J1249">
        <v>9.3526999999999999E-2</v>
      </c>
      <c r="K1249">
        <v>9.3526999999999999E-2</v>
      </c>
      <c r="M1249" t="s">
        <v>0</v>
      </c>
      <c r="N1249">
        <v>2250</v>
      </c>
      <c r="O1249">
        <v>84</v>
      </c>
      <c r="P1249">
        <v>1</v>
      </c>
      <c r="Q1249">
        <v>0</v>
      </c>
      <c r="R1249">
        <v>12878097</v>
      </c>
      <c r="S1249">
        <v>34224.629999999997</v>
      </c>
      <c r="T1249">
        <v>12843872.369999999</v>
      </c>
      <c r="U1249">
        <v>12843872.369999999</v>
      </c>
      <c r="V1249">
        <v>0</v>
      </c>
      <c r="W1249">
        <v>0</v>
      </c>
    </row>
    <row r="1250" spans="1:23" x14ac:dyDescent="0.35">
      <c r="A1250" t="s">
        <v>0</v>
      </c>
      <c r="B1250">
        <v>5500</v>
      </c>
      <c r="C1250">
        <v>8</v>
      </c>
      <c r="D1250">
        <v>1577</v>
      </c>
      <c r="E1250">
        <v>0</v>
      </c>
      <c r="F1250">
        <v>55160639862</v>
      </c>
      <c r="G1250">
        <v>63746768.869999997</v>
      </c>
      <c r="H1250">
        <v>54839364337.129997</v>
      </c>
      <c r="I1250">
        <v>55096893093.129997</v>
      </c>
      <c r="J1250">
        <v>5.4607999999999997E-2</v>
      </c>
      <c r="K1250">
        <v>0</v>
      </c>
      <c r="M1250" t="s">
        <v>1</v>
      </c>
      <c r="N1250">
        <v>3750</v>
      </c>
      <c r="O1250">
        <v>54</v>
      </c>
      <c r="P1250">
        <v>15096</v>
      </c>
      <c r="Q1250">
        <v>0</v>
      </c>
      <c r="R1250">
        <v>401667496001</v>
      </c>
      <c r="S1250">
        <v>782709804.61000001</v>
      </c>
      <c r="T1250">
        <v>397133504438.57001</v>
      </c>
      <c r="U1250">
        <v>399851879464.85999</v>
      </c>
      <c r="V1250">
        <v>0.10649</v>
      </c>
      <c r="W1250">
        <v>3.0426000000000002E-2</v>
      </c>
    </row>
    <row r="1251" spans="1:23" x14ac:dyDescent="0.35">
      <c r="A1251" t="s">
        <v>3</v>
      </c>
      <c r="B1251">
        <v>2250</v>
      </c>
      <c r="C1251">
        <v>60</v>
      </c>
      <c r="D1251">
        <v>18</v>
      </c>
      <c r="E1251">
        <v>0</v>
      </c>
      <c r="F1251">
        <v>428615519</v>
      </c>
      <c r="G1251">
        <v>1057000.3700000001</v>
      </c>
      <c r="H1251">
        <v>427558518.63</v>
      </c>
      <c r="I1251">
        <v>427558518.63</v>
      </c>
      <c r="J1251">
        <v>0</v>
      </c>
      <c r="K1251">
        <v>0</v>
      </c>
      <c r="M1251" t="s">
        <v>2</v>
      </c>
      <c r="N1251">
        <v>4250</v>
      </c>
      <c r="O1251">
        <v>60</v>
      </c>
      <c r="P1251">
        <v>434</v>
      </c>
      <c r="Q1251">
        <v>0</v>
      </c>
      <c r="R1251">
        <v>5321562285</v>
      </c>
      <c r="S1251">
        <v>10104547.369999999</v>
      </c>
      <c r="T1251">
        <v>5251820306.7700005</v>
      </c>
      <c r="U1251">
        <v>5292302985.96</v>
      </c>
      <c r="V1251">
        <v>0.126494</v>
      </c>
      <c r="W1251">
        <v>4.2348999999999998E-2</v>
      </c>
    </row>
    <row r="1252" spans="1:23" x14ac:dyDescent="0.35">
      <c r="A1252" t="s">
        <v>3</v>
      </c>
      <c r="B1252">
        <v>2750</v>
      </c>
      <c r="C1252">
        <v>54</v>
      </c>
      <c r="D1252">
        <v>114</v>
      </c>
      <c r="E1252">
        <v>0</v>
      </c>
      <c r="F1252">
        <v>2601980418</v>
      </c>
      <c r="G1252">
        <v>5872607.1500000004</v>
      </c>
      <c r="H1252">
        <v>2596107810.8499999</v>
      </c>
      <c r="I1252">
        <v>2596107810.8499999</v>
      </c>
      <c r="J1252">
        <v>0</v>
      </c>
      <c r="K1252">
        <v>0</v>
      </c>
      <c r="M1252" t="s">
        <v>3</v>
      </c>
      <c r="N1252">
        <v>3000</v>
      </c>
      <c r="O1252">
        <v>60</v>
      </c>
      <c r="P1252">
        <v>337</v>
      </c>
      <c r="Q1252">
        <v>0</v>
      </c>
      <c r="R1252">
        <v>6836628274</v>
      </c>
      <c r="S1252">
        <v>15291068.23</v>
      </c>
      <c r="T1252">
        <v>6820404579.4399996</v>
      </c>
      <c r="U1252">
        <v>6821337205.7700005</v>
      </c>
      <c r="V1252">
        <v>1.6360000000000001E-3</v>
      </c>
      <c r="W1252">
        <v>0</v>
      </c>
    </row>
    <row r="1253" spans="1:23" x14ac:dyDescent="0.35">
      <c r="A1253" t="s">
        <v>3</v>
      </c>
      <c r="B1253">
        <v>3000</v>
      </c>
      <c r="C1253">
        <v>54</v>
      </c>
      <c r="D1253">
        <v>167</v>
      </c>
      <c r="E1253">
        <v>0</v>
      </c>
      <c r="F1253">
        <v>3875991605</v>
      </c>
      <c r="G1253">
        <v>8475763.3200000003</v>
      </c>
      <c r="H1253">
        <v>3850061160.1300001</v>
      </c>
      <c r="I1253">
        <v>3867515841.6799998</v>
      </c>
      <c r="J1253">
        <v>5.2720999999999997E-2</v>
      </c>
      <c r="K1253">
        <v>0</v>
      </c>
      <c r="M1253" t="s">
        <v>3</v>
      </c>
      <c r="N1253">
        <v>2750</v>
      </c>
      <c r="O1253">
        <v>60</v>
      </c>
      <c r="P1253">
        <v>403</v>
      </c>
      <c r="Q1253">
        <v>0</v>
      </c>
      <c r="R1253">
        <v>9307907916</v>
      </c>
      <c r="S1253">
        <v>21459211.57</v>
      </c>
      <c r="T1253">
        <v>9265381663.9500008</v>
      </c>
      <c r="U1253">
        <v>9265381663.9500008</v>
      </c>
      <c r="V1253">
        <v>2.6825000000000002E-2</v>
      </c>
      <c r="W1253">
        <v>2.6825000000000002E-2</v>
      </c>
    </row>
    <row r="1254" spans="1:23" x14ac:dyDescent="0.35">
      <c r="A1254" t="s">
        <v>3</v>
      </c>
      <c r="B1254">
        <v>3250</v>
      </c>
      <c r="C1254">
        <v>54</v>
      </c>
      <c r="D1254">
        <v>233</v>
      </c>
      <c r="E1254">
        <v>0</v>
      </c>
      <c r="F1254">
        <v>3727899159</v>
      </c>
      <c r="G1254">
        <v>7866962.29</v>
      </c>
      <c r="H1254">
        <v>3679358998.29</v>
      </c>
      <c r="I1254">
        <v>3720032196.71</v>
      </c>
      <c r="J1254">
        <v>0.123348</v>
      </c>
      <c r="K1254">
        <v>0</v>
      </c>
      <c r="M1254" t="s">
        <v>3</v>
      </c>
      <c r="N1254">
        <v>3250</v>
      </c>
      <c r="O1254">
        <v>60</v>
      </c>
      <c r="P1254">
        <v>321</v>
      </c>
      <c r="Q1254">
        <v>0</v>
      </c>
      <c r="R1254">
        <v>5347840166</v>
      </c>
      <c r="S1254">
        <v>11563120</v>
      </c>
      <c r="T1254">
        <v>5321788425.8400002</v>
      </c>
      <c r="U1254">
        <v>5336277046</v>
      </c>
      <c r="V1254">
        <v>3.2030999999999997E-2</v>
      </c>
      <c r="W1254">
        <v>0</v>
      </c>
    </row>
    <row r="1255" spans="1:23" x14ac:dyDescent="0.35">
      <c r="A1255" t="s">
        <v>2</v>
      </c>
      <c r="B1255">
        <v>4250</v>
      </c>
      <c r="C1255">
        <v>60</v>
      </c>
      <c r="D1255">
        <v>443</v>
      </c>
      <c r="E1255">
        <v>0</v>
      </c>
      <c r="F1255">
        <v>5495985065</v>
      </c>
      <c r="G1255">
        <v>10441277.890000001</v>
      </c>
      <c r="H1255">
        <v>5472110392.3500004</v>
      </c>
      <c r="I1255">
        <v>5485543787.1099997</v>
      </c>
      <c r="J1255">
        <v>2.894E-2</v>
      </c>
      <c r="K1255">
        <v>0</v>
      </c>
      <c r="M1255" t="s">
        <v>3</v>
      </c>
      <c r="N1255">
        <v>3750</v>
      </c>
      <c r="O1255">
        <v>54</v>
      </c>
      <c r="P1255">
        <v>77</v>
      </c>
      <c r="Q1255">
        <v>0</v>
      </c>
      <c r="R1255">
        <v>1728329141</v>
      </c>
      <c r="S1255">
        <v>3385031.59</v>
      </c>
      <c r="T1255">
        <v>1724944109.4100001</v>
      </c>
      <c r="U1255">
        <v>1724944109.4100001</v>
      </c>
      <c r="V1255">
        <v>0</v>
      </c>
      <c r="W1255">
        <v>0</v>
      </c>
    </row>
    <row r="1256" spans="1:23" x14ac:dyDescent="0.35">
      <c r="A1256" t="s">
        <v>1</v>
      </c>
      <c r="B1256">
        <v>5000</v>
      </c>
      <c r="C1256">
        <v>60</v>
      </c>
      <c r="D1256">
        <v>57</v>
      </c>
      <c r="E1256">
        <v>0</v>
      </c>
      <c r="F1256">
        <v>1323115090</v>
      </c>
      <c r="G1256">
        <v>2215608.39</v>
      </c>
      <c r="H1256">
        <v>1320899481.6099999</v>
      </c>
      <c r="I1256">
        <v>1320899481.6099999</v>
      </c>
      <c r="J1256">
        <v>0</v>
      </c>
      <c r="K1256">
        <v>0</v>
      </c>
      <c r="M1256" t="s">
        <v>3</v>
      </c>
      <c r="N1256">
        <v>2250</v>
      </c>
      <c r="O1256">
        <v>72</v>
      </c>
      <c r="P1256">
        <v>42</v>
      </c>
      <c r="Q1256">
        <v>0</v>
      </c>
      <c r="R1256">
        <v>839935519</v>
      </c>
      <c r="S1256">
        <v>2105817.88</v>
      </c>
      <c r="T1256">
        <v>837829701.12</v>
      </c>
      <c r="U1256">
        <v>837829701.12</v>
      </c>
      <c r="V1256">
        <v>0</v>
      </c>
      <c r="W1256">
        <v>0</v>
      </c>
    </row>
    <row r="1257" spans="1:23" x14ac:dyDescent="0.35">
      <c r="A1257" t="s">
        <v>1</v>
      </c>
      <c r="B1257">
        <v>2000</v>
      </c>
      <c r="C1257">
        <v>60</v>
      </c>
      <c r="D1257">
        <v>1903</v>
      </c>
      <c r="E1257">
        <v>0</v>
      </c>
      <c r="F1257">
        <v>53876478832</v>
      </c>
      <c r="G1257">
        <v>139077958.15000001</v>
      </c>
      <c r="H1257">
        <v>53389808340.900002</v>
      </c>
      <c r="I1257">
        <v>53737400873.849998</v>
      </c>
      <c r="J1257">
        <v>7.4731000000000006E-2</v>
      </c>
      <c r="K1257">
        <v>0</v>
      </c>
      <c r="M1257" t="s">
        <v>1</v>
      </c>
      <c r="N1257">
        <v>4250</v>
      </c>
      <c r="O1257">
        <v>60</v>
      </c>
      <c r="P1257">
        <v>832</v>
      </c>
      <c r="Q1257">
        <v>0</v>
      </c>
      <c r="R1257">
        <v>18668014347</v>
      </c>
      <c r="S1257">
        <v>34723195.18</v>
      </c>
      <c r="T1257">
        <v>18473846316.220001</v>
      </c>
      <c r="U1257">
        <v>18565240216.540001</v>
      </c>
      <c r="V1257">
        <v>9.7812999999999997E-2</v>
      </c>
      <c r="W1257">
        <v>4.2876999999999998E-2</v>
      </c>
    </row>
    <row r="1258" spans="1:23" x14ac:dyDescent="0.35">
      <c r="A1258" t="s">
        <v>1</v>
      </c>
      <c r="B1258">
        <v>2000</v>
      </c>
      <c r="C1258">
        <v>54</v>
      </c>
      <c r="D1258">
        <v>891</v>
      </c>
      <c r="E1258">
        <v>0</v>
      </c>
      <c r="F1258">
        <v>27583759702</v>
      </c>
      <c r="G1258">
        <v>70101680.689999998</v>
      </c>
      <c r="H1258">
        <v>27349357963.720001</v>
      </c>
      <c r="I1258">
        <v>27513658021.310001</v>
      </c>
      <c r="J1258">
        <v>6.9181000000000006E-2</v>
      </c>
      <c r="K1258">
        <v>0</v>
      </c>
      <c r="M1258" t="s">
        <v>0</v>
      </c>
      <c r="N1258">
        <v>4750</v>
      </c>
      <c r="O1258">
        <v>60</v>
      </c>
      <c r="P1258">
        <v>1605</v>
      </c>
      <c r="Q1258">
        <v>0</v>
      </c>
      <c r="R1258">
        <v>32433293638</v>
      </c>
      <c r="S1258">
        <v>56047224.240000002</v>
      </c>
      <c r="T1258">
        <v>32274039542.580002</v>
      </c>
      <c r="U1258">
        <v>32377246413.759998</v>
      </c>
      <c r="V1258">
        <v>3.7524000000000002E-2</v>
      </c>
      <c r="W1258">
        <v>0</v>
      </c>
    </row>
    <row r="1259" spans="1:23" x14ac:dyDescent="0.35">
      <c r="A1259" t="s">
        <v>3</v>
      </c>
      <c r="B1259">
        <v>4000</v>
      </c>
      <c r="C1259">
        <v>54</v>
      </c>
      <c r="D1259">
        <v>64</v>
      </c>
      <c r="E1259">
        <v>0</v>
      </c>
      <c r="F1259">
        <v>1284759492</v>
      </c>
      <c r="G1259">
        <v>2407521.23</v>
      </c>
      <c r="H1259">
        <v>1235698405.3299999</v>
      </c>
      <c r="I1259">
        <v>1282351970.77</v>
      </c>
      <c r="J1259">
        <v>0.35844799999999999</v>
      </c>
      <c r="K1259">
        <v>0</v>
      </c>
      <c r="M1259" t="s">
        <v>2</v>
      </c>
      <c r="N1259">
        <v>4250</v>
      </c>
      <c r="O1259">
        <v>54</v>
      </c>
      <c r="P1259">
        <v>813</v>
      </c>
      <c r="Q1259">
        <v>0</v>
      </c>
      <c r="R1259">
        <v>11226130902</v>
      </c>
      <c r="S1259">
        <v>20358564.41</v>
      </c>
      <c r="T1259">
        <v>11089345204.200001</v>
      </c>
      <c r="U1259">
        <v>11158537356.469999</v>
      </c>
      <c r="V1259">
        <v>0.117594</v>
      </c>
      <c r="W1259">
        <v>4.9339000000000001E-2</v>
      </c>
    </row>
    <row r="1260" spans="1:23" x14ac:dyDescent="0.35">
      <c r="A1260" t="s">
        <v>3</v>
      </c>
      <c r="B1260">
        <v>4250</v>
      </c>
      <c r="C1260">
        <v>54</v>
      </c>
      <c r="D1260">
        <v>111</v>
      </c>
      <c r="E1260">
        <v>0</v>
      </c>
      <c r="F1260">
        <v>2490116139</v>
      </c>
      <c r="G1260">
        <v>4444504.62</v>
      </c>
      <c r="H1260">
        <v>2485671634.3800001</v>
      </c>
      <c r="I1260">
        <v>2485671634.3800001</v>
      </c>
      <c r="J1260">
        <v>0</v>
      </c>
      <c r="K1260">
        <v>0</v>
      </c>
      <c r="M1260" t="s">
        <v>1</v>
      </c>
      <c r="N1260">
        <v>4750</v>
      </c>
      <c r="O1260">
        <v>54</v>
      </c>
      <c r="P1260">
        <v>490</v>
      </c>
      <c r="Q1260">
        <v>0</v>
      </c>
      <c r="R1260">
        <v>12018468769</v>
      </c>
      <c r="S1260">
        <v>20082159.27</v>
      </c>
      <c r="T1260">
        <v>11871254424.93</v>
      </c>
      <c r="U1260">
        <v>11998386609.73</v>
      </c>
      <c r="V1260">
        <v>0.119806</v>
      </c>
      <c r="W1260">
        <v>0</v>
      </c>
    </row>
    <row r="1261" spans="1:23" x14ac:dyDescent="0.35">
      <c r="A1261" t="s">
        <v>0</v>
      </c>
      <c r="B1261">
        <v>5250</v>
      </c>
      <c r="C1261">
        <v>54</v>
      </c>
      <c r="D1261">
        <v>2288</v>
      </c>
      <c r="E1261">
        <v>0</v>
      </c>
      <c r="F1261">
        <v>53438026354</v>
      </c>
      <c r="G1261">
        <v>81912599.670000002</v>
      </c>
      <c r="H1261">
        <v>52747450078.040001</v>
      </c>
      <c r="I1261">
        <v>53099843840.489998</v>
      </c>
      <c r="J1261">
        <v>0.12843499999999999</v>
      </c>
      <c r="K1261">
        <v>5.6054E-2</v>
      </c>
      <c r="M1261" t="s">
        <v>1</v>
      </c>
      <c r="N1261">
        <v>4750</v>
      </c>
      <c r="O1261">
        <v>60</v>
      </c>
      <c r="P1261">
        <v>211</v>
      </c>
      <c r="Q1261">
        <v>0</v>
      </c>
      <c r="R1261">
        <v>4744431079</v>
      </c>
      <c r="S1261">
        <v>8187023.5800000001</v>
      </c>
      <c r="T1261">
        <v>4688426210.5699997</v>
      </c>
      <c r="U1261">
        <v>4688426210.5699997</v>
      </c>
      <c r="V1261">
        <v>0.11446099999999999</v>
      </c>
      <c r="W1261">
        <v>0.11446099999999999</v>
      </c>
    </row>
    <row r="1262" spans="1:23" x14ac:dyDescent="0.35">
      <c r="A1262" t="s">
        <v>0</v>
      </c>
      <c r="B1262">
        <v>5750</v>
      </c>
      <c r="C1262">
        <v>54</v>
      </c>
      <c r="D1262">
        <v>466</v>
      </c>
      <c r="E1262">
        <v>0</v>
      </c>
      <c r="F1262">
        <v>10549169706</v>
      </c>
      <c r="G1262">
        <v>14918090.960000001</v>
      </c>
      <c r="H1262">
        <v>10422133476.35</v>
      </c>
      <c r="I1262">
        <v>10496339991.360001</v>
      </c>
      <c r="J1262">
        <v>0.12034</v>
      </c>
      <c r="K1262">
        <v>4.2283000000000001E-2</v>
      </c>
      <c r="M1262" t="s">
        <v>1</v>
      </c>
      <c r="N1262">
        <v>6250</v>
      </c>
      <c r="O1262">
        <v>48</v>
      </c>
      <c r="P1262">
        <v>2731</v>
      </c>
      <c r="Q1262">
        <v>0</v>
      </c>
      <c r="R1262">
        <v>70155207013</v>
      </c>
      <c r="S1262">
        <v>88927914.540000007</v>
      </c>
      <c r="T1262">
        <v>68300617529.440002</v>
      </c>
      <c r="U1262">
        <v>69450253542.589996</v>
      </c>
      <c r="V1262">
        <v>0.26352599999999998</v>
      </c>
      <c r="W1262">
        <v>0.100428</v>
      </c>
    </row>
    <row r="1263" spans="1:23" x14ac:dyDescent="0.35">
      <c r="A1263" t="s">
        <v>3</v>
      </c>
      <c r="B1263">
        <v>3500</v>
      </c>
      <c r="C1263">
        <v>60</v>
      </c>
      <c r="D1263">
        <v>137</v>
      </c>
      <c r="E1263">
        <v>0</v>
      </c>
      <c r="F1263">
        <v>2813327463</v>
      </c>
      <c r="G1263">
        <v>5854560.9100000001</v>
      </c>
      <c r="H1263">
        <v>2796749268.4000001</v>
      </c>
      <c r="I1263">
        <v>2807472902.0900002</v>
      </c>
      <c r="J1263">
        <v>4.4794E-2</v>
      </c>
      <c r="K1263">
        <v>0</v>
      </c>
      <c r="M1263" t="s">
        <v>0</v>
      </c>
      <c r="N1263">
        <v>5250</v>
      </c>
      <c r="O1263">
        <v>60</v>
      </c>
      <c r="P1263">
        <v>387</v>
      </c>
      <c r="Q1263">
        <v>0</v>
      </c>
      <c r="R1263">
        <v>6920667263</v>
      </c>
      <c r="S1263">
        <v>11091247.09</v>
      </c>
      <c r="T1263">
        <v>6861207486.1599998</v>
      </c>
      <c r="U1263">
        <v>6875919764.4399996</v>
      </c>
      <c r="V1263">
        <v>8.0717999999999998E-2</v>
      </c>
      <c r="W1263">
        <v>5.6821999999999998E-2</v>
      </c>
    </row>
    <row r="1264" spans="1:23" x14ac:dyDescent="0.35">
      <c r="A1264" t="s">
        <v>3</v>
      </c>
      <c r="B1264">
        <v>3750</v>
      </c>
      <c r="C1264">
        <v>60</v>
      </c>
      <c r="D1264">
        <v>105</v>
      </c>
      <c r="E1264">
        <v>0</v>
      </c>
      <c r="F1264">
        <v>1953098765</v>
      </c>
      <c r="G1264">
        <v>3938696.66</v>
      </c>
      <c r="H1264">
        <v>1949160068.3399999</v>
      </c>
      <c r="I1264">
        <v>1949160068.3399999</v>
      </c>
      <c r="J1264">
        <v>0</v>
      </c>
      <c r="K1264">
        <v>0</v>
      </c>
      <c r="M1264" t="s">
        <v>1</v>
      </c>
      <c r="N1264">
        <v>5250</v>
      </c>
      <c r="O1264">
        <v>60</v>
      </c>
      <c r="P1264">
        <v>164</v>
      </c>
      <c r="Q1264">
        <v>0</v>
      </c>
      <c r="R1264">
        <v>3641611939</v>
      </c>
      <c r="S1264">
        <v>5793351.5800000001</v>
      </c>
      <c r="T1264">
        <v>3616407057.8800001</v>
      </c>
      <c r="U1264">
        <v>3616407057.8800001</v>
      </c>
      <c r="V1264">
        <v>6.2122999999999998E-2</v>
      </c>
      <c r="W1264">
        <v>6.2122999999999998E-2</v>
      </c>
    </row>
    <row r="1265" spans="1:23" x14ac:dyDescent="0.35">
      <c r="A1265" t="s">
        <v>3</v>
      </c>
      <c r="B1265">
        <v>4000</v>
      </c>
      <c r="C1265">
        <v>60</v>
      </c>
      <c r="D1265">
        <v>41</v>
      </c>
      <c r="E1265">
        <v>0</v>
      </c>
      <c r="F1265">
        <v>826171172</v>
      </c>
      <c r="G1265">
        <v>1599189.26</v>
      </c>
      <c r="H1265">
        <v>824571982.74000001</v>
      </c>
      <c r="I1265">
        <v>824571982.74000001</v>
      </c>
      <c r="J1265">
        <v>0</v>
      </c>
      <c r="K1265">
        <v>0</v>
      </c>
      <c r="M1265" t="s">
        <v>0</v>
      </c>
      <c r="N1265">
        <v>5000</v>
      </c>
      <c r="O1265">
        <v>60</v>
      </c>
      <c r="P1265">
        <v>240</v>
      </c>
      <c r="Q1265">
        <v>0</v>
      </c>
      <c r="R1265">
        <v>4307660837</v>
      </c>
      <c r="S1265">
        <v>7180044.7999999998</v>
      </c>
      <c r="T1265">
        <v>4267021262.79</v>
      </c>
      <c r="U1265">
        <v>4300480792.1999998</v>
      </c>
      <c r="V1265">
        <v>8.9329000000000006E-2</v>
      </c>
      <c r="W1265">
        <v>0</v>
      </c>
    </row>
    <row r="1266" spans="1:23" x14ac:dyDescent="0.35">
      <c r="A1266" t="s">
        <v>2</v>
      </c>
      <c r="B1266">
        <v>5000</v>
      </c>
      <c r="C1266">
        <v>60</v>
      </c>
      <c r="D1266">
        <v>36</v>
      </c>
      <c r="E1266">
        <v>0</v>
      </c>
      <c r="F1266">
        <v>413379103</v>
      </c>
      <c r="G1266">
        <v>758235.76</v>
      </c>
      <c r="H1266">
        <v>408567303.98000002</v>
      </c>
      <c r="I1266">
        <v>412620867.24000001</v>
      </c>
      <c r="J1266">
        <v>0.111528</v>
      </c>
      <c r="K1266">
        <v>0</v>
      </c>
      <c r="M1266" t="s">
        <v>2</v>
      </c>
      <c r="N1266">
        <v>4750</v>
      </c>
      <c r="O1266">
        <v>60</v>
      </c>
      <c r="P1266">
        <v>104</v>
      </c>
      <c r="Q1266">
        <v>0</v>
      </c>
      <c r="R1266">
        <v>1312666813</v>
      </c>
      <c r="S1266">
        <v>2349890.4700000002</v>
      </c>
      <c r="T1266">
        <v>1310316922.53</v>
      </c>
      <c r="U1266">
        <v>1310316922.53</v>
      </c>
      <c r="V1266">
        <v>0</v>
      </c>
      <c r="W1266">
        <v>0</v>
      </c>
    </row>
    <row r="1267" spans="1:23" x14ac:dyDescent="0.35">
      <c r="A1267" t="s">
        <v>1</v>
      </c>
      <c r="B1267">
        <v>2000</v>
      </c>
      <c r="C1267">
        <v>72</v>
      </c>
      <c r="D1267">
        <v>6967</v>
      </c>
      <c r="E1267">
        <v>0</v>
      </c>
      <c r="F1267">
        <v>197898529877</v>
      </c>
      <c r="G1267">
        <v>523294392.47000003</v>
      </c>
      <c r="H1267">
        <v>196614272847.72</v>
      </c>
      <c r="I1267">
        <v>197375235484.53</v>
      </c>
      <c r="J1267">
        <v>4.5178999999999997E-2</v>
      </c>
      <c r="K1267">
        <v>0</v>
      </c>
      <c r="M1267" t="s">
        <v>0</v>
      </c>
      <c r="N1267">
        <v>5500</v>
      </c>
      <c r="O1267">
        <v>7</v>
      </c>
      <c r="P1267">
        <v>1589</v>
      </c>
      <c r="Q1267">
        <v>0</v>
      </c>
      <c r="R1267">
        <v>55584009163</v>
      </c>
      <c r="S1267">
        <v>63870726.780000001</v>
      </c>
      <c r="T1267">
        <v>55342954026.389999</v>
      </c>
      <c r="U1267">
        <v>55487555459.230003</v>
      </c>
      <c r="V1267">
        <v>3.7588999999999997E-2</v>
      </c>
      <c r="W1267">
        <v>7.012E-3</v>
      </c>
    </row>
    <row r="1268" spans="1:23" x14ac:dyDescent="0.35">
      <c r="A1268" t="s">
        <v>0</v>
      </c>
      <c r="B1268">
        <v>2000</v>
      </c>
      <c r="C1268">
        <v>60</v>
      </c>
      <c r="D1268">
        <v>135</v>
      </c>
      <c r="E1268">
        <v>0</v>
      </c>
      <c r="F1268">
        <v>3551021911</v>
      </c>
      <c r="G1268">
        <v>9122223.2300000004</v>
      </c>
      <c r="H1268">
        <v>3541899687.77</v>
      </c>
      <c r="I1268">
        <v>3541899687.77</v>
      </c>
      <c r="J1268">
        <v>0</v>
      </c>
      <c r="K1268">
        <v>0</v>
      </c>
      <c r="M1268" t="s">
        <v>3</v>
      </c>
      <c r="N1268">
        <v>2250</v>
      </c>
      <c r="O1268">
        <v>60</v>
      </c>
      <c r="P1268">
        <v>40</v>
      </c>
      <c r="Q1268">
        <v>0</v>
      </c>
      <c r="R1268">
        <v>907117182</v>
      </c>
      <c r="S1268">
        <v>2246454.09</v>
      </c>
      <c r="T1268">
        <v>904870727.90999997</v>
      </c>
      <c r="U1268">
        <v>904870727.90999997</v>
      </c>
      <c r="V1268">
        <v>0</v>
      </c>
      <c r="W1268">
        <v>0</v>
      </c>
    </row>
    <row r="1269" spans="1:23" x14ac:dyDescent="0.35">
      <c r="A1269" t="s">
        <v>2</v>
      </c>
      <c r="B1269">
        <v>2000</v>
      </c>
      <c r="C1269">
        <v>60</v>
      </c>
      <c r="D1269">
        <v>22</v>
      </c>
      <c r="E1269">
        <v>0</v>
      </c>
      <c r="F1269">
        <v>370118202</v>
      </c>
      <c r="G1269">
        <v>953275.69</v>
      </c>
      <c r="H1269">
        <v>364003708.75999999</v>
      </c>
      <c r="I1269">
        <v>369164926.31</v>
      </c>
      <c r="J1269">
        <v>0.155081</v>
      </c>
      <c r="K1269">
        <v>0</v>
      </c>
      <c r="M1269" t="s">
        <v>3</v>
      </c>
      <c r="N1269">
        <v>2750</v>
      </c>
      <c r="O1269">
        <v>54</v>
      </c>
      <c r="P1269">
        <v>175</v>
      </c>
      <c r="Q1269">
        <v>0</v>
      </c>
      <c r="R1269">
        <v>4045349212</v>
      </c>
      <c r="S1269">
        <v>9126485.9499999993</v>
      </c>
      <c r="T1269">
        <v>4036222726.0500002</v>
      </c>
      <c r="U1269">
        <v>4036222726.0500002</v>
      </c>
      <c r="V1269">
        <v>0</v>
      </c>
      <c r="W1269">
        <v>0</v>
      </c>
    </row>
    <row r="1270" spans="1:23" x14ac:dyDescent="0.35">
      <c r="A1270" t="s">
        <v>3</v>
      </c>
      <c r="B1270">
        <v>4250</v>
      </c>
      <c r="C1270">
        <v>60</v>
      </c>
      <c r="D1270">
        <v>32</v>
      </c>
      <c r="E1270">
        <v>0</v>
      </c>
      <c r="F1270">
        <v>473481923</v>
      </c>
      <c r="G1270">
        <v>878343.88</v>
      </c>
      <c r="H1270">
        <v>472603579.12</v>
      </c>
      <c r="I1270">
        <v>472603579.12</v>
      </c>
      <c r="J1270">
        <v>0</v>
      </c>
      <c r="K1270">
        <v>0</v>
      </c>
      <c r="M1270" t="s">
        <v>3</v>
      </c>
      <c r="N1270">
        <v>3000</v>
      </c>
      <c r="O1270">
        <v>54</v>
      </c>
      <c r="P1270">
        <v>214</v>
      </c>
      <c r="Q1270">
        <v>0</v>
      </c>
      <c r="R1270">
        <v>4834445879</v>
      </c>
      <c r="S1270">
        <v>10551967.35</v>
      </c>
      <c r="T1270">
        <v>4800911535.0100002</v>
      </c>
      <c r="U1270">
        <v>4823893911.6499996</v>
      </c>
      <c r="V1270">
        <v>5.5578000000000002E-2</v>
      </c>
      <c r="W1270">
        <v>0</v>
      </c>
    </row>
    <row r="1271" spans="1:23" x14ac:dyDescent="0.35">
      <c r="A1271" t="s">
        <v>0</v>
      </c>
      <c r="B1271">
        <v>2750</v>
      </c>
      <c r="C1271">
        <v>96</v>
      </c>
      <c r="D1271">
        <v>8</v>
      </c>
      <c r="E1271">
        <v>0</v>
      </c>
      <c r="F1271">
        <v>111781635</v>
      </c>
      <c r="G1271">
        <v>304192.93</v>
      </c>
      <c r="H1271">
        <v>111477442.06999999</v>
      </c>
      <c r="I1271">
        <v>111477442.06999999</v>
      </c>
      <c r="J1271">
        <v>0</v>
      </c>
      <c r="K1271">
        <v>0</v>
      </c>
      <c r="M1271" t="s">
        <v>3</v>
      </c>
      <c r="N1271">
        <v>3250</v>
      </c>
      <c r="O1271">
        <v>54</v>
      </c>
      <c r="P1271">
        <v>277</v>
      </c>
      <c r="Q1271">
        <v>0</v>
      </c>
      <c r="R1271">
        <v>4287405634</v>
      </c>
      <c r="S1271">
        <v>9043038.4499999993</v>
      </c>
      <c r="T1271">
        <v>4278362595.5500002</v>
      </c>
      <c r="U1271">
        <v>4278362595.5500002</v>
      </c>
      <c r="V1271">
        <v>0</v>
      </c>
      <c r="W1271">
        <v>0</v>
      </c>
    </row>
    <row r="1272" spans="1:23" x14ac:dyDescent="0.35">
      <c r="A1272" t="s">
        <v>2</v>
      </c>
      <c r="B1272">
        <v>6250</v>
      </c>
      <c r="C1272">
        <v>48</v>
      </c>
      <c r="D1272">
        <v>686</v>
      </c>
      <c r="E1272">
        <v>0</v>
      </c>
      <c r="F1272">
        <v>9778080793</v>
      </c>
      <c r="G1272">
        <v>12374227.74</v>
      </c>
      <c r="H1272">
        <v>9676485559.5100002</v>
      </c>
      <c r="I1272">
        <v>9759477737.3500004</v>
      </c>
      <c r="J1272">
        <v>0.10416400000000001</v>
      </c>
      <c r="K1272">
        <v>7.6179999999999998E-3</v>
      </c>
      <c r="M1272" t="s">
        <v>1</v>
      </c>
      <c r="N1272">
        <v>5000</v>
      </c>
      <c r="O1272">
        <v>60</v>
      </c>
      <c r="P1272">
        <v>45</v>
      </c>
      <c r="Q1272">
        <v>0</v>
      </c>
      <c r="R1272">
        <v>983629804</v>
      </c>
      <c r="S1272">
        <v>1655370.85</v>
      </c>
      <c r="T1272">
        <v>981974433.14999998</v>
      </c>
      <c r="U1272">
        <v>981974433.14999998</v>
      </c>
      <c r="V1272">
        <v>0</v>
      </c>
      <c r="W1272">
        <v>0</v>
      </c>
    </row>
    <row r="1273" spans="1:23" x14ac:dyDescent="0.35">
      <c r="A1273" t="s">
        <v>2</v>
      </c>
      <c r="B1273">
        <v>5250</v>
      </c>
      <c r="C1273">
        <v>60</v>
      </c>
      <c r="D1273">
        <v>45</v>
      </c>
      <c r="E1273">
        <v>0</v>
      </c>
      <c r="F1273">
        <v>549946622</v>
      </c>
      <c r="G1273">
        <v>929296.52</v>
      </c>
      <c r="H1273">
        <v>549017325.48000002</v>
      </c>
      <c r="I1273">
        <v>549017325.48000002</v>
      </c>
      <c r="J1273">
        <v>0</v>
      </c>
      <c r="K1273">
        <v>0</v>
      </c>
      <c r="M1273" t="s">
        <v>1</v>
      </c>
      <c r="N1273">
        <v>2000</v>
      </c>
      <c r="O1273">
        <v>60</v>
      </c>
      <c r="P1273">
        <v>3652</v>
      </c>
      <c r="Q1273">
        <v>0</v>
      </c>
      <c r="R1273">
        <v>104482135726</v>
      </c>
      <c r="S1273">
        <v>272168105.57999998</v>
      </c>
      <c r="T1273">
        <v>103929271233.34</v>
      </c>
      <c r="U1273">
        <v>104185292478.85001</v>
      </c>
      <c r="V1273">
        <v>3.1766000000000003E-2</v>
      </c>
      <c r="W1273">
        <v>2.8300000000000001E-3</v>
      </c>
    </row>
    <row r="1274" spans="1:23" x14ac:dyDescent="0.35">
      <c r="A1274" t="s">
        <v>1</v>
      </c>
      <c r="B1274">
        <v>7500</v>
      </c>
      <c r="C1274">
        <v>42</v>
      </c>
      <c r="D1274">
        <v>275</v>
      </c>
      <c r="E1274">
        <v>0</v>
      </c>
      <c r="F1274">
        <v>5634989813</v>
      </c>
      <c r="G1274">
        <v>5599643.5</v>
      </c>
      <c r="H1274">
        <v>5491868748.4099998</v>
      </c>
      <c r="I1274">
        <v>5577844480.7600002</v>
      </c>
      <c r="J1274">
        <v>0.25657799999999997</v>
      </c>
      <c r="K1274">
        <v>0.104412</v>
      </c>
      <c r="M1274" t="s">
        <v>1</v>
      </c>
      <c r="N1274">
        <v>2000</v>
      </c>
      <c r="O1274">
        <v>54</v>
      </c>
      <c r="P1274">
        <v>1339</v>
      </c>
      <c r="Q1274">
        <v>0</v>
      </c>
      <c r="R1274">
        <v>41156292802</v>
      </c>
      <c r="S1274">
        <v>104398608.52</v>
      </c>
      <c r="T1274">
        <v>40898742013.57</v>
      </c>
      <c r="U1274">
        <v>41051894193.480003</v>
      </c>
      <c r="V1274">
        <v>4.3751999999999999E-2</v>
      </c>
      <c r="W1274">
        <v>0</v>
      </c>
    </row>
    <row r="1275" spans="1:23" x14ac:dyDescent="0.35">
      <c r="A1275" t="s">
        <v>1</v>
      </c>
      <c r="B1275">
        <v>7750</v>
      </c>
      <c r="C1275">
        <v>42</v>
      </c>
      <c r="D1275">
        <v>246</v>
      </c>
      <c r="E1275">
        <v>0</v>
      </c>
      <c r="F1275">
        <v>5046076638</v>
      </c>
      <c r="G1275">
        <v>4802505.3499999996</v>
      </c>
      <c r="H1275">
        <v>4774324512.2799997</v>
      </c>
      <c r="I1275">
        <v>4973290131.4700003</v>
      </c>
      <c r="J1275">
        <v>0.47912100000000002</v>
      </c>
      <c r="K1275">
        <v>0.15021399999999999</v>
      </c>
      <c r="M1275" t="s">
        <v>3</v>
      </c>
      <c r="N1275">
        <v>3500</v>
      </c>
      <c r="O1275">
        <v>60</v>
      </c>
      <c r="P1275">
        <v>133</v>
      </c>
      <c r="Q1275">
        <v>0</v>
      </c>
      <c r="R1275">
        <v>2765360171</v>
      </c>
      <c r="S1275">
        <v>5745260.7999999998</v>
      </c>
      <c r="T1275">
        <v>2759614910.1999998</v>
      </c>
      <c r="U1275">
        <v>2759614910.1999998</v>
      </c>
      <c r="V1275">
        <v>0</v>
      </c>
      <c r="W1275">
        <v>0</v>
      </c>
    </row>
    <row r="1276" spans="1:23" x14ac:dyDescent="0.35">
      <c r="A1276" t="s">
        <v>0</v>
      </c>
      <c r="B1276">
        <v>5750</v>
      </c>
      <c r="C1276">
        <v>60</v>
      </c>
      <c r="D1276">
        <v>22</v>
      </c>
      <c r="E1276">
        <v>0</v>
      </c>
      <c r="F1276">
        <v>321761764</v>
      </c>
      <c r="G1276">
        <v>478556.62</v>
      </c>
      <c r="H1276">
        <v>312597186.63</v>
      </c>
      <c r="I1276">
        <v>321283207.38</v>
      </c>
      <c r="J1276">
        <v>0.279922</v>
      </c>
      <c r="K1276">
        <v>0</v>
      </c>
      <c r="M1276" t="s">
        <v>3</v>
      </c>
      <c r="N1276">
        <v>3750</v>
      </c>
      <c r="O1276">
        <v>60</v>
      </c>
      <c r="P1276">
        <v>105</v>
      </c>
      <c r="Q1276">
        <v>0</v>
      </c>
      <c r="R1276">
        <v>1942221190</v>
      </c>
      <c r="S1276">
        <v>3905779.77</v>
      </c>
      <c r="T1276">
        <v>1938315410.23</v>
      </c>
      <c r="U1276">
        <v>1938315410.23</v>
      </c>
      <c r="V1276">
        <v>0</v>
      </c>
      <c r="W1276">
        <v>0</v>
      </c>
    </row>
    <row r="1277" spans="1:23" x14ac:dyDescent="0.35">
      <c r="A1277" t="s">
        <v>0</v>
      </c>
      <c r="B1277">
        <v>5500</v>
      </c>
      <c r="C1277">
        <v>60</v>
      </c>
      <c r="D1277">
        <v>15</v>
      </c>
      <c r="E1277">
        <v>0</v>
      </c>
      <c r="F1277">
        <v>235234102</v>
      </c>
      <c r="G1277">
        <v>365470.11</v>
      </c>
      <c r="H1277">
        <v>234868631.88999999</v>
      </c>
      <c r="I1277">
        <v>234868631.88999999</v>
      </c>
      <c r="J1277">
        <v>0</v>
      </c>
      <c r="K1277">
        <v>0</v>
      </c>
      <c r="M1277" t="s">
        <v>3</v>
      </c>
      <c r="N1277">
        <v>4000</v>
      </c>
      <c r="O1277">
        <v>54</v>
      </c>
      <c r="P1277">
        <v>55</v>
      </c>
      <c r="Q1277">
        <v>0</v>
      </c>
      <c r="R1277">
        <v>1126508635</v>
      </c>
      <c r="S1277">
        <v>2104154.5499999998</v>
      </c>
      <c r="T1277">
        <v>1124404480.45</v>
      </c>
      <c r="U1277">
        <v>1124404480.45</v>
      </c>
      <c r="V1277">
        <v>0</v>
      </c>
      <c r="W1277">
        <v>0</v>
      </c>
    </row>
    <row r="1278" spans="1:23" x14ac:dyDescent="0.35">
      <c r="A1278" t="s">
        <v>2</v>
      </c>
      <c r="B1278">
        <v>5250</v>
      </c>
      <c r="C1278">
        <v>54</v>
      </c>
      <c r="D1278">
        <v>93</v>
      </c>
      <c r="E1278">
        <v>0</v>
      </c>
      <c r="F1278">
        <v>1183227818</v>
      </c>
      <c r="G1278">
        <v>1882742.03</v>
      </c>
      <c r="H1278">
        <v>1181345075.97</v>
      </c>
      <c r="I1278">
        <v>1181345075.97</v>
      </c>
      <c r="J1278">
        <v>0</v>
      </c>
      <c r="K1278">
        <v>0</v>
      </c>
      <c r="M1278" t="s">
        <v>3</v>
      </c>
      <c r="N1278">
        <v>4250</v>
      </c>
      <c r="O1278">
        <v>54</v>
      </c>
      <c r="P1278">
        <v>75</v>
      </c>
      <c r="Q1278">
        <v>0</v>
      </c>
      <c r="R1278">
        <v>1442998065</v>
      </c>
      <c r="S1278">
        <v>2578570.61</v>
      </c>
      <c r="T1278">
        <v>1440419494.3900001</v>
      </c>
      <c r="U1278">
        <v>1440419494.3900001</v>
      </c>
      <c r="V1278">
        <v>0</v>
      </c>
      <c r="W1278">
        <v>0</v>
      </c>
    </row>
    <row r="1279" spans="1:23" x14ac:dyDescent="0.35">
      <c r="A1279" t="s">
        <v>3</v>
      </c>
      <c r="B1279">
        <v>5250</v>
      </c>
      <c r="C1279">
        <v>48</v>
      </c>
      <c r="D1279">
        <v>103</v>
      </c>
      <c r="E1279">
        <v>0</v>
      </c>
      <c r="F1279">
        <v>2436106823</v>
      </c>
      <c r="G1279">
        <v>3660682.59</v>
      </c>
      <c r="H1279">
        <v>2432446140.4099998</v>
      </c>
      <c r="I1279">
        <v>2432446140.4099998</v>
      </c>
      <c r="J1279">
        <v>0</v>
      </c>
      <c r="K1279">
        <v>0</v>
      </c>
      <c r="M1279" t="s">
        <v>3</v>
      </c>
      <c r="N1279">
        <v>3500</v>
      </c>
      <c r="O1279">
        <v>48</v>
      </c>
      <c r="P1279">
        <v>31</v>
      </c>
      <c r="Q1279">
        <v>0</v>
      </c>
      <c r="R1279">
        <v>770397437</v>
      </c>
      <c r="S1279">
        <v>1524027.83</v>
      </c>
      <c r="T1279">
        <v>768873409.16999996</v>
      </c>
      <c r="U1279">
        <v>768873409.16999996</v>
      </c>
      <c r="V1279">
        <v>0</v>
      </c>
      <c r="W1279">
        <v>0</v>
      </c>
    </row>
    <row r="1280" spans="1:23" x14ac:dyDescent="0.35">
      <c r="A1280" t="s">
        <v>3</v>
      </c>
      <c r="B1280">
        <v>4750</v>
      </c>
      <c r="C1280">
        <v>48</v>
      </c>
      <c r="D1280">
        <v>63</v>
      </c>
      <c r="E1280">
        <v>0</v>
      </c>
      <c r="F1280">
        <v>1464281720</v>
      </c>
      <c r="G1280">
        <v>2381401.7799999998</v>
      </c>
      <c r="H1280">
        <v>1436663297.25</v>
      </c>
      <c r="I1280">
        <v>1461900318.22</v>
      </c>
      <c r="J1280">
        <v>0.1883</v>
      </c>
      <c r="K1280">
        <v>0</v>
      </c>
      <c r="M1280" t="s">
        <v>3</v>
      </c>
      <c r="N1280">
        <v>3750</v>
      </c>
      <c r="O1280">
        <v>48</v>
      </c>
      <c r="P1280">
        <v>50</v>
      </c>
      <c r="Q1280">
        <v>0</v>
      </c>
      <c r="R1280">
        <v>1188598748</v>
      </c>
      <c r="S1280">
        <v>2257617.86</v>
      </c>
      <c r="T1280">
        <v>1186341130.1400001</v>
      </c>
      <c r="U1280">
        <v>1186341130.1400001</v>
      </c>
      <c r="V1280">
        <v>0</v>
      </c>
      <c r="W1280">
        <v>0</v>
      </c>
    </row>
    <row r="1281" spans="1:23" x14ac:dyDescent="0.35">
      <c r="A1281" t="s">
        <v>0</v>
      </c>
      <c r="B1281">
        <v>2750</v>
      </c>
      <c r="C1281">
        <v>48</v>
      </c>
      <c r="D1281">
        <v>877</v>
      </c>
      <c r="E1281">
        <v>0</v>
      </c>
      <c r="F1281">
        <v>21548688933</v>
      </c>
      <c r="G1281">
        <v>47433722.810000002</v>
      </c>
      <c r="H1281">
        <v>21434739568.560001</v>
      </c>
      <c r="I1281">
        <v>21489529207.509998</v>
      </c>
      <c r="J1281">
        <v>3.6419E-2</v>
      </c>
      <c r="K1281">
        <v>6.5100000000000002E-3</v>
      </c>
      <c r="M1281" t="s">
        <v>3</v>
      </c>
      <c r="N1281">
        <v>4000</v>
      </c>
      <c r="O1281">
        <v>60</v>
      </c>
      <c r="P1281">
        <v>43</v>
      </c>
      <c r="Q1281">
        <v>0</v>
      </c>
      <c r="R1281">
        <v>876736843</v>
      </c>
      <c r="S1281">
        <v>1693410.13</v>
      </c>
      <c r="T1281">
        <v>875043432.87</v>
      </c>
      <c r="U1281">
        <v>875043432.87</v>
      </c>
      <c r="V1281">
        <v>0</v>
      </c>
      <c r="W1281">
        <v>0</v>
      </c>
    </row>
    <row r="1282" spans="1:23" x14ac:dyDescent="0.35">
      <c r="A1282" t="s">
        <v>2</v>
      </c>
      <c r="B1282">
        <v>2750</v>
      </c>
      <c r="C1282">
        <v>48</v>
      </c>
      <c r="D1282">
        <v>73</v>
      </c>
      <c r="E1282">
        <v>0</v>
      </c>
      <c r="F1282">
        <v>1356911802</v>
      </c>
      <c r="G1282">
        <v>3039021.21</v>
      </c>
      <c r="H1282">
        <v>1320883833.1600001</v>
      </c>
      <c r="I1282">
        <v>1353872780.79</v>
      </c>
      <c r="J1282">
        <v>0.25572600000000001</v>
      </c>
      <c r="K1282">
        <v>0</v>
      </c>
      <c r="M1282" t="s">
        <v>3</v>
      </c>
      <c r="N1282">
        <v>4250</v>
      </c>
      <c r="O1282">
        <v>60</v>
      </c>
      <c r="P1282">
        <v>29</v>
      </c>
      <c r="Q1282">
        <v>0</v>
      </c>
      <c r="R1282">
        <v>433158167</v>
      </c>
      <c r="S1282">
        <v>803179.01</v>
      </c>
      <c r="T1282">
        <v>432354987.99000001</v>
      </c>
      <c r="U1282">
        <v>432354987.99000001</v>
      </c>
      <c r="V1282">
        <v>0</v>
      </c>
      <c r="W1282">
        <v>0</v>
      </c>
    </row>
    <row r="1283" spans="1:23" x14ac:dyDescent="0.35">
      <c r="A1283" t="s">
        <v>2</v>
      </c>
      <c r="B1283">
        <v>3250</v>
      </c>
      <c r="C1283">
        <v>48</v>
      </c>
      <c r="D1283">
        <v>370</v>
      </c>
      <c r="E1283">
        <v>0</v>
      </c>
      <c r="F1283">
        <v>6406759045</v>
      </c>
      <c r="G1283">
        <v>13288599.93</v>
      </c>
      <c r="H1283">
        <v>6377080479.5900002</v>
      </c>
      <c r="I1283">
        <v>6393470445.0699997</v>
      </c>
      <c r="J1283">
        <v>3.0269999999999998E-2</v>
      </c>
      <c r="K1283">
        <v>0</v>
      </c>
      <c r="M1283" t="s">
        <v>2</v>
      </c>
      <c r="N1283">
        <v>5000</v>
      </c>
      <c r="O1283">
        <v>60</v>
      </c>
      <c r="P1283">
        <v>35</v>
      </c>
      <c r="Q1283">
        <v>0</v>
      </c>
      <c r="R1283">
        <v>422490198</v>
      </c>
      <c r="S1283">
        <v>785402.38</v>
      </c>
      <c r="T1283">
        <v>397599905</v>
      </c>
      <c r="U1283">
        <v>397599905</v>
      </c>
      <c r="V1283">
        <v>0.50587099999999996</v>
      </c>
      <c r="W1283">
        <v>0.50587099999999996</v>
      </c>
    </row>
    <row r="1284" spans="1:23" x14ac:dyDescent="0.35">
      <c r="A1284" t="s">
        <v>1</v>
      </c>
      <c r="B1284">
        <v>5250</v>
      </c>
      <c r="C1284">
        <v>54</v>
      </c>
      <c r="D1284">
        <v>466</v>
      </c>
      <c r="E1284">
        <v>0</v>
      </c>
      <c r="F1284">
        <v>11323995709</v>
      </c>
      <c r="G1284">
        <v>17488645.629999999</v>
      </c>
      <c r="H1284">
        <v>11153519245.43</v>
      </c>
      <c r="I1284">
        <v>11195923818.07</v>
      </c>
      <c r="J1284">
        <v>0.15060100000000001</v>
      </c>
      <c r="K1284">
        <v>0.111091</v>
      </c>
      <c r="M1284" t="s">
        <v>0</v>
      </c>
      <c r="N1284">
        <v>2000</v>
      </c>
      <c r="O1284">
        <v>60</v>
      </c>
      <c r="P1284">
        <v>155</v>
      </c>
      <c r="Q1284">
        <v>0</v>
      </c>
      <c r="R1284">
        <v>3911515748</v>
      </c>
      <c r="S1284">
        <v>10105068.17</v>
      </c>
      <c r="T1284">
        <v>3901410679.8299999</v>
      </c>
      <c r="U1284">
        <v>3901410679.8299999</v>
      </c>
      <c r="V1284">
        <v>0</v>
      </c>
      <c r="W1284">
        <v>0</v>
      </c>
    </row>
    <row r="1285" spans="1:23" x14ac:dyDescent="0.35">
      <c r="A1285" t="s">
        <v>1</v>
      </c>
      <c r="B1285">
        <v>5000</v>
      </c>
      <c r="C1285">
        <v>54</v>
      </c>
      <c r="D1285">
        <v>235</v>
      </c>
      <c r="E1285">
        <v>0</v>
      </c>
      <c r="F1285">
        <v>5869695980</v>
      </c>
      <c r="G1285">
        <v>9421658.1099999994</v>
      </c>
      <c r="H1285">
        <v>5728107696.6599998</v>
      </c>
      <c r="I1285">
        <v>5840386006.3199997</v>
      </c>
      <c r="J1285">
        <v>0.23912800000000001</v>
      </c>
      <c r="K1285">
        <v>3.9910000000000001E-2</v>
      </c>
      <c r="M1285" t="s">
        <v>2</v>
      </c>
      <c r="N1285">
        <v>2000</v>
      </c>
      <c r="O1285">
        <v>60</v>
      </c>
      <c r="P1285">
        <v>38</v>
      </c>
      <c r="Q1285">
        <v>0</v>
      </c>
      <c r="R1285">
        <v>642078304</v>
      </c>
      <c r="S1285">
        <v>1653250.24</v>
      </c>
      <c r="T1285">
        <v>640425053.75999999</v>
      </c>
      <c r="U1285">
        <v>640425053.75999999</v>
      </c>
      <c r="V1285">
        <v>0</v>
      </c>
      <c r="W1285">
        <v>0</v>
      </c>
    </row>
    <row r="1286" spans="1:23" x14ac:dyDescent="0.35">
      <c r="A1286" t="s">
        <v>2</v>
      </c>
      <c r="B1286">
        <v>5500</v>
      </c>
      <c r="C1286">
        <v>54</v>
      </c>
      <c r="D1286">
        <v>22</v>
      </c>
      <c r="E1286">
        <v>0</v>
      </c>
      <c r="F1286">
        <v>261714525</v>
      </c>
      <c r="G1286">
        <v>412778.09</v>
      </c>
      <c r="H1286">
        <v>261301746.91</v>
      </c>
      <c r="I1286">
        <v>261301746.91</v>
      </c>
      <c r="J1286">
        <v>0</v>
      </c>
      <c r="K1286">
        <v>0</v>
      </c>
      <c r="M1286" t="s">
        <v>0</v>
      </c>
      <c r="N1286">
        <v>2750</v>
      </c>
      <c r="O1286">
        <v>96</v>
      </c>
      <c r="P1286">
        <v>9</v>
      </c>
      <c r="Q1286">
        <v>0</v>
      </c>
      <c r="R1286">
        <v>125432933</v>
      </c>
      <c r="S1286">
        <v>339372.74</v>
      </c>
      <c r="T1286">
        <v>111771032.27</v>
      </c>
      <c r="U1286">
        <v>111771032.27</v>
      </c>
      <c r="V1286">
        <v>0.740097</v>
      </c>
      <c r="W1286">
        <v>0.740097</v>
      </c>
    </row>
    <row r="1287" spans="1:23" x14ac:dyDescent="0.35">
      <c r="A1287" t="s">
        <v>1</v>
      </c>
      <c r="B1287">
        <v>4250</v>
      </c>
      <c r="C1287">
        <v>5</v>
      </c>
      <c r="D1287">
        <v>1203</v>
      </c>
      <c r="E1287">
        <v>0</v>
      </c>
      <c r="F1287">
        <v>46935500000</v>
      </c>
      <c r="G1287">
        <v>65536481.770000003</v>
      </c>
      <c r="H1287">
        <v>46869963518.230003</v>
      </c>
      <c r="I1287">
        <v>46869963518.230003</v>
      </c>
      <c r="J1287">
        <v>0</v>
      </c>
      <c r="K1287">
        <v>0</v>
      </c>
      <c r="M1287" t="s">
        <v>2</v>
      </c>
      <c r="N1287">
        <v>6250</v>
      </c>
      <c r="O1287">
        <v>48</v>
      </c>
      <c r="P1287">
        <v>396</v>
      </c>
      <c r="Q1287">
        <v>0</v>
      </c>
      <c r="R1287">
        <v>5599882801</v>
      </c>
      <c r="S1287">
        <v>7067355.5199999996</v>
      </c>
      <c r="T1287">
        <v>5520250687.8699999</v>
      </c>
      <c r="U1287">
        <v>5583554978.6000004</v>
      </c>
      <c r="V1287">
        <v>0.14488200000000001</v>
      </c>
      <c r="W1287">
        <v>1.9664999999999998E-2</v>
      </c>
    </row>
    <row r="1288" spans="1:23" x14ac:dyDescent="0.35">
      <c r="A1288" t="s">
        <v>0</v>
      </c>
      <c r="B1288">
        <v>4250</v>
      </c>
      <c r="C1288">
        <v>5</v>
      </c>
      <c r="D1288">
        <v>2752</v>
      </c>
      <c r="E1288">
        <v>0</v>
      </c>
      <c r="F1288">
        <v>92321300000</v>
      </c>
      <c r="G1288">
        <v>128854115.41</v>
      </c>
      <c r="H1288">
        <v>92192445884.589996</v>
      </c>
      <c r="I1288">
        <v>92192445884.589996</v>
      </c>
      <c r="J1288">
        <v>0</v>
      </c>
      <c r="K1288">
        <v>0</v>
      </c>
      <c r="M1288" t="s">
        <v>1</v>
      </c>
      <c r="N1288">
        <v>3000</v>
      </c>
      <c r="O1288">
        <v>42</v>
      </c>
      <c r="P1288">
        <v>101</v>
      </c>
      <c r="Q1288">
        <v>0</v>
      </c>
      <c r="R1288">
        <v>3317700515</v>
      </c>
      <c r="S1288">
        <v>7081397.6399999997</v>
      </c>
      <c r="T1288">
        <v>3310619117.3600001</v>
      </c>
      <c r="U1288">
        <v>3310619117.3600001</v>
      </c>
      <c r="V1288">
        <v>0</v>
      </c>
      <c r="W1288">
        <v>0</v>
      </c>
    </row>
    <row r="1289" spans="1:23" x14ac:dyDescent="0.35">
      <c r="A1289" t="s">
        <v>1</v>
      </c>
      <c r="B1289">
        <v>4500</v>
      </c>
      <c r="C1289">
        <v>5</v>
      </c>
      <c r="D1289">
        <v>1720</v>
      </c>
      <c r="E1289">
        <v>0</v>
      </c>
      <c r="F1289">
        <v>68954400000</v>
      </c>
      <c r="G1289">
        <v>92238411.25</v>
      </c>
      <c r="H1289">
        <v>68734732279.449997</v>
      </c>
      <c r="I1289">
        <v>68862161588.75</v>
      </c>
      <c r="J1289">
        <v>2.1951999999999999E-2</v>
      </c>
      <c r="K1289">
        <v>0</v>
      </c>
      <c r="M1289" t="s">
        <v>2</v>
      </c>
      <c r="N1289">
        <v>5250</v>
      </c>
      <c r="O1289">
        <v>60</v>
      </c>
      <c r="P1289">
        <v>38</v>
      </c>
      <c r="Q1289">
        <v>0</v>
      </c>
      <c r="R1289">
        <v>439172722</v>
      </c>
      <c r="S1289">
        <v>744221.72</v>
      </c>
      <c r="T1289">
        <v>438428500.27999997</v>
      </c>
      <c r="U1289">
        <v>438428500.27999997</v>
      </c>
      <c r="V1289">
        <v>0</v>
      </c>
      <c r="W1289">
        <v>0</v>
      </c>
    </row>
    <row r="1290" spans="1:23" x14ac:dyDescent="0.35">
      <c r="A1290" t="s">
        <v>0</v>
      </c>
      <c r="B1290">
        <v>6250</v>
      </c>
      <c r="C1290">
        <v>144</v>
      </c>
      <c r="D1290">
        <v>6</v>
      </c>
      <c r="E1290">
        <v>0</v>
      </c>
      <c r="F1290">
        <v>34665512</v>
      </c>
      <c r="G1290">
        <v>78873.94</v>
      </c>
      <c r="H1290">
        <v>34586638.060000002</v>
      </c>
      <c r="I1290">
        <v>34586638.060000002</v>
      </c>
      <c r="J1290">
        <v>0</v>
      </c>
      <c r="K1290">
        <v>0</v>
      </c>
      <c r="M1290" t="s">
        <v>2</v>
      </c>
      <c r="N1290">
        <v>4750</v>
      </c>
      <c r="O1290">
        <v>54</v>
      </c>
      <c r="P1290">
        <v>175</v>
      </c>
      <c r="Q1290">
        <v>0</v>
      </c>
      <c r="R1290">
        <v>2145937096</v>
      </c>
      <c r="S1290">
        <v>3626819.86</v>
      </c>
      <c r="T1290">
        <v>2117468540.1600001</v>
      </c>
      <c r="U1290">
        <v>2142310276.1400001</v>
      </c>
      <c r="V1290">
        <v>0.13040199999999999</v>
      </c>
      <c r="W1290">
        <v>0</v>
      </c>
    </row>
    <row r="1291" spans="1:23" x14ac:dyDescent="0.35">
      <c r="A1291" t="s">
        <v>3</v>
      </c>
      <c r="B1291">
        <v>4750</v>
      </c>
      <c r="C1291">
        <v>54</v>
      </c>
      <c r="D1291">
        <v>16</v>
      </c>
      <c r="E1291">
        <v>0</v>
      </c>
      <c r="F1291">
        <v>335886297</v>
      </c>
      <c r="G1291">
        <v>555021.02</v>
      </c>
      <c r="H1291">
        <v>335331275.98000002</v>
      </c>
      <c r="I1291">
        <v>335331275.98000002</v>
      </c>
      <c r="J1291">
        <v>0</v>
      </c>
      <c r="K1291">
        <v>0</v>
      </c>
      <c r="M1291" t="s">
        <v>0</v>
      </c>
      <c r="N1291">
        <v>5250</v>
      </c>
      <c r="O1291">
        <v>54</v>
      </c>
      <c r="P1291">
        <v>1005</v>
      </c>
      <c r="Q1291">
        <v>0</v>
      </c>
      <c r="R1291">
        <v>22417243647</v>
      </c>
      <c r="S1291">
        <v>34426094.700000003</v>
      </c>
      <c r="T1291">
        <v>22269002735.220001</v>
      </c>
      <c r="U1291">
        <v>22314852807.110001</v>
      </c>
      <c r="V1291">
        <v>5.9253E-2</v>
      </c>
      <c r="W1291">
        <v>3.5781E-2</v>
      </c>
    </row>
    <row r="1292" spans="1:23" x14ac:dyDescent="0.35">
      <c r="A1292" t="s">
        <v>3</v>
      </c>
      <c r="B1292">
        <v>4500</v>
      </c>
      <c r="C1292">
        <v>54</v>
      </c>
      <c r="D1292">
        <v>7</v>
      </c>
      <c r="E1292">
        <v>0</v>
      </c>
      <c r="F1292">
        <v>165948610</v>
      </c>
      <c r="G1292">
        <v>284594.94</v>
      </c>
      <c r="H1292">
        <v>165664015.06</v>
      </c>
      <c r="I1292">
        <v>165664015.06</v>
      </c>
      <c r="J1292">
        <v>0</v>
      </c>
      <c r="K1292">
        <v>0</v>
      </c>
      <c r="M1292" t="s">
        <v>1</v>
      </c>
      <c r="N1292">
        <v>7500</v>
      </c>
      <c r="O1292">
        <v>42</v>
      </c>
      <c r="P1292">
        <v>261</v>
      </c>
      <c r="Q1292">
        <v>0</v>
      </c>
      <c r="R1292">
        <v>5260040062</v>
      </c>
      <c r="S1292">
        <v>5200855.92</v>
      </c>
      <c r="T1292">
        <v>5103705887.6800003</v>
      </c>
      <c r="U1292">
        <v>5212229478.0900002</v>
      </c>
      <c r="V1292">
        <v>0.29519800000000002</v>
      </c>
      <c r="W1292">
        <v>9.2992000000000005E-2</v>
      </c>
    </row>
    <row r="1293" spans="1:23" x14ac:dyDescent="0.35">
      <c r="A1293" t="s">
        <v>0</v>
      </c>
      <c r="B1293">
        <v>6250</v>
      </c>
      <c r="C1293">
        <v>54</v>
      </c>
      <c r="D1293">
        <v>76</v>
      </c>
      <c r="E1293">
        <v>0</v>
      </c>
      <c r="F1293">
        <v>1544630007</v>
      </c>
      <c r="G1293">
        <v>2022758.53</v>
      </c>
      <c r="H1293">
        <v>1542607248.47</v>
      </c>
      <c r="I1293">
        <v>1542607248.47</v>
      </c>
      <c r="J1293">
        <v>0</v>
      </c>
      <c r="K1293">
        <v>0</v>
      </c>
      <c r="M1293" t="s">
        <v>3</v>
      </c>
      <c r="N1293">
        <v>2500</v>
      </c>
      <c r="O1293">
        <v>60</v>
      </c>
      <c r="P1293">
        <v>83</v>
      </c>
      <c r="Q1293">
        <v>0</v>
      </c>
      <c r="R1293">
        <v>1697597447</v>
      </c>
      <c r="S1293">
        <v>4092426.18</v>
      </c>
      <c r="T1293">
        <v>1651033040.04</v>
      </c>
      <c r="U1293">
        <v>1693505020.8199999</v>
      </c>
      <c r="V1293">
        <v>0.26217299999999999</v>
      </c>
      <c r="W1293">
        <v>0</v>
      </c>
    </row>
    <row r="1294" spans="1:23" x14ac:dyDescent="0.35">
      <c r="A1294" t="s">
        <v>2</v>
      </c>
      <c r="B1294">
        <v>6750</v>
      </c>
      <c r="C1294">
        <v>48</v>
      </c>
      <c r="D1294">
        <v>78</v>
      </c>
      <c r="E1294">
        <v>0</v>
      </c>
      <c r="F1294">
        <v>1061442866</v>
      </c>
      <c r="G1294">
        <v>1231778.43</v>
      </c>
      <c r="H1294">
        <v>1041785030.03</v>
      </c>
      <c r="I1294">
        <v>1060211087.5700001</v>
      </c>
      <c r="J1294">
        <v>0.18953100000000001</v>
      </c>
      <c r="K1294">
        <v>0</v>
      </c>
      <c r="M1294" t="s">
        <v>2</v>
      </c>
      <c r="N1294">
        <v>5000</v>
      </c>
      <c r="O1294">
        <v>54</v>
      </c>
      <c r="P1294">
        <v>37</v>
      </c>
      <c r="Q1294">
        <v>0</v>
      </c>
      <c r="R1294">
        <v>438667187</v>
      </c>
      <c r="S1294">
        <v>737039.62</v>
      </c>
      <c r="T1294">
        <v>437930147.38</v>
      </c>
      <c r="U1294">
        <v>437930147.38</v>
      </c>
      <c r="V1294">
        <v>0</v>
      </c>
      <c r="W1294">
        <v>0</v>
      </c>
    </row>
    <row r="1295" spans="1:23" x14ac:dyDescent="0.35">
      <c r="A1295" t="s">
        <v>3</v>
      </c>
      <c r="B1295">
        <v>4500</v>
      </c>
      <c r="C1295">
        <v>48</v>
      </c>
      <c r="D1295">
        <v>23</v>
      </c>
      <c r="E1295">
        <v>0</v>
      </c>
      <c r="F1295">
        <v>568309149</v>
      </c>
      <c r="G1295">
        <v>956784.87</v>
      </c>
      <c r="H1295">
        <v>567352364.13</v>
      </c>
      <c r="I1295">
        <v>567352364.13</v>
      </c>
      <c r="J1295">
        <v>0</v>
      </c>
      <c r="K1295">
        <v>0</v>
      </c>
      <c r="M1295" t="s">
        <v>0</v>
      </c>
      <c r="N1295">
        <v>5750</v>
      </c>
      <c r="O1295">
        <v>54</v>
      </c>
      <c r="P1295">
        <v>79</v>
      </c>
      <c r="Q1295">
        <v>0</v>
      </c>
      <c r="R1295">
        <v>1532651864</v>
      </c>
      <c r="S1295">
        <v>2196416.17</v>
      </c>
      <c r="T1295">
        <v>1493069848.1199999</v>
      </c>
      <c r="U1295">
        <v>1493069848.1199999</v>
      </c>
      <c r="V1295">
        <v>0.256467</v>
      </c>
      <c r="W1295">
        <v>0.256467</v>
      </c>
    </row>
    <row r="1296" spans="1:23" x14ac:dyDescent="0.35">
      <c r="A1296" t="s">
        <v>3</v>
      </c>
      <c r="B1296">
        <v>6250</v>
      </c>
      <c r="C1296">
        <v>42</v>
      </c>
      <c r="D1296">
        <v>107</v>
      </c>
      <c r="E1296">
        <v>0</v>
      </c>
      <c r="F1296">
        <v>2530730171</v>
      </c>
      <c r="G1296">
        <v>3104309.96</v>
      </c>
      <c r="H1296">
        <v>2527625861.04</v>
      </c>
      <c r="I1296">
        <v>2527625861.04</v>
      </c>
      <c r="J1296">
        <v>0</v>
      </c>
      <c r="K1296">
        <v>0</v>
      </c>
      <c r="M1296" t="s">
        <v>2</v>
      </c>
      <c r="N1296">
        <v>5250</v>
      </c>
      <c r="O1296">
        <v>54</v>
      </c>
      <c r="P1296">
        <v>68</v>
      </c>
      <c r="Q1296">
        <v>0</v>
      </c>
      <c r="R1296">
        <v>873686318</v>
      </c>
      <c r="S1296">
        <v>1402723.46</v>
      </c>
      <c r="T1296">
        <v>872283594.53999996</v>
      </c>
      <c r="U1296">
        <v>872283594.53999996</v>
      </c>
      <c r="V1296">
        <v>0</v>
      </c>
      <c r="W1296">
        <v>0</v>
      </c>
    </row>
    <row r="1297" spans="1:23" x14ac:dyDescent="0.35">
      <c r="A1297" t="s">
        <v>3</v>
      </c>
      <c r="B1297">
        <v>6500</v>
      </c>
      <c r="C1297">
        <v>48</v>
      </c>
      <c r="D1297">
        <v>4</v>
      </c>
      <c r="E1297">
        <v>0</v>
      </c>
      <c r="F1297">
        <v>66632623</v>
      </c>
      <c r="G1297">
        <v>80497.320000000007</v>
      </c>
      <c r="H1297">
        <v>66552125.68</v>
      </c>
      <c r="I1297">
        <v>66552125.68</v>
      </c>
      <c r="J1297">
        <v>0</v>
      </c>
      <c r="K1297">
        <v>0</v>
      </c>
      <c r="M1297" t="s">
        <v>1</v>
      </c>
      <c r="N1297">
        <v>5000</v>
      </c>
      <c r="O1297">
        <v>54</v>
      </c>
      <c r="P1297">
        <v>77</v>
      </c>
      <c r="Q1297">
        <v>0</v>
      </c>
      <c r="R1297">
        <v>1950566094</v>
      </c>
      <c r="S1297">
        <v>3150584.25</v>
      </c>
      <c r="T1297">
        <v>1947415509.75</v>
      </c>
      <c r="U1297">
        <v>1947415509.75</v>
      </c>
      <c r="V1297">
        <v>0</v>
      </c>
      <c r="W1297">
        <v>0</v>
      </c>
    </row>
    <row r="1298" spans="1:23" x14ac:dyDescent="0.35">
      <c r="A1298" t="s">
        <v>3</v>
      </c>
      <c r="B1298">
        <v>6000</v>
      </c>
      <c r="C1298">
        <v>42</v>
      </c>
      <c r="D1298">
        <v>37</v>
      </c>
      <c r="E1298">
        <v>0</v>
      </c>
      <c r="F1298">
        <v>938780293</v>
      </c>
      <c r="G1298">
        <v>1200995.57</v>
      </c>
      <c r="H1298">
        <v>937579297.42999995</v>
      </c>
      <c r="I1298">
        <v>937579297.42999995</v>
      </c>
      <c r="J1298">
        <v>0</v>
      </c>
      <c r="K1298">
        <v>0</v>
      </c>
      <c r="M1298" t="s">
        <v>3</v>
      </c>
      <c r="N1298">
        <v>5250</v>
      </c>
      <c r="O1298">
        <v>48</v>
      </c>
      <c r="P1298">
        <v>85</v>
      </c>
      <c r="Q1298">
        <v>0</v>
      </c>
      <c r="R1298">
        <v>1831040760</v>
      </c>
      <c r="S1298">
        <v>2750054.57</v>
      </c>
      <c r="T1298">
        <v>1828290705.4300001</v>
      </c>
      <c r="U1298">
        <v>1828290705.4300001</v>
      </c>
      <c r="V1298">
        <v>0</v>
      </c>
      <c r="W1298">
        <v>0</v>
      </c>
    </row>
    <row r="1299" spans="1:23" x14ac:dyDescent="0.35">
      <c r="A1299" t="s">
        <v>3</v>
      </c>
      <c r="B1299">
        <v>6500</v>
      </c>
      <c r="C1299">
        <v>42</v>
      </c>
      <c r="D1299">
        <v>32</v>
      </c>
      <c r="E1299">
        <v>0</v>
      </c>
      <c r="F1299">
        <v>792816698</v>
      </c>
      <c r="G1299">
        <v>934653.15</v>
      </c>
      <c r="H1299">
        <v>791882044.85000002</v>
      </c>
      <c r="I1299">
        <v>791882044.85000002</v>
      </c>
      <c r="J1299">
        <v>0</v>
      </c>
      <c r="K1299">
        <v>0</v>
      </c>
      <c r="M1299" t="s">
        <v>3</v>
      </c>
      <c r="N1299">
        <v>4750</v>
      </c>
      <c r="O1299">
        <v>48</v>
      </c>
      <c r="P1299">
        <v>67</v>
      </c>
      <c r="Q1299">
        <v>0</v>
      </c>
      <c r="R1299">
        <v>1556957809</v>
      </c>
      <c r="S1299">
        <v>2524742.7799999998</v>
      </c>
      <c r="T1299">
        <v>1533559031.51</v>
      </c>
      <c r="U1299">
        <v>1554433066.22</v>
      </c>
      <c r="V1299">
        <v>0.149535</v>
      </c>
      <c r="W1299">
        <v>0</v>
      </c>
    </row>
    <row r="1300" spans="1:23" x14ac:dyDescent="0.35">
      <c r="A1300" t="s">
        <v>3</v>
      </c>
      <c r="B1300">
        <v>5750</v>
      </c>
      <c r="C1300">
        <v>42</v>
      </c>
      <c r="D1300">
        <v>38</v>
      </c>
      <c r="E1300">
        <v>0</v>
      </c>
      <c r="F1300">
        <v>887935311</v>
      </c>
      <c r="G1300">
        <v>1186261.3700000001</v>
      </c>
      <c r="H1300">
        <v>838811433.86000001</v>
      </c>
      <c r="I1300">
        <v>886749049.63</v>
      </c>
      <c r="J1300">
        <v>0.48623899999999998</v>
      </c>
      <c r="K1300">
        <v>0</v>
      </c>
      <c r="M1300" t="s">
        <v>1</v>
      </c>
      <c r="N1300">
        <v>5250</v>
      </c>
      <c r="O1300">
        <v>54</v>
      </c>
      <c r="P1300">
        <v>377</v>
      </c>
      <c r="Q1300">
        <v>0</v>
      </c>
      <c r="R1300">
        <v>8971265770</v>
      </c>
      <c r="S1300">
        <v>13852831.76</v>
      </c>
      <c r="T1300">
        <v>8885535226.7399998</v>
      </c>
      <c r="U1300">
        <v>8885535226.7399998</v>
      </c>
      <c r="V1300">
        <v>9.2018000000000003E-2</v>
      </c>
      <c r="W1300">
        <v>9.2018000000000003E-2</v>
      </c>
    </row>
    <row r="1301" spans="1:23" x14ac:dyDescent="0.35">
      <c r="A1301" t="s">
        <v>3</v>
      </c>
      <c r="B1301">
        <v>6250</v>
      </c>
      <c r="C1301">
        <v>48</v>
      </c>
      <c r="D1301">
        <v>41</v>
      </c>
      <c r="E1301">
        <v>0</v>
      </c>
      <c r="F1301">
        <v>998286939</v>
      </c>
      <c r="G1301">
        <v>1255404.21</v>
      </c>
      <c r="H1301">
        <v>997031534.78999996</v>
      </c>
      <c r="I1301">
        <v>997031534.78999996</v>
      </c>
      <c r="J1301">
        <v>0</v>
      </c>
      <c r="K1301">
        <v>0</v>
      </c>
      <c r="M1301" t="s">
        <v>0</v>
      </c>
      <c r="N1301">
        <v>2750</v>
      </c>
      <c r="O1301">
        <v>48</v>
      </c>
      <c r="P1301">
        <v>2239</v>
      </c>
      <c r="Q1301">
        <v>0</v>
      </c>
      <c r="R1301">
        <v>58624196497</v>
      </c>
      <c r="S1301">
        <v>129108937.76000001</v>
      </c>
      <c r="T1301">
        <v>58241209704.449997</v>
      </c>
      <c r="U1301">
        <v>58441063528.279999</v>
      </c>
      <c r="V1301">
        <v>5.0747E-2</v>
      </c>
      <c r="W1301">
        <v>1.1002E-2</v>
      </c>
    </row>
    <row r="1302" spans="1:23" x14ac:dyDescent="0.35">
      <c r="A1302" t="s">
        <v>3</v>
      </c>
      <c r="B1302">
        <v>5500</v>
      </c>
      <c r="C1302">
        <v>48</v>
      </c>
      <c r="D1302">
        <v>79</v>
      </c>
      <c r="E1302">
        <v>0</v>
      </c>
      <c r="F1302">
        <v>1824237061</v>
      </c>
      <c r="G1302">
        <v>2613353.4700000002</v>
      </c>
      <c r="H1302">
        <v>1806052128.6900001</v>
      </c>
      <c r="I1302">
        <v>1821623707.53</v>
      </c>
      <c r="J1302">
        <v>9.7756999999999997E-2</v>
      </c>
      <c r="K1302">
        <v>0</v>
      </c>
      <c r="M1302" t="s">
        <v>2</v>
      </c>
      <c r="N1302">
        <v>5500</v>
      </c>
      <c r="O1302">
        <v>54</v>
      </c>
      <c r="P1302">
        <v>22</v>
      </c>
      <c r="Q1302">
        <v>0</v>
      </c>
      <c r="R1302">
        <v>256629987</v>
      </c>
      <c r="S1302">
        <v>411173.92</v>
      </c>
      <c r="T1302">
        <v>256218813.08000001</v>
      </c>
      <c r="U1302">
        <v>256218813.08000001</v>
      </c>
      <c r="V1302">
        <v>0</v>
      </c>
      <c r="W1302">
        <v>0</v>
      </c>
    </row>
    <row r="1303" spans="1:23" x14ac:dyDescent="0.35">
      <c r="A1303" t="s">
        <v>3</v>
      </c>
      <c r="B1303">
        <v>5000</v>
      </c>
      <c r="C1303">
        <v>54</v>
      </c>
      <c r="D1303">
        <v>1</v>
      </c>
      <c r="E1303">
        <v>0</v>
      </c>
      <c r="F1303">
        <v>26483961</v>
      </c>
      <c r="G1303">
        <v>42551.040000000001</v>
      </c>
      <c r="H1303">
        <v>26441409.960000001</v>
      </c>
      <c r="I1303">
        <v>26441409.960000001</v>
      </c>
      <c r="J1303">
        <v>0</v>
      </c>
      <c r="K1303">
        <v>0</v>
      </c>
      <c r="M1303" t="s">
        <v>1</v>
      </c>
      <c r="N1303">
        <v>4250</v>
      </c>
      <c r="O1303">
        <v>5</v>
      </c>
      <c r="P1303">
        <v>1127</v>
      </c>
      <c r="Q1303">
        <v>0</v>
      </c>
      <c r="R1303">
        <v>43590200000</v>
      </c>
      <c r="S1303">
        <v>60857694.149999999</v>
      </c>
      <c r="T1303">
        <v>43529342305.849998</v>
      </c>
      <c r="U1303">
        <v>43529342305.849998</v>
      </c>
      <c r="V1303">
        <v>0</v>
      </c>
      <c r="W1303">
        <v>0</v>
      </c>
    </row>
    <row r="1304" spans="1:23" x14ac:dyDescent="0.35">
      <c r="A1304" t="s">
        <v>3</v>
      </c>
      <c r="B1304">
        <v>6000</v>
      </c>
      <c r="C1304">
        <v>48</v>
      </c>
      <c r="D1304">
        <v>31</v>
      </c>
      <c r="E1304">
        <v>0</v>
      </c>
      <c r="F1304">
        <v>670518430</v>
      </c>
      <c r="G1304">
        <v>882635.09</v>
      </c>
      <c r="H1304">
        <v>653585175.13</v>
      </c>
      <c r="I1304">
        <v>669635794.90999997</v>
      </c>
      <c r="J1304">
        <v>0.25229400000000002</v>
      </c>
      <c r="K1304">
        <v>0</v>
      </c>
      <c r="M1304" t="s">
        <v>0</v>
      </c>
      <c r="N1304">
        <v>4250</v>
      </c>
      <c r="O1304">
        <v>5</v>
      </c>
      <c r="P1304">
        <v>2520</v>
      </c>
      <c r="Q1304">
        <v>0</v>
      </c>
      <c r="R1304">
        <v>84879700000</v>
      </c>
      <c r="S1304">
        <v>118506091.04000001</v>
      </c>
      <c r="T1304">
        <v>84761193908.960007</v>
      </c>
      <c r="U1304">
        <v>84761193908.960007</v>
      </c>
      <c r="V1304">
        <v>0</v>
      </c>
      <c r="W1304">
        <v>0</v>
      </c>
    </row>
    <row r="1305" spans="1:23" x14ac:dyDescent="0.35">
      <c r="A1305" t="s">
        <v>2</v>
      </c>
      <c r="B1305">
        <v>5750</v>
      </c>
      <c r="C1305">
        <v>54</v>
      </c>
      <c r="D1305">
        <v>7</v>
      </c>
      <c r="E1305">
        <v>0</v>
      </c>
      <c r="F1305">
        <v>91404790</v>
      </c>
      <c r="G1305">
        <v>133196.85999999999</v>
      </c>
      <c r="H1305">
        <v>74774687.150000006</v>
      </c>
      <c r="I1305">
        <v>91271593.140000001</v>
      </c>
      <c r="J1305">
        <v>0.90822999999999998</v>
      </c>
      <c r="K1305">
        <v>0</v>
      </c>
      <c r="M1305" t="s">
        <v>1</v>
      </c>
      <c r="N1305">
        <v>4500</v>
      </c>
      <c r="O1305">
        <v>5</v>
      </c>
      <c r="P1305">
        <v>1656</v>
      </c>
      <c r="Q1305">
        <v>0</v>
      </c>
      <c r="R1305">
        <v>66603100000</v>
      </c>
      <c r="S1305">
        <v>89146531.290000007</v>
      </c>
      <c r="T1305">
        <v>66372940412.160004</v>
      </c>
      <c r="U1305">
        <v>66513953468.709999</v>
      </c>
      <c r="V1305">
        <v>2.5113E-2</v>
      </c>
      <c r="W1305">
        <v>0</v>
      </c>
    </row>
    <row r="1306" spans="1:23" x14ac:dyDescent="0.35">
      <c r="A1306" t="s">
        <v>1</v>
      </c>
      <c r="B1306">
        <v>2750</v>
      </c>
      <c r="C1306">
        <v>48</v>
      </c>
      <c r="D1306">
        <v>1967</v>
      </c>
      <c r="E1306">
        <v>0</v>
      </c>
      <c r="F1306">
        <v>65006739746</v>
      </c>
      <c r="G1306">
        <v>143501361.63</v>
      </c>
      <c r="H1306">
        <v>64606835745.68</v>
      </c>
      <c r="I1306">
        <v>64809009719.940002</v>
      </c>
      <c r="J1306">
        <v>4.6317999999999998E-2</v>
      </c>
      <c r="K1306">
        <v>9.9649999999999999E-3</v>
      </c>
      <c r="M1306" t="s">
        <v>3</v>
      </c>
      <c r="N1306">
        <v>4250</v>
      </c>
      <c r="O1306">
        <v>48</v>
      </c>
      <c r="P1306">
        <v>81</v>
      </c>
      <c r="Q1306">
        <v>0</v>
      </c>
      <c r="R1306">
        <v>1991724440</v>
      </c>
      <c r="S1306">
        <v>3500513.04</v>
      </c>
      <c r="T1306">
        <v>1988223926.96</v>
      </c>
      <c r="U1306">
        <v>1988223926.96</v>
      </c>
      <c r="V1306">
        <v>0</v>
      </c>
      <c r="W1306">
        <v>0</v>
      </c>
    </row>
    <row r="1307" spans="1:23" x14ac:dyDescent="0.35">
      <c r="A1307" t="s">
        <v>1</v>
      </c>
      <c r="B1307">
        <v>2500</v>
      </c>
      <c r="C1307">
        <v>48</v>
      </c>
      <c r="D1307">
        <v>440</v>
      </c>
      <c r="E1307">
        <v>0</v>
      </c>
      <c r="F1307">
        <v>14821143159</v>
      </c>
      <c r="G1307">
        <v>34063318.939999998</v>
      </c>
      <c r="H1307">
        <v>14698071409.110001</v>
      </c>
      <c r="I1307">
        <v>14762978818.51</v>
      </c>
      <c r="J1307">
        <v>6.9733000000000003E-2</v>
      </c>
      <c r="K1307">
        <v>1.934E-2</v>
      </c>
      <c r="M1307" t="s">
        <v>3</v>
      </c>
      <c r="N1307">
        <v>4000</v>
      </c>
      <c r="O1307">
        <v>48</v>
      </c>
      <c r="P1307">
        <v>31</v>
      </c>
      <c r="Q1307">
        <v>0</v>
      </c>
      <c r="R1307">
        <v>697529002</v>
      </c>
      <c r="S1307">
        <v>1286728.99</v>
      </c>
      <c r="T1307">
        <v>696242273.00999999</v>
      </c>
      <c r="U1307">
        <v>696242273.00999999</v>
      </c>
      <c r="V1307">
        <v>0</v>
      </c>
      <c r="W1307">
        <v>0</v>
      </c>
    </row>
    <row r="1308" spans="1:23" x14ac:dyDescent="0.35">
      <c r="A1308" t="s">
        <v>1</v>
      </c>
      <c r="B1308">
        <v>6750</v>
      </c>
      <c r="C1308">
        <v>48</v>
      </c>
      <c r="D1308">
        <v>261</v>
      </c>
      <c r="E1308">
        <v>0</v>
      </c>
      <c r="F1308">
        <v>6036666667</v>
      </c>
      <c r="G1308">
        <v>7043923.3600000003</v>
      </c>
      <c r="H1308">
        <v>5698851297.8500004</v>
      </c>
      <c r="I1308">
        <v>5869480103.3299999</v>
      </c>
      <c r="J1308">
        <v>0.49146699999999999</v>
      </c>
      <c r="K1308">
        <v>0.27576400000000001</v>
      </c>
      <c r="M1308" t="s">
        <v>0</v>
      </c>
      <c r="N1308">
        <v>6250</v>
      </c>
      <c r="O1308">
        <v>144</v>
      </c>
      <c r="P1308">
        <v>7</v>
      </c>
      <c r="Q1308">
        <v>0</v>
      </c>
      <c r="R1308">
        <v>40144058</v>
      </c>
      <c r="S1308">
        <v>90237.9</v>
      </c>
      <c r="T1308">
        <v>34662674.549999997</v>
      </c>
      <c r="U1308">
        <v>40053820.100000001</v>
      </c>
      <c r="V1308">
        <v>0.82281000000000004</v>
      </c>
      <c r="W1308">
        <v>0</v>
      </c>
    </row>
    <row r="1309" spans="1:23" x14ac:dyDescent="0.35">
      <c r="A1309" t="s">
        <v>1</v>
      </c>
      <c r="B1309">
        <v>5750</v>
      </c>
      <c r="C1309">
        <v>54</v>
      </c>
      <c r="D1309">
        <v>76</v>
      </c>
      <c r="E1309">
        <v>0</v>
      </c>
      <c r="F1309">
        <v>2013685628</v>
      </c>
      <c r="G1309">
        <v>2832410.75</v>
      </c>
      <c r="H1309">
        <v>1903513834.9400001</v>
      </c>
      <c r="I1309">
        <v>1903513834.9400001</v>
      </c>
      <c r="J1309">
        <v>0.481771</v>
      </c>
      <c r="K1309">
        <v>0.481771</v>
      </c>
      <c r="M1309" t="s">
        <v>1</v>
      </c>
      <c r="N1309">
        <v>2500</v>
      </c>
      <c r="O1309">
        <v>48</v>
      </c>
      <c r="P1309">
        <v>1341</v>
      </c>
      <c r="Q1309">
        <v>0</v>
      </c>
      <c r="R1309">
        <v>46371142571</v>
      </c>
      <c r="S1309">
        <v>106294923.63</v>
      </c>
      <c r="T1309">
        <v>46151099020.489998</v>
      </c>
      <c r="U1309">
        <v>46264847647.370003</v>
      </c>
      <c r="V1309">
        <v>2.9041999999999998E-2</v>
      </c>
      <c r="W1309">
        <v>0</v>
      </c>
    </row>
    <row r="1310" spans="1:23" x14ac:dyDescent="0.35">
      <c r="A1310" t="s">
        <v>0</v>
      </c>
      <c r="B1310">
        <v>6000</v>
      </c>
      <c r="C1310">
        <v>54</v>
      </c>
      <c r="D1310">
        <v>6</v>
      </c>
      <c r="E1310">
        <v>0</v>
      </c>
      <c r="F1310">
        <v>138861387</v>
      </c>
      <c r="G1310">
        <v>189293.08</v>
      </c>
      <c r="H1310">
        <v>138672093.91999999</v>
      </c>
      <c r="I1310">
        <v>138672093.91999999</v>
      </c>
      <c r="J1310">
        <v>0</v>
      </c>
      <c r="K1310">
        <v>0</v>
      </c>
      <c r="M1310" t="s">
        <v>3</v>
      </c>
      <c r="N1310">
        <v>4750</v>
      </c>
      <c r="O1310">
        <v>54</v>
      </c>
      <c r="P1310">
        <v>8</v>
      </c>
      <c r="Q1310">
        <v>0</v>
      </c>
      <c r="R1310">
        <v>169593082</v>
      </c>
      <c r="S1310">
        <v>278642.2</v>
      </c>
      <c r="T1310">
        <v>169314439.80000001</v>
      </c>
      <c r="U1310">
        <v>169314439.80000001</v>
      </c>
      <c r="V1310">
        <v>0</v>
      </c>
      <c r="W1310">
        <v>0</v>
      </c>
    </row>
    <row r="1311" spans="1:23" x14ac:dyDescent="0.35">
      <c r="A1311" t="s">
        <v>1</v>
      </c>
      <c r="B1311">
        <v>4500</v>
      </c>
      <c r="C1311">
        <v>42</v>
      </c>
      <c r="D1311">
        <v>1807</v>
      </c>
      <c r="E1311">
        <v>0</v>
      </c>
      <c r="F1311">
        <v>66862250517</v>
      </c>
      <c r="G1311">
        <v>109559336.53</v>
      </c>
      <c r="H1311">
        <v>65860309324.57</v>
      </c>
      <c r="I1311">
        <v>66646096609.959999</v>
      </c>
      <c r="J1311">
        <v>0.14890999999999999</v>
      </c>
      <c r="K1311">
        <v>1.8964000000000002E-2</v>
      </c>
      <c r="M1311" t="s">
        <v>3</v>
      </c>
      <c r="N1311">
        <v>4500</v>
      </c>
      <c r="O1311">
        <v>54</v>
      </c>
      <c r="P1311">
        <v>1</v>
      </c>
      <c r="Q1311">
        <v>0</v>
      </c>
      <c r="R1311">
        <v>18869243</v>
      </c>
      <c r="S1311">
        <v>32120.58</v>
      </c>
      <c r="T1311">
        <v>18837122.420000002</v>
      </c>
      <c r="U1311">
        <v>18837122.420000002</v>
      </c>
      <c r="V1311">
        <v>0</v>
      </c>
      <c r="W1311">
        <v>0</v>
      </c>
    </row>
    <row r="1312" spans="1:23" x14ac:dyDescent="0.35">
      <c r="A1312" t="s">
        <v>3</v>
      </c>
      <c r="B1312">
        <v>4250</v>
      </c>
      <c r="C1312">
        <v>48</v>
      </c>
      <c r="D1312">
        <v>40</v>
      </c>
      <c r="E1312">
        <v>0</v>
      </c>
      <c r="F1312">
        <v>872246517</v>
      </c>
      <c r="G1312">
        <v>1533096.41</v>
      </c>
      <c r="H1312">
        <v>870713420.59000003</v>
      </c>
      <c r="I1312">
        <v>870713420.59000003</v>
      </c>
      <c r="J1312">
        <v>0</v>
      </c>
      <c r="K1312">
        <v>0</v>
      </c>
      <c r="M1312" t="s">
        <v>0</v>
      </c>
      <c r="N1312">
        <v>6750</v>
      </c>
      <c r="O1312">
        <v>48</v>
      </c>
      <c r="P1312">
        <v>1568</v>
      </c>
      <c r="Q1312">
        <v>0</v>
      </c>
      <c r="R1312">
        <v>36939092321</v>
      </c>
      <c r="S1312">
        <v>42899434.780000001</v>
      </c>
      <c r="T1312">
        <v>36535266467.010002</v>
      </c>
      <c r="U1312">
        <v>36847473763.779999</v>
      </c>
      <c r="V1312">
        <v>0.11115</v>
      </c>
      <c r="W1312">
        <v>1.5713000000000001E-2</v>
      </c>
    </row>
    <row r="1313" spans="1:23" x14ac:dyDescent="0.35">
      <c r="A1313" t="s">
        <v>3</v>
      </c>
      <c r="B1313">
        <v>5750</v>
      </c>
      <c r="C1313">
        <v>48</v>
      </c>
      <c r="D1313">
        <v>148</v>
      </c>
      <c r="E1313">
        <v>0</v>
      </c>
      <c r="F1313">
        <v>3293799725</v>
      </c>
      <c r="G1313">
        <v>4569389.76</v>
      </c>
      <c r="H1313">
        <v>3289230335.2399998</v>
      </c>
      <c r="I1313">
        <v>3289230335.2399998</v>
      </c>
      <c r="J1313">
        <v>0</v>
      </c>
      <c r="K1313">
        <v>0</v>
      </c>
      <c r="M1313" t="s">
        <v>2</v>
      </c>
      <c r="N1313">
        <v>6750</v>
      </c>
      <c r="O1313">
        <v>48</v>
      </c>
      <c r="P1313">
        <v>48</v>
      </c>
      <c r="Q1313">
        <v>0</v>
      </c>
      <c r="R1313">
        <v>619040972</v>
      </c>
      <c r="S1313">
        <v>716490.78</v>
      </c>
      <c r="T1313">
        <v>611927803.38</v>
      </c>
      <c r="U1313">
        <v>611927803.38</v>
      </c>
      <c r="V1313">
        <v>0.117188</v>
      </c>
      <c r="W1313">
        <v>0.117188</v>
      </c>
    </row>
    <row r="1314" spans="1:23" x14ac:dyDescent="0.35">
      <c r="A1314" t="s">
        <v>3</v>
      </c>
      <c r="B1314">
        <v>5750</v>
      </c>
      <c r="C1314">
        <v>54</v>
      </c>
      <c r="D1314">
        <v>3</v>
      </c>
      <c r="E1314">
        <v>0</v>
      </c>
      <c r="F1314">
        <v>41745855</v>
      </c>
      <c r="G1314">
        <v>59151.199999999997</v>
      </c>
      <c r="H1314">
        <v>41686703.799999997</v>
      </c>
      <c r="I1314">
        <v>41686703.799999997</v>
      </c>
      <c r="J1314">
        <v>0</v>
      </c>
      <c r="K1314">
        <v>0</v>
      </c>
      <c r="M1314" t="s">
        <v>3</v>
      </c>
      <c r="N1314">
        <v>4500</v>
      </c>
      <c r="O1314">
        <v>48</v>
      </c>
      <c r="P1314">
        <v>26</v>
      </c>
      <c r="Q1314">
        <v>0</v>
      </c>
      <c r="R1314">
        <v>622839399</v>
      </c>
      <c r="S1314">
        <v>1049962.58</v>
      </c>
      <c r="T1314">
        <v>621789436.41999996</v>
      </c>
      <c r="U1314">
        <v>621789436.41999996</v>
      </c>
      <c r="V1314">
        <v>0</v>
      </c>
      <c r="W1314">
        <v>0</v>
      </c>
    </row>
    <row r="1315" spans="1:23" x14ac:dyDescent="0.35">
      <c r="A1315" t="s">
        <v>0</v>
      </c>
      <c r="B1315">
        <v>7250</v>
      </c>
      <c r="C1315">
        <v>48</v>
      </c>
      <c r="D1315">
        <v>206</v>
      </c>
      <c r="E1315">
        <v>0</v>
      </c>
      <c r="F1315">
        <v>4892310779</v>
      </c>
      <c r="G1315">
        <v>5227061.99</v>
      </c>
      <c r="H1315">
        <v>4782522222.1000004</v>
      </c>
      <c r="I1315">
        <v>4820138490.9099998</v>
      </c>
      <c r="J1315">
        <v>0.22837099999999999</v>
      </c>
      <c r="K1315">
        <v>0.152394</v>
      </c>
      <c r="M1315" t="s">
        <v>3</v>
      </c>
      <c r="N1315">
        <v>6250</v>
      </c>
      <c r="O1315">
        <v>42</v>
      </c>
      <c r="P1315">
        <v>118</v>
      </c>
      <c r="Q1315">
        <v>0</v>
      </c>
      <c r="R1315">
        <v>2892483833</v>
      </c>
      <c r="S1315">
        <v>3543890.18</v>
      </c>
      <c r="T1315">
        <v>2849879518.6300001</v>
      </c>
      <c r="U1315">
        <v>2849879518.6300001</v>
      </c>
      <c r="V1315">
        <v>0.15053900000000001</v>
      </c>
      <c r="W1315">
        <v>0.15053900000000001</v>
      </c>
    </row>
    <row r="1316" spans="1:23" x14ac:dyDescent="0.35">
      <c r="A1316" t="s">
        <v>1</v>
      </c>
      <c r="B1316">
        <v>7000</v>
      </c>
      <c r="C1316">
        <v>48</v>
      </c>
      <c r="D1316">
        <v>4</v>
      </c>
      <c r="E1316">
        <v>0</v>
      </c>
      <c r="F1316">
        <v>66625751</v>
      </c>
      <c r="G1316">
        <v>74536.800000000003</v>
      </c>
      <c r="H1316">
        <v>66551214.200000003</v>
      </c>
      <c r="I1316">
        <v>66551214.200000003</v>
      </c>
      <c r="J1316">
        <v>0</v>
      </c>
      <c r="K1316">
        <v>0</v>
      </c>
      <c r="M1316" t="s">
        <v>3</v>
      </c>
      <c r="N1316">
        <v>6500</v>
      </c>
      <c r="O1316">
        <v>42</v>
      </c>
      <c r="P1316">
        <v>24</v>
      </c>
      <c r="Q1316">
        <v>0</v>
      </c>
      <c r="R1316">
        <v>618064466</v>
      </c>
      <c r="S1316">
        <v>727861.57</v>
      </c>
      <c r="T1316">
        <v>617336604.42999995</v>
      </c>
      <c r="U1316">
        <v>617336604.42999995</v>
      </c>
      <c r="V1316">
        <v>0</v>
      </c>
      <c r="W1316">
        <v>0</v>
      </c>
    </row>
    <row r="1317" spans="1:23" x14ac:dyDescent="0.35">
      <c r="A1317" t="s">
        <v>1</v>
      </c>
      <c r="B1317">
        <v>7250</v>
      </c>
      <c r="C1317">
        <v>48</v>
      </c>
      <c r="D1317">
        <v>8</v>
      </c>
      <c r="E1317">
        <v>0</v>
      </c>
      <c r="F1317">
        <v>152826283</v>
      </c>
      <c r="G1317">
        <v>163257.21</v>
      </c>
      <c r="H1317">
        <v>152663025.78999999</v>
      </c>
      <c r="I1317">
        <v>152663025.78999999</v>
      </c>
      <c r="J1317">
        <v>0</v>
      </c>
      <c r="K1317">
        <v>0</v>
      </c>
      <c r="M1317" t="s">
        <v>3</v>
      </c>
      <c r="N1317">
        <v>6000</v>
      </c>
      <c r="O1317">
        <v>42</v>
      </c>
      <c r="P1317">
        <v>43</v>
      </c>
      <c r="Q1317">
        <v>0</v>
      </c>
      <c r="R1317">
        <v>1058850260</v>
      </c>
      <c r="S1317">
        <v>1358543.27</v>
      </c>
      <c r="T1317">
        <v>1057491716.73</v>
      </c>
      <c r="U1317">
        <v>1057491716.73</v>
      </c>
      <c r="V1317">
        <v>0</v>
      </c>
      <c r="W1317">
        <v>0</v>
      </c>
    </row>
    <row r="1318" spans="1:23" x14ac:dyDescent="0.35">
      <c r="A1318" t="s">
        <v>1</v>
      </c>
      <c r="B1318">
        <v>2250</v>
      </c>
      <c r="C1318">
        <v>48</v>
      </c>
      <c r="D1318">
        <v>214</v>
      </c>
      <c r="E1318">
        <v>0</v>
      </c>
      <c r="F1318">
        <v>7763599533</v>
      </c>
      <c r="G1318">
        <v>18407003.050000001</v>
      </c>
      <c r="H1318">
        <v>7703684593.1499996</v>
      </c>
      <c r="I1318">
        <v>7729436706.3999996</v>
      </c>
      <c r="J1318">
        <v>6.2303999999999998E-2</v>
      </c>
      <c r="K1318">
        <v>2.4083E-2</v>
      </c>
      <c r="M1318" t="s">
        <v>3</v>
      </c>
      <c r="N1318">
        <v>6500</v>
      </c>
      <c r="O1318">
        <v>48</v>
      </c>
      <c r="P1318">
        <v>3</v>
      </c>
      <c r="Q1318">
        <v>0</v>
      </c>
      <c r="R1318">
        <v>41184666</v>
      </c>
      <c r="S1318">
        <v>49188.01</v>
      </c>
      <c r="T1318">
        <v>41135477.990000002</v>
      </c>
      <c r="U1318">
        <v>41135477.990000002</v>
      </c>
      <c r="V1318">
        <v>0</v>
      </c>
      <c r="W1318">
        <v>0</v>
      </c>
    </row>
    <row r="1319" spans="1:23" x14ac:dyDescent="0.35">
      <c r="A1319" t="s">
        <v>0</v>
      </c>
      <c r="B1319">
        <v>2500</v>
      </c>
      <c r="C1319">
        <v>48</v>
      </c>
      <c r="D1319">
        <v>124</v>
      </c>
      <c r="E1319">
        <v>0</v>
      </c>
      <c r="F1319">
        <v>3442804385</v>
      </c>
      <c r="G1319">
        <v>7876131.6900000004</v>
      </c>
      <c r="H1319">
        <v>3434928253.3099999</v>
      </c>
      <c r="I1319">
        <v>3434928253.3099999</v>
      </c>
      <c r="J1319">
        <v>0</v>
      </c>
      <c r="K1319">
        <v>0</v>
      </c>
      <c r="M1319" t="s">
        <v>3</v>
      </c>
      <c r="N1319">
        <v>5750</v>
      </c>
      <c r="O1319">
        <v>42</v>
      </c>
      <c r="P1319">
        <v>62</v>
      </c>
      <c r="Q1319">
        <v>0</v>
      </c>
      <c r="R1319">
        <v>1477703163</v>
      </c>
      <c r="S1319">
        <v>1986119.1</v>
      </c>
      <c r="T1319">
        <v>1464387960.75</v>
      </c>
      <c r="U1319">
        <v>1475717043.9000001</v>
      </c>
      <c r="V1319">
        <v>8.8218000000000005E-2</v>
      </c>
      <c r="W1319">
        <v>0</v>
      </c>
    </row>
    <row r="1320" spans="1:23" x14ac:dyDescent="0.35">
      <c r="A1320" t="s">
        <v>0</v>
      </c>
      <c r="B1320">
        <v>3250</v>
      </c>
      <c r="C1320">
        <v>42</v>
      </c>
      <c r="D1320">
        <v>149</v>
      </c>
      <c r="E1320">
        <v>0</v>
      </c>
      <c r="F1320">
        <v>2956238646</v>
      </c>
      <c r="G1320">
        <v>5886957.8399999999</v>
      </c>
      <c r="H1320">
        <v>2950351688.1599998</v>
      </c>
      <c r="I1320">
        <v>2950351688.1599998</v>
      </c>
      <c r="J1320">
        <v>0</v>
      </c>
      <c r="K1320">
        <v>0</v>
      </c>
      <c r="M1320" t="s">
        <v>3</v>
      </c>
      <c r="N1320">
        <v>6250</v>
      </c>
      <c r="O1320">
        <v>48</v>
      </c>
      <c r="P1320">
        <v>21</v>
      </c>
      <c r="Q1320">
        <v>0</v>
      </c>
      <c r="R1320">
        <v>470403686</v>
      </c>
      <c r="S1320">
        <v>590151.59</v>
      </c>
      <c r="T1320">
        <v>469813534.41000003</v>
      </c>
      <c r="U1320">
        <v>469813534.41000003</v>
      </c>
      <c r="V1320">
        <v>0</v>
      </c>
      <c r="W1320">
        <v>0</v>
      </c>
    </row>
    <row r="1321" spans="1:23" x14ac:dyDescent="0.35">
      <c r="A1321" t="s">
        <v>2</v>
      </c>
      <c r="B1321">
        <v>7750</v>
      </c>
      <c r="C1321">
        <v>42</v>
      </c>
      <c r="D1321">
        <v>106</v>
      </c>
      <c r="E1321">
        <v>0</v>
      </c>
      <c r="F1321">
        <v>1384988588</v>
      </c>
      <c r="G1321">
        <v>1327433.32</v>
      </c>
      <c r="H1321">
        <v>1349401304.21</v>
      </c>
      <c r="I1321">
        <v>1357184202.8099999</v>
      </c>
      <c r="J1321">
        <v>0.25960499999999997</v>
      </c>
      <c r="K1321">
        <v>0.206757</v>
      </c>
      <c r="M1321" t="s">
        <v>3</v>
      </c>
      <c r="N1321">
        <v>5500</v>
      </c>
      <c r="O1321">
        <v>48</v>
      </c>
      <c r="P1321">
        <v>64</v>
      </c>
      <c r="Q1321">
        <v>0</v>
      </c>
      <c r="R1321">
        <v>1496000105</v>
      </c>
      <c r="S1321">
        <v>2135445.88</v>
      </c>
      <c r="T1321">
        <v>1493864659.1199999</v>
      </c>
      <c r="U1321">
        <v>1493864659.1199999</v>
      </c>
      <c r="V1321">
        <v>0</v>
      </c>
      <c r="W1321">
        <v>0</v>
      </c>
    </row>
    <row r="1322" spans="1:23" x14ac:dyDescent="0.35">
      <c r="A1322" t="s">
        <v>1</v>
      </c>
      <c r="B1322">
        <v>6500</v>
      </c>
      <c r="C1322">
        <v>8</v>
      </c>
      <c r="D1322">
        <v>4988</v>
      </c>
      <c r="E1322">
        <v>0</v>
      </c>
      <c r="F1322">
        <v>174557369995</v>
      </c>
      <c r="G1322">
        <v>167375557.19</v>
      </c>
      <c r="H1322">
        <v>165448515176.73001</v>
      </c>
      <c r="I1322">
        <v>174130164675.17999</v>
      </c>
      <c r="J1322">
        <v>0.46793400000000002</v>
      </c>
      <c r="K1322">
        <v>1.7717E-2</v>
      </c>
      <c r="M1322" t="s">
        <v>3</v>
      </c>
      <c r="N1322">
        <v>6000</v>
      </c>
      <c r="O1322">
        <v>48</v>
      </c>
      <c r="P1322">
        <v>18</v>
      </c>
      <c r="Q1322">
        <v>0</v>
      </c>
      <c r="R1322">
        <v>375024834</v>
      </c>
      <c r="S1322">
        <v>493114.17</v>
      </c>
      <c r="T1322">
        <v>374531719.82999998</v>
      </c>
      <c r="U1322">
        <v>374531719.82999998</v>
      </c>
      <c r="V1322">
        <v>0</v>
      </c>
      <c r="W1322">
        <v>0</v>
      </c>
    </row>
    <row r="1323" spans="1:23" x14ac:dyDescent="0.35">
      <c r="A1323" t="s">
        <v>0</v>
      </c>
      <c r="B1323">
        <v>8250</v>
      </c>
      <c r="C1323">
        <v>42</v>
      </c>
      <c r="D1323">
        <v>52</v>
      </c>
      <c r="E1323">
        <v>0</v>
      </c>
      <c r="F1323">
        <v>1195532303</v>
      </c>
      <c r="G1323">
        <v>1030732.25</v>
      </c>
      <c r="H1323">
        <v>1173686968.28</v>
      </c>
      <c r="I1323">
        <v>1194501570.75</v>
      </c>
      <c r="J1323">
        <v>0.19003500000000001</v>
      </c>
      <c r="K1323">
        <v>0</v>
      </c>
      <c r="M1323" t="s">
        <v>1</v>
      </c>
      <c r="N1323">
        <v>6750</v>
      </c>
      <c r="O1323">
        <v>48</v>
      </c>
      <c r="P1323">
        <v>135</v>
      </c>
      <c r="Q1323">
        <v>0</v>
      </c>
      <c r="R1323">
        <v>3148967148</v>
      </c>
      <c r="S1323">
        <v>3681883.48</v>
      </c>
      <c r="T1323">
        <v>3084717790.75</v>
      </c>
      <c r="U1323">
        <v>3130745114.3600001</v>
      </c>
      <c r="V1323">
        <v>0.20789199999999999</v>
      </c>
      <c r="W1323">
        <v>5.4023000000000002E-2</v>
      </c>
    </row>
    <row r="1324" spans="1:23" x14ac:dyDescent="0.35">
      <c r="A1324" t="s">
        <v>3</v>
      </c>
      <c r="B1324">
        <v>7000</v>
      </c>
      <c r="C1324">
        <v>42</v>
      </c>
      <c r="D1324">
        <v>56</v>
      </c>
      <c r="E1324">
        <v>0</v>
      </c>
      <c r="F1324">
        <v>1329925939</v>
      </c>
      <c r="G1324">
        <v>1444921.36</v>
      </c>
      <c r="H1324">
        <v>1328481017.6400001</v>
      </c>
      <c r="I1324">
        <v>1328481017.6400001</v>
      </c>
      <c r="J1324">
        <v>0</v>
      </c>
      <c r="K1324">
        <v>0</v>
      </c>
      <c r="M1324" t="s">
        <v>2</v>
      </c>
      <c r="N1324">
        <v>5750</v>
      </c>
      <c r="O1324">
        <v>54</v>
      </c>
      <c r="P1324">
        <v>3</v>
      </c>
      <c r="Q1324">
        <v>0</v>
      </c>
      <c r="R1324">
        <v>37898488</v>
      </c>
      <c r="S1324">
        <v>54307.88</v>
      </c>
      <c r="T1324">
        <v>37844180.119999997</v>
      </c>
      <c r="U1324">
        <v>37844180.119999997</v>
      </c>
      <c r="V1324">
        <v>0</v>
      </c>
      <c r="W1324">
        <v>0</v>
      </c>
    </row>
    <row r="1325" spans="1:23" x14ac:dyDescent="0.35">
      <c r="A1325" t="s">
        <v>3</v>
      </c>
      <c r="B1325">
        <v>6750</v>
      </c>
      <c r="C1325">
        <v>42</v>
      </c>
      <c r="D1325">
        <v>71</v>
      </c>
      <c r="E1325">
        <v>0</v>
      </c>
      <c r="F1325">
        <v>1742417746</v>
      </c>
      <c r="G1325">
        <v>1973324.58</v>
      </c>
      <c r="H1325">
        <v>1740444421.4200001</v>
      </c>
      <c r="I1325">
        <v>1740444421.4200001</v>
      </c>
      <c r="J1325">
        <v>0</v>
      </c>
      <c r="K1325">
        <v>0</v>
      </c>
      <c r="M1325" t="s">
        <v>3</v>
      </c>
      <c r="N1325">
        <v>5750</v>
      </c>
      <c r="O1325">
        <v>48</v>
      </c>
      <c r="P1325">
        <v>123</v>
      </c>
      <c r="Q1325">
        <v>0</v>
      </c>
      <c r="R1325">
        <v>2660337414</v>
      </c>
      <c r="S1325">
        <v>3681194.37</v>
      </c>
      <c r="T1325">
        <v>2633153201.3600001</v>
      </c>
      <c r="U1325">
        <v>2656656219.6300001</v>
      </c>
      <c r="V1325">
        <v>0.10101300000000001</v>
      </c>
      <c r="W1325">
        <v>0</v>
      </c>
    </row>
    <row r="1326" spans="1:23" x14ac:dyDescent="0.35">
      <c r="A1326" t="s">
        <v>3</v>
      </c>
      <c r="B1326">
        <v>5500</v>
      </c>
      <c r="C1326">
        <v>42</v>
      </c>
      <c r="D1326">
        <v>13</v>
      </c>
      <c r="E1326">
        <v>0</v>
      </c>
      <c r="F1326">
        <v>269349788</v>
      </c>
      <c r="G1326">
        <v>375599.27</v>
      </c>
      <c r="H1326">
        <v>268974188.73000002</v>
      </c>
      <c r="I1326">
        <v>268974188.73000002</v>
      </c>
      <c r="J1326">
        <v>0</v>
      </c>
      <c r="K1326">
        <v>0</v>
      </c>
      <c r="M1326" t="s">
        <v>3</v>
      </c>
      <c r="N1326">
        <v>5750</v>
      </c>
      <c r="O1326">
        <v>54</v>
      </c>
      <c r="P1326">
        <v>1</v>
      </c>
      <c r="Q1326">
        <v>0</v>
      </c>
      <c r="R1326">
        <v>14942219</v>
      </c>
      <c r="S1326">
        <v>21341.53</v>
      </c>
      <c r="T1326">
        <v>14920877.470000001</v>
      </c>
      <c r="U1326">
        <v>14920877.470000001</v>
      </c>
      <c r="V1326">
        <v>0</v>
      </c>
      <c r="W1326">
        <v>0</v>
      </c>
    </row>
    <row r="1327" spans="1:23" x14ac:dyDescent="0.35">
      <c r="A1327" t="s">
        <v>2</v>
      </c>
      <c r="B1327">
        <v>7250</v>
      </c>
      <c r="C1327">
        <v>48</v>
      </c>
      <c r="D1327">
        <v>3</v>
      </c>
      <c r="E1327">
        <v>0</v>
      </c>
      <c r="F1327">
        <v>34114297</v>
      </c>
      <c r="G1327">
        <v>36102.720000000001</v>
      </c>
      <c r="H1327">
        <v>34078194.280000001</v>
      </c>
      <c r="I1327">
        <v>34078194.280000001</v>
      </c>
      <c r="J1327">
        <v>0</v>
      </c>
      <c r="K1327">
        <v>0</v>
      </c>
      <c r="M1327" t="s">
        <v>0</v>
      </c>
      <c r="N1327">
        <v>7250</v>
      </c>
      <c r="O1327">
        <v>48</v>
      </c>
      <c r="P1327">
        <v>128</v>
      </c>
      <c r="Q1327">
        <v>0</v>
      </c>
      <c r="R1327">
        <v>3137518927</v>
      </c>
      <c r="S1327">
        <v>3343754.53</v>
      </c>
      <c r="T1327">
        <v>3090242851.9200001</v>
      </c>
      <c r="U1327">
        <v>3090242851.9200001</v>
      </c>
      <c r="V1327">
        <v>0.155672</v>
      </c>
      <c r="W1327">
        <v>0.155672</v>
      </c>
    </row>
    <row r="1328" spans="1:23" x14ac:dyDescent="0.35">
      <c r="A1328" t="s">
        <v>0</v>
      </c>
      <c r="B1328">
        <v>7500</v>
      </c>
      <c r="C1328">
        <v>48</v>
      </c>
      <c r="D1328">
        <v>3</v>
      </c>
      <c r="E1328">
        <v>0</v>
      </c>
      <c r="F1328">
        <v>94454467</v>
      </c>
      <c r="G1328">
        <v>95105.34</v>
      </c>
      <c r="H1328">
        <v>94359361.659999996</v>
      </c>
      <c r="I1328">
        <v>94359361.659999996</v>
      </c>
      <c r="J1328">
        <v>0</v>
      </c>
      <c r="K1328">
        <v>0</v>
      </c>
      <c r="M1328" t="s">
        <v>1</v>
      </c>
      <c r="N1328">
        <v>7000</v>
      </c>
      <c r="O1328">
        <v>48</v>
      </c>
      <c r="P1328">
        <v>2</v>
      </c>
      <c r="Q1328">
        <v>0</v>
      </c>
      <c r="R1328">
        <v>41400829</v>
      </c>
      <c r="S1328">
        <v>45972.77</v>
      </c>
      <c r="T1328">
        <v>41354856.229999997</v>
      </c>
      <c r="U1328">
        <v>41354856.229999997</v>
      </c>
      <c r="V1328">
        <v>0</v>
      </c>
      <c r="W1328">
        <v>0</v>
      </c>
    </row>
    <row r="1329" spans="1:23" x14ac:dyDescent="0.35">
      <c r="A1329" t="s">
        <v>0</v>
      </c>
      <c r="B1329">
        <v>3000</v>
      </c>
      <c r="C1329">
        <v>42</v>
      </c>
      <c r="D1329">
        <v>92</v>
      </c>
      <c r="E1329">
        <v>0</v>
      </c>
      <c r="F1329">
        <v>2133102528</v>
      </c>
      <c r="G1329">
        <v>4416139.6399999997</v>
      </c>
      <c r="H1329">
        <v>2080538464.6199999</v>
      </c>
      <c r="I1329">
        <v>2128686388.3599999</v>
      </c>
      <c r="J1329">
        <v>0.23964099999999999</v>
      </c>
      <c r="K1329">
        <v>0</v>
      </c>
      <c r="M1329" t="s">
        <v>1</v>
      </c>
      <c r="N1329">
        <v>7250</v>
      </c>
      <c r="O1329">
        <v>48</v>
      </c>
      <c r="P1329">
        <v>3</v>
      </c>
      <c r="Q1329">
        <v>0</v>
      </c>
      <c r="R1329">
        <v>40118214</v>
      </c>
      <c r="S1329">
        <v>43063.56</v>
      </c>
      <c r="T1329">
        <v>40075150.439999998</v>
      </c>
      <c r="U1329">
        <v>40075150.439999998</v>
      </c>
      <c r="V1329">
        <v>0</v>
      </c>
      <c r="W1329">
        <v>0</v>
      </c>
    </row>
    <row r="1330" spans="1:23" x14ac:dyDescent="0.35">
      <c r="A1330" t="s">
        <v>1</v>
      </c>
      <c r="B1330">
        <v>3000</v>
      </c>
      <c r="C1330">
        <v>42</v>
      </c>
      <c r="D1330">
        <v>74</v>
      </c>
      <c r="E1330">
        <v>0</v>
      </c>
      <c r="F1330">
        <v>2291002577</v>
      </c>
      <c r="G1330">
        <v>4960862.08</v>
      </c>
      <c r="H1330">
        <v>2271475718.23</v>
      </c>
      <c r="I1330">
        <v>2271475718.23</v>
      </c>
      <c r="J1330">
        <v>7.3682999999999998E-2</v>
      </c>
      <c r="K1330">
        <v>7.3682999999999998E-2</v>
      </c>
      <c r="M1330" t="s">
        <v>0</v>
      </c>
      <c r="N1330">
        <v>2500</v>
      </c>
      <c r="O1330">
        <v>48</v>
      </c>
      <c r="P1330">
        <v>384</v>
      </c>
      <c r="Q1330">
        <v>0</v>
      </c>
      <c r="R1330">
        <v>10712799661</v>
      </c>
      <c r="S1330">
        <v>24507233.739999998</v>
      </c>
      <c r="T1330">
        <v>10634328067.09</v>
      </c>
      <c r="U1330">
        <v>10678219611.219999</v>
      </c>
      <c r="V1330">
        <v>5.8802E-2</v>
      </c>
      <c r="W1330">
        <v>1.1225000000000001E-2</v>
      </c>
    </row>
    <row r="1331" spans="1:23" x14ac:dyDescent="0.35">
      <c r="A1331" t="s">
        <v>2</v>
      </c>
      <c r="B1331">
        <v>3250</v>
      </c>
      <c r="C1331">
        <v>42</v>
      </c>
      <c r="D1331">
        <v>86</v>
      </c>
      <c r="E1331">
        <v>0</v>
      </c>
      <c r="F1331">
        <v>1375677028</v>
      </c>
      <c r="G1331">
        <v>2846899.32</v>
      </c>
      <c r="H1331">
        <v>1354434334.0699999</v>
      </c>
      <c r="I1331">
        <v>1372830128.6800001</v>
      </c>
      <c r="J1331">
        <v>0.149175</v>
      </c>
      <c r="K1331">
        <v>0</v>
      </c>
      <c r="M1331" t="s">
        <v>1</v>
      </c>
      <c r="N1331">
        <v>5750</v>
      </c>
      <c r="O1331">
        <v>54</v>
      </c>
      <c r="P1331">
        <v>13</v>
      </c>
      <c r="Q1331">
        <v>0</v>
      </c>
      <c r="R1331">
        <v>314192633</v>
      </c>
      <c r="S1331">
        <v>441452.96</v>
      </c>
      <c r="T1331">
        <v>313751180.04000002</v>
      </c>
      <c r="U1331">
        <v>313751180.04000002</v>
      </c>
      <c r="V1331">
        <v>0</v>
      </c>
      <c r="W1331">
        <v>0</v>
      </c>
    </row>
    <row r="1332" spans="1:23" x14ac:dyDescent="0.35">
      <c r="A1332" t="s">
        <v>1</v>
      </c>
      <c r="B1332">
        <v>3250</v>
      </c>
      <c r="C1332">
        <v>42</v>
      </c>
      <c r="D1332">
        <v>228</v>
      </c>
      <c r="E1332">
        <v>0</v>
      </c>
      <c r="F1332">
        <v>6284324481</v>
      </c>
      <c r="G1332">
        <v>12790550.9</v>
      </c>
      <c r="H1332">
        <v>6206042976.7399998</v>
      </c>
      <c r="I1332">
        <v>6249112230.6499996</v>
      </c>
      <c r="J1332">
        <v>0.118131</v>
      </c>
      <c r="K1332">
        <v>4.1984E-2</v>
      </c>
      <c r="M1332" t="s">
        <v>2</v>
      </c>
      <c r="N1332">
        <v>7000</v>
      </c>
      <c r="O1332">
        <v>48</v>
      </c>
      <c r="P1332">
        <v>1</v>
      </c>
      <c r="Q1332">
        <v>0</v>
      </c>
      <c r="R1332">
        <v>18349637</v>
      </c>
      <c r="S1332">
        <v>20688.43</v>
      </c>
      <c r="T1332">
        <v>18328948.57</v>
      </c>
      <c r="U1332">
        <v>18328948.57</v>
      </c>
      <c r="V1332">
        <v>0</v>
      </c>
      <c r="W1332">
        <v>0</v>
      </c>
    </row>
    <row r="1333" spans="1:23" x14ac:dyDescent="0.35">
      <c r="A1333" t="s">
        <v>2</v>
      </c>
      <c r="B1333">
        <v>4750</v>
      </c>
      <c r="C1333">
        <v>36</v>
      </c>
      <c r="D1333">
        <v>72</v>
      </c>
      <c r="E1333">
        <v>0</v>
      </c>
      <c r="F1333">
        <v>1627747532</v>
      </c>
      <c r="G1333">
        <v>2479748.88</v>
      </c>
      <c r="H1333">
        <v>1625267783.1199999</v>
      </c>
      <c r="I1333">
        <v>1625267783.1199999</v>
      </c>
      <c r="J1333">
        <v>0</v>
      </c>
      <c r="K1333">
        <v>0</v>
      </c>
      <c r="M1333" t="s">
        <v>0</v>
      </c>
      <c r="N1333">
        <v>2500</v>
      </c>
      <c r="O1333">
        <v>42</v>
      </c>
      <c r="P1333">
        <v>3</v>
      </c>
      <c r="Q1333">
        <v>0</v>
      </c>
      <c r="R1333">
        <v>66490283</v>
      </c>
      <c r="S1333">
        <v>147141.28</v>
      </c>
      <c r="T1333">
        <v>66343141.719999999</v>
      </c>
      <c r="U1333">
        <v>66343141.719999999</v>
      </c>
      <c r="V1333">
        <v>0</v>
      </c>
      <c r="W1333">
        <v>0</v>
      </c>
    </row>
    <row r="1334" spans="1:23" x14ac:dyDescent="0.35">
      <c r="A1334" t="s">
        <v>0</v>
      </c>
      <c r="B1334">
        <v>5250</v>
      </c>
      <c r="C1334">
        <v>36</v>
      </c>
      <c r="D1334">
        <v>11832</v>
      </c>
      <c r="E1334">
        <v>0</v>
      </c>
      <c r="F1334">
        <v>388247337361</v>
      </c>
      <c r="G1334">
        <v>543761018.92999995</v>
      </c>
      <c r="H1334">
        <v>385290996532.63</v>
      </c>
      <c r="I1334">
        <v>387034077315.23999</v>
      </c>
      <c r="J1334">
        <v>7.2071999999999997E-2</v>
      </c>
      <c r="K1334">
        <v>2.0497999999999999E-2</v>
      </c>
      <c r="M1334" t="s">
        <v>0</v>
      </c>
      <c r="N1334">
        <v>3250</v>
      </c>
      <c r="O1334">
        <v>42</v>
      </c>
      <c r="P1334">
        <v>222</v>
      </c>
      <c r="Q1334">
        <v>0</v>
      </c>
      <c r="R1334">
        <v>4513642548</v>
      </c>
      <c r="S1334">
        <v>8979641.8200000003</v>
      </c>
      <c r="T1334">
        <v>4464246799</v>
      </c>
      <c r="U1334">
        <v>4490949074.1199999</v>
      </c>
      <c r="V1334">
        <v>0.102314</v>
      </c>
      <c r="W1334">
        <v>3.5857E-2</v>
      </c>
    </row>
    <row r="1335" spans="1:23" x14ac:dyDescent="0.35">
      <c r="A1335" t="s">
        <v>0</v>
      </c>
      <c r="B1335">
        <v>4750</v>
      </c>
      <c r="C1335">
        <v>36</v>
      </c>
      <c r="D1335">
        <v>2392</v>
      </c>
      <c r="E1335">
        <v>0</v>
      </c>
      <c r="F1335">
        <v>75125725069</v>
      </c>
      <c r="G1335">
        <v>113971243.18000001</v>
      </c>
      <c r="H1335">
        <v>74646393549.479996</v>
      </c>
      <c r="I1335">
        <v>74916133602.470001</v>
      </c>
      <c r="J1335">
        <v>5.6824E-2</v>
      </c>
      <c r="K1335">
        <v>1.5167E-2</v>
      </c>
      <c r="M1335" t="s">
        <v>2</v>
      </c>
      <c r="N1335">
        <v>7750</v>
      </c>
      <c r="O1335">
        <v>42</v>
      </c>
      <c r="P1335">
        <v>100</v>
      </c>
      <c r="Q1335">
        <v>0</v>
      </c>
      <c r="R1335">
        <v>1297364239</v>
      </c>
      <c r="S1335">
        <v>1238078.21</v>
      </c>
      <c r="T1335">
        <v>1255482012.7</v>
      </c>
      <c r="U1335">
        <v>1264894392.1800001</v>
      </c>
      <c r="V1335">
        <v>0.31747300000000001</v>
      </c>
      <c r="W1335">
        <v>0.25353999999999999</v>
      </c>
    </row>
    <row r="1336" spans="1:23" x14ac:dyDescent="0.35">
      <c r="A1336" t="s">
        <v>1</v>
      </c>
      <c r="B1336">
        <v>4750</v>
      </c>
      <c r="C1336">
        <v>36</v>
      </c>
      <c r="D1336">
        <v>1542</v>
      </c>
      <c r="E1336">
        <v>0</v>
      </c>
      <c r="F1336">
        <v>55922427327</v>
      </c>
      <c r="G1336">
        <v>84945210.620000005</v>
      </c>
      <c r="H1336">
        <v>55372952200.110001</v>
      </c>
      <c r="I1336">
        <v>55702622902.980003</v>
      </c>
      <c r="J1336">
        <v>9.5250000000000001E-2</v>
      </c>
      <c r="K1336">
        <v>2.8558E-2</v>
      </c>
      <c r="M1336" t="s">
        <v>1</v>
      </c>
      <c r="N1336">
        <v>6500</v>
      </c>
      <c r="O1336">
        <v>7</v>
      </c>
      <c r="P1336">
        <v>5928</v>
      </c>
      <c r="Q1336">
        <v>0</v>
      </c>
      <c r="R1336">
        <v>214779552535</v>
      </c>
      <c r="S1336">
        <v>204654462.90000001</v>
      </c>
      <c r="T1336">
        <v>174600108615.38</v>
      </c>
      <c r="U1336">
        <v>214418212216.17001</v>
      </c>
      <c r="V1336">
        <v>0.91552599999999995</v>
      </c>
      <c r="W1336">
        <v>8.7189999999999993E-3</v>
      </c>
    </row>
    <row r="1337" spans="1:23" x14ac:dyDescent="0.35">
      <c r="A1337" t="s">
        <v>1</v>
      </c>
      <c r="B1337">
        <v>4000</v>
      </c>
      <c r="C1337">
        <v>42</v>
      </c>
      <c r="D1337">
        <v>878</v>
      </c>
      <c r="E1337">
        <v>0</v>
      </c>
      <c r="F1337">
        <v>31394868360</v>
      </c>
      <c r="G1337">
        <v>55740674.340000004</v>
      </c>
      <c r="H1337">
        <v>31124888958.400002</v>
      </c>
      <c r="I1337">
        <v>31320017206.080002</v>
      </c>
      <c r="J1337">
        <v>7.8882999999999995E-2</v>
      </c>
      <c r="K1337">
        <v>7.28E-3</v>
      </c>
      <c r="M1337" t="s">
        <v>0</v>
      </c>
      <c r="N1337">
        <v>8250</v>
      </c>
      <c r="O1337">
        <v>42</v>
      </c>
      <c r="P1337">
        <v>30</v>
      </c>
      <c r="Q1337">
        <v>0</v>
      </c>
      <c r="R1337">
        <v>668936405</v>
      </c>
      <c r="S1337">
        <v>580165.64</v>
      </c>
      <c r="T1337">
        <v>668356239.36000001</v>
      </c>
      <c r="U1337">
        <v>668356239.36000001</v>
      </c>
      <c r="V1337">
        <v>0</v>
      </c>
      <c r="W1337">
        <v>0</v>
      </c>
    </row>
    <row r="1338" spans="1:23" x14ac:dyDescent="0.35">
      <c r="A1338" t="s">
        <v>3</v>
      </c>
      <c r="B1338">
        <v>6750</v>
      </c>
      <c r="C1338">
        <v>36</v>
      </c>
      <c r="D1338">
        <v>85</v>
      </c>
      <c r="E1338">
        <v>0</v>
      </c>
      <c r="F1338">
        <v>2049127419</v>
      </c>
      <c r="G1338">
        <v>2230270.77</v>
      </c>
      <c r="H1338">
        <v>2046897148.23</v>
      </c>
      <c r="I1338">
        <v>2046897148.23</v>
      </c>
      <c r="J1338">
        <v>0</v>
      </c>
      <c r="K1338">
        <v>0</v>
      </c>
      <c r="M1338" t="s">
        <v>3</v>
      </c>
      <c r="N1338">
        <v>7000</v>
      </c>
      <c r="O1338">
        <v>42</v>
      </c>
      <c r="P1338">
        <v>43</v>
      </c>
      <c r="Q1338">
        <v>0</v>
      </c>
      <c r="R1338">
        <v>972252291</v>
      </c>
      <c r="S1338">
        <v>1054695.5</v>
      </c>
      <c r="T1338">
        <v>935035165.75999999</v>
      </c>
      <c r="U1338">
        <v>971197595.5</v>
      </c>
      <c r="V1338">
        <v>0.365454</v>
      </c>
      <c r="W1338">
        <v>0</v>
      </c>
    </row>
    <row r="1339" spans="1:23" x14ac:dyDescent="0.35">
      <c r="A1339" t="s">
        <v>3</v>
      </c>
      <c r="B1339">
        <v>6000</v>
      </c>
      <c r="C1339">
        <v>36</v>
      </c>
      <c r="D1339">
        <v>21</v>
      </c>
      <c r="E1339">
        <v>0</v>
      </c>
      <c r="F1339">
        <v>548659376</v>
      </c>
      <c r="G1339">
        <v>678735.73</v>
      </c>
      <c r="H1339">
        <v>547980640.26999998</v>
      </c>
      <c r="I1339">
        <v>547980640.26999998</v>
      </c>
      <c r="J1339">
        <v>0</v>
      </c>
      <c r="K1339">
        <v>0</v>
      </c>
      <c r="M1339" t="s">
        <v>3</v>
      </c>
      <c r="N1339">
        <v>6750</v>
      </c>
      <c r="O1339">
        <v>42</v>
      </c>
      <c r="P1339">
        <v>64</v>
      </c>
      <c r="Q1339">
        <v>0</v>
      </c>
      <c r="R1339">
        <v>1542843543</v>
      </c>
      <c r="S1339">
        <v>1742904.18</v>
      </c>
      <c r="T1339">
        <v>1541100638.8199999</v>
      </c>
      <c r="U1339">
        <v>1541100638.8199999</v>
      </c>
      <c r="V1339">
        <v>0</v>
      </c>
      <c r="W1339">
        <v>0</v>
      </c>
    </row>
    <row r="1340" spans="1:23" x14ac:dyDescent="0.35">
      <c r="A1340" t="s">
        <v>3</v>
      </c>
      <c r="B1340">
        <v>7000</v>
      </c>
      <c r="C1340">
        <v>36</v>
      </c>
      <c r="D1340">
        <v>82</v>
      </c>
      <c r="E1340">
        <v>0</v>
      </c>
      <c r="F1340">
        <v>2069313699</v>
      </c>
      <c r="G1340">
        <v>2154872.79</v>
      </c>
      <c r="H1340">
        <v>2067158826.21</v>
      </c>
      <c r="I1340">
        <v>2067158826.21</v>
      </c>
      <c r="J1340">
        <v>0</v>
      </c>
      <c r="K1340">
        <v>0</v>
      </c>
      <c r="M1340" t="s">
        <v>3</v>
      </c>
      <c r="N1340">
        <v>5500</v>
      </c>
      <c r="O1340">
        <v>42</v>
      </c>
      <c r="P1340">
        <v>27</v>
      </c>
      <c r="Q1340">
        <v>0</v>
      </c>
      <c r="R1340">
        <v>580261912</v>
      </c>
      <c r="S1340">
        <v>812640.67</v>
      </c>
      <c r="T1340">
        <v>579449271.33000004</v>
      </c>
      <c r="U1340">
        <v>579449271.33000004</v>
      </c>
      <c r="V1340">
        <v>0</v>
      </c>
      <c r="W1340">
        <v>0</v>
      </c>
    </row>
    <row r="1341" spans="1:23" x14ac:dyDescent="0.35">
      <c r="A1341" t="s">
        <v>1</v>
      </c>
      <c r="B1341">
        <v>3500</v>
      </c>
      <c r="C1341">
        <v>42</v>
      </c>
      <c r="D1341">
        <v>143</v>
      </c>
      <c r="E1341">
        <v>0</v>
      </c>
      <c r="F1341">
        <v>5549159100</v>
      </c>
      <c r="G1341">
        <v>10820498.939999999</v>
      </c>
      <c r="H1341">
        <v>5521682584.8199997</v>
      </c>
      <c r="I1341">
        <v>5521682584.8199997</v>
      </c>
      <c r="J1341">
        <v>3.5430000000000003E-2</v>
      </c>
      <c r="K1341">
        <v>3.5430000000000003E-2</v>
      </c>
      <c r="M1341" t="s">
        <v>2</v>
      </c>
      <c r="N1341">
        <v>7250</v>
      </c>
      <c r="O1341">
        <v>48</v>
      </c>
      <c r="P1341">
        <v>1</v>
      </c>
      <c r="Q1341">
        <v>0</v>
      </c>
      <c r="R1341">
        <v>16966087</v>
      </c>
      <c r="S1341">
        <v>17955.29</v>
      </c>
      <c r="T1341">
        <v>16948131.710000001</v>
      </c>
      <c r="U1341">
        <v>16948131.710000001</v>
      </c>
      <c r="V1341">
        <v>0</v>
      </c>
      <c r="W1341">
        <v>0</v>
      </c>
    </row>
    <row r="1342" spans="1:23" x14ac:dyDescent="0.35">
      <c r="A1342" t="s">
        <v>1</v>
      </c>
      <c r="B1342">
        <v>3750</v>
      </c>
      <c r="C1342">
        <v>42</v>
      </c>
      <c r="D1342">
        <v>350</v>
      </c>
      <c r="E1342">
        <v>0</v>
      </c>
      <c r="F1342">
        <v>11466712190</v>
      </c>
      <c r="G1342">
        <v>21441045.699999999</v>
      </c>
      <c r="H1342">
        <v>11345257196.530001</v>
      </c>
      <c r="I1342">
        <v>11403984321.26</v>
      </c>
      <c r="J1342">
        <v>9.9788000000000002E-2</v>
      </c>
      <c r="K1342">
        <v>4.2361999999999997E-2</v>
      </c>
      <c r="M1342" t="s">
        <v>3</v>
      </c>
      <c r="N1342">
        <v>4750</v>
      </c>
      <c r="O1342">
        <v>42</v>
      </c>
      <c r="P1342">
        <v>12</v>
      </c>
      <c r="Q1342">
        <v>0</v>
      </c>
      <c r="R1342">
        <v>255894323</v>
      </c>
      <c r="S1342">
        <v>403522.21</v>
      </c>
      <c r="T1342">
        <v>255490800.78999999</v>
      </c>
      <c r="U1342">
        <v>255490800.78999999</v>
      </c>
      <c r="V1342">
        <v>0</v>
      </c>
      <c r="W1342">
        <v>0</v>
      </c>
    </row>
    <row r="1343" spans="1:23" x14ac:dyDescent="0.35">
      <c r="A1343" t="s">
        <v>2</v>
      </c>
      <c r="B1343">
        <v>7500</v>
      </c>
      <c r="C1343">
        <v>42</v>
      </c>
      <c r="D1343">
        <v>76</v>
      </c>
      <c r="E1343">
        <v>0</v>
      </c>
      <c r="F1343">
        <v>1024708129</v>
      </c>
      <c r="G1343">
        <v>1019700.27</v>
      </c>
      <c r="H1343">
        <v>1023688428.73</v>
      </c>
      <c r="I1343">
        <v>1023688428.73</v>
      </c>
      <c r="J1343">
        <v>0</v>
      </c>
      <c r="K1343">
        <v>0</v>
      </c>
      <c r="M1343" t="s">
        <v>3</v>
      </c>
      <c r="N1343">
        <v>5250</v>
      </c>
      <c r="O1343">
        <v>42</v>
      </c>
      <c r="P1343">
        <v>33</v>
      </c>
      <c r="Q1343">
        <v>0</v>
      </c>
      <c r="R1343">
        <v>974269113</v>
      </c>
      <c r="S1343">
        <v>1424568.38</v>
      </c>
      <c r="T1343">
        <v>972844544.62</v>
      </c>
      <c r="U1343">
        <v>972844544.62</v>
      </c>
      <c r="V1343">
        <v>0</v>
      </c>
      <c r="W1343">
        <v>0</v>
      </c>
    </row>
    <row r="1344" spans="1:23" x14ac:dyDescent="0.35">
      <c r="A1344" t="s">
        <v>0</v>
      </c>
      <c r="B1344">
        <v>4250</v>
      </c>
      <c r="C1344">
        <v>42</v>
      </c>
      <c r="D1344">
        <v>1234</v>
      </c>
      <c r="E1344">
        <v>0</v>
      </c>
      <c r="F1344">
        <v>36265030865</v>
      </c>
      <c r="G1344">
        <v>61478372.530000001</v>
      </c>
      <c r="H1344">
        <v>35970719547.730003</v>
      </c>
      <c r="I1344">
        <v>36167225126.019997</v>
      </c>
      <c r="J1344">
        <v>7.4381000000000003E-2</v>
      </c>
      <c r="K1344">
        <v>1.1955E-2</v>
      </c>
      <c r="M1344" t="s">
        <v>3</v>
      </c>
      <c r="N1344">
        <v>5000</v>
      </c>
      <c r="O1344">
        <v>42</v>
      </c>
      <c r="P1344">
        <v>6</v>
      </c>
      <c r="Q1344">
        <v>0</v>
      </c>
      <c r="R1344">
        <v>156291183</v>
      </c>
      <c r="S1344">
        <v>237512.98</v>
      </c>
      <c r="T1344">
        <v>156053670.02000001</v>
      </c>
      <c r="U1344">
        <v>156053670.02000001</v>
      </c>
      <c r="V1344">
        <v>0</v>
      </c>
      <c r="W1344">
        <v>0</v>
      </c>
    </row>
    <row r="1345" spans="1:23" x14ac:dyDescent="0.35">
      <c r="A1345" t="s">
        <v>3</v>
      </c>
      <c r="B1345">
        <v>6750</v>
      </c>
      <c r="C1345">
        <v>48</v>
      </c>
      <c r="D1345">
        <v>3</v>
      </c>
      <c r="E1345">
        <v>0</v>
      </c>
      <c r="F1345">
        <v>57040857</v>
      </c>
      <c r="G1345">
        <v>66612.08</v>
      </c>
      <c r="H1345">
        <v>56974244.920000002</v>
      </c>
      <c r="I1345">
        <v>56974244.920000002</v>
      </c>
      <c r="J1345">
        <v>0</v>
      </c>
      <c r="K1345">
        <v>0</v>
      </c>
      <c r="M1345" t="s">
        <v>0</v>
      </c>
      <c r="N1345">
        <v>3000</v>
      </c>
      <c r="O1345">
        <v>42</v>
      </c>
      <c r="P1345">
        <v>124</v>
      </c>
      <c r="Q1345">
        <v>0</v>
      </c>
      <c r="R1345">
        <v>2776823457</v>
      </c>
      <c r="S1345">
        <v>5746373.0199999996</v>
      </c>
      <c r="T1345">
        <v>2753383091.1100001</v>
      </c>
      <c r="U1345">
        <v>2753383091.1100001</v>
      </c>
      <c r="V1345">
        <v>7.3841000000000004E-2</v>
      </c>
      <c r="W1345">
        <v>7.3841000000000004E-2</v>
      </c>
    </row>
    <row r="1346" spans="1:23" x14ac:dyDescent="0.35">
      <c r="A1346" t="s">
        <v>3</v>
      </c>
      <c r="B1346">
        <v>7250</v>
      </c>
      <c r="C1346">
        <v>42</v>
      </c>
      <c r="D1346">
        <v>25</v>
      </c>
      <c r="E1346">
        <v>0</v>
      </c>
      <c r="F1346">
        <v>634171955</v>
      </c>
      <c r="G1346">
        <v>665510.14</v>
      </c>
      <c r="H1346">
        <v>633506444.86000001</v>
      </c>
      <c r="I1346">
        <v>633506444.86000001</v>
      </c>
      <c r="J1346">
        <v>0</v>
      </c>
      <c r="K1346">
        <v>0</v>
      </c>
      <c r="M1346" t="s">
        <v>2</v>
      </c>
      <c r="N1346">
        <v>3250</v>
      </c>
      <c r="O1346">
        <v>42</v>
      </c>
      <c r="P1346">
        <v>88</v>
      </c>
      <c r="Q1346">
        <v>0</v>
      </c>
      <c r="R1346">
        <v>1392468263</v>
      </c>
      <c r="S1346">
        <v>2878416.87</v>
      </c>
      <c r="T1346">
        <v>1378670797.45</v>
      </c>
      <c r="U1346">
        <v>1378670797.45</v>
      </c>
      <c r="V1346">
        <v>9.0144000000000002E-2</v>
      </c>
      <c r="W1346">
        <v>9.0144000000000002E-2</v>
      </c>
    </row>
    <row r="1347" spans="1:23" x14ac:dyDescent="0.35">
      <c r="A1347" t="s">
        <v>3</v>
      </c>
      <c r="B1347">
        <v>7500</v>
      </c>
      <c r="C1347">
        <v>42</v>
      </c>
      <c r="D1347">
        <v>10</v>
      </c>
      <c r="E1347">
        <v>0</v>
      </c>
      <c r="F1347">
        <v>129682000</v>
      </c>
      <c r="G1347">
        <v>129021.97</v>
      </c>
      <c r="H1347">
        <v>129552978.03</v>
      </c>
      <c r="I1347">
        <v>129552978.03</v>
      </c>
      <c r="J1347">
        <v>0</v>
      </c>
      <c r="K1347">
        <v>0</v>
      </c>
      <c r="M1347" t="s">
        <v>1</v>
      </c>
      <c r="N1347">
        <v>3250</v>
      </c>
      <c r="O1347">
        <v>42</v>
      </c>
      <c r="P1347">
        <v>311</v>
      </c>
      <c r="Q1347">
        <v>0</v>
      </c>
      <c r="R1347">
        <v>8752071948</v>
      </c>
      <c r="S1347">
        <v>17730093.16</v>
      </c>
      <c r="T1347">
        <v>8651333392.9200001</v>
      </c>
      <c r="U1347">
        <v>8716280746.0499992</v>
      </c>
      <c r="V1347">
        <v>0.10806</v>
      </c>
      <c r="W1347">
        <v>2.4485E-2</v>
      </c>
    </row>
    <row r="1348" spans="1:23" x14ac:dyDescent="0.35">
      <c r="A1348" t="s">
        <v>3</v>
      </c>
      <c r="B1348">
        <v>7750</v>
      </c>
      <c r="C1348">
        <v>42</v>
      </c>
      <c r="D1348">
        <v>15</v>
      </c>
      <c r="E1348">
        <v>0</v>
      </c>
      <c r="F1348">
        <v>236978664</v>
      </c>
      <c r="G1348">
        <v>228251.68</v>
      </c>
      <c r="H1348">
        <v>236750412.31999999</v>
      </c>
      <c r="I1348">
        <v>236750412.31999999</v>
      </c>
      <c r="J1348">
        <v>0</v>
      </c>
      <c r="K1348">
        <v>0</v>
      </c>
      <c r="M1348" t="s">
        <v>2</v>
      </c>
      <c r="N1348">
        <v>4750</v>
      </c>
      <c r="O1348">
        <v>36</v>
      </c>
      <c r="P1348">
        <v>110</v>
      </c>
      <c r="Q1348">
        <v>0</v>
      </c>
      <c r="R1348">
        <v>2526120238</v>
      </c>
      <c r="S1348">
        <v>3843834.18</v>
      </c>
      <c r="T1348">
        <v>2456182400.1999998</v>
      </c>
      <c r="U1348">
        <v>2487461342.6300001</v>
      </c>
      <c r="V1348">
        <v>0.272507</v>
      </c>
      <c r="W1348">
        <v>0.15340599999999999</v>
      </c>
    </row>
    <row r="1349" spans="1:23" x14ac:dyDescent="0.35">
      <c r="A1349" t="s">
        <v>3</v>
      </c>
      <c r="B1349">
        <v>6250</v>
      </c>
      <c r="C1349">
        <v>36</v>
      </c>
      <c r="D1349">
        <v>52</v>
      </c>
      <c r="E1349">
        <v>0</v>
      </c>
      <c r="F1349">
        <v>1335928511</v>
      </c>
      <c r="G1349">
        <v>1585254.52</v>
      </c>
      <c r="H1349">
        <v>1334343256.48</v>
      </c>
      <c r="I1349">
        <v>1334343256.48</v>
      </c>
      <c r="J1349">
        <v>0</v>
      </c>
      <c r="K1349">
        <v>0</v>
      </c>
      <c r="M1349" t="s">
        <v>0</v>
      </c>
      <c r="N1349">
        <v>4750</v>
      </c>
      <c r="O1349">
        <v>36</v>
      </c>
      <c r="P1349">
        <v>3343</v>
      </c>
      <c r="Q1349">
        <v>0</v>
      </c>
      <c r="R1349">
        <v>104981257784</v>
      </c>
      <c r="S1349">
        <v>159197839.83000001</v>
      </c>
      <c r="T1349">
        <v>104472286406.78</v>
      </c>
      <c r="U1349">
        <v>104744232417.53999</v>
      </c>
      <c r="V1349">
        <v>3.9257E-2</v>
      </c>
      <c r="W1349">
        <v>8.8599999999999998E-3</v>
      </c>
    </row>
    <row r="1350" spans="1:23" x14ac:dyDescent="0.35">
      <c r="A1350" t="s">
        <v>3</v>
      </c>
      <c r="B1350">
        <v>7250</v>
      </c>
      <c r="C1350">
        <v>30</v>
      </c>
      <c r="D1350">
        <v>77</v>
      </c>
      <c r="E1350">
        <v>0</v>
      </c>
      <c r="F1350">
        <v>2032889091</v>
      </c>
      <c r="G1350">
        <v>1941817.92</v>
      </c>
      <c r="H1350">
        <v>2006164397.6500001</v>
      </c>
      <c r="I1350">
        <v>2030947273.0799999</v>
      </c>
      <c r="J1350">
        <v>0.13687099999999999</v>
      </c>
      <c r="K1350">
        <v>0</v>
      </c>
      <c r="M1350" t="s">
        <v>1</v>
      </c>
      <c r="N1350">
        <v>4750</v>
      </c>
      <c r="O1350">
        <v>36</v>
      </c>
      <c r="P1350">
        <v>2307</v>
      </c>
      <c r="Q1350">
        <v>0</v>
      </c>
      <c r="R1350">
        <v>83605551573</v>
      </c>
      <c r="S1350">
        <v>126957319.56</v>
      </c>
      <c r="T1350">
        <v>82794688855.169998</v>
      </c>
      <c r="U1350">
        <v>83333916521.740005</v>
      </c>
      <c r="V1350">
        <v>9.3864000000000003E-2</v>
      </c>
      <c r="W1350">
        <v>2.0569E-2</v>
      </c>
    </row>
    <row r="1351" spans="1:23" x14ac:dyDescent="0.35">
      <c r="A1351" t="s">
        <v>3</v>
      </c>
      <c r="B1351">
        <v>6750</v>
      </c>
      <c r="C1351">
        <v>30</v>
      </c>
      <c r="D1351">
        <v>84</v>
      </c>
      <c r="E1351">
        <v>0</v>
      </c>
      <c r="F1351">
        <v>2331786372</v>
      </c>
      <c r="G1351">
        <v>2415827.2999999998</v>
      </c>
      <c r="H1351">
        <v>2329370544.6999998</v>
      </c>
      <c r="I1351">
        <v>2329370544.6999998</v>
      </c>
      <c r="J1351">
        <v>0</v>
      </c>
      <c r="K1351">
        <v>0</v>
      </c>
      <c r="M1351" t="s">
        <v>3</v>
      </c>
      <c r="N1351">
        <v>6750</v>
      </c>
      <c r="O1351">
        <v>36</v>
      </c>
      <c r="P1351">
        <v>85</v>
      </c>
      <c r="Q1351">
        <v>0</v>
      </c>
      <c r="R1351">
        <v>2135933867</v>
      </c>
      <c r="S1351">
        <v>2317795.6</v>
      </c>
      <c r="T1351">
        <v>2115575914.6700001</v>
      </c>
      <c r="U1351">
        <v>2133616071.4000001</v>
      </c>
      <c r="V1351">
        <v>9.6773999999999999E-2</v>
      </c>
      <c r="W1351">
        <v>0</v>
      </c>
    </row>
    <row r="1352" spans="1:23" x14ac:dyDescent="0.35">
      <c r="A1352" t="s">
        <v>3</v>
      </c>
      <c r="B1352">
        <v>5750</v>
      </c>
      <c r="C1352">
        <v>30</v>
      </c>
      <c r="D1352">
        <v>25</v>
      </c>
      <c r="E1352">
        <v>0</v>
      </c>
      <c r="F1352">
        <v>692534834</v>
      </c>
      <c r="G1352">
        <v>849685.52</v>
      </c>
      <c r="H1352">
        <v>691685148.48000002</v>
      </c>
      <c r="I1352">
        <v>691685148.48000002</v>
      </c>
      <c r="J1352">
        <v>0</v>
      </c>
      <c r="K1352">
        <v>0</v>
      </c>
      <c r="M1352" t="s">
        <v>3</v>
      </c>
      <c r="N1352">
        <v>6000</v>
      </c>
      <c r="O1352">
        <v>36</v>
      </c>
      <c r="P1352">
        <v>26</v>
      </c>
      <c r="Q1352">
        <v>0</v>
      </c>
      <c r="R1352">
        <v>680228429</v>
      </c>
      <c r="S1352">
        <v>840773.37</v>
      </c>
      <c r="T1352">
        <v>679387655.63</v>
      </c>
      <c r="U1352">
        <v>679387655.63</v>
      </c>
      <c r="V1352">
        <v>0</v>
      </c>
      <c r="W1352">
        <v>0</v>
      </c>
    </row>
    <row r="1353" spans="1:23" x14ac:dyDescent="0.35">
      <c r="A1353" t="s">
        <v>3</v>
      </c>
      <c r="B1353">
        <v>6250</v>
      </c>
      <c r="C1353">
        <v>30</v>
      </c>
      <c r="D1353">
        <v>92</v>
      </c>
      <c r="E1353">
        <v>0</v>
      </c>
      <c r="F1353">
        <v>2304117986</v>
      </c>
      <c r="G1353">
        <v>2598883.0099999998</v>
      </c>
      <c r="H1353">
        <v>2281447312.54</v>
      </c>
      <c r="I1353">
        <v>2301519102.9899998</v>
      </c>
      <c r="J1353">
        <v>9.9668999999999994E-2</v>
      </c>
      <c r="K1353">
        <v>0</v>
      </c>
      <c r="M1353" t="s">
        <v>3</v>
      </c>
      <c r="N1353">
        <v>7000</v>
      </c>
      <c r="O1353">
        <v>36</v>
      </c>
      <c r="P1353">
        <v>82</v>
      </c>
      <c r="Q1353">
        <v>0</v>
      </c>
      <c r="R1353">
        <v>2132343592</v>
      </c>
      <c r="S1353">
        <v>2225541.48</v>
      </c>
      <c r="T1353">
        <v>2109058828.1500001</v>
      </c>
      <c r="U1353">
        <v>2130118050.52</v>
      </c>
      <c r="V1353">
        <v>0.11228299999999999</v>
      </c>
      <c r="W1353">
        <v>0</v>
      </c>
    </row>
    <row r="1354" spans="1:23" x14ac:dyDescent="0.35">
      <c r="A1354" t="s">
        <v>3</v>
      </c>
      <c r="B1354">
        <v>6500</v>
      </c>
      <c r="C1354">
        <v>24</v>
      </c>
      <c r="D1354">
        <v>55</v>
      </c>
      <c r="E1354">
        <v>0</v>
      </c>
      <c r="F1354">
        <v>1310753510</v>
      </c>
      <c r="G1354">
        <v>1374577.77</v>
      </c>
      <c r="H1354">
        <v>1309378932.23</v>
      </c>
      <c r="I1354">
        <v>1309378932.23</v>
      </c>
      <c r="J1354">
        <v>0</v>
      </c>
      <c r="K1354">
        <v>0</v>
      </c>
      <c r="M1354" t="s">
        <v>1</v>
      </c>
      <c r="N1354">
        <v>3500</v>
      </c>
      <c r="O1354">
        <v>42</v>
      </c>
      <c r="P1354">
        <v>182</v>
      </c>
      <c r="Q1354">
        <v>0</v>
      </c>
      <c r="R1354">
        <v>6984642455</v>
      </c>
      <c r="S1354">
        <v>13556420.42</v>
      </c>
      <c r="T1354">
        <v>6909582385.4799995</v>
      </c>
      <c r="U1354">
        <v>6952080690.4099998</v>
      </c>
      <c r="V1354">
        <v>0.10069599999999999</v>
      </c>
      <c r="W1354">
        <v>3.2168000000000002E-2</v>
      </c>
    </row>
    <row r="1355" spans="1:23" x14ac:dyDescent="0.35">
      <c r="A1355" t="s">
        <v>0</v>
      </c>
      <c r="B1355">
        <v>8500</v>
      </c>
      <c r="C1355">
        <v>36</v>
      </c>
      <c r="D1355">
        <v>22</v>
      </c>
      <c r="E1355">
        <v>0</v>
      </c>
      <c r="F1355">
        <v>561795090</v>
      </c>
      <c r="G1355">
        <v>441421.92</v>
      </c>
      <c r="H1355">
        <v>561353668.08000004</v>
      </c>
      <c r="I1355">
        <v>561353668.08000004</v>
      </c>
      <c r="J1355">
        <v>0</v>
      </c>
      <c r="K1355">
        <v>0</v>
      </c>
      <c r="M1355" t="s">
        <v>1</v>
      </c>
      <c r="N1355">
        <v>3750</v>
      </c>
      <c r="O1355">
        <v>42</v>
      </c>
      <c r="P1355">
        <v>596</v>
      </c>
      <c r="Q1355">
        <v>0</v>
      </c>
      <c r="R1355">
        <v>20840094970</v>
      </c>
      <c r="S1355">
        <v>38719616.920000002</v>
      </c>
      <c r="T1355">
        <v>20749550122.939999</v>
      </c>
      <c r="U1355">
        <v>20801375353.080002</v>
      </c>
      <c r="V1355">
        <v>2.9437000000000001E-2</v>
      </c>
      <c r="W1355">
        <v>0</v>
      </c>
    </row>
    <row r="1356" spans="1:23" x14ac:dyDescent="0.35">
      <c r="A1356" t="s">
        <v>0</v>
      </c>
      <c r="B1356">
        <v>9000</v>
      </c>
      <c r="C1356">
        <v>30</v>
      </c>
      <c r="D1356">
        <v>273</v>
      </c>
      <c r="E1356">
        <v>0</v>
      </c>
      <c r="F1356">
        <v>6300830507</v>
      </c>
      <c r="G1356">
        <v>4604770.4000000004</v>
      </c>
      <c r="H1356">
        <v>6215377081.3400002</v>
      </c>
      <c r="I1356">
        <v>6215377081.3400002</v>
      </c>
      <c r="J1356">
        <v>0.143562</v>
      </c>
      <c r="K1356">
        <v>0.143562</v>
      </c>
      <c r="M1356" t="s">
        <v>2</v>
      </c>
      <c r="N1356">
        <v>7500</v>
      </c>
      <c r="O1356">
        <v>42</v>
      </c>
      <c r="P1356">
        <v>72</v>
      </c>
      <c r="Q1356">
        <v>0</v>
      </c>
      <c r="R1356">
        <v>969013013</v>
      </c>
      <c r="S1356">
        <v>958710.26</v>
      </c>
      <c r="T1356">
        <v>945335929.25</v>
      </c>
      <c r="U1356">
        <v>945335929.25</v>
      </c>
      <c r="V1356">
        <v>0.247752</v>
      </c>
      <c r="W1356">
        <v>0.247752</v>
      </c>
    </row>
    <row r="1357" spans="1:23" x14ac:dyDescent="0.35">
      <c r="A1357" t="s">
        <v>0</v>
      </c>
      <c r="B1357">
        <v>3500</v>
      </c>
      <c r="C1357">
        <v>42</v>
      </c>
      <c r="D1357">
        <v>117</v>
      </c>
      <c r="E1357">
        <v>0</v>
      </c>
      <c r="F1357">
        <v>2739100335</v>
      </c>
      <c r="G1357">
        <v>5246016.16</v>
      </c>
      <c r="H1357">
        <v>2733854318.8400002</v>
      </c>
      <c r="I1357">
        <v>2733854318.8400002</v>
      </c>
      <c r="J1357">
        <v>0</v>
      </c>
      <c r="K1357">
        <v>0</v>
      </c>
      <c r="M1357" t="s">
        <v>3</v>
      </c>
      <c r="N1357">
        <v>7250</v>
      </c>
      <c r="O1357">
        <v>42</v>
      </c>
      <c r="P1357">
        <v>23</v>
      </c>
      <c r="Q1357">
        <v>0</v>
      </c>
      <c r="R1357">
        <v>566631895</v>
      </c>
      <c r="S1357">
        <v>591851.64</v>
      </c>
      <c r="T1357">
        <v>566040043.36000001</v>
      </c>
      <c r="U1357">
        <v>566040043.36000001</v>
      </c>
      <c r="V1357">
        <v>0</v>
      </c>
      <c r="W1357">
        <v>0</v>
      </c>
    </row>
    <row r="1358" spans="1:23" x14ac:dyDescent="0.35">
      <c r="A1358" t="s">
        <v>1</v>
      </c>
      <c r="B1358">
        <v>2000</v>
      </c>
      <c r="C1358">
        <v>144</v>
      </c>
      <c r="D1358">
        <v>18</v>
      </c>
      <c r="E1358">
        <v>0</v>
      </c>
      <c r="F1358">
        <v>237501975</v>
      </c>
      <c r="G1358">
        <v>908834.39</v>
      </c>
      <c r="H1358">
        <v>236593140.61000001</v>
      </c>
      <c r="I1358">
        <v>236593140.61000001</v>
      </c>
      <c r="J1358">
        <v>0</v>
      </c>
      <c r="K1358">
        <v>0</v>
      </c>
      <c r="M1358" t="s">
        <v>3</v>
      </c>
      <c r="N1358">
        <v>7500</v>
      </c>
      <c r="O1358">
        <v>42</v>
      </c>
      <c r="P1358">
        <v>10</v>
      </c>
      <c r="Q1358">
        <v>0</v>
      </c>
      <c r="R1358">
        <v>137854725</v>
      </c>
      <c r="S1358">
        <v>136621.47</v>
      </c>
      <c r="T1358">
        <v>118100541.7</v>
      </c>
      <c r="U1358">
        <v>137718103.53</v>
      </c>
      <c r="V1358">
        <v>0.84151500000000001</v>
      </c>
      <c r="W1358">
        <v>0</v>
      </c>
    </row>
    <row r="1359" spans="1:23" x14ac:dyDescent="0.35">
      <c r="A1359" t="s">
        <v>1</v>
      </c>
      <c r="B1359">
        <v>2000</v>
      </c>
      <c r="C1359">
        <v>168</v>
      </c>
      <c r="D1359">
        <v>6</v>
      </c>
      <c r="E1359">
        <v>0</v>
      </c>
      <c r="F1359">
        <v>55516904</v>
      </c>
      <c r="G1359">
        <v>222223.38</v>
      </c>
      <c r="H1359">
        <v>55294680.619999997</v>
      </c>
      <c r="I1359">
        <v>55294680.619999997</v>
      </c>
      <c r="J1359">
        <v>0</v>
      </c>
      <c r="K1359">
        <v>0</v>
      </c>
      <c r="M1359" t="s">
        <v>3</v>
      </c>
      <c r="N1359">
        <v>7750</v>
      </c>
      <c r="O1359">
        <v>42</v>
      </c>
      <c r="P1359">
        <v>14</v>
      </c>
      <c r="Q1359">
        <v>0</v>
      </c>
      <c r="R1359">
        <v>223577866</v>
      </c>
      <c r="S1359">
        <v>214048.14</v>
      </c>
      <c r="T1359">
        <v>223363817.86000001</v>
      </c>
      <c r="U1359">
        <v>223363817.86000001</v>
      </c>
      <c r="V1359">
        <v>0</v>
      </c>
      <c r="W1359">
        <v>0</v>
      </c>
    </row>
    <row r="1360" spans="1:23" x14ac:dyDescent="0.35">
      <c r="A1360" t="s">
        <v>0</v>
      </c>
      <c r="B1360">
        <v>3750</v>
      </c>
      <c r="C1360">
        <v>42</v>
      </c>
      <c r="D1360">
        <v>200</v>
      </c>
      <c r="E1360">
        <v>0</v>
      </c>
      <c r="F1360">
        <v>5246246892</v>
      </c>
      <c r="G1360">
        <v>9639072.9700000007</v>
      </c>
      <c r="H1360">
        <v>5236607819.0299997</v>
      </c>
      <c r="I1360">
        <v>5236607819.0299997</v>
      </c>
      <c r="J1360">
        <v>0</v>
      </c>
      <c r="K1360">
        <v>0</v>
      </c>
      <c r="M1360" t="s">
        <v>3</v>
      </c>
      <c r="N1360">
        <v>6250</v>
      </c>
      <c r="O1360">
        <v>36</v>
      </c>
      <c r="P1360">
        <v>57</v>
      </c>
      <c r="Q1360">
        <v>0</v>
      </c>
      <c r="R1360">
        <v>1415133483</v>
      </c>
      <c r="S1360">
        <v>1676762.74</v>
      </c>
      <c r="T1360">
        <v>1390141312.72</v>
      </c>
      <c r="U1360">
        <v>1413456720.26</v>
      </c>
      <c r="V1360">
        <v>0.18074200000000001</v>
      </c>
      <c r="W1360">
        <v>0</v>
      </c>
    </row>
    <row r="1361" spans="1:23" x14ac:dyDescent="0.35">
      <c r="A1361" t="s">
        <v>2</v>
      </c>
      <c r="B1361">
        <v>8000</v>
      </c>
      <c r="C1361">
        <v>42</v>
      </c>
      <c r="D1361">
        <v>4</v>
      </c>
      <c r="E1361">
        <v>0</v>
      </c>
      <c r="F1361">
        <v>64615151</v>
      </c>
      <c r="G1361">
        <v>57920.12</v>
      </c>
      <c r="H1361">
        <v>64557230.880000003</v>
      </c>
      <c r="I1361">
        <v>64557230.880000003</v>
      </c>
      <c r="J1361">
        <v>0</v>
      </c>
      <c r="K1361">
        <v>0</v>
      </c>
      <c r="M1361" t="s">
        <v>3</v>
      </c>
      <c r="N1361">
        <v>7250</v>
      </c>
      <c r="O1361">
        <v>30</v>
      </c>
      <c r="P1361">
        <v>103</v>
      </c>
      <c r="Q1361">
        <v>0</v>
      </c>
      <c r="R1361">
        <v>2651575622</v>
      </c>
      <c r="S1361">
        <v>2532866.2999999998</v>
      </c>
      <c r="T1361">
        <v>2616227979.0900002</v>
      </c>
      <c r="U1361">
        <v>2649042755.6999998</v>
      </c>
      <c r="V1361">
        <v>0.13880400000000001</v>
      </c>
      <c r="W1361">
        <v>0</v>
      </c>
    </row>
    <row r="1362" spans="1:23" x14ac:dyDescent="0.35">
      <c r="A1362" t="s">
        <v>1</v>
      </c>
      <c r="B1362">
        <v>8000</v>
      </c>
      <c r="C1362">
        <v>42</v>
      </c>
      <c r="D1362">
        <v>34</v>
      </c>
      <c r="E1362">
        <v>0</v>
      </c>
      <c r="F1362">
        <v>769533974</v>
      </c>
      <c r="G1362">
        <v>691282.01</v>
      </c>
      <c r="H1362">
        <v>724695579.15999997</v>
      </c>
      <c r="I1362">
        <v>724695579.15999997</v>
      </c>
      <c r="J1362">
        <v>0.50784399999999996</v>
      </c>
      <c r="K1362">
        <v>0.50784399999999996</v>
      </c>
      <c r="M1362" t="s">
        <v>3</v>
      </c>
      <c r="N1362">
        <v>6750</v>
      </c>
      <c r="O1362">
        <v>30</v>
      </c>
      <c r="P1362">
        <v>71</v>
      </c>
      <c r="Q1362">
        <v>0</v>
      </c>
      <c r="R1362">
        <v>1842690517</v>
      </c>
      <c r="S1362">
        <v>1913362.31</v>
      </c>
      <c r="T1362">
        <v>1840777154.6900001</v>
      </c>
      <c r="U1362">
        <v>1840777154.6900001</v>
      </c>
      <c r="V1362">
        <v>0</v>
      </c>
      <c r="W1362">
        <v>0</v>
      </c>
    </row>
    <row r="1363" spans="1:23" x14ac:dyDescent="0.35">
      <c r="A1363" t="s">
        <v>0</v>
      </c>
      <c r="B1363">
        <v>3750</v>
      </c>
      <c r="C1363">
        <v>36</v>
      </c>
      <c r="D1363">
        <v>73</v>
      </c>
      <c r="E1363">
        <v>0</v>
      </c>
      <c r="F1363">
        <v>2237486295</v>
      </c>
      <c r="G1363">
        <v>3970501.53</v>
      </c>
      <c r="H1363">
        <v>2233515793.4699998</v>
      </c>
      <c r="I1363">
        <v>2233515793.4699998</v>
      </c>
      <c r="J1363">
        <v>0</v>
      </c>
      <c r="K1363">
        <v>0</v>
      </c>
      <c r="M1363" t="s">
        <v>3</v>
      </c>
      <c r="N1363">
        <v>5750</v>
      </c>
      <c r="O1363">
        <v>30</v>
      </c>
      <c r="P1363">
        <v>16</v>
      </c>
      <c r="Q1363">
        <v>0</v>
      </c>
      <c r="R1363">
        <v>410763993</v>
      </c>
      <c r="S1363">
        <v>502488.38</v>
      </c>
      <c r="T1363">
        <v>410261504.62</v>
      </c>
      <c r="U1363">
        <v>410261504.62</v>
      </c>
      <c r="V1363">
        <v>0</v>
      </c>
      <c r="W1363">
        <v>0</v>
      </c>
    </row>
    <row r="1364" spans="1:23" x14ac:dyDescent="0.35">
      <c r="A1364" t="s">
        <v>0</v>
      </c>
      <c r="B1364">
        <v>4000</v>
      </c>
      <c r="C1364">
        <v>36</v>
      </c>
      <c r="D1364">
        <v>70</v>
      </c>
      <c r="E1364">
        <v>0</v>
      </c>
      <c r="F1364">
        <v>1871567126</v>
      </c>
      <c r="G1364">
        <v>3199776.93</v>
      </c>
      <c r="H1364">
        <v>1868367349.0699999</v>
      </c>
      <c r="I1364">
        <v>1868367349.0699999</v>
      </c>
      <c r="J1364">
        <v>0</v>
      </c>
      <c r="K1364">
        <v>0</v>
      </c>
      <c r="M1364" t="s">
        <v>3</v>
      </c>
      <c r="N1364">
        <v>6250</v>
      </c>
      <c r="O1364">
        <v>30</v>
      </c>
      <c r="P1364">
        <v>75</v>
      </c>
      <c r="Q1364">
        <v>0</v>
      </c>
      <c r="R1364">
        <v>1910810356</v>
      </c>
      <c r="S1364">
        <v>2149937.4</v>
      </c>
      <c r="T1364">
        <v>1908660418.5999999</v>
      </c>
      <c r="U1364">
        <v>1908660418.5999999</v>
      </c>
      <c r="V1364">
        <v>0</v>
      </c>
      <c r="W1364">
        <v>0</v>
      </c>
    </row>
    <row r="1365" spans="1:23" x14ac:dyDescent="0.35">
      <c r="A1365" t="s">
        <v>3</v>
      </c>
      <c r="B1365">
        <v>5250</v>
      </c>
      <c r="C1365">
        <v>42</v>
      </c>
      <c r="D1365">
        <v>15</v>
      </c>
      <c r="E1365">
        <v>0</v>
      </c>
      <c r="F1365">
        <v>389749710</v>
      </c>
      <c r="G1365">
        <v>565624.18999999994</v>
      </c>
      <c r="H1365">
        <v>389184085.81</v>
      </c>
      <c r="I1365">
        <v>389184085.81</v>
      </c>
      <c r="J1365">
        <v>0</v>
      </c>
      <c r="K1365">
        <v>0</v>
      </c>
      <c r="M1365" t="s">
        <v>3</v>
      </c>
      <c r="N1365">
        <v>6250</v>
      </c>
      <c r="O1365">
        <v>24</v>
      </c>
      <c r="P1365">
        <v>69</v>
      </c>
      <c r="Q1365">
        <v>0</v>
      </c>
      <c r="R1365">
        <v>1846088204</v>
      </c>
      <c r="S1365">
        <v>2038344.46</v>
      </c>
      <c r="T1365">
        <v>1833628381.8</v>
      </c>
      <c r="U1365">
        <v>1844049859.54</v>
      </c>
      <c r="V1365">
        <v>6.5678E-2</v>
      </c>
      <c r="W1365">
        <v>0</v>
      </c>
    </row>
    <row r="1366" spans="1:23" x14ac:dyDescent="0.35">
      <c r="A1366" t="s">
        <v>2</v>
      </c>
      <c r="B1366">
        <v>7500</v>
      </c>
      <c r="C1366">
        <v>36</v>
      </c>
      <c r="D1366">
        <v>129</v>
      </c>
      <c r="E1366">
        <v>0</v>
      </c>
      <c r="F1366">
        <v>1978103807</v>
      </c>
      <c r="G1366">
        <v>1863246.41</v>
      </c>
      <c r="H1366">
        <v>1917055157.8399999</v>
      </c>
      <c r="I1366">
        <v>1941770618.6700001</v>
      </c>
      <c r="J1366">
        <v>0.30547299999999999</v>
      </c>
      <c r="K1366">
        <v>0.19018699999999999</v>
      </c>
      <c r="M1366" t="s">
        <v>3</v>
      </c>
      <c r="N1366">
        <v>6500</v>
      </c>
      <c r="O1366">
        <v>24</v>
      </c>
      <c r="P1366">
        <v>51</v>
      </c>
      <c r="Q1366">
        <v>0</v>
      </c>
      <c r="R1366">
        <v>1201743442</v>
      </c>
      <c r="S1366">
        <v>1261005.31</v>
      </c>
      <c r="T1366">
        <v>1200482436.6900001</v>
      </c>
      <c r="U1366">
        <v>1200482436.6900001</v>
      </c>
      <c r="V1366">
        <v>0</v>
      </c>
      <c r="W1366">
        <v>0</v>
      </c>
    </row>
    <row r="1367" spans="1:23" x14ac:dyDescent="0.35">
      <c r="A1367" t="s">
        <v>1</v>
      </c>
      <c r="B1367">
        <v>7750</v>
      </c>
      <c r="C1367">
        <v>36</v>
      </c>
      <c r="D1367">
        <v>887</v>
      </c>
      <c r="E1367">
        <v>0</v>
      </c>
      <c r="F1367">
        <v>20503798423</v>
      </c>
      <c r="G1367">
        <v>18541223.539999999</v>
      </c>
      <c r="H1367">
        <v>19430413771.279999</v>
      </c>
      <c r="I1367">
        <v>19968069408.07</v>
      </c>
      <c r="J1367">
        <v>0.46942899999999999</v>
      </c>
      <c r="K1367">
        <v>0.26403399999999999</v>
      </c>
      <c r="M1367" t="s">
        <v>1</v>
      </c>
      <c r="N1367">
        <v>7500</v>
      </c>
      <c r="O1367">
        <v>36</v>
      </c>
      <c r="P1367">
        <v>448</v>
      </c>
      <c r="Q1367">
        <v>0</v>
      </c>
      <c r="R1367">
        <v>10845858683</v>
      </c>
      <c r="S1367">
        <v>10225307.57</v>
      </c>
      <c r="T1367">
        <v>10261424116.59</v>
      </c>
      <c r="U1367">
        <v>10649788315.379999</v>
      </c>
      <c r="V1367">
        <v>0.47938700000000001</v>
      </c>
      <c r="W1367">
        <v>0.187308</v>
      </c>
    </row>
    <row r="1368" spans="1:23" x14ac:dyDescent="0.35">
      <c r="A1368" t="s">
        <v>2</v>
      </c>
      <c r="B1368">
        <v>4250</v>
      </c>
      <c r="C1368">
        <v>42</v>
      </c>
      <c r="D1368">
        <v>73</v>
      </c>
      <c r="E1368">
        <v>0</v>
      </c>
      <c r="F1368">
        <v>1234889163</v>
      </c>
      <c r="G1368">
        <v>2191017.36</v>
      </c>
      <c r="H1368">
        <v>1232698145.6400001</v>
      </c>
      <c r="I1368">
        <v>1232698145.6400001</v>
      </c>
      <c r="J1368">
        <v>0</v>
      </c>
      <c r="K1368">
        <v>0</v>
      </c>
      <c r="M1368" t="s">
        <v>0</v>
      </c>
      <c r="N1368">
        <v>9000</v>
      </c>
      <c r="O1368">
        <v>30</v>
      </c>
      <c r="P1368">
        <v>279</v>
      </c>
      <c r="Q1368">
        <v>0</v>
      </c>
      <c r="R1368">
        <v>6351002374</v>
      </c>
      <c r="S1368">
        <v>4615588.47</v>
      </c>
      <c r="T1368">
        <v>6191038183.8699999</v>
      </c>
      <c r="U1368">
        <v>6309290254.79</v>
      </c>
      <c r="V1368">
        <v>0.25708599999999998</v>
      </c>
      <c r="W1368">
        <v>6.7884E-2</v>
      </c>
    </row>
    <row r="1369" spans="1:23" x14ac:dyDescent="0.35">
      <c r="A1369" t="s">
        <v>1</v>
      </c>
      <c r="B1369">
        <v>5000</v>
      </c>
      <c r="C1369">
        <v>36</v>
      </c>
      <c r="D1369">
        <v>4780</v>
      </c>
      <c r="E1369">
        <v>0</v>
      </c>
      <c r="F1369">
        <v>176226234601</v>
      </c>
      <c r="G1369">
        <v>256616966.65000001</v>
      </c>
      <c r="H1369">
        <v>174277729712.5</v>
      </c>
      <c r="I1369">
        <v>175460904485.60999</v>
      </c>
      <c r="J1369">
        <v>0.109315</v>
      </c>
      <c r="K1369">
        <v>3.4096000000000001E-2</v>
      </c>
      <c r="M1369" t="s">
        <v>0</v>
      </c>
      <c r="N1369">
        <v>8000</v>
      </c>
      <c r="O1369">
        <v>20</v>
      </c>
      <c r="P1369">
        <v>237</v>
      </c>
      <c r="Q1369">
        <v>0</v>
      </c>
      <c r="R1369">
        <v>6461481401</v>
      </c>
      <c r="S1369">
        <v>5105231.42</v>
      </c>
      <c r="T1369">
        <v>6274484715.4700003</v>
      </c>
      <c r="U1369">
        <v>6424592427.0699997</v>
      </c>
      <c r="V1369">
        <v>0.29011100000000001</v>
      </c>
      <c r="W1369">
        <v>5.7456E-2</v>
      </c>
    </row>
    <row r="1370" spans="1:23" x14ac:dyDescent="0.35">
      <c r="A1370" t="s">
        <v>0</v>
      </c>
      <c r="B1370">
        <v>8000</v>
      </c>
      <c r="C1370">
        <v>20</v>
      </c>
      <c r="D1370">
        <v>136</v>
      </c>
      <c r="E1370">
        <v>0</v>
      </c>
      <c r="F1370">
        <v>3780662956</v>
      </c>
      <c r="G1370">
        <v>2984806.73</v>
      </c>
      <c r="H1370">
        <v>3620379749.9099998</v>
      </c>
      <c r="I1370">
        <v>3649439582.5700002</v>
      </c>
      <c r="J1370">
        <v>0.399478</v>
      </c>
      <c r="K1370">
        <v>0.33906399999999998</v>
      </c>
      <c r="M1370" t="s">
        <v>0</v>
      </c>
      <c r="N1370">
        <v>3500</v>
      </c>
      <c r="O1370">
        <v>42</v>
      </c>
      <c r="P1370">
        <v>158</v>
      </c>
      <c r="Q1370">
        <v>0</v>
      </c>
      <c r="R1370">
        <v>3878760269</v>
      </c>
      <c r="S1370">
        <v>7432359.6399999997</v>
      </c>
      <c r="T1370">
        <v>3871327909.3600001</v>
      </c>
      <c r="U1370">
        <v>3871327909.3600001</v>
      </c>
      <c r="V1370">
        <v>0</v>
      </c>
      <c r="W1370">
        <v>0</v>
      </c>
    </row>
    <row r="1371" spans="1:23" x14ac:dyDescent="0.35">
      <c r="A1371" t="s">
        <v>3</v>
      </c>
      <c r="B1371">
        <v>7250</v>
      </c>
      <c r="C1371">
        <v>36</v>
      </c>
      <c r="D1371">
        <v>74</v>
      </c>
      <c r="E1371">
        <v>0</v>
      </c>
      <c r="F1371">
        <v>1763555803</v>
      </c>
      <c r="G1371">
        <v>1738052.82</v>
      </c>
      <c r="H1371">
        <v>1761817750.1800001</v>
      </c>
      <c r="I1371">
        <v>1761817750.1800001</v>
      </c>
      <c r="J1371">
        <v>0</v>
      </c>
      <c r="K1371">
        <v>0</v>
      </c>
      <c r="M1371" t="s">
        <v>1</v>
      </c>
      <c r="N1371">
        <v>2000</v>
      </c>
      <c r="O1371">
        <v>120</v>
      </c>
      <c r="P1371">
        <v>5</v>
      </c>
      <c r="Q1371">
        <v>0</v>
      </c>
      <c r="R1371">
        <v>80466126</v>
      </c>
      <c r="S1371">
        <v>273504.48</v>
      </c>
      <c r="T1371">
        <v>80192621.519999996</v>
      </c>
      <c r="U1371">
        <v>80192621.519999996</v>
      </c>
      <c r="V1371">
        <v>0</v>
      </c>
      <c r="W1371">
        <v>0</v>
      </c>
    </row>
    <row r="1372" spans="1:23" x14ac:dyDescent="0.35">
      <c r="A1372" t="s">
        <v>3</v>
      </c>
      <c r="B1372">
        <v>7000</v>
      </c>
      <c r="C1372">
        <v>30</v>
      </c>
      <c r="D1372">
        <v>41</v>
      </c>
      <c r="E1372">
        <v>0</v>
      </c>
      <c r="F1372">
        <v>1067801522</v>
      </c>
      <c r="G1372">
        <v>1064662.5</v>
      </c>
      <c r="H1372">
        <v>1066736859.5</v>
      </c>
      <c r="I1372">
        <v>1066736859.5</v>
      </c>
      <c r="J1372">
        <v>0</v>
      </c>
      <c r="K1372">
        <v>0</v>
      </c>
      <c r="M1372" t="s">
        <v>1</v>
      </c>
      <c r="N1372">
        <v>2000</v>
      </c>
      <c r="O1372">
        <v>168</v>
      </c>
      <c r="P1372">
        <v>6</v>
      </c>
      <c r="Q1372">
        <v>0</v>
      </c>
      <c r="R1372">
        <v>55741378</v>
      </c>
      <c r="S1372">
        <v>221864.17</v>
      </c>
      <c r="T1372">
        <v>55519513.829999998</v>
      </c>
      <c r="U1372">
        <v>55519513.829999998</v>
      </c>
      <c r="V1372">
        <v>0</v>
      </c>
      <c r="W1372">
        <v>0</v>
      </c>
    </row>
    <row r="1373" spans="1:23" x14ac:dyDescent="0.35">
      <c r="A1373" t="s">
        <v>3</v>
      </c>
      <c r="B1373">
        <v>6500</v>
      </c>
      <c r="C1373">
        <v>30</v>
      </c>
      <c r="D1373">
        <v>36</v>
      </c>
      <c r="E1373">
        <v>0</v>
      </c>
      <c r="F1373">
        <v>868890199</v>
      </c>
      <c r="G1373">
        <v>944049.59</v>
      </c>
      <c r="H1373">
        <v>848856834.39999998</v>
      </c>
      <c r="I1373">
        <v>867946149.40999997</v>
      </c>
      <c r="J1373">
        <v>0.23400199999999999</v>
      </c>
      <c r="K1373">
        <v>0</v>
      </c>
      <c r="M1373" t="s">
        <v>3</v>
      </c>
      <c r="N1373">
        <v>6500</v>
      </c>
      <c r="O1373">
        <v>36</v>
      </c>
      <c r="P1373">
        <v>51</v>
      </c>
      <c r="Q1373">
        <v>0</v>
      </c>
      <c r="R1373">
        <v>1112652350</v>
      </c>
      <c r="S1373">
        <v>1259083.4099999999</v>
      </c>
      <c r="T1373">
        <v>1111393266.5899999</v>
      </c>
      <c r="U1373">
        <v>1111393266.5899999</v>
      </c>
      <c r="V1373">
        <v>0</v>
      </c>
      <c r="W1373">
        <v>0</v>
      </c>
    </row>
    <row r="1374" spans="1:23" x14ac:dyDescent="0.35">
      <c r="A1374" t="s">
        <v>3</v>
      </c>
      <c r="B1374">
        <v>6500</v>
      </c>
      <c r="C1374">
        <v>36</v>
      </c>
      <c r="D1374">
        <v>52</v>
      </c>
      <c r="E1374">
        <v>0</v>
      </c>
      <c r="F1374">
        <v>1151790453</v>
      </c>
      <c r="G1374">
        <v>1299811.79</v>
      </c>
      <c r="H1374">
        <v>1150490641.21</v>
      </c>
      <c r="I1374">
        <v>1150490641.21</v>
      </c>
      <c r="J1374">
        <v>0</v>
      </c>
      <c r="K1374">
        <v>0</v>
      </c>
      <c r="M1374" t="s">
        <v>0</v>
      </c>
      <c r="N1374">
        <v>4250</v>
      </c>
      <c r="O1374">
        <v>36</v>
      </c>
      <c r="P1374">
        <v>813</v>
      </c>
      <c r="Q1374">
        <v>0</v>
      </c>
      <c r="R1374">
        <v>22763554885</v>
      </c>
      <c r="S1374">
        <v>37061364.560000002</v>
      </c>
      <c r="T1374">
        <v>22689710526.66</v>
      </c>
      <c r="U1374">
        <v>22715836125.610001</v>
      </c>
      <c r="V1374">
        <v>1.9219E-2</v>
      </c>
      <c r="W1374">
        <v>5.6039999999999996E-3</v>
      </c>
    </row>
    <row r="1375" spans="1:23" x14ac:dyDescent="0.35">
      <c r="A1375" t="s">
        <v>0</v>
      </c>
      <c r="B1375">
        <v>5250</v>
      </c>
      <c r="C1375">
        <v>12</v>
      </c>
      <c r="D1375">
        <v>2269</v>
      </c>
      <c r="E1375">
        <v>0</v>
      </c>
      <c r="F1375">
        <v>80506392196</v>
      </c>
      <c r="G1375">
        <v>99115558</v>
      </c>
      <c r="H1375">
        <v>80080442731.070007</v>
      </c>
      <c r="I1375">
        <v>80341847183.399994</v>
      </c>
      <c r="J1375">
        <v>4.7643999999999999E-2</v>
      </c>
      <c r="K1375">
        <v>9.7090000000000006E-3</v>
      </c>
      <c r="M1375" t="s">
        <v>0</v>
      </c>
      <c r="N1375">
        <v>4000</v>
      </c>
      <c r="O1375">
        <v>36</v>
      </c>
      <c r="P1375">
        <v>96</v>
      </c>
      <c r="Q1375">
        <v>0</v>
      </c>
      <c r="R1375">
        <v>2519603003</v>
      </c>
      <c r="S1375">
        <v>4323727.93</v>
      </c>
      <c r="T1375">
        <v>2483528954.27</v>
      </c>
      <c r="U1375">
        <v>2505070176.6900001</v>
      </c>
      <c r="V1375">
        <v>0.14116300000000001</v>
      </c>
      <c r="W1375">
        <v>4.7552999999999998E-2</v>
      </c>
    </row>
    <row r="1376" spans="1:23" x14ac:dyDescent="0.35">
      <c r="A1376" t="s">
        <v>2</v>
      </c>
      <c r="B1376">
        <v>5250</v>
      </c>
      <c r="C1376">
        <v>12</v>
      </c>
      <c r="D1376">
        <v>51</v>
      </c>
      <c r="E1376">
        <v>0</v>
      </c>
      <c r="F1376">
        <v>1225944971</v>
      </c>
      <c r="G1376">
        <v>1509470.94</v>
      </c>
      <c r="H1376">
        <v>1224435500.0599999</v>
      </c>
      <c r="I1376">
        <v>1224435500.0599999</v>
      </c>
      <c r="J1376">
        <v>0</v>
      </c>
      <c r="K1376">
        <v>0</v>
      </c>
      <c r="M1376" t="s">
        <v>0</v>
      </c>
      <c r="N1376">
        <v>3750</v>
      </c>
      <c r="O1376">
        <v>36</v>
      </c>
      <c r="P1376">
        <v>76</v>
      </c>
      <c r="Q1376">
        <v>0</v>
      </c>
      <c r="R1376">
        <v>2280595009</v>
      </c>
      <c r="S1376">
        <v>4047714.34</v>
      </c>
      <c r="T1376">
        <v>2239829748.3099999</v>
      </c>
      <c r="U1376">
        <v>2239829748.3099999</v>
      </c>
      <c r="V1376">
        <v>0.176978</v>
      </c>
      <c r="W1376">
        <v>0.176978</v>
      </c>
    </row>
    <row r="1377" spans="1:23" x14ac:dyDescent="0.35">
      <c r="A1377" t="s">
        <v>3</v>
      </c>
      <c r="B1377">
        <v>5750</v>
      </c>
      <c r="C1377">
        <v>36</v>
      </c>
      <c r="D1377">
        <v>15</v>
      </c>
      <c r="E1377">
        <v>0</v>
      </c>
      <c r="F1377">
        <v>388317809</v>
      </c>
      <c r="G1377">
        <v>502542.18</v>
      </c>
      <c r="H1377">
        <v>387815266.81999999</v>
      </c>
      <c r="I1377">
        <v>387815266.81999999</v>
      </c>
      <c r="J1377">
        <v>0</v>
      </c>
      <c r="K1377">
        <v>0</v>
      </c>
      <c r="M1377" t="s">
        <v>0</v>
      </c>
      <c r="N1377">
        <v>3500</v>
      </c>
      <c r="O1377">
        <v>36</v>
      </c>
      <c r="P1377">
        <v>38</v>
      </c>
      <c r="Q1377">
        <v>0</v>
      </c>
      <c r="R1377">
        <v>949120012</v>
      </c>
      <c r="S1377">
        <v>1765322.1</v>
      </c>
      <c r="T1377">
        <v>947354689.89999998</v>
      </c>
      <c r="U1377">
        <v>947354689.89999998</v>
      </c>
      <c r="V1377">
        <v>0</v>
      </c>
      <c r="W1377">
        <v>0</v>
      </c>
    </row>
    <row r="1378" spans="1:23" x14ac:dyDescent="0.35">
      <c r="A1378" t="s">
        <v>3</v>
      </c>
      <c r="B1378">
        <v>7750</v>
      </c>
      <c r="C1378">
        <v>36</v>
      </c>
      <c r="D1378">
        <v>45</v>
      </c>
      <c r="E1378">
        <v>0</v>
      </c>
      <c r="F1378">
        <v>804750477</v>
      </c>
      <c r="G1378">
        <v>734932.26</v>
      </c>
      <c r="H1378">
        <v>804015544.74000001</v>
      </c>
      <c r="I1378">
        <v>804015544.74000001</v>
      </c>
      <c r="J1378">
        <v>0</v>
      </c>
      <c r="K1378">
        <v>0</v>
      </c>
      <c r="M1378" t="s">
        <v>1</v>
      </c>
      <c r="N1378">
        <v>4500</v>
      </c>
      <c r="O1378">
        <v>36</v>
      </c>
      <c r="P1378">
        <v>551</v>
      </c>
      <c r="Q1378">
        <v>0</v>
      </c>
      <c r="R1378">
        <v>18871110465</v>
      </c>
      <c r="S1378">
        <v>29881302</v>
      </c>
      <c r="T1378">
        <v>18792945514.139999</v>
      </c>
      <c r="U1378">
        <v>18792945514.139999</v>
      </c>
      <c r="V1378">
        <v>3.0275E-2</v>
      </c>
      <c r="W1378">
        <v>3.0275E-2</v>
      </c>
    </row>
    <row r="1379" spans="1:23" x14ac:dyDescent="0.35">
      <c r="A1379" t="s">
        <v>3</v>
      </c>
      <c r="B1379">
        <v>7500</v>
      </c>
      <c r="C1379">
        <v>36</v>
      </c>
      <c r="D1379">
        <v>34</v>
      </c>
      <c r="E1379">
        <v>0</v>
      </c>
      <c r="F1379">
        <v>905739517</v>
      </c>
      <c r="G1379">
        <v>858322.69</v>
      </c>
      <c r="H1379">
        <v>904881194.30999994</v>
      </c>
      <c r="I1379">
        <v>904881194.30999994</v>
      </c>
      <c r="J1379">
        <v>0</v>
      </c>
      <c r="K1379">
        <v>0</v>
      </c>
      <c r="M1379" t="s">
        <v>2</v>
      </c>
      <c r="N1379">
        <v>8000</v>
      </c>
      <c r="O1379">
        <v>42</v>
      </c>
      <c r="P1379">
        <v>3</v>
      </c>
      <c r="Q1379">
        <v>0</v>
      </c>
      <c r="R1379">
        <v>44229518</v>
      </c>
      <c r="S1379">
        <v>39224.46</v>
      </c>
      <c r="T1379">
        <v>44190293.539999999</v>
      </c>
      <c r="U1379">
        <v>44190293.539999999</v>
      </c>
      <c r="V1379">
        <v>0</v>
      </c>
      <c r="W1379">
        <v>0</v>
      </c>
    </row>
    <row r="1380" spans="1:23" x14ac:dyDescent="0.35">
      <c r="A1380" t="s">
        <v>2</v>
      </c>
      <c r="B1380">
        <v>5000</v>
      </c>
      <c r="C1380">
        <v>36</v>
      </c>
      <c r="D1380">
        <v>187</v>
      </c>
      <c r="E1380">
        <v>0</v>
      </c>
      <c r="F1380">
        <v>4828392494</v>
      </c>
      <c r="G1380">
        <v>7014150.8700000001</v>
      </c>
      <c r="H1380">
        <v>4766591697.7299995</v>
      </c>
      <c r="I1380">
        <v>4821378343.1300001</v>
      </c>
      <c r="J1380">
        <v>0.12797700000000001</v>
      </c>
      <c r="K1380">
        <v>0</v>
      </c>
      <c r="M1380" t="s">
        <v>1</v>
      </c>
      <c r="N1380">
        <v>8000</v>
      </c>
      <c r="O1380">
        <v>42</v>
      </c>
      <c r="P1380">
        <v>34</v>
      </c>
      <c r="Q1380">
        <v>0</v>
      </c>
      <c r="R1380">
        <v>740689487</v>
      </c>
      <c r="S1380">
        <v>661529.41</v>
      </c>
      <c r="T1380">
        <v>710358928.65999997</v>
      </c>
      <c r="U1380">
        <v>710358928.65999997</v>
      </c>
      <c r="V1380">
        <v>0.38771899999999998</v>
      </c>
      <c r="W1380">
        <v>0.38771899999999998</v>
      </c>
    </row>
    <row r="1381" spans="1:23" x14ac:dyDescent="0.35">
      <c r="A1381" t="s">
        <v>1</v>
      </c>
      <c r="B1381">
        <v>8250</v>
      </c>
      <c r="C1381">
        <v>36</v>
      </c>
      <c r="D1381">
        <v>18</v>
      </c>
      <c r="E1381">
        <v>0</v>
      </c>
      <c r="F1381">
        <v>463143208</v>
      </c>
      <c r="G1381">
        <v>386561.79</v>
      </c>
      <c r="H1381">
        <v>441396254.61000001</v>
      </c>
      <c r="I1381">
        <v>462756646.20999998</v>
      </c>
      <c r="J1381">
        <v>0.43255700000000002</v>
      </c>
      <c r="K1381">
        <v>0</v>
      </c>
      <c r="M1381" t="s">
        <v>1</v>
      </c>
      <c r="N1381">
        <v>7750</v>
      </c>
      <c r="O1381">
        <v>36</v>
      </c>
      <c r="P1381">
        <v>591</v>
      </c>
      <c r="Q1381">
        <v>0</v>
      </c>
      <c r="R1381">
        <v>14007339978</v>
      </c>
      <c r="S1381">
        <v>12649950.470000001</v>
      </c>
      <c r="T1381">
        <v>13183064445.33</v>
      </c>
      <c r="U1381">
        <v>13664568891.84</v>
      </c>
      <c r="V1381">
        <v>0.51143000000000005</v>
      </c>
      <c r="W1381">
        <v>0.248887</v>
      </c>
    </row>
    <row r="1382" spans="1:23" x14ac:dyDescent="0.35">
      <c r="A1382" t="s">
        <v>2</v>
      </c>
      <c r="B1382">
        <v>8000</v>
      </c>
      <c r="C1382">
        <v>36</v>
      </c>
      <c r="D1382">
        <v>6</v>
      </c>
      <c r="E1382">
        <v>0</v>
      </c>
      <c r="F1382">
        <v>89050902</v>
      </c>
      <c r="G1382">
        <v>76503.210000000006</v>
      </c>
      <c r="H1382">
        <v>88974398.790000007</v>
      </c>
      <c r="I1382">
        <v>88974398.790000007</v>
      </c>
      <c r="J1382">
        <v>0</v>
      </c>
      <c r="K1382">
        <v>0</v>
      </c>
      <c r="M1382" t="s">
        <v>2</v>
      </c>
      <c r="N1382">
        <v>7500</v>
      </c>
      <c r="O1382">
        <v>36</v>
      </c>
      <c r="P1382">
        <v>81</v>
      </c>
      <c r="Q1382">
        <v>0</v>
      </c>
      <c r="R1382">
        <v>1177853634</v>
      </c>
      <c r="S1382">
        <v>1113011.28</v>
      </c>
      <c r="T1382">
        <v>1149951989.8399999</v>
      </c>
      <c r="U1382">
        <v>1149951989.8399999</v>
      </c>
      <c r="V1382">
        <v>0.24124399999999999</v>
      </c>
      <c r="W1382">
        <v>0.24124399999999999</v>
      </c>
    </row>
    <row r="1383" spans="1:23" x14ac:dyDescent="0.35">
      <c r="A1383" t="s">
        <v>0</v>
      </c>
      <c r="B1383">
        <v>9000</v>
      </c>
      <c r="C1383">
        <v>36</v>
      </c>
      <c r="D1383">
        <v>18</v>
      </c>
      <c r="E1383">
        <v>0</v>
      </c>
      <c r="F1383">
        <v>434512167</v>
      </c>
      <c r="G1383">
        <v>326396.21999999997</v>
      </c>
      <c r="H1383">
        <v>434185770.77999997</v>
      </c>
      <c r="I1383">
        <v>434185770.77999997</v>
      </c>
      <c r="J1383">
        <v>0</v>
      </c>
      <c r="K1383">
        <v>0</v>
      </c>
      <c r="M1383" t="s">
        <v>3</v>
      </c>
      <c r="N1383">
        <v>5750</v>
      </c>
      <c r="O1383">
        <v>36</v>
      </c>
      <c r="P1383">
        <v>21</v>
      </c>
      <c r="Q1383">
        <v>0</v>
      </c>
      <c r="R1383">
        <v>536412402</v>
      </c>
      <c r="S1383">
        <v>693388.11</v>
      </c>
      <c r="T1383">
        <v>500554251.27999997</v>
      </c>
      <c r="U1383">
        <v>535719013.88999999</v>
      </c>
      <c r="V1383">
        <v>0.55675699999999995</v>
      </c>
      <c r="W1383">
        <v>0</v>
      </c>
    </row>
    <row r="1384" spans="1:23" x14ac:dyDescent="0.35">
      <c r="A1384" t="s">
        <v>0</v>
      </c>
      <c r="B1384">
        <v>4250</v>
      </c>
      <c r="C1384">
        <v>36</v>
      </c>
      <c r="D1384">
        <v>817</v>
      </c>
      <c r="E1384">
        <v>0</v>
      </c>
      <c r="F1384">
        <v>22973738089</v>
      </c>
      <c r="G1384">
        <v>37414393.939999998</v>
      </c>
      <c r="H1384">
        <v>22848272946.919998</v>
      </c>
      <c r="I1384">
        <v>22905039954.130001</v>
      </c>
      <c r="J1384">
        <v>4.5034999999999999E-2</v>
      </c>
      <c r="K1384">
        <v>1.6219000000000001E-2</v>
      </c>
      <c r="M1384" t="s">
        <v>1</v>
      </c>
      <c r="N1384">
        <v>2000</v>
      </c>
      <c r="O1384">
        <v>144</v>
      </c>
      <c r="P1384">
        <v>17</v>
      </c>
      <c r="Q1384">
        <v>0</v>
      </c>
      <c r="R1384">
        <v>212094831</v>
      </c>
      <c r="S1384">
        <v>822762.4</v>
      </c>
      <c r="T1384">
        <v>211272068.59999999</v>
      </c>
      <c r="U1384">
        <v>211272068.59999999</v>
      </c>
      <c r="V1384">
        <v>0</v>
      </c>
      <c r="W1384">
        <v>0</v>
      </c>
    </row>
    <row r="1385" spans="1:23" x14ac:dyDescent="0.35">
      <c r="A1385" t="s">
        <v>0</v>
      </c>
      <c r="B1385">
        <v>4500</v>
      </c>
      <c r="C1385">
        <v>36</v>
      </c>
      <c r="D1385">
        <v>962</v>
      </c>
      <c r="E1385">
        <v>0</v>
      </c>
      <c r="F1385">
        <v>27754519746</v>
      </c>
      <c r="G1385">
        <v>43754934.880000003</v>
      </c>
      <c r="H1385">
        <v>27672820473.529999</v>
      </c>
      <c r="I1385">
        <v>27672820473.529999</v>
      </c>
      <c r="J1385">
        <v>1.6282999999999999E-2</v>
      </c>
      <c r="K1385">
        <v>1.6282999999999999E-2</v>
      </c>
      <c r="M1385" t="s">
        <v>3</v>
      </c>
      <c r="N1385">
        <v>7250</v>
      </c>
      <c r="O1385">
        <v>36</v>
      </c>
      <c r="P1385">
        <v>43</v>
      </c>
      <c r="Q1385">
        <v>0</v>
      </c>
      <c r="R1385">
        <v>1012460530</v>
      </c>
      <c r="S1385">
        <v>1004280.75</v>
      </c>
      <c r="T1385">
        <v>1011456249.25</v>
      </c>
      <c r="U1385">
        <v>1011456249.25</v>
      </c>
      <c r="V1385">
        <v>0</v>
      </c>
      <c r="W1385">
        <v>0</v>
      </c>
    </row>
    <row r="1386" spans="1:23" x14ac:dyDescent="0.35">
      <c r="A1386" t="s">
        <v>2</v>
      </c>
      <c r="B1386">
        <v>5500</v>
      </c>
      <c r="C1386">
        <v>60</v>
      </c>
      <c r="D1386">
        <v>16</v>
      </c>
      <c r="E1386">
        <v>0</v>
      </c>
      <c r="F1386">
        <v>201791466</v>
      </c>
      <c r="G1386">
        <v>353113.44</v>
      </c>
      <c r="H1386">
        <v>201438352.56</v>
      </c>
      <c r="I1386">
        <v>201438352.56</v>
      </c>
      <c r="J1386">
        <v>0</v>
      </c>
      <c r="K1386">
        <v>0</v>
      </c>
      <c r="M1386" t="s">
        <v>3</v>
      </c>
      <c r="N1386">
        <v>7000</v>
      </c>
      <c r="O1386">
        <v>30</v>
      </c>
      <c r="P1386">
        <v>45</v>
      </c>
      <c r="Q1386">
        <v>0</v>
      </c>
      <c r="R1386">
        <v>1158516728</v>
      </c>
      <c r="S1386">
        <v>1160474</v>
      </c>
      <c r="T1386">
        <v>1118752652.26</v>
      </c>
      <c r="U1386">
        <v>1157356254</v>
      </c>
      <c r="V1386">
        <v>0.33413799999999999</v>
      </c>
      <c r="W1386">
        <v>0</v>
      </c>
    </row>
    <row r="1387" spans="1:23" x14ac:dyDescent="0.35">
      <c r="A1387" t="s">
        <v>3</v>
      </c>
      <c r="B1387">
        <v>7750</v>
      </c>
      <c r="C1387">
        <v>30</v>
      </c>
      <c r="D1387">
        <v>23</v>
      </c>
      <c r="E1387">
        <v>0</v>
      </c>
      <c r="F1387">
        <v>559894968</v>
      </c>
      <c r="G1387">
        <v>493719.99</v>
      </c>
      <c r="H1387">
        <v>559401248.00999999</v>
      </c>
      <c r="I1387">
        <v>559401248.00999999</v>
      </c>
      <c r="J1387">
        <v>0</v>
      </c>
      <c r="K1387">
        <v>0</v>
      </c>
      <c r="M1387" t="s">
        <v>3</v>
      </c>
      <c r="N1387">
        <v>6500</v>
      </c>
      <c r="O1387">
        <v>30</v>
      </c>
      <c r="P1387">
        <v>37</v>
      </c>
      <c r="Q1387">
        <v>0</v>
      </c>
      <c r="R1387">
        <v>884296788</v>
      </c>
      <c r="S1387">
        <v>963181.79</v>
      </c>
      <c r="T1387">
        <v>883333606.21000004</v>
      </c>
      <c r="U1387">
        <v>883333606.21000004</v>
      </c>
      <c r="V1387">
        <v>0</v>
      </c>
      <c r="W1387">
        <v>0</v>
      </c>
    </row>
    <row r="1388" spans="1:23" x14ac:dyDescent="0.35">
      <c r="A1388" t="s">
        <v>0</v>
      </c>
      <c r="B1388">
        <v>7750</v>
      </c>
      <c r="C1388">
        <v>5</v>
      </c>
      <c r="D1388">
        <v>1374</v>
      </c>
      <c r="E1388">
        <v>0</v>
      </c>
      <c r="F1388">
        <v>39066000000</v>
      </c>
      <c r="G1388">
        <v>28397193.760000002</v>
      </c>
      <c r="H1388">
        <v>38976247852.849998</v>
      </c>
      <c r="I1388">
        <v>39020515447.779999</v>
      </c>
      <c r="J1388">
        <v>1.8685E-2</v>
      </c>
      <c r="K1388">
        <v>5.2360000000000002E-3</v>
      </c>
      <c r="M1388" t="s">
        <v>2</v>
      </c>
      <c r="N1388">
        <v>8000</v>
      </c>
      <c r="O1388">
        <v>36</v>
      </c>
      <c r="P1388">
        <v>4</v>
      </c>
      <c r="Q1388">
        <v>0</v>
      </c>
      <c r="R1388">
        <v>58486882</v>
      </c>
      <c r="S1388">
        <v>51290.59</v>
      </c>
      <c r="T1388">
        <v>58435591.409999996</v>
      </c>
      <c r="U1388">
        <v>58435591.409999996</v>
      </c>
      <c r="V1388">
        <v>0</v>
      </c>
      <c r="W1388">
        <v>0</v>
      </c>
    </row>
    <row r="1389" spans="1:23" x14ac:dyDescent="0.35">
      <c r="A1389" t="s">
        <v>0</v>
      </c>
      <c r="B1389">
        <v>7500</v>
      </c>
      <c r="C1389">
        <v>5</v>
      </c>
      <c r="D1389">
        <v>593</v>
      </c>
      <c r="E1389">
        <v>0</v>
      </c>
      <c r="F1389">
        <v>20492800000</v>
      </c>
      <c r="G1389">
        <v>15574526.99</v>
      </c>
      <c r="H1389">
        <v>20477225473.009998</v>
      </c>
      <c r="I1389">
        <v>20477225473.009998</v>
      </c>
      <c r="J1389">
        <v>0</v>
      </c>
      <c r="K1389">
        <v>0</v>
      </c>
      <c r="M1389" t="s">
        <v>0</v>
      </c>
      <c r="N1389">
        <v>5250</v>
      </c>
      <c r="O1389">
        <v>12</v>
      </c>
      <c r="P1389">
        <v>2540</v>
      </c>
      <c r="Q1389">
        <v>0</v>
      </c>
      <c r="R1389">
        <v>89429853343</v>
      </c>
      <c r="S1389">
        <v>110114479.94</v>
      </c>
      <c r="T1389">
        <v>89139302307.399994</v>
      </c>
      <c r="U1389">
        <v>89270592808.789993</v>
      </c>
      <c r="V1389">
        <v>2.3945000000000001E-2</v>
      </c>
      <c r="W1389">
        <v>6.5750000000000001E-3</v>
      </c>
    </row>
    <row r="1390" spans="1:23" x14ac:dyDescent="0.35">
      <c r="A1390" t="s">
        <v>0</v>
      </c>
      <c r="B1390">
        <v>8250</v>
      </c>
      <c r="C1390">
        <v>5</v>
      </c>
      <c r="D1390">
        <v>228</v>
      </c>
      <c r="E1390">
        <v>0</v>
      </c>
      <c r="F1390">
        <v>7016200000</v>
      </c>
      <c r="G1390">
        <v>4609426.1399999997</v>
      </c>
      <c r="H1390">
        <v>7011590573.8599997</v>
      </c>
      <c r="I1390">
        <v>7011590573.8599997</v>
      </c>
      <c r="J1390">
        <v>0</v>
      </c>
      <c r="K1390">
        <v>0</v>
      </c>
      <c r="M1390" t="s">
        <v>2</v>
      </c>
      <c r="N1390">
        <v>5250</v>
      </c>
      <c r="O1390">
        <v>12</v>
      </c>
      <c r="P1390">
        <v>63</v>
      </c>
      <c r="Q1390">
        <v>0</v>
      </c>
      <c r="R1390">
        <v>1501388016</v>
      </c>
      <c r="S1390">
        <v>1847484.85</v>
      </c>
      <c r="T1390">
        <v>1499540531.1500001</v>
      </c>
      <c r="U1390">
        <v>1499540531.1500001</v>
      </c>
      <c r="V1390">
        <v>0</v>
      </c>
      <c r="W1390">
        <v>0</v>
      </c>
    </row>
    <row r="1391" spans="1:23" x14ac:dyDescent="0.35">
      <c r="A1391" t="s">
        <v>0</v>
      </c>
      <c r="B1391">
        <v>8000</v>
      </c>
      <c r="C1391">
        <v>5</v>
      </c>
      <c r="D1391">
        <v>157</v>
      </c>
      <c r="E1391">
        <v>0</v>
      </c>
      <c r="F1391">
        <v>5156000000</v>
      </c>
      <c r="G1391">
        <v>3565540.55</v>
      </c>
      <c r="H1391">
        <v>5152434459.4499998</v>
      </c>
      <c r="I1391">
        <v>5152434459.4499998</v>
      </c>
      <c r="J1391">
        <v>0</v>
      </c>
      <c r="K1391">
        <v>0</v>
      </c>
      <c r="M1391" t="s">
        <v>1</v>
      </c>
      <c r="N1391">
        <v>5250</v>
      </c>
      <c r="O1391">
        <v>12</v>
      </c>
      <c r="P1391">
        <v>1702</v>
      </c>
      <c r="Q1391">
        <v>0</v>
      </c>
      <c r="R1391">
        <v>70369550942</v>
      </c>
      <c r="S1391">
        <v>86474910.099999994</v>
      </c>
      <c r="T1391">
        <v>69564648645.660004</v>
      </c>
      <c r="U1391">
        <v>70061475954.600006</v>
      </c>
      <c r="V1391">
        <v>0.11586200000000001</v>
      </c>
      <c r="W1391">
        <v>3.7141E-2</v>
      </c>
    </row>
    <row r="1392" spans="1:23" x14ac:dyDescent="0.35">
      <c r="A1392" t="s">
        <v>0</v>
      </c>
      <c r="B1392">
        <v>8000</v>
      </c>
      <c r="C1392">
        <v>6</v>
      </c>
      <c r="D1392">
        <v>46</v>
      </c>
      <c r="E1392">
        <v>0</v>
      </c>
      <c r="F1392">
        <v>1575929440</v>
      </c>
      <c r="G1392">
        <v>1128379.21</v>
      </c>
      <c r="H1392">
        <v>1560155654.8499999</v>
      </c>
      <c r="I1392">
        <v>1574801060.79</v>
      </c>
      <c r="J1392">
        <v>0.105991</v>
      </c>
      <c r="K1392">
        <v>0</v>
      </c>
      <c r="M1392" t="s">
        <v>3</v>
      </c>
      <c r="N1392">
        <v>7750</v>
      </c>
      <c r="O1392">
        <v>36</v>
      </c>
      <c r="P1392">
        <v>35</v>
      </c>
      <c r="Q1392">
        <v>0</v>
      </c>
      <c r="R1392">
        <v>592395734</v>
      </c>
      <c r="S1392">
        <v>540182.81000000006</v>
      </c>
      <c r="T1392">
        <v>591855551.19000006</v>
      </c>
      <c r="U1392">
        <v>591855551.19000006</v>
      </c>
      <c r="V1392">
        <v>0</v>
      </c>
      <c r="W1392">
        <v>0</v>
      </c>
    </row>
    <row r="1393" spans="1:23" x14ac:dyDescent="0.35">
      <c r="A1393" t="s">
        <v>0</v>
      </c>
      <c r="B1393">
        <v>8250</v>
      </c>
      <c r="C1393">
        <v>6</v>
      </c>
      <c r="D1393">
        <v>74</v>
      </c>
      <c r="E1393">
        <v>0</v>
      </c>
      <c r="F1393">
        <v>2364157490</v>
      </c>
      <c r="G1393">
        <v>1593006.09</v>
      </c>
      <c r="H1393">
        <v>2362564483.9099998</v>
      </c>
      <c r="I1393">
        <v>2362564483.9099998</v>
      </c>
      <c r="J1393">
        <v>0</v>
      </c>
      <c r="K1393">
        <v>0</v>
      </c>
      <c r="M1393" t="s">
        <v>3</v>
      </c>
      <c r="N1393">
        <v>7500</v>
      </c>
      <c r="O1393">
        <v>36</v>
      </c>
      <c r="P1393">
        <v>28</v>
      </c>
      <c r="Q1393">
        <v>0</v>
      </c>
      <c r="R1393">
        <v>770915963</v>
      </c>
      <c r="S1393">
        <v>728272.9</v>
      </c>
      <c r="T1393">
        <v>770187690.10000002</v>
      </c>
      <c r="U1393">
        <v>770187690.10000002</v>
      </c>
      <c r="V1393">
        <v>0</v>
      </c>
      <c r="W1393">
        <v>0</v>
      </c>
    </row>
    <row r="1394" spans="1:23" x14ac:dyDescent="0.35">
      <c r="A1394" t="s">
        <v>0</v>
      </c>
      <c r="B1394">
        <v>7750</v>
      </c>
      <c r="C1394">
        <v>6</v>
      </c>
      <c r="D1394">
        <v>539</v>
      </c>
      <c r="E1394">
        <v>0</v>
      </c>
      <c r="F1394">
        <v>14680398290</v>
      </c>
      <c r="G1394">
        <v>10894814.77</v>
      </c>
      <c r="H1394">
        <v>14095059253.969999</v>
      </c>
      <c r="I1394">
        <v>14626437365.77</v>
      </c>
      <c r="J1394">
        <v>0.38059399999999999</v>
      </c>
      <c r="K1394">
        <v>3.4639999999999997E-2</v>
      </c>
      <c r="M1394" t="s">
        <v>1</v>
      </c>
      <c r="N1394">
        <v>8250</v>
      </c>
      <c r="O1394">
        <v>30</v>
      </c>
      <c r="P1394">
        <v>278</v>
      </c>
      <c r="Q1394">
        <v>0</v>
      </c>
      <c r="R1394">
        <v>6047779361</v>
      </c>
      <c r="S1394">
        <v>4818170.75</v>
      </c>
      <c r="T1394">
        <v>5634906279.9499998</v>
      </c>
      <c r="U1394">
        <v>5871952169.2299995</v>
      </c>
      <c r="V1394">
        <v>0.56754300000000002</v>
      </c>
      <c r="W1394">
        <v>0.291217</v>
      </c>
    </row>
    <row r="1395" spans="1:23" x14ac:dyDescent="0.35">
      <c r="A1395" t="s">
        <v>0</v>
      </c>
      <c r="B1395">
        <v>7750</v>
      </c>
      <c r="C1395">
        <v>7</v>
      </c>
      <c r="D1395">
        <v>698</v>
      </c>
      <c r="E1395">
        <v>0</v>
      </c>
      <c r="F1395">
        <v>18960138762</v>
      </c>
      <c r="G1395">
        <v>14186394.289999999</v>
      </c>
      <c r="H1395">
        <v>17666553440.990002</v>
      </c>
      <c r="I1395">
        <v>18746972577.060001</v>
      </c>
      <c r="J1395">
        <v>0.56757899999999994</v>
      </c>
      <c r="K1395">
        <v>0.11891500000000001</v>
      </c>
      <c r="M1395" t="s">
        <v>0</v>
      </c>
      <c r="N1395">
        <v>4500</v>
      </c>
      <c r="O1395">
        <v>36</v>
      </c>
      <c r="P1395">
        <v>1031</v>
      </c>
      <c r="Q1395">
        <v>0</v>
      </c>
      <c r="R1395">
        <v>29966263963</v>
      </c>
      <c r="S1395">
        <v>47228618.479999997</v>
      </c>
      <c r="T1395">
        <v>29698283790.93</v>
      </c>
      <c r="U1395">
        <v>29846856501.369999</v>
      </c>
      <c r="V1395">
        <v>8.4904999999999994E-2</v>
      </c>
      <c r="W1395">
        <v>2.8524000000000001E-2</v>
      </c>
    </row>
    <row r="1396" spans="1:23" x14ac:dyDescent="0.35">
      <c r="A1396" t="s">
        <v>0</v>
      </c>
      <c r="B1396">
        <v>8000</v>
      </c>
      <c r="C1396">
        <v>7</v>
      </c>
      <c r="D1396">
        <v>84</v>
      </c>
      <c r="E1396">
        <v>0</v>
      </c>
      <c r="F1396">
        <v>2872424489</v>
      </c>
      <c r="G1396">
        <v>2073400.22</v>
      </c>
      <c r="H1396">
        <v>2789359601.9000001</v>
      </c>
      <c r="I1396">
        <v>2870351088.7800002</v>
      </c>
      <c r="J1396">
        <v>0.29051500000000002</v>
      </c>
      <c r="K1396">
        <v>0</v>
      </c>
      <c r="M1396" t="s">
        <v>3</v>
      </c>
      <c r="N1396">
        <v>7750</v>
      </c>
      <c r="O1396">
        <v>30</v>
      </c>
      <c r="P1396">
        <v>30</v>
      </c>
      <c r="Q1396">
        <v>0</v>
      </c>
      <c r="R1396">
        <v>709553543</v>
      </c>
      <c r="S1396">
        <v>626885.29</v>
      </c>
      <c r="T1396">
        <v>708926657.71000004</v>
      </c>
      <c r="U1396">
        <v>708926657.71000004</v>
      </c>
      <c r="V1396">
        <v>0</v>
      </c>
      <c r="W1396">
        <v>0</v>
      </c>
    </row>
    <row r="1397" spans="1:23" x14ac:dyDescent="0.35">
      <c r="A1397" t="s">
        <v>0</v>
      </c>
      <c r="B1397">
        <v>8000</v>
      </c>
      <c r="C1397">
        <v>8</v>
      </c>
      <c r="D1397">
        <v>113</v>
      </c>
      <c r="E1397">
        <v>0</v>
      </c>
      <c r="F1397">
        <v>3648710681</v>
      </c>
      <c r="G1397">
        <v>2650075.4700000002</v>
      </c>
      <c r="H1397">
        <v>3621289200.4400001</v>
      </c>
      <c r="I1397">
        <v>3646060605.5300002</v>
      </c>
      <c r="J1397">
        <v>7.8494999999999995E-2</v>
      </c>
      <c r="K1397">
        <v>0</v>
      </c>
      <c r="M1397" t="s">
        <v>0</v>
      </c>
      <c r="N1397">
        <v>7750</v>
      </c>
      <c r="O1397">
        <v>5</v>
      </c>
      <c r="P1397">
        <v>1788</v>
      </c>
      <c r="Q1397">
        <v>0</v>
      </c>
      <c r="R1397">
        <v>50198500000</v>
      </c>
      <c r="S1397">
        <v>36522667.359999999</v>
      </c>
      <c r="T1397">
        <v>50004592673.309998</v>
      </c>
      <c r="U1397">
        <v>50136296289.489998</v>
      </c>
      <c r="V1397">
        <v>3.6981E-2</v>
      </c>
      <c r="W1397">
        <v>6.1219999999999998E-3</v>
      </c>
    </row>
    <row r="1398" spans="1:23" x14ac:dyDescent="0.35">
      <c r="A1398" t="s">
        <v>1</v>
      </c>
      <c r="B1398">
        <v>6250</v>
      </c>
      <c r="C1398">
        <v>10</v>
      </c>
      <c r="D1398">
        <v>8288</v>
      </c>
      <c r="E1398">
        <v>0</v>
      </c>
      <c r="F1398">
        <v>329087923967</v>
      </c>
      <c r="G1398">
        <v>335557218.51999998</v>
      </c>
      <c r="H1398">
        <v>321436679350.78003</v>
      </c>
      <c r="I1398">
        <v>328272535815.01001</v>
      </c>
      <c r="J1398">
        <v>0.23644599999999999</v>
      </c>
      <c r="K1398">
        <v>1.7357000000000001E-2</v>
      </c>
      <c r="M1398" t="s">
        <v>0</v>
      </c>
      <c r="N1398">
        <v>7500</v>
      </c>
      <c r="O1398">
        <v>5</v>
      </c>
      <c r="P1398">
        <v>710</v>
      </c>
      <c r="Q1398">
        <v>0</v>
      </c>
      <c r="R1398">
        <v>23974200000</v>
      </c>
      <c r="S1398">
        <v>18299413.739999998</v>
      </c>
      <c r="T1398">
        <v>23921427100.080002</v>
      </c>
      <c r="U1398">
        <v>23955900586.259998</v>
      </c>
      <c r="V1398">
        <v>1.7118999999999999E-2</v>
      </c>
      <c r="W1398">
        <v>0</v>
      </c>
    </row>
    <row r="1399" spans="1:23" x14ac:dyDescent="0.35">
      <c r="A1399" t="s">
        <v>2</v>
      </c>
      <c r="B1399">
        <v>4250</v>
      </c>
      <c r="C1399">
        <v>36</v>
      </c>
      <c r="D1399">
        <v>33</v>
      </c>
      <c r="E1399">
        <v>0</v>
      </c>
      <c r="F1399">
        <v>555912742</v>
      </c>
      <c r="G1399">
        <v>932043.46</v>
      </c>
      <c r="H1399">
        <v>554980698.53999996</v>
      </c>
      <c r="I1399">
        <v>554980698.53999996</v>
      </c>
      <c r="J1399">
        <v>0</v>
      </c>
      <c r="K1399">
        <v>0</v>
      </c>
      <c r="M1399" t="s">
        <v>0</v>
      </c>
      <c r="N1399">
        <v>8250</v>
      </c>
      <c r="O1399">
        <v>5</v>
      </c>
      <c r="P1399">
        <v>278</v>
      </c>
      <c r="Q1399">
        <v>0</v>
      </c>
      <c r="R1399">
        <v>8587900000</v>
      </c>
      <c r="S1399">
        <v>5655384.7300000004</v>
      </c>
      <c r="T1399">
        <v>8582244615.2700005</v>
      </c>
      <c r="U1399">
        <v>8582244615.2700005</v>
      </c>
      <c r="V1399">
        <v>0</v>
      </c>
      <c r="W1399">
        <v>0</v>
      </c>
    </row>
    <row r="1400" spans="1:23" x14ac:dyDescent="0.35">
      <c r="A1400" t="s">
        <v>1</v>
      </c>
      <c r="B1400">
        <v>4000</v>
      </c>
      <c r="C1400">
        <v>36</v>
      </c>
      <c r="D1400">
        <v>74</v>
      </c>
      <c r="E1400">
        <v>0</v>
      </c>
      <c r="F1400">
        <v>2495860505</v>
      </c>
      <c r="G1400">
        <v>4327358.57</v>
      </c>
      <c r="H1400">
        <v>2459275865.6199999</v>
      </c>
      <c r="I1400">
        <v>2491533146.4299998</v>
      </c>
      <c r="J1400">
        <v>0.14452899999999999</v>
      </c>
      <c r="K1400">
        <v>0</v>
      </c>
      <c r="M1400" t="s">
        <v>0</v>
      </c>
      <c r="N1400">
        <v>8000</v>
      </c>
      <c r="O1400">
        <v>5</v>
      </c>
      <c r="P1400">
        <v>188</v>
      </c>
      <c r="Q1400">
        <v>0</v>
      </c>
      <c r="R1400">
        <v>6240800000</v>
      </c>
      <c r="S1400">
        <v>4335055.53</v>
      </c>
      <c r="T1400">
        <v>6236464944.4700003</v>
      </c>
      <c r="U1400">
        <v>6236464944.4700003</v>
      </c>
      <c r="V1400">
        <v>0</v>
      </c>
      <c r="W1400">
        <v>0</v>
      </c>
    </row>
    <row r="1401" spans="1:23" x14ac:dyDescent="0.35">
      <c r="A1401" t="s">
        <v>1</v>
      </c>
      <c r="B1401">
        <v>9000</v>
      </c>
      <c r="C1401">
        <v>30</v>
      </c>
      <c r="D1401">
        <v>27</v>
      </c>
      <c r="E1401">
        <v>0</v>
      </c>
      <c r="F1401">
        <v>716444449</v>
      </c>
      <c r="G1401">
        <v>523718.03</v>
      </c>
      <c r="H1401">
        <v>640368639.26999998</v>
      </c>
      <c r="I1401">
        <v>640368639.26999998</v>
      </c>
      <c r="J1401">
        <v>0.73743899999999996</v>
      </c>
      <c r="K1401">
        <v>0.73743899999999996</v>
      </c>
      <c r="M1401" t="s">
        <v>0</v>
      </c>
      <c r="N1401">
        <v>7750</v>
      </c>
      <c r="O1401">
        <v>6</v>
      </c>
      <c r="P1401">
        <v>740</v>
      </c>
      <c r="Q1401">
        <v>0</v>
      </c>
      <c r="R1401">
        <v>20241454490</v>
      </c>
      <c r="S1401">
        <v>15042152.16</v>
      </c>
      <c r="T1401">
        <v>18990773637.790001</v>
      </c>
      <c r="U1401">
        <v>20216319964.73</v>
      </c>
      <c r="V1401">
        <v>0.53039000000000003</v>
      </c>
      <c r="W1401">
        <v>5.9670000000000001E-3</v>
      </c>
    </row>
    <row r="1402" spans="1:23" x14ac:dyDescent="0.35">
      <c r="A1402" t="s">
        <v>1</v>
      </c>
      <c r="B1402">
        <v>8250</v>
      </c>
      <c r="C1402">
        <v>30</v>
      </c>
      <c r="D1402">
        <v>270</v>
      </c>
      <c r="E1402">
        <v>0</v>
      </c>
      <c r="F1402">
        <v>5954479747</v>
      </c>
      <c r="G1402">
        <v>4760112</v>
      </c>
      <c r="H1402">
        <v>5750424665.0200005</v>
      </c>
      <c r="I1402">
        <v>5884582718.6000004</v>
      </c>
      <c r="J1402">
        <v>0.33536199999999999</v>
      </c>
      <c r="K1402">
        <v>0.123653</v>
      </c>
      <c r="M1402" t="s">
        <v>0</v>
      </c>
      <c r="N1402">
        <v>8000</v>
      </c>
      <c r="O1402">
        <v>6</v>
      </c>
      <c r="P1402">
        <v>86</v>
      </c>
      <c r="Q1402">
        <v>0</v>
      </c>
      <c r="R1402">
        <v>2939709279</v>
      </c>
      <c r="S1402">
        <v>2106102.7000000002</v>
      </c>
      <c r="T1402">
        <v>2874337358.1199999</v>
      </c>
      <c r="U1402">
        <v>2937603176.3000002</v>
      </c>
      <c r="V1402">
        <v>0.22977500000000001</v>
      </c>
      <c r="W1402">
        <v>0</v>
      </c>
    </row>
    <row r="1403" spans="1:23" x14ac:dyDescent="0.35">
      <c r="A1403" t="s">
        <v>2</v>
      </c>
      <c r="B1403">
        <v>8000</v>
      </c>
      <c r="C1403">
        <v>30</v>
      </c>
      <c r="D1403">
        <v>95</v>
      </c>
      <c r="E1403">
        <v>0</v>
      </c>
      <c r="F1403">
        <v>1373030076</v>
      </c>
      <c r="G1403">
        <v>1147815.28</v>
      </c>
      <c r="H1403">
        <v>1320877475.49</v>
      </c>
      <c r="I1403">
        <v>1334905976.0899999</v>
      </c>
      <c r="J1403">
        <v>0.36508400000000002</v>
      </c>
      <c r="K1403">
        <v>0.27934599999999998</v>
      </c>
      <c r="M1403" t="s">
        <v>0</v>
      </c>
      <c r="N1403">
        <v>8000</v>
      </c>
      <c r="O1403">
        <v>7</v>
      </c>
      <c r="P1403">
        <v>116</v>
      </c>
      <c r="Q1403">
        <v>0</v>
      </c>
      <c r="R1403">
        <v>3726845840</v>
      </c>
      <c r="S1403">
        <v>2686726.35</v>
      </c>
      <c r="T1403">
        <v>3649266898.2399998</v>
      </c>
      <c r="U1403">
        <v>3690460983.5799999</v>
      </c>
      <c r="V1403">
        <v>0.216199</v>
      </c>
      <c r="W1403">
        <v>0.103267</v>
      </c>
    </row>
    <row r="1404" spans="1:23" x14ac:dyDescent="0.35">
      <c r="A1404" t="s">
        <v>2</v>
      </c>
      <c r="B1404">
        <v>8250</v>
      </c>
      <c r="C1404">
        <v>30</v>
      </c>
      <c r="D1404">
        <v>119</v>
      </c>
      <c r="E1404">
        <v>0</v>
      </c>
      <c r="F1404">
        <v>1608818303</v>
      </c>
      <c r="G1404">
        <v>1288053.1299999999</v>
      </c>
      <c r="H1404">
        <v>1607530249.8699999</v>
      </c>
      <c r="I1404">
        <v>1607530249.8699999</v>
      </c>
      <c r="J1404">
        <v>0</v>
      </c>
      <c r="K1404">
        <v>0</v>
      </c>
      <c r="M1404" t="s">
        <v>1</v>
      </c>
      <c r="N1404">
        <v>6250</v>
      </c>
      <c r="O1404">
        <v>9</v>
      </c>
      <c r="P1404">
        <v>8538</v>
      </c>
      <c r="Q1404">
        <v>0</v>
      </c>
      <c r="R1404">
        <v>340448153683</v>
      </c>
      <c r="S1404">
        <v>345023962</v>
      </c>
      <c r="T1404">
        <v>329428018252.90997</v>
      </c>
      <c r="U1404">
        <v>339835223150.52002</v>
      </c>
      <c r="V1404">
        <v>0.31770799999999999</v>
      </c>
      <c r="W1404">
        <v>9.4020000000000006E-3</v>
      </c>
    </row>
    <row r="1405" spans="1:23" x14ac:dyDescent="0.35">
      <c r="A1405" t="s">
        <v>2</v>
      </c>
      <c r="B1405">
        <v>5250</v>
      </c>
      <c r="C1405">
        <v>30</v>
      </c>
      <c r="D1405">
        <v>97</v>
      </c>
      <c r="E1405">
        <v>0</v>
      </c>
      <c r="F1405">
        <v>2247305070</v>
      </c>
      <c r="G1405">
        <v>3011647.96</v>
      </c>
      <c r="H1405">
        <v>2244293422.04</v>
      </c>
      <c r="I1405">
        <v>2244293422.04</v>
      </c>
      <c r="J1405">
        <v>0</v>
      </c>
      <c r="K1405">
        <v>0</v>
      </c>
      <c r="M1405" t="s">
        <v>2</v>
      </c>
      <c r="N1405">
        <v>4250</v>
      </c>
      <c r="O1405">
        <v>36</v>
      </c>
      <c r="P1405">
        <v>34</v>
      </c>
      <c r="Q1405">
        <v>0</v>
      </c>
      <c r="R1405">
        <v>575405352</v>
      </c>
      <c r="S1405">
        <v>959541.45</v>
      </c>
      <c r="T1405">
        <v>574445810.54999995</v>
      </c>
      <c r="U1405">
        <v>574445810.54999995</v>
      </c>
      <c r="V1405">
        <v>0</v>
      </c>
      <c r="W1405">
        <v>0</v>
      </c>
    </row>
    <row r="1406" spans="1:23" x14ac:dyDescent="0.35">
      <c r="A1406" t="s">
        <v>2</v>
      </c>
      <c r="B1406">
        <v>3500</v>
      </c>
      <c r="C1406">
        <v>42</v>
      </c>
      <c r="D1406">
        <v>86</v>
      </c>
      <c r="E1406">
        <v>0</v>
      </c>
      <c r="F1406">
        <v>1244196506</v>
      </c>
      <c r="G1406">
        <v>2516564.0499999998</v>
      </c>
      <c r="H1406">
        <v>1241679941.95</v>
      </c>
      <c r="I1406">
        <v>1241679941.95</v>
      </c>
      <c r="J1406">
        <v>0</v>
      </c>
      <c r="K1406">
        <v>0</v>
      </c>
      <c r="M1406" t="s">
        <v>1</v>
      </c>
      <c r="N1406">
        <v>3250</v>
      </c>
      <c r="O1406">
        <v>36</v>
      </c>
      <c r="P1406">
        <v>83</v>
      </c>
      <c r="Q1406">
        <v>0</v>
      </c>
      <c r="R1406">
        <v>2235886277</v>
      </c>
      <c r="S1406">
        <v>4528312.8499999996</v>
      </c>
      <c r="T1406">
        <v>2231357964.1500001</v>
      </c>
      <c r="U1406">
        <v>2231357964.1500001</v>
      </c>
      <c r="V1406">
        <v>0</v>
      </c>
      <c r="W1406">
        <v>0</v>
      </c>
    </row>
    <row r="1407" spans="1:23" x14ac:dyDescent="0.35">
      <c r="A1407" t="s">
        <v>0</v>
      </c>
      <c r="B1407">
        <v>5000</v>
      </c>
      <c r="C1407">
        <v>30</v>
      </c>
      <c r="D1407">
        <v>10139</v>
      </c>
      <c r="E1407">
        <v>0</v>
      </c>
      <c r="F1407">
        <v>337372950848</v>
      </c>
      <c r="G1407">
        <v>471287821.11000001</v>
      </c>
      <c r="H1407">
        <v>335698076496.34003</v>
      </c>
      <c r="I1407">
        <v>336482240637.34003</v>
      </c>
      <c r="J1407">
        <v>4.1980000000000003E-2</v>
      </c>
      <c r="K1407">
        <v>1.4817E-2</v>
      </c>
      <c r="M1407" t="s">
        <v>1</v>
      </c>
      <c r="N1407">
        <v>4000</v>
      </c>
      <c r="O1407">
        <v>36</v>
      </c>
      <c r="P1407">
        <v>99</v>
      </c>
      <c r="Q1407">
        <v>0</v>
      </c>
      <c r="R1407">
        <v>3338486810</v>
      </c>
      <c r="S1407">
        <v>5804047.9699999997</v>
      </c>
      <c r="T1407">
        <v>3199641958.46</v>
      </c>
      <c r="U1407">
        <v>3270101297.9099998</v>
      </c>
      <c r="V1407">
        <v>0.38614500000000002</v>
      </c>
      <c r="W1407">
        <v>0.20314299999999999</v>
      </c>
    </row>
    <row r="1408" spans="1:23" x14ac:dyDescent="0.35">
      <c r="A1408" t="s">
        <v>2</v>
      </c>
      <c r="B1408">
        <v>5000</v>
      </c>
      <c r="C1408">
        <v>30</v>
      </c>
      <c r="D1408">
        <v>194</v>
      </c>
      <c r="E1408">
        <v>0</v>
      </c>
      <c r="F1408">
        <v>5190700272</v>
      </c>
      <c r="G1408">
        <v>7244134.5999999996</v>
      </c>
      <c r="H1408">
        <v>5146089465.8900003</v>
      </c>
      <c r="I1408">
        <v>5171016526.96</v>
      </c>
      <c r="J1408">
        <v>8.3045999999999995E-2</v>
      </c>
      <c r="K1408">
        <v>2.8382000000000001E-2</v>
      </c>
      <c r="M1408" t="s">
        <v>1</v>
      </c>
      <c r="N1408">
        <v>9000</v>
      </c>
      <c r="O1408">
        <v>30</v>
      </c>
      <c r="P1408">
        <v>26</v>
      </c>
      <c r="Q1408">
        <v>0</v>
      </c>
      <c r="R1408">
        <v>704104969</v>
      </c>
      <c r="S1408">
        <v>510800.3</v>
      </c>
      <c r="T1408">
        <v>703594168.70000005</v>
      </c>
      <c r="U1408">
        <v>703594168.70000005</v>
      </c>
      <c r="V1408">
        <v>0</v>
      </c>
      <c r="W1408">
        <v>0</v>
      </c>
    </row>
    <row r="1409" spans="1:23" x14ac:dyDescent="0.35">
      <c r="A1409" t="s">
        <v>1</v>
      </c>
      <c r="B1409">
        <v>5000</v>
      </c>
      <c r="C1409">
        <v>30</v>
      </c>
      <c r="D1409">
        <v>3906</v>
      </c>
      <c r="E1409">
        <v>0</v>
      </c>
      <c r="F1409">
        <v>139969578728</v>
      </c>
      <c r="G1409">
        <v>195621775.77000001</v>
      </c>
      <c r="H1409">
        <v>138725459347</v>
      </c>
      <c r="I1409">
        <v>139344349767.26999</v>
      </c>
      <c r="J1409">
        <v>8.6277999999999994E-2</v>
      </c>
      <c r="K1409">
        <v>3.6215999999999998E-2</v>
      </c>
      <c r="M1409" t="s">
        <v>2</v>
      </c>
      <c r="N1409">
        <v>8000</v>
      </c>
      <c r="O1409">
        <v>30</v>
      </c>
      <c r="P1409">
        <v>96</v>
      </c>
      <c r="Q1409">
        <v>0</v>
      </c>
      <c r="R1409">
        <v>1414864390</v>
      </c>
      <c r="S1409">
        <v>1168974.95</v>
      </c>
      <c r="T1409">
        <v>1340594316.3900001</v>
      </c>
      <c r="U1409">
        <v>1372764659.97</v>
      </c>
      <c r="V1409">
        <v>0.47090599999999999</v>
      </c>
      <c r="W1409">
        <v>0.29690899999999998</v>
      </c>
    </row>
    <row r="1410" spans="1:23" x14ac:dyDescent="0.35">
      <c r="A1410" t="s">
        <v>0</v>
      </c>
      <c r="B1410">
        <v>5250</v>
      </c>
      <c r="C1410">
        <v>24</v>
      </c>
      <c r="D1410">
        <v>3563</v>
      </c>
      <c r="E1410">
        <v>0</v>
      </c>
      <c r="F1410">
        <v>122092308951</v>
      </c>
      <c r="G1410">
        <v>159861271.65000001</v>
      </c>
      <c r="H1410">
        <v>121477739703.32001</v>
      </c>
      <c r="I1410">
        <v>121711719154.08</v>
      </c>
      <c r="J1410">
        <v>4.3787E-2</v>
      </c>
      <c r="K1410">
        <v>2.1479999999999999E-2</v>
      </c>
      <c r="M1410" t="s">
        <v>2</v>
      </c>
      <c r="N1410">
        <v>8250</v>
      </c>
      <c r="O1410">
        <v>30</v>
      </c>
      <c r="P1410">
        <v>128</v>
      </c>
      <c r="Q1410">
        <v>0</v>
      </c>
      <c r="R1410">
        <v>1722508000</v>
      </c>
      <c r="S1410">
        <v>1371620.72</v>
      </c>
      <c r="T1410">
        <v>1627608907.74</v>
      </c>
      <c r="U1410">
        <v>1663699849.96</v>
      </c>
      <c r="V1410">
        <v>0.48825200000000002</v>
      </c>
      <c r="W1410">
        <v>0.33432899999999999</v>
      </c>
    </row>
    <row r="1411" spans="1:23" x14ac:dyDescent="0.35">
      <c r="A1411" t="s">
        <v>1</v>
      </c>
      <c r="B1411">
        <v>5250</v>
      </c>
      <c r="C1411">
        <v>24</v>
      </c>
      <c r="D1411">
        <v>1696</v>
      </c>
      <c r="E1411">
        <v>0</v>
      </c>
      <c r="F1411">
        <v>64525884324</v>
      </c>
      <c r="G1411">
        <v>84457896.019999996</v>
      </c>
      <c r="H1411">
        <v>63597749955.400002</v>
      </c>
      <c r="I1411">
        <v>64257029219.050003</v>
      </c>
      <c r="J1411">
        <v>0.146095</v>
      </c>
      <c r="K1411">
        <v>3.3758999999999997E-2</v>
      </c>
      <c r="M1411" t="s">
        <v>2</v>
      </c>
      <c r="N1411">
        <v>5250</v>
      </c>
      <c r="O1411">
        <v>30</v>
      </c>
      <c r="P1411">
        <v>100</v>
      </c>
      <c r="Q1411">
        <v>0</v>
      </c>
      <c r="R1411">
        <v>2356480742</v>
      </c>
      <c r="S1411">
        <v>3167890.96</v>
      </c>
      <c r="T1411">
        <v>2353312851.04</v>
      </c>
      <c r="U1411">
        <v>2353312851.04</v>
      </c>
      <c r="V1411">
        <v>0</v>
      </c>
      <c r="W1411">
        <v>0</v>
      </c>
    </row>
    <row r="1412" spans="1:23" x14ac:dyDescent="0.35">
      <c r="A1412" t="s">
        <v>2</v>
      </c>
      <c r="B1412">
        <v>5250</v>
      </c>
      <c r="C1412">
        <v>24</v>
      </c>
      <c r="D1412">
        <v>104</v>
      </c>
      <c r="E1412">
        <v>0</v>
      </c>
      <c r="F1412">
        <v>2391272482</v>
      </c>
      <c r="G1412">
        <v>3132207.89</v>
      </c>
      <c r="H1412">
        <v>2388140274.1100001</v>
      </c>
      <c r="I1412">
        <v>2388140274.1100001</v>
      </c>
      <c r="J1412">
        <v>0</v>
      </c>
      <c r="K1412">
        <v>0</v>
      </c>
      <c r="M1412" t="s">
        <v>2</v>
      </c>
      <c r="N1412">
        <v>3500</v>
      </c>
      <c r="O1412">
        <v>42</v>
      </c>
      <c r="P1412">
        <v>94</v>
      </c>
      <c r="Q1412">
        <v>0</v>
      </c>
      <c r="R1412">
        <v>1535118613</v>
      </c>
      <c r="S1412">
        <v>3112649.81</v>
      </c>
      <c r="T1412">
        <v>1511112575.23</v>
      </c>
      <c r="U1412">
        <v>1511112575.23</v>
      </c>
      <c r="V1412">
        <v>0.15163599999999999</v>
      </c>
      <c r="W1412">
        <v>0.15163599999999999</v>
      </c>
    </row>
    <row r="1413" spans="1:23" x14ac:dyDescent="0.35">
      <c r="A1413" t="s">
        <v>0</v>
      </c>
      <c r="B1413">
        <v>5000</v>
      </c>
      <c r="C1413">
        <v>24</v>
      </c>
      <c r="D1413">
        <v>7548</v>
      </c>
      <c r="E1413">
        <v>0</v>
      </c>
      <c r="F1413">
        <v>249079535347</v>
      </c>
      <c r="G1413">
        <v>339814812.55000001</v>
      </c>
      <c r="H1413">
        <v>247932065699.59</v>
      </c>
      <c r="I1413">
        <v>248505991449.37</v>
      </c>
      <c r="J1413">
        <v>3.8224000000000001E-2</v>
      </c>
      <c r="K1413">
        <v>1.1202999999999999E-2</v>
      </c>
      <c r="M1413" t="s">
        <v>2</v>
      </c>
      <c r="N1413">
        <v>5000</v>
      </c>
      <c r="O1413">
        <v>30</v>
      </c>
      <c r="P1413">
        <v>153</v>
      </c>
      <c r="Q1413">
        <v>0</v>
      </c>
      <c r="R1413">
        <v>4086838856</v>
      </c>
      <c r="S1413">
        <v>5716827.7000000002</v>
      </c>
      <c r="T1413">
        <v>4081122028.3000002</v>
      </c>
      <c r="U1413">
        <v>4081122028.3000002</v>
      </c>
      <c r="V1413">
        <v>0</v>
      </c>
      <c r="W1413">
        <v>0</v>
      </c>
    </row>
    <row r="1414" spans="1:23" x14ac:dyDescent="0.35">
      <c r="A1414" t="s">
        <v>2</v>
      </c>
      <c r="B1414">
        <v>4750</v>
      </c>
      <c r="C1414">
        <v>24</v>
      </c>
      <c r="D1414">
        <v>35</v>
      </c>
      <c r="E1414">
        <v>0</v>
      </c>
      <c r="F1414">
        <v>853601086</v>
      </c>
      <c r="G1414">
        <v>1217166.58</v>
      </c>
      <c r="H1414">
        <v>852383919.41999996</v>
      </c>
      <c r="I1414">
        <v>852383919.41999996</v>
      </c>
      <c r="J1414">
        <v>0</v>
      </c>
      <c r="K1414">
        <v>0</v>
      </c>
      <c r="M1414" t="s">
        <v>1</v>
      </c>
      <c r="N1414">
        <v>5000</v>
      </c>
      <c r="O1414">
        <v>30</v>
      </c>
      <c r="P1414">
        <v>3152</v>
      </c>
      <c r="Q1414">
        <v>0</v>
      </c>
      <c r="R1414">
        <v>111773172318</v>
      </c>
      <c r="S1414">
        <v>156493216.25</v>
      </c>
      <c r="T1414">
        <v>110914648488.36</v>
      </c>
      <c r="U1414">
        <v>111455425823.61</v>
      </c>
      <c r="V1414">
        <v>7.2819999999999996E-2</v>
      </c>
      <c r="W1414">
        <v>1.7174999999999999E-2</v>
      </c>
    </row>
    <row r="1415" spans="1:23" x14ac:dyDescent="0.35">
      <c r="A1415" t="s">
        <v>0</v>
      </c>
      <c r="B1415">
        <v>4750</v>
      </c>
      <c r="C1415">
        <v>24</v>
      </c>
      <c r="D1415">
        <v>1772</v>
      </c>
      <c r="E1415">
        <v>0</v>
      </c>
      <c r="F1415">
        <v>55110530733</v>
      </c>
      <c r="G1415">
        <v>78374523.519999996</v>
      </c>
      <c r="H1415">
        <v>54924691366.510002</v>
      </c>
      <c r="I1415">
        <v>54988583908.989998</v>
      </c>
      <c r="J1415">
        <v>2.3151000000000001E-2</v>
      </c>
      <c r="K1415">
        <v>9.4459999999999995E-3</v>
      </c>
      <c r="M1415" t="s">
        <v>0</v>
      </c>
      <c r="N1415">
        <v>5250</v>
      </c>
      <c r="O1415">
        <v>24</v>
      </c>
      <c r="P1415">
        <v>3700</v>
      </c>
      <c r="Q1415">
        <v>0</v>
      </c>
      <c r="R1415">
        <v>126473053134</v>
      </c>
      <c r="S1415">
        <v>165518780.40000001</v>
      </c>
      <c r="T1415">
        <v>125899860732.46001</v>
      </c>
      <c r="U1415">
        <v>126246890488.91</v>
      </c>
      <c r="V1415">
        <v>3.8002000000000001E-2</v>
      </c>
      <c r="W1415">
        <v>5.7390000000000002E-3</v>
      </c>
    </row>
    <row r="1416" spans="1:23" x14ac:dyDescent="0.35">
      <c r="A1416" t="s">
        <v>2</v>
      </c>
      <c r="B1416">
        <v>8250</v>
      </c>
      <c r="C1416">
        <v>42</v>
      </c>
      <c r="D1416">
        <v>1</v>
      </c>
      <c r="E1416">
        <v>0</v>
      </c>
      <c r="F1416">
        <v>24991176</v>
      </c>
      <c r="G1416">
        <v>21575.22</v>
      </c>
      <c r="H1416">
        <v>24969600.780000001</v>
      </c>
      <c r="I1416">
        <v>24969600.780000001</v>
      </c>
      <c r="J1416">
        <v>0</v>
      </c>
      <c r="K1416">
        <v>0</v>
      </c>
      <c r="M1416" t="s">
        <v>0</v>
      </c>
      <c r="N1416">
        <v>5000</v>
      </c>
      <c r="O1416">
        <v>24</v>
      </c>
      <c r="P1416">
        <v>8813</v>
      </c>
      <c r="Q1416">
        <v>0</v>
      </c>
      <c r="R1416">
        <v>293638976068</v>
      </c>
      <c r="S1416">
        <v>401410494.58999997</v>
      </c>
      <c r="T1416">
        <v>292609198938.31</v>
      </c>
      <c r="U1416">
        <v>292940905715.75</v>
      </c>
      <c r="V1416">
        <v>2.5378999999999999E-2</v>
      </c>
      <c r="W1416">
        <v>1.2056000000000001E-2</v>
      </c>
    </row>
    <row r="1417" spans="1:23" x14ac:dyDescent="0.35">
      <c r="A1417" t="s">
        <v>1</v>
      </c>
      <c r="B1417">
        <v>8500</v>
      </c>
      <c r="C1417">
        <v>30</v>
      </c>
      <c r="D1417">
        <v>33</v>
      </c>
      <c r="E1417">
        <v>0</v>
      </c>
      <c r="F1417">
        <v>664160354</v>
      </c>
      <c r="G1417">
        <v>504162.66</v>
      </c>
      <c r="H1417">
        <v>649986581.89999998</v>
      </c>
      <c r="I1417">
        <v>649986581.89999998</v>
      </c>
      <c r="J1417">
        <v>0.220855</v>
      </c>
      <c r="K1417">
        <v>0.220855</v>
      </c>
      <c r="M1417" t="s">
        <v>2</v>
      </c>
      <c r="N1417">
        <v>5000</v>
      </c>
      <c r="O1417">
        <v>24</v>
      </c>
      <c r="P1417">
        <v>179</v>
      </c>
      <c r="Q1417">
        <v>0</v>
      </c>
      <c r="R1417">
        <v>4888323025</v>
      </c>
      <c r="S1417">
        <v>6674081.6900000004</v>
      </c>
      <c r="T1417">
        <v>4881648943.3100004</v>
      </c>
      <c r="U1417">
        <v>4881648943.3100004</v>
      </c>
      <c r="V1417">
        <v>0</v>
      </c>
      <c r="W1417">
        <v>0</v>
      </c>
    </row>
    <row r="1418" spans="1:23" x14ac:dyDescent="0.35">
      <c r="A1418" t="s">
        <v>1</v>
      </c>
      <c r="B1418">
        <v>2500</v>
      </c>
      <c r="C1418">
        <v>36</v>
      </c>
      <c r="D1418">
        <v>8</v>
      </c>
      <c r="E1418">
        <v>0</v>
      </c>
      <c r="F1418">
        <v>345809377</v>
      </c>
      <c r="G1418">
        <v>755138.88</v>
      </c>
      <c r="H1418">
        <v>345054238.12</v>
      </c>
      <c r="I1418">
        <v>345054238.12</v>
      </c>
      <c r="J1418">
        <v>0</v>
      </c>
      <c r="K1418">
        <v>0</v>
      </c>
      <c r="M1418" t="s">
        <v>2</v>
      </c>
      <c r="N1418">
        <v>5250</v>
      </c>
      <c r="O1418">
        <v>24</v>
      </c>
      <c r="P1418">
        <v>101</v>
      </c>
      <c r="Q1418">
        <v>0</v>
      </c>
      <c r="R1418">
        <v>2399221240</v>
      </c>
      <c r="S1418">
        <v>3141145.63</v>
      </c>
      <c r="T1418">
        <v>2338451905.0300002</v>
      </c>
      <c r="U1418">
        <v>2396080094.3699999</v>
      </c>
      <c r="V1418">
        <v>0.25304700000000002</v>
      </c>
      <c r="W1418">
        <v>0</v>
      </c>
    </row>
    <row r="1419" spans="1:23" x14ac:dyDescent="0.35">
      <c r="A1419" t="s">
        <v>1</v>
      </c>
      <c r="B1419">
        <v>2250</v>
      </c>
      <c r="C1419">
        <v>36</v>
      </c>
      <c r="D1419">
        <v>29</v>
      </c>
      <c r="E1419">
        <v>0</v>
      </c>
      <c r="F1419">
        <v>1154824069</v>
      </c>
      <c r="G1419">
        <v>2685247.57</v>
      </c>
      <c r="H1419">
        <v>1152138821.4300001</v>
      </c>
      <c r="I1419">
        <v>1152138821.4300001</v>
      </c>
      <c r="J1419">
        <v>0</v>
      </c>
      <c r="K1419">
        <v>0</v>
      </c>
      <c r="M1419" t="s">
        <v>1</v>
      </c>
      <c r="N1419">
        <v>5000</v>
      </c>
      <c r="O1419">
        <v>24</v>
      </c>
      <c r="P1419">
        <v>3284</v>
      </c>
      <c r="Q1419">
        <v>0</v>
      </c>
      <c r="R1419">
        <v>118267939884</v>
      </c>
      <c r="S1419">
        <v>161695394.84</v>
      </c>
      <c r="T1419">
        <v>117529926104.36</v>
      </c>
      <c r="U1419">
        <v>117890682765.86</v>
      </c>
      <c r="V1419">
        <v>5.6933999999999998E-2</v>
      </c>
      <c r="W1419">
        <v>2.1654E-2</v>
      </c>
    </row>
    <row r="1420" spans="1:23" x14ac:dyDescent="0.35">
      <c r="A1420" t="s">
        <v>1</v>
      </c>
      <c r="B1420">
        <v>2750</v>
      </c>
      <c r="C1420">
        <v>36</v>
      </c>
      <c r="D1420">
        <v>36</v>
      </c>
      <c r="E1420">
        <v>0</v>
      </c>
      <c r="F1420">
        <v>1078443095</v>
      </c>
      <c r="G1420">
        <v>2364986.27</v>
      </c>
      <c r="H1420">
        <v>1076078108.73</v>
      </c>
      <c r="I1420">
        <v>1076078108.73</v>
      </c>
      <c r="J1420">
        <v>0</v>
      </c>
      <c r="K1420">
        <v>0</v>
      </c>
      <c r="M1420" t="s">
        <v>2</v>
      </c>
      <c r="N1420">
        <v>4750</v>
      </c>
      <c r="O1420">
        <v>20</v>
      </c>
      <c r="P1420">
        <v>20</v>
      </c>
      <c r="Q1420">
        <v>0</v>
      </c>
      <c r="R1420">
        <v>462540561</v>
      </c>
      <c r="S1420">
        <v>648430.14</v>
      </c>
      <c r="T1420">
        <v>461892130.86000001</v>
      </c>
      <c r="U1420">
        <v>461892130.86000001</v>
      </c>
      <c r="V1420">
        <v>0</v>
      </c>
      <c r="W1420">
        <v>0</v>
      </c>
    </row>
    <row r="1421" spans="1:23" x14ac:dyDescent="0.35">
      <c r="A1421" t="s">
        <v>3</v>
      </c>
      <c r="B1421">
        <v>6000</v>
      </c>
      <c r="C1421">
        <v>30</v>
      </c>
      <c r="D1421">
        <v>27</v>
      </c>
      <c r="E1421">
        <v>0</v>
      </c>
      <c r="F1421">
        <v>669868804</v>
      </c>
      <c r="G1421">
        <v>788714.57</v>
      </c>
      <c r="H1421">
        <v>669080089.42999995</v>
      </c>
      <c r="I1421">
        <v>669080089.42999995</v>
      </c>
      <c r="J1421">
        <v>0</v>
      </c>
      <c r="K1421">
        <v>0</v>
      </c>
      <c r="M1421" t="s">
        <v>0</v>
      </c>
      <c r="N1421">
        <v>4750</v>
      </c>
      <c r="O1421">
        <v>20</v>
      </c>
      <c r="P1421">
        <v>1201</v>
      </c>
      <c r="Q1421">
        <v>0</v>
      </c>
      <c r="R1421">
        <v>39041752689</v>
      </c>
      <c r="S1421">
        <v>54627437.670000002</v>
      </c>
      <c r="T1421">
        <v>38987125251.330002</v>
      </c>
      <c r="U1421">
        <v>38987125251.330002</v>
      </c>
      <c r="V1421">
        <v>0</v>
      </c>
      <c r="W1421">
        <v>0</v>
      </c>
    </row>
    <row r="1422" spans="1:23" x14ac:dyDescent="0.35">
      <c r="A1422" t="s">
        <v>3</v>
      </c>
      <c r="B1422">
        <v>5500</v>
      </c>
      <c r="C1422">
        <v>30</v>
      </c>
      <c r="D1422">
        <v>3</v>
      </c>
      <c r="E1422">
        <v>0</v>
      </c>
      <c r="F1422">
        <v>89540711</v>
      </c>
      <c r="G1422">
        <v>115721.78</v>
      </c>
      <c r="H1422">
        <v>89424989.219999999</v>
      </c>
      <c r="I1422">
        <v>89424989.219999999</v>
      </c>
      <c r="J1422">
        <v>0</v>
      </c>
      <c r="K1422">
        <v>0</v>
      </c>
      <c r="M1422" t="s">
        <v>0</v>
      </c>
      <c r="N1422">
        <v>4500</v>
      </c>
      <c r="O1422">
        <v>20</v>
      </c>
      <c r="P1422">
        <v>1267</v>
      </c>
      <c r="Q1422">
        <v>0</v>
      </c>
      <c r="R1422">
        <v>40022261971</v>
      </c>
      <c r="S1422">
        <v>58357052.700000003</v>
      </c>
      <c r="T1422">
        <v>39884864898.879997</v>
      </c>
      <c r="U1422">
        <v>39942300331.559998</v>
      </c>
      <c r="V1422">
        <v>2.3442999999999999E-2</v>
      </c>
      <c r="W1422">
        <v>6.4590000000000003E-3</v>
      </c>
    </row>
    <row r="1423" spans="1:23" x14ac:dyDescent="0.35">
      <c r="A1423" t="s">
        <v>0</v>
      </c>
      <c r="B1423">
        <v>8250</v>
      </c>
      <c r="C1423">
        <v>24</v>
      </c>
      <c r="D1423">
        <v>740</v>
      </c>
      <c r="E1423">
        <v>0</v>
      </c>
      <c r="F1423">
        <v>20454503576</v>
      </c>
      <c r="G1423">
        <v>15548470.109999999</v>
      </c>
      <c r="H1423">
        <v>19762048439.790001</v>
      </c>
      <c r="I1423">
        <v>20088923314.689999</v>
      </c>
      <c r="J1423">
        <v>0.33224799999999999</v>
      </c>
      <c r="K1423">
        <v>0.187086</v>
      </c>
      <c r="M1423" t="s">
        <v>3</v>
      </c>
      <c r="N1423">
        <v>7500</v>
      </c>
      <c r="O1423">
        <v>30</v>
      </c>
      <c r="P1423">
        <v>20</v>
      </c>
      <c r="Q1423">
        <v>0</v>
      </c>
      <c r="R1423">
        <v>418633107</v>
      </c>
      <c r="S1423">
        <v>383877.25</v>
      </c>
      <c r="T1423">
        <v>384362810.5</v>
      </c>
      <c r="U1423">
        <v>418249229.75</v>
      </c>
      <c r="V1423">
        <v>0.63684200000000002</v>
      </c>
      <c r="W1423">
        <v>0</v>
      </c>
    </row>
    <row r="1424" spans="1:23" x14ac:dyDescent="0.35">
      <c r="A1424" t="s">
        <v>0</v>
      </c>
      <c r="B1424">
        <v>3000</v>
      </c>
      <c r="C1424">
        <v>36</v>
      </c>
      <c r="D1424">
        <v>14</v>
      </c>
      <c r="E1424">
        <v>0</v>
      </c>
      <c r="F1424">
        <v>284874634</v>
      </c>
      <c r="G1424">
        <v>574842.17000000004</v>
      </c>
      <c r="H1424">
        <v>284299791.82999998</v>
      </c>
      <c r="I1424">
        <v>284299791.82999998</v>
      </c>
      <c r="J1424">
        <v>0</v>
      </c>
      <c r="K1424">
        <v>0</v>
      </c>
      <c r="M1424" t="s">
        <v>3</v>
      </c>
      <c r="N1424">
        <v>6000</v>
      </c>
      <c r="O1424">
        <v>30</v>
      </c>
      <c r="P1424">
        <v>23</v>
      </c>
      <c r="Q1424">
        <v>0</v>
      </c>
      <c r="R1424">
        <v>575967456</v>
      </c>
      <c r="S1424">
        <v>676183.14</v>
      </c>
      <c r="T1424">
        <v>575291272.86000001</v>
      </c>
      <c r="U1424">
        <v>575291272.86000001</v>
      </c>
      <c r="V1424">
        <v>0</v>
      </c>
      <c r="W1424">
        <v>0</v>
      </c>
    </row>
    <row r="1425" spans="1:23" x14ac:dyDescent="0.35">
      <c r="A1425" t="s">
        <v>3</v>
      </c>
      <c r="B1425">
        <v>7500</v>
      </c>
      <c r="C1425">
        <v>30</v>
      </c>
      <c r="D1425">
        <v>12</v>
      </c>
      <c r="E1425">
        <v>0</v>
      </c>
      <c r="F1425">
        <v>236969261</v>
      </c>
      <c r="G1425">
        <v>217516.41</v>
      </c>
      <c r="H1425">
        <v>236751744.59</v>
      </c>
      <c r="I1425">
        <v>236751744.59</v>
      </c>
      <c r="J1425">
        <v>0</v>
      </c>
      <c r="K1425">
        <v>0</v>
      </c>
      <c r="M1425" t="s">
        <v>2</v>
      </c>
      <c r="N1425">
        <v>8250</v>
      </c>
      <c r="O1425">
        <v>36</v>
      </c>
      <c r="P1425">
        <v>1</v>
      </c>
      <c r="Q1425">
        <v>0</v>
      </c>
      <c r="R1425">
        <v>25027940</v>
      </c>
      <c r="S1425">
        <v>21443.26</v>
      </c>
      <c r="T1425">
        <v>25006496.739999998</v>
      </c>
      <c r="U1425">
        <v>25006496.739999998</v>
      </c>
      <c r="V1425">
        <v>0</v>
      </c>
      <c r="W1425">
        <v>0</v>
      </c>
    </row>
    <row r="1426" spans="1:23" x14ac:dyDescent="0.35">
      <c r="A1426" t="s">
        <v>1</v>
      </c>
      <c r="B1426">
        <v>3000</v>
      </c>
      <c r="C1426">
        <v>36</v>
      </c>
      <c r="D1426">
        <v>39</v>
      </c>
      <c r="E1426">
        <v>0</v>
      </c>
      <c r="F1426">
        <v>1109914024</v>
      </c>
      <c r="G1426">
        <v>2397720.86</v>
      </c>
      <c r="H1426">
        <v>1090951185.8499999</v>
      </c>
      <c r="I1426">
        <v>1090951185.8499999</v>
      </c>
      <c r="J1426">
        <v>0.165102</v>
      </c>
      <c r="K1426">
        <v>0.165102</v>
      </c>
      <c r="M1426" t="s">
        <v>1</v>
      </c>
      <c r="N1426">
        <v>8500</v>
      </c>
      <c r="O1426">
        <v>30</v>
      </c>
      <c r="P1426">
        <v>36</v>
      </c>
      <c r="Q1426">
        <v>0</v>
      </c>
      <c r="R1426">
        <v>735335962</v>
      </c>
      <c r="S1426">
        <v>556228.32999999996</v>
      </c>
      <c r="T1426">
        <v>626845204.62</v>
      </c>
      <c r="U1426">
        <v>702521854.51999998</v>
      </c>
      <c r="V1426">
        <v>0.85116099999999995</v>
      </c>
      <c r="W1426">
        <v>0.416269</v>
      </c>
    </row>
    <row r="1427" spans="1:23" x14ac:dyDescent="0.35">
      <c r="A1427" t="s">
        <v>1</v>
      </c>
      <c r="B1427">
        <v>3250</v>
      </c>
      <c r="C1427">
        <v>36</v>
      </c>
      <c r="D1427">
        <v>73</v>
      </c>
      <c r="E1427">
        <v>0</v>
      </c>
      <c r="F1427">
        <v>1948783642</v>
      </c>
      <c r="G1427">
        <v>3964261.92</v>
      </c>
      <c r="H1427">
        <v>1906009273.3599999</v>
      </c>
      <c r="I1427">
        <v>1920270211.5</v>
      </c>
      <c r="J1427">
        <v>0.21446699999999999</v>
      </c>
      <c r="K1427">
        <v>0.14112</v>
      </c>
      <c r="M1427" t="s">
        <v>1</v>
      </c>
      <c r="N1427">
        <v>8250</v>
      </c>
      <c r="O1427">
        <v>36</v>
      </c>
      <c r="P1427">
        <v>7</v>
      </c>
      <c r="Q1427">
        <v>0</v>
      </c>
      <c r="R1427">
        <v>203651302</v>
      </c>
      <c r="S1427">
        <v>174110.5</v>
      </c>
      <c r="T1427">
        <v>203477191.5</v>
      </c>
      <c r="U1427">
        <v>203477191.5</v>
      </c>
      <c r="V1427">
        <v>0</v>
      </c>
      <c r="W1427">
        <v>0</v>
      </c>
    </row>
    <row r="1428" spans="1:23" x14ac:dyDescent="0.35">
      <c r="A1428" t="s">
        <v>1</v>
      </c>
      <c r="B1428">
        <v>3000</v>
      </c>
      <c r="C1428">
        <v>30</v>
      </c>
      <c r="D1428">
        <v>23</v>
      </c>
      <c r="E1428">
        <v>0</v>
      </c>
      <c r="F1428">
        <v>637753576</v>
      </c>
      <c r="G1428">
        <v>1360981.4</v>
      </c>
      <c r="H1428">
        <v>611487741.75</v>
      </c>
      <c r="I1428">
        <v>611487741.75</v>
      </c>
      <c r="J1428">
        <v>0.37998199999999999</v>
      </c>
      <c r="K1428">
        <v>0.37998199999999999</v>
      </c>
      <c r="M1428" t="s">
        <v>0</v>
      </c>
      <c r="N1428">
        <v>8500</v>
      </c>
      <c r="O1428">
        <v>36</v>
      </c>
      <c r="P1428">
        <v>10</v>
      </c>
      <c r="Q1428">
        <v>0</v>
      </c>
      <c r="R1428">
        <v>334563064</v>
      </c>
      <c r="S1428">
        <v>264264.42</v>
      </c>
      <c r="T1428">
        <v>235668731.38</v>
      </c>
      <c r="U1428">
        <v>285074110.48000002</v>
      </c>
      <c r="V1428">
        <v>0.98487400000000003</v>
      </c>
      <c r="W1428">
        <v>0.85188900000000001</v>
      </c>
    </row>
    <row r="1429" spans="1:23" x14ac:dyDescent="0.35">
      <c r="A1429" t="s">
        <v>2</v>
      </c>
      <c r="B1429">
        <v>8250</v>
      </c>
      <c r="C1429">
        <v>36</v>
      </c>
      <c r="D1429">
        <v>5</v>
      </c>
      <c r="E1429">
        <v>0</v>
      </c>
      <c r="F1429">
        <v>66099240</v>
      </c>
      <c r="G1429">
        <v>54776.86</v>
      </c>
      <c r="H1429">
        <v>58259215.380000003</v>
      </c>
      <c r="I1429">
        <v>66044463.140000001</v>
      </c>
      <c r="J1429">
        <v>0.77771199999999996</v>
      </c>
      <c r="K1429">
        <v>0</v>
      </c>
      <c r="M1429" t="s">
        <v>1</v>
      </c>
      <c r="N1429">
        <v>2500</v>
      </c>
      <c r="O1429">
        <v>36</v>
      </c>
      <c r="P1429">
        <v>9</v>
      </c>
      <c r="Q1429">
        <v>0</v>
      </c>
      <c r="R1429">
        <v>306287964</v>
      </c>
      <c r="S1429">
        <v>688354.26</v>
      </c>
      <c r="T1429">
        <v>305599609.74000001</v>
      </c>
      <c r="U1429">
        <v>305599609.74000001</v>
      </c>
      <c r="V1429">
        <v>0</v>
      </c>
      <c r="W1429">
        <v>0</v>
      </c>
    </row>
    <row r="1430" spans="1:23" x14ac:dyDescent="0.35">
      <c r="A1430" t="s">
        <v>2</v>
      </c>
      <c r="B1430">
        <v>9000</v>
      </c>
      <c r="C1430">
        <v>30</v>
      </c>
      <c r="D1430">
        <v>6</v>
      </c>
      <c r="E1430">
        <v>0</v>
      </c>
      <c r="F1430">
        <v>70928068</v>
      </c>
      <c r="G1430">
        <v>51171.49</v>
      </c>
      <c r="H1430">
        <v>70876896.510000005</v>
      </c>
      <c r="I1430">
        <v>70876896.510000005</v>
      </c>
      <c r="J1430">
        <v>0</v>
      </c>
      <c r="K1430">
        <v>0</v>
      </c>
      <c r="M1430" t="s">
        <v>1</v>
      </c>
      <c r="N1430">
        <v>2250</v>
      </c>
      <c r="O1430">
        <v>36</v>
      </c>
      <c r="P1430">
        <v>32</v>
      </c>
      <c r="Q1430">
        <v>0</v>
      </c>
      <c r="R1430">
        <v>1288535845</v>
      </c>
      <c r="S1430">
        <v>3010267.65</v>
      </c>
      <c r="T1430">
        <v>1285525577.3499999</v>
      </c>
      <c r="U1430">
        <v>1285525577.3499999</v>
      </c>
      <c r="V1430">
        <v>0</v>
      </c>
      <c r="W1430">
        <v>0</v>
      </c>
    </row>
    <row r="1431" spans="1:23" x14ac:dyDescent="0.35">
      <c r="A1431" t="s">
        <v>2</v>
      </c>
      <c r="B1431">
        <v>8500</v>
      </c>
      <c r="C1431">
        <v>30</v>
      </c>
      <c r="D1431">
        <v>3</v>
      </c>
      <c r="E1431">
        <v>0</v>
      </c>
      <c r="F1431">
        <v>44858913</v>
      </c>
      <c r="G1431">
        <v>34227.85</v>
      </c>
      <c r="H1431">
        <v>44824685.149999999</v>
      </c>
      <c r="I1431">
        <v>44824685.149999999</v>
      </c>
      <c r="J1431">
        <v>0</v>
      </c>
      <c r="K1431">
        <v>0</v>
      </c>
      <c r="M1431" t="s">
        <v>1</v>
      </c>
      <c r="N1431">
        <v>2750</v>
      </c>
      <c r="O1431">
        <v>36</v>
      </c>
      <c r="P1431">
        <v>41</v>
      </c>
      <c r="Q1431">
        <v>0</v>
      </c>
      <c r="R1431">
        <v>1233215607</v>
      </c>
      <c r="S1431">
        <v>2715062.27</v>
      </c>
      <c r="T1431">
        <v>1230500544.73</v>
      </c>
      <c r="U1431">
        <v>1230500544.73</v>
      </c>
      <c r="V1431">
        <v>0</v>
      </c>
      <c r="W1431">
        <v>0</v>
      </c>
    </row>
    <row r="1432" spans="1:23" x14ac:dyDescent="0.35">
      <c r="A1432" t="s">
        <v>3</v>
      </c>
      <c r="B1432">
        <v>7250</v>
      </c>
      <c r="C1432">
        <v>24</v>
      </c>
      <c r="D1432">
        <v>45</v>
      </c>
      <c r="E1432">
        <v>0</v>
      </c>
      <c r="F1432">
        <v>1204537137</v>
      </c>
      <c r="G1432">
        <v>1114291.75</v>
      </c>
      <c r="H1432">
        <v>1149359997.73</v>
      </c>
      <c r="I1432">
        <v>1203422845.25</v>
      </c>
      <c r="J1432">
        <v>0.42365700000000001</v>
      </c>
      <c r="K1432">
        <v>0</v>
      </c>
      <c r="M1432" t="s">
        <v>1</v>
      </c>
      <c r="N1432">
        <v>2500</v>
      </c>
      <c r="O1432">
        <v>30</v>
      </c>
      <c r="P1432">
        <v>8</v>
      </c>
      <c r="Q1432">
        <v>0</v>
      </c>
      <c r="R1432">
        <v>348774239</v>
      </c>
      <c r="S1432">
        <v>784136.36</v>
      </c>
      <c r="T1432">
        <v>347990102.63999999</v>
      </c>
      <c r="U1432">
        <v>347990102.63999999</v>
      </c>
      <c r="V1432">
        <v>0</v>
      </c>
      <c r="W1432">
        <v>0</v>
      </c>
    </row>
    <row r="1433" spans="1:23" x14ac:dyDescent="0.35">
      <c r="A1433" t="s">
        <v>3</v>
      </c>
      <c r="B1433">
        <v>7000</v>
      </c>
      <c r="C1433">
        <v>24</v>
      </c>
      <c r="D1433">
        <v>51</v>
      </c>
      <c r="E1433">
        <v>0</v>
      </c>
      <c r="F1433">
        <v>1226878857</v>
      </c>
      <c r="G1433">
        <v>1181451.3</v>
      </c>
      <c r="H1433">
        <v>1207316387.8299999</v>
      </c>
      <c r="I1433">
        <v>1225697405.7</v>
      </c>
      <c r="J1433">
        <v>0.165684</v>
      </c>
      <c r="K1433">
        <v>0</v>
      </c>
      <c r="M1433" t="s">
        <v>1</v>
      </c>
      <c r="N1433">
        <v>4250</v>
      </c>
      <c r="O1433">
        <v>36</v>
      </c>
      <c r="P1433">
        <v>392</v>
      </c>
      <c r="Q1433">
        <v>0</v>
      </c>
      <c r="R1433">
        <v>13015049617</v>
      </c>
      <c r="S1433">
        <v>21455999.260000002</v>
      </c>
      <c r="T1433">
        <v>12761317505</v>
      </c>
      <c r="U1433">
        <v>12876287890.59</v>
      </c>
      <c r="V1433">
        <v>0.19434100000000001</v>
      </c>
      <c r="W1433">
        <v>0.102953</v>
      </c>
    </row>
    <row r="1434" spans="1:23" x14ac:dyDescent="0.35">
      <c r="A1434" t="s">
        <v>3</v>
      </c>
      <c r="B1434">
        <v>8000</v>
      </c>
      <c r="C1434">
        <v>30</v>
      </c>
      <c r="D1434">
        <v>2</v>
      </c>
      <c r="E1434">
        <v>0</v>
      </c>
      <c r="F1434">
        <v>41833791</v>
      </c>
      <c r="G1434">
        <v>35464.699999999997</v>
      </c>
      <c r="H1434">
        <v>41798326.299999997</v>
      </c>
      <c r="I1434">
        <v>41798326.299999997</v>
      </c>
      <c r="J1434">
        <v>0</v>
      </c>
      <c r="K1434">
        <v>0</v>
      </c>
      <c r="M1434" t="s">
        <v>0</v>
      </c>
      <c r="N1434">
        <v>9000</v>
      </c>
      <c r="O1434">
        <v>36</v>
      </c>
      <c r="P1434">
        <v>7</v>
      </c>
      <c r="Q1434">
        <v>0</v>
      </c>
      <c r="R1434">
        <v>212463561</v>
      </c>
      <c r="S1434">
        <v>159716.06</v>
      </c>
      <c r="T1434">
        <v>180531087.34</v>
      </c>
      <c r="U1434">
        <v>180531087.34</v>
      </c>
      <c r="V1434">
        <v>0.85684099999999996</v>
      </c>
      <c r="W1434">
        <v>0.85684099999999996</v>
      </c>
    </row>
    <row r="1435" spans="1:23" x14ac:dyDescent="0.35">
      <c r="A1435" t="s">
        <v>0</v>
      </c>
      <c r="B1435">
        <v>4750</v>
      </c>
      <c r="C1435">
        <v>30</v>
      </c>
      <c r="D1435">
        <v>2788</v>
      </c>
      <c r="E1435">
        <v>0</v>
      </c>
      <c r="F1435">
        <v>88099822282</v>
      </c>
      <c r="G1435">
        <v>128240998.34999999</v>
      </c>
      <c r="H1435">
        <v>87766784801.929993</v>
      </c>
      <c r="I1435">
        <v>87920731956.220001</v>
      </c>
      <c r="J1435">
        <v>2.7541E-2</v>
      </c>
      <c r="K1435">
        <v>6.9040000000000004E-3</v>
      </c>
      <c r="M1435" t="s">
        <v>3</v>
      </c>
      <c r="N1435">
        <v>5500</v>
      </c>
      <c r="O1435">
        <v>24</v>
      </c>
      <c r="P1435">
        <v>2</v>
      </c>
      <c r="Q1435">
        <v>0</v>
      </c>
      <c r="R1435">
        <v>49663079</v>
      </c>
      <c r="S1435">
        <v>61590.01</v>
      </c>
      <c r="T1435">
        <v>49601488.990000002</v>
      </c>
      <c r="U1435">
        <v>49601488.990000002</v>
      </c>
      <c r="V1435">
        <v>0</v>
      </c>
      <c r="W1435">
        <v>0</v>
      </c>
    </row>
    <row r="1436" spans="1:23" x14ac:dyDescent="0.35">
      <c r="A1436" t="s">
        <v>2</v>
      </c>
      <c r="B1436">
        <v>4750</v>
      </c>
      <c r="C1436">
        <v>30</v>
      </c>
      <c r="D1436">
        <v>75</v>
      </c>
      <c r="E1436">
        <v>0</v>
      </c>
      <c r="F1436">
        <v>1883292518</v>
      </c>
      <c r="G1436">
        <v>2746002.28</v>
      </c>
      <c r="H1436">
        <v>1864815337.53</v>
      </c>
      <c r="I1436">
        <v>1864815337.53</v>
      </c>
      <c r="J1436">
        <v>9.5756999999999995E-2</v>
      </c>
      <c r="K1436">
        <v>9.5756999999999995E-2</v>
      </c>
      <c r="M1436" t="s">
        <v>3</v>
      </c>
      <c r="N1436">
        <v>6000</v>
      </c>
      <c r="O1436">
        <v>24</v>
      </c>
      <c r="P1436">
        <v>18</v>
      </c>
      <c r="Q1436">
        <v>0</v>
      </c>
      <c r="R1436">
        <v>428585274</v>
      </c>
      <c r="S1436">
        <v>495623.47</v>
      </c>
      <c r="T1436">
        <v>428089650.52999997</v>
      </c>
      <c r="U1436">
        <v>428089650.52999997</v>
      </c>
      <c r="V1436">
        <v>0</v>
      </c>
      <c r="W1436">
        <v>0</v>
      </c>
    </row>
    <row r="1437" spans="1:23" x14ac:dyDescent="0.35">
      <c r="A1437" t="s">
        <v>1</v>
      </c>
      <c r="B1437">
        <v>4750</v>
      </c>
      <c r="C1437">
        <v>30</v>
      </c>
      <c r="D1437">
        <v>1021</v>
      </c>
      <c r="E1437">
        <v>0</v>
      </c>
      <c r="F1437">
        <v>35492404465</v>
      </c>
      <c r="G1437">
        <v>51706568.079999998</v>
      </c>
      <c r="H1437">
        <v>35280597838.150002</v>
      </c>
      <c r="I1437">
        <v>35420719108.879997</v>
      </c>
      <c r="J1437">
        <v>5.2807E-2</v>
      </c>
      <c r="K1437">
        <v>6.7340000000000004E-3</v>
      </c>
      <c r="M1437" t="s">
        <v>0</v>
      </c>
      <c r="N1437">
        <v>8250</v>
      </c>
      <c r="O1437">
        <v>24</v>
      </c>
      <c r="P1437">
        <v>776</v>
      </c>
      <c r="Q1437">
        <v>0</v>
      </c>
      <c r="R1437">
        <v>21087708857</v>
      </c>
      <c r="S1437">
        <v>16048940.939999999</v>
      </c>
      <c r="T1437">
        <v>20553488623.509998</v>
      </c>
      <c r="U1437">
        <v>20925079429.529999</v>
      </c>
      <c r="V1437">
        <v>0.258106</v>
      </c>
      <c r="W1437">
        <v>8.0296000000000006E-2</v>
      </c>
    </row>
    <row r="1438" spans="1:23" x14ac:dyDescent="0.35">
      <c r="A1438" t="s">
        <v>2</v>
      </c>
      <c r="B1438">
        <v>6750</v>
      </c>
      <c r="C1438">
        <v>20</v>
      </c>
      <c r="D1438">
        <v>933</v>
      </c>
      <c r="E1438">
        <v>0</v>
      </c>
      <c r="F1438">
        <v>16266167932</v>
      </c>
      <c r="G1438">
        <v>16124348.43</v>
      </c>
      <c r="H1438">
        <v>16148088177.879999</v>
      </c>
      <c r="I1438">
        <v>16177792849.389999</v>
      </c>
      <c r="J1438">
        <v>7.2676000000000004E-2</v>
      </c>
      <c r="K1438">
        <v>5.2018000000000002E-2</v>
      </c>
      <c r="M1438" t="s">
        <v>0</v>
      </c>
      <c r="N1438">
        <v>3000</v>
      </c>
      <c r="O1438">
        <v>36</v>
      </c>
      <c r="P1438">
        <v>24</v>
      </c>
      <c r="Q1438">
        <v>0</v>
      </c>
      <c r="R1438">
        <v>570577445</v>
      </c>
      <c r="S1438">
        <v>1156504.29</v>
      </c>
      <c r="T1438">
        <v>550860723.27999997</v>
      </c>
      <c r="U1438">
        <v>569420940.71000004</v>
      </c>
      <c r="V1438">
        <v>0.32755600000000001</v>
      </c>
      <c r="W1438">
        <v>0</v>
      </c>
    </row>
    <row r="1439" spans="1:23" x14ac:dyDescent="0.35">
      <c r="A1439" t="s">
        <v>0</v>
      </c>
      <c r="B1439">
        <v>5000</v>
      </c>
      <c r="C1439">
        <v>14</v>
      </c>
      <c r="D1439">
        <v>4683</v>
      </c>
      <c r="E1439">
        <v>0</v>
      </c>
      <c r="F1439">
        <v>166609441176</v>
      </c>
      <c r="G1439">
        <v>216343193.56</v>
      </c>
      <c r="H1439">
        <v>166273540668.75</v>
      </c>
      <c r="I1439">
        <v>166393097982.44</v>
      </c>
      <c r="J1439">
        <v>8.5769999999999996E-3</v>
      </c>
      <c r="K1439">
        <v>0</v>
      </c>
      <c r="M1439" t="s">
        <v>3</v>
      </c>
      <c r="N1439">
        <v>7250</v>
      </c>
      <c r="O1439">
        <v>24</v>
      </c>
      <c r="P1439">
        <v>43</v>
      </c>
      <c r="Q1439">
        <v>0</v>
      </c>
      <c r="R1439">
        <v>1169313413</v>
      </c>
      <c r="S1439">
        <v>1079460.45</v>
      </c>
      <c r="T1439">
        <v>1168233952.55</v>
      </c>
      <c r="U1439">
        <v>1168233952.55</v>
      </c>
      <c r="V1439">
        <v>0</v>
      </c>
      <c r="W1439">
        <v>0</v>
      </c>
    </row>
    <row r="1440" spans="1:23" x14ac:dyDescent="0.35">
      <c r="A1440" t="s">
        <v>0</v>
      </c>
      <c r="B1440">
        <v>4750</v>
      </c>
      <c r="C1440">
        <v>18</v>
      </c>
      <c r="D1440">
        <v>2257</v>
      </c>
      <c r="E1440">
        <v>0</v>
      </c>
      <c r="F1440">
        <v>80282936399</v>
      </c>
      <c r="G1440">
        <v>111466733.48999999</v>
      </c>
      <c r="H1440">
        <v>79910313781.919998</v>
      </c>
      <c r="I1440">
        <v>80171469665.5</v>
      </c>
      <c r="J1440">
        <v>3.8344000000000003E-2</v>
      </c>
      <c r="K1440">
        <v>0</v>
      </c>
      <c r="M1440" t="s">
        <v>3</v>
      </c>
      <c r="N1440">
        <v>7000</v>
      </c>
      <c r="O1440">
        <v>24</v>
      </c>
      <c r="P1440">
        <v>49</v>
      </c>
      <c r="Q1440">
        <v>0</v>
      </c>
      <c r="R1440">
        <v>1195329612</v>
      </c>
      <c r="S1440">
        <v>1151985.56</v>
      </c>
      <c r="T1440">
        <v>1194177626.4400001</v>
      </c>
      <c r="U1440">
        <v>1194177626.4400001</v>
      </c>
      <c r="V1440">
        <v>0</v>
      </c>
      <c r="W1440">
        <v>0</v>
      </c>
    </row>
    <row r="1441" spans="1:23" x14ac:dyDescent="0.35">
      <c r="A1441" t="s">
        <v>1</v>
      </c>
      <c r="B1441">
        <v>7250</v>
      </c>
      <c r="C1441">
        <v>20</v>
      </c>
      <c r="D1441">
        <v>1147</v>
      </c>
      <c r="E1441">
        <v>0</v>
      </c>
      <c r="F1441">
        <v>28082449638</v>
      </c>
      <c r="G1441">
        <v>25503381.93</v>
      </c>
      <c r="H1441">
        <v>26746526856.490002</v>
      </c>
      <c r="I1441">
        <v>27768753822.27</v>
      </c>
      <c r="J1441">
        <v>0.43641999999999997</v>
      </c>
      <c r="K1441">
        <v>0.11643000000000001</v>
      </c>
      <c r="M1441" t="s">
        <v>3</v>
      </c>
      <c r="N1441">
        <v>5750</v>
      </c>
      <c r="O1441">
        <v>24</v>
      </c>
      <c r="P1441">
        <v>18</v>
      </c>
      <c r="Q1441">
        <v>0</v>
      </c>
      <c r="R1441">
        <v>505705677</v>
      </c>
      <c r="S1441">
        <v>609968.17000000004</v>
      </c>
      <c r="T1441">
        <v>505095708.82999998</v>
      </c>
      <c r="U1441">
        <v>505095708.82999998</v>
      </c>
      <c r="V1441">
        <v>0</v>
      </c>
      <c r="W1441">
        <v>0</v>
      </c>
    </row>
    <row r="1442" spans="1:23" x14ac:dyDescent="0.35">
      <c r="A1442" t="s">
        <v>0</v>
      </c>
      <c r="B1442">
        <v>4500</v>
      </c>
      <c r="C1442">
        <v>30</v>
      </c>
      <c r="D1442">
        <v>1739</v>
      </c>
      <c r="E1442">
        <v>0</v>
      </c>
      <c r="F1442">
        <v>52613509680</v>
      </c>
      <c r="G1442">
        <v>79639169.019999996</v>
      </c>
      <c r="H1442">
        <v>52403815408.410004</v>
      </c>
      <c r="I1442">
        <v>52533870510.980003</v>
      </c>
      <c r="J1442">
        <v>2.9263000000000001E-2</v>
      </c>
      <c r="K1442">
        <v>0</v>
      </c>
      <c r="M1442" t="s">
        <v>1</v>
      </c>
      <c r="N1442">
        <v>3000</v>
      </c>
      <c r="O1442">
        <v>36</v>
      </c>
      <c r="P1442">
        <v>45</v>
      </c>
      <c r="Q1442">
        <v>0</v>
      </c>
      <c r="R1442">
        <v>1340716923</v>
      </c>
      <c r="S1442">
        <v>2908920.05</v>
      </c>
      <c r="T1442">
        <v>1322419877.45</v>
      </c>
      <c r="U1442">
        <v>1322419877.45</v>
      </c>
      <c r="V1442">
        <v>0.12936</v>
      </c>
      <c r="W1442">
        <v>0.12936</v>
      </c>
    </row>
    <row r="1443" spans="1:23" x14ac:dyDescent="0.35">
      <c r="A1443" t="s">
        <v>1</v>
      </c>
      <c r="B1443">
        <v>4500</v>
      </c>
      <c r="C1443">
        <v>30</v>
      </c>
      <c r="D1443">
        <v>860</v>
      </c>
      <c r="E1443">
        <v>0</v>
      </c>
      <c r="F1443">
        <v>28685815449</v>
      </c>
      <c r="G1443">
        <v>43625942.100000001</v>
      </c>
      <c r="H1443">
        <v>28495243098.07</v>
      </c>
      <c r="I1443">
        <v>28592963174.82</v>
      </c>
      <c r="J1443">
        <v>5.9769000000000003E-2</v>
      </c>
      <c r="K1443">
        <v>2.0399E-2</v>
      </c>
      <c r="M1443" t="s">
        <v>1</v>
      </c>
      <c r="N1443">
        <v>3000</v>
      </c>
      <c r="O1443">
        <v>30</v>
      </c>
      <c r="P1443">
        <v>25</v>
      </c>
      <c r="Q1443">
        <v>0</v>
      </c>
      <c r="R1443">
        <v>723387061</v>
      </c>
      <c r="S1443">
        <v>1526080.31</v>
      </c>
      <c r="T1443">
        <v>721860980.69000006</v>
      </c>
      <c r="U1443">
        <v>721860980.69000006</v>
      </c>
      <c r="V1443">
        <v>0</v>
      </c>
      <c r="W1443">
        <v>0</v>
      </c>
    </row>
    <row r="1444" spans="1:23" x14ac:dyDescent="0.35">
      <c r="A1444" t="s">
        <v>1</v>
      </c>
      <c r="B1444">
        <v>8250</v>
      </c>
      <c r="C1444">
        <v>24</v>
      </c>
      <c r="D1444">
        <v>105</v>
      </c>
      <c r="E1444">
        <v>0</v>
      </c>
      <c r="F1444">
        <v>2651824852</v>
      </c>
      <c r="G1444">
        <v>2015167.97</v>
      </c>
      <c r="H1444">
        <v>2431494148.3800001</v>
      </c>
      <c r="I1444">
        <v>2530187714.9899998</v>
      </c>
      <c r="J1444">
        <v>0.64333700000000005</v>
      </c>
      <c r="K1444">
        <v>0.42529600000000001</v>
      </c>
      <c r="M1444" t="s">
        <v>2</v>
      </c>
      <c r="N1444">
        <v>7250</v>
      </c>
      <c r="O1444">
        <v>20</v>
      </c>
      <c r="P1444">
        <v>609</v>
      </c>
      <c r="Q1444">
        <v>0</v>
      </c>
      <c r="R1444">
        <v>9347434484</v>
      </c>
      <c r="S1444">
        <v>8451434.6899999995</v>
      </c>
      <c r="T1444">
        <v>9202385350.5100002</v>
      </c>
      <c r="U1444">
        <v>9323482647.0699997</v>
      </c>
      <c r="V1444">
        <v>0.16193099999999999</v>
      </c>
      <c r="W1444">
        <v>1.9719E-2</v>
      </c>
    </row>
    <row r="1445" spans="1:23" x14ac:dyDescent="0.35">
      <c r="A1445" t="s">
        <v>3</v>
      </c>
      <c r="B1445">
        <v>7000</v>
      </c>
      <c r="C1445">
        <v>20</v>
      </c>
      <c r="D1445">
        <v>10</v>
      </c>
      <c r="E1445">
        <v>0</v>
      </c>
      <c r="F1445">
        <v>215190474</v>
      </c>
      <c r="G1445">
        <v>203582.98</v>
      </c>
      <c r="H1445">
        <v>214986891.02000001</v>
      </c>
      <c r="I1445">
        <v>214986891.02000001</v>
      </c>
      <c r="J1445">
        <v>0</v>
      </c>
      <c r="K1445">
        <v>0</v>
      </c>
      <c r="M1445" t="s">
        <v>2</v>
      </c>
      <c r="N1445">
        <v>9000</v>
      </c>
      <c r="O1445">
        <v>30</v>
      </c>
      <c r="P1445">
        <v>7</v>
      </c>
      <c r="Q1445">
        <v>0</v>
      </c>
      <c r="R1445">
        <v>97344572</v>
      </c>
      <c r="S1445">
        <v>70025.789999999994</v>
      </c>
      <c r="T1445">
        <v>70914459.989999995</v>
      </c>
      <c r="U1445">
        <v>70914459.989999995</v>
      </c>
      <c r="V1445">
        <v>0.97739399999999999</v>
      </c>
      <c r="W1445">
        <v>0.97739399999999999</v>
      </c>
    </row>
    <row r="1446" spans="1:23" x14ac:dyDescent="0.35">
      <c r="A1446" t="s">
        <v>2</v>
      </c>
      <c r="B1446">
        <v>7250</v>
      </c>
      <c r="C1446">
        <v>20</v>
      </c>
      <c r="D1446">
        <v>386</v>
      </c>
      <c r="E1446">
        <v>0</v>
      </c>
      <c r="F1446">
        <v>5839859861</v>
      </c>
      <c r="G1446">
        <v>5277922.6100000003</v>
      </c>
      <c r="H1446">
        <v>5772950891.1400003</v>
      </c>
      <c r="I1446">
        <v>5791121052.4399996</v>
      </c>
      <c r="J1446">
        <v>0.119544</v>
      </c>
      <c r="K1446">
        <v>8.5738999999999996E-2</v>
      </c>
      <c r="M1446" t="s">
        <v>2</v>
      </c>
      <c r="N1446">
        <v>8500</v>
      </c>
      <c r="O1446">
        <v>30</v>
      </c>
      <c r="P1446">
        <v>3</v>
      </c>
      <c r="Q1446">
        <v>0</v>
      </c>
      <c r="R1446">
        <v>44918518</v>
      </c>
      <c r="S1446">
        <v>34008.699999999997</v>
      </c>
      <c r="T1446">
        <v>44884509.299999997</v>
      </c>
      <c r="U1446">
        <v>44884509.299999997</v>
      </c>
      <c r="V1446">
        <v>0</v>
      </c>
      <c r="W1446">
        <v>0</v>
      </c>
    </row>
    <row r="1447" spans="1:23" x14ac:dyDescent="0.35">
      <c r="A1447" t="s">
        <v>2</v>
      </c>
      <c r="B1447">
        <v>8000</v>
      </c>
      <c r="C1447">
        <v>24</v>
      </c>
      <c r="D1447">
        <v>7</v>
      </c>
      <c r="E1447">
        <v>0</v>
      </c>
      <c r="F1447">
        <v>133248924</v>
      </c>
      <c r="G1447">
        <v>105499.45</v>
      </c>
      <c r="H1447">
        <v>133143424.55</v>
      </c>
      <c r="I1447">
        <v>133143424.55</v>
      </c>
      <c r="J1447">
        <v>0</v>
      </c>
      <c r="K1447">
        <v>0</v>
      </c>
      <c r="M1447" t="s">
        <v>0</v>
      </c>
      <c r="N1447">
        <v>8500</v>
      </c>
      <c r="O1447">
        <v>24</v>
      </c>
      <c r="P1447">
        <v>28</v>
      </c>
      <c r="Q1447">
        <v>0</v>
      </c>
      <c r="R1447">
        <v>642539236</v>
      </c>
      <c r="S1447">
        <v>471421.47</v>
      </c>
      <c r="T1447">
        <v>642067814.52999997</v>
      </c>
      <c r="U1447">
        <v>642067814.52999997</v>
      </c>
      <c r="V1447">
        <v>0</v>
      </c>
      <c r="W1447">
        <v>0</v>
      </c>
    </row>
    <row r="1448" spans="1:23" x14ac:dyDescent="0.35">
      <c r="A1448" t="s">
        <v>2</v>
      </c>
      <c r="B1448">
        <v>8250</v>
      </c>
      <c r="C1448">
        <v>24</v>
      </c>
      <c r="D1448">
        <v>5</v>
      </c>
      <c r="E1448">
        <v>0</v>
      </c>
      <c r="F1448">
        <v>66399283</v>
      </c>
      <c r="G1448">
        <v>50338.79</v>
      </c>
      <c r="H1448">
        <v>66348944.210000001</v>
      </c>
      <c r="I1448">
        <v>66348944.210000001</v>
      </c>
      <c r="J1448">
        <v>0</v>
      </c>
      <c r="K1448">
        <v>0</v>
      </c>
      <c r="M1448" t="s">
        <v>1</v>
      </c>
      <c r="N1448">
        <v>8250</v>
      </c>
      <c r="O1448">
        <v>24</v>
      </c>
      <c r="P1448">
        <v>96</v>
      </c>
      <c r="Q1448">
        <v>0</v>
      </c>
      <c r="R1448">
        <v>2430743441</v>
      </c>
      <c r="S1448">
        <v>1853158.17</v>
      </c>
      <c r="T1448">
        <v>2298738205.5</v>
      </c>
      <c r="U1448">
        <v>2298738205.5</v>
      </c>
      <c r="V1448">
        <v>0.48334100000000002</v>
      </c>
      <c r="W1448">
        <v>0.48334100000000002</v>
      </c>
    </row>
    <row r="1449" spans="1:23" x14ac:dyDescent="0.35">
      <c r="A1449" t="s">
        <v>2</v>
      </c>
      <c r="B1449">
        <v>7500</v>
      </c>
      <c r="C1449">
        <v>20</v>
      </c>
      <c r="D1449">
        <v>141</v>
      </c>
      <c r="E1449">
        <v>0</v>
      </c>
      <c r="F1449">
        <v>2124672209</v>
      </c>
      <c r="G1449">
        <v>1826104.08</v>
      </c>
      <c r="H1449">
        <v>2030828388.1099999</v>
      </c>
      <c r="I1449">
        <v>2044933802.48</v>
      </c>
      <c r="J1449">
        <v>0.412159</v>
      </c>
      <c r="K1449">
        <v>0.36129600000000001</v>
      </c>
      <c r="M1449" t="s">
        <v>0</v>
      </c>
      <c r="N1449">
        <v>8250</v>
      </c>
      <c r="O1449">
        <v>20</v>
      </c>
      <c r="P1449">
        <v>297</v>
      </c>
      <c r="Q1449">
        <v>0</v>
      </c>
      <c r="R1449">
        <v>8690073025</v>
      </c>
      <c r="S1449">
        <v>6442982.79</v>
      </c>
      <c r="T1449">
        <v>8464800042.71</v>
      </c>
      <c r="U1449">
        <v>8633501939.4799995</v>
      </c>
      <c r="V1449">
        <v>0.26365</v>
      </c>
      <c r="W1449">
        <v>6.7067000000000002E-2</v>
      </c>
    </row>
    <row r="1450" spans="1:23" x14ac:dyDescent="0.35">
      <c r="A1450" t="s">
        <v>1</v>
      </c>
      <c r="B1450">
        <v>7750</v>
      </c>
      <c r="C1450">
        <v>20</v>
      </c>
      <c r="D1450">
        <v>182</v>
      </c>
      <c r="E1450">
        <v>0</v>
      </c>
      <c r="F1450">
        <v>4308760230</v>
      </c>
      <c r="G1450">
        <v>3541229.12</v>
      </c>
      <c r="H1450">
        <v>4023210173.0799999</v>
      </c>
      <c r="I1450">
        <v>4258891150.48</v>
      </c>
      <c r="J1450">
        <v>0.55615599999999998</v>
      </c>
      <c r="K1450">
        <v>0.12166100000000001</v>
      </c>
      <c r="M1450" t="s">
        <v>3</v>
      </c>
      <c r="N1450">
        <v>8000</v>
      </c>
      <c r="O1450">
        <v>30</v>
      </c>
      <c r="P1450">
        <v>2</v>
      </c>
      <c r="Q1450">
        <v>0</v>
      </c>
      <c r="R1450">
        <v>41858855</v>
      </c>
      <c r="S1450">
        <v>35224.99</v>
      </c>
      <c r="T1450">
        <v>41823630.009999998</v>
      </c>
      <c r="U1450">
        <v>41823630.009999998</v>
      </c>
      <c r="V1450">
        <v>0</v>
      </c>
      <c r="W1450">
        <v>0</v>
      </c>
    </row>
    <row r="1451" spans="1:23" x14ac:dyDescent="0.35">
      <c r="A1451" t="s">
        <v>1</v>
      </c>
      <c r="B1451">
        <v>5000</v>
      </c>
      <c r="C1451">
        <v>24</v>
      </c>
      <c r="D1451">
        <v>2712</v>
      </c>
      <c r="E1451">
        <v>0</v>
      </c>
      <c r="F1451">
        <v>96785725649</v>
      </c>
      <c r="G1451">
        <v>132141104.44</v>
      </c>
      <c r="H1451">
        <v>96210748685.119995</v>
      </c>
      <c r="I1451">
        <v>96590657710.320007</v>
      </c>
      <c r="J1451">
        <v>5.3544000000000001E-2</v>
      </c>
      <c r="K1451">
        <v>7.7739999999999997E-3</v>
      </c>
      <c r="M1451" t="s">
        <v>2</v>
      </c>
      <c r="N1451">
        <v>8250</v>
      </c>
      <c r="O1451">
        <v>24</v>
      </c>
      <c r="P1451">
        <v>7</v>
      </c>
      <c r="Q1451">
        <v>0</v>
      </c>
      <c r="R1451">
        <v>98037837</v>
      </c>
      <c r="S1451">
        <v>74497.119999999995</v>
      </c>
      <c r="T1451">
        <v>97963339.879999995</v>
      </c>
      <c r="U1451">
        <v>97963339.879999995</v>
      </c>
      <c r="V1451">
        <v>0</v>
      </c>
      <c r="W1451">
        <v>0</v>
      </c>
    </row>
    <row r="1452" spans="1:23" x14ac:dyDescent="0.35">
      <c r="A1452" t="s">
        <v>0</v>
      </c>
      <c r="B1452">
        <v>9000</v>
      </c>
      <c r="C1452">
        <v>24</v>
      </c>
      <c r="D1452">
        <v>75</v>
      </c>
      <c r="E1452">
        <v>0</v>
      </c>
      <c r="F1452">
        <v>1912176659</v>
      </c>
      <c r="G1452">
        <v>1320951.23</v>
      </c>
      <c r="H1452">
        <v>1867498952</v>
      </c>
      <c r="I1452">
        <v>1867498952</v>
      </c>
      <c r="J1452">
        <v>0.240595</v>
      </c>
      <c r="K1452">
        <v>0.240595</v>
      </c>
      <c r="M1452" t="s">
        <v>0</v>
      </c>
      <c r="N1452">
        <v>4750</v>
      </c>
      <c r="O1452">
        <v>30</v>
      </c>
      <c r="P1452">
        <v>2114</v>
      </c>
      <c r="Q1452">
        <v>0</v>
      </c>
      <c r="R1452">
        <v>66081233300</v>
      </c>
      <c r="S1452">
        <v>96183852.319999993</v>
      </c>
      <c r="T1452">
        <v>65912274085.82</v>
      </c>
      <c r="U1452">
        <v>65954685736.089996</v>
      </c>
      <c r="V1452">
        <v>1.3136E-2</v>
      </c>
      <c r="W1452">
        <v>5.4999999999999997E-3</v>
      </c>
    </row>
    <row r="1453" spans="1:23" x14ac:dyDescent="0.35">
      <c r="A1453" t="s">
        <v>3</v>
      </c>
      <c r="B1453">
        <v>6000</v>
      </c>
      <c r="C1453">
        <v>24</v>
      </c>
      <c r="D1453">
        <v>13</v>
      </c>
      <c r="E1453">
        <v>0</v>
      </c>
      <c r="F1453">
        <v>316335485</v>
      </c>
      <c r="G1453">
        <v>366174.96</v>
      </c>
      <c r="H1453">
        <v>315969310.04000002</v>
      </c>
      <c r="I1453">
        <v>315969310.04000002</v>
      </c>
      <c r="J1453">
        <v>0</v>
      </c>
      <c r="K1453">
        <v>0</v>
      </c>
      <c r="M1453" t="s">
        <v>2</v>
      </c>
      <c r="N1453">
        <v>4750</v>
      </c>
      <c r="O1453">
        <v>30</v>
      </c>
      <c r="P1453">
        <v>47</v>
      </c>
      <c r="Q1453">
        <v>0</v>
      </c>
      <c r="R1453">
        <v>1134542652</v>
      </c>
      <c r="S1453">
        <v>1658983.66</v>
      </c>
      <c r="T1453">
        <v>1132883668.3399999</v>
      </c>
      <c r="U1453">
        <v>1132883668.3399999</v>
      </c>
      <c r="V1453">
        <v>0</v>
      </c>
      <c r="W1453">
        <v>0</v>
      </c>
    </row>
    <row r="1454" spans="1:23" x14ac:dyDescent="0.35">
      <c r="A1454" t="s">
        <v>3</v>
      </c>
      <c r="B1454">
        <v>5750</v>
      </c>
      <c r="C1454">
        <v>24</v>
      </c>
      <c r="D1454">
        <v>10</v>
      </c>
      <c r="E1454">
        <v>0</v>
      </c>
      <c r="F1454">
        <v>244513969</v>
      </c>
      <c r="G1454">
        <v>294262.44</v>
      </c>
      <c r="H1454">
        <v>244219706.56</v>
      </c>
      <c r="I1454">
        <v>244219706.56</v>
      </c>
      <c r="J1454">
        <v>0</v>
      </c>
      <c r="K1454">
        <v>0</v>
      </c>
      <c r="M1454" t="s">
        <v>1</v>
      </c>
      <c r="N1454">
        <v>4750</v>
      </c>
      <c r="O1454">
        <v>30</v>
      </c>
      <c r="P1454">
        <v>799</v>
      </c>
      <c r="Q1454">
        <v>0</v>
      </c>
      <c r="R1454">
        <v>27129113558</v>
      </c>
      <c r="S1454">
        <v>39521131.399999999</v>
      </c>
      <c r="T1454">
        <v>26876047563.34</v>
      </c>
      <c r="U1454">
        <v>26999250410.099998</v>
      </c>
      <c r="V1454">
        <v>9.0472999999999998E-2</v>
      </c>
      <c r="W1454">
        <v>3.9237000000000001E-2</v>
      </c>
    </row>
    <row r="1455" spans="1:23" x14ac:dyDescent="0.35">
      <c r="A1455" t="s">
        <v>3</v>
      </c>
      <c r="B1455">
        <v>7750</v>
      </c>
      <c r="C1455">
        <v>24</v>
      </c>
      <c r="D1455">
        <v>8</v>
      </c>
      <c r="E1455">
        <v>0</v>
      </c>
      <c r="F1455">
        <v>172849915</v>
      </c>
      <c r="G1455">
        <v>145833.13</v>
      </c>
      <c r="H1455">
        <v>172704081.87</v>
      </c>
      <c r="I1455">
        <v>172704081.87</v>
      </c>
      <c r="J1455">
        <v>0</v>
      </c>
      <c r="K1455">
        <v>0</v>
      </c>
      <c r="M1455" t="s">
        <v>0</v>
      </c>
      <c r="N1455">
        <v>4750</v>
      </c>
      <c r="O1455">
        <v>24</v>
      </c>
      <c r="P1455">
        <v>2106</v>
      </c>
      <c r="Q1455">
        <v>0</v>
      </c>
      <c r="R1455">
        <v>67030512352</v>
      </c>
      <c r="S1455">
        <v>95522401.420000002</v>
      </c>
      <c r="T1455">
        <v>66807804246.410004</v>
      </c>
      <c r="U1455">
        <v>66835698599.599998</v>
      </c>
      <c r="V1455">
        <v>2.2533000000000001E-2</v>
      </c>
      <c r="W1455">
        <v>1.7631000000000001E-2</v>
      </c>
    </row>
    <row r="1456" spans="1:23" x14ac:dyDescent="0.35">
      <c r="A1456" t="s">
        <v>3</v>
      </c>
      <c r="B1456">
        <v>7500</v>
      </c>
      <c r="C1456">
        <v>24</v>
      </c>
      <c r="D1456">
        <v>7</v>
      </c>
      <c r="E1456">
        <v>0</v>
      </c>
      <c r="F1456">
        <v>140615797</v>
      </c>
      <c r="G1456">
        <v>123863.13</v>
      </c>
      <c r="H1456">
        <v>140491933.87</v>
      </c>
      <c r="I1456">
        <v>140491933.87</v>
      </c>
      <c r="J1456">
        <v>0</v>
      </c>
      <c r="K1456">
        <v>0</v>
      </c>
      <c r="M1456" t="s">
        <v>2</v>
      </c>
      <c r="N1456">
        <v>5250</v>
      </c>
      <c r="O1456">
        <v>20</v>
      </c>
      <c r="P1456">
        <v>62</v>
      </c>
      <c r="Q1456">
        <v>0</v>
      </c>
      <c r="R1456">
        <v>1460976059</v>
      </c>
      <c r="S1456">
        <v>1878072.4</v>
      </c>
      <c r="T1456">
        <v>1459097986.5999999</v>
      </c>
      <c r="U1456">
        <v>1459097986.5999999</v>
      </c>
      <c r="V1456">
        <v>0</v>
      </c>
      <c r="W1456">
        <v>0</v>
      </c>
    </row>
    <row r="1457" spans="1:23" x14ac:dyDescent="0.35">
      <c r="A1457" t="s">
        <v>3</v>
      </c>
      <c r="B1457">
        <v>6750</v>
      </c>
      <c r="C1457">
        <v>20</v>
      </c>
      <c r="D1457">
        <v>49</v>
      </c>
      <c r="E1457">
        <v>0</v>
      </c>
      <c r="F1457">
        <v>1549871849</v>
      </c>
      <c r="G1457">
        <v>1536638.38</v>
      </c>
      <c r="H1457">
        <v>1548335210.6199999</v>
      </c>
      <c r="I1457">
        <v>1548335210.6199999</v>
      </c>
      <c r="J1457">
        <v>0</v>
      </c>
      <c r="K1457">
        <v>0</v>
      </c>
      <c r="M1457" t="s">
        <v>1</v>
      </c>
      <c r="N1457">
        <v>7250</v>
      </c>
      <c r="O1457">
        <v>20</v>
      </c>
      <c r="P1457">
        <v>2102</v>
      </c>
      <c r="Q1457">
        <v>0</v>
      </c>
      <c r="R1457">
        <v>54312906884</v>
      </c>
      <c r="S1457">
        <v>49215465.899999999</v>
      </c>
      <c r="T1457">
        <v>52330847932.239998</v>
      </c>
      <c r="U1457">
        <v>53943346828.370003</v>
      </c>
      <c r="V1457">
        <v>0.35262500000000002</v>
      </c>
      <c r="W1457">
        <v>6.8526000000000004E-2</v>
      </c>
    </row>
    <row r="1458" spans="1:23" x14ac:dyDescent="0.35">
      <c r="A1458" t="s">
        <v>1</v>
      </c>
      <c r="B1458">
        <v>7500</v>
      </c>
      <c r="C1458">
        <v>20</v>
      </c>
      <c r="D1458">
        <v>194</v>
      </c>
      <c r="E1458">
        <v>0</v>
      </c>
      <c r="F1458">
        <v>4545382072</v>
      </c>
      <c r="G1458">
        <v>3920386.76</v>
      </c>
      <c r="H1458">
        <v>4238547229.1999998</v>
      </c>
      <c r="I1458">
        <v>4390790259.0200005</v>
      </c>
      <c r="J1458">
        <v>0.56290300000000004</v>
      </c>
      <c r="K1458">
        <v>0.332704</v>
      </c>
      <c r="M1458" t="s">
        <v>2</v>
      </c>
      <c r="N1458">
        <v>7750</v>
      </c>
      <c r="O1458">
        <v>20</v>
      </c>
      <c r="P1458">
        <v>173</v>
      </c>
      <c r="Q1458">
        <v>0</v>
      </c>
      <c r="R1458">
        <v>2139278912</v>
      </c>
      <c r="S1458">
        <v>1771551.27</v>
      </c>
      <c r="T1458">
        <v>2113576432.7</v>
      </c>
      <c r="U1458">
        <v>2121318054.0699999</v>
      </c>
      <c r="V1458">
        <v>0.126279</v>
      </c>
      <c r="W1458">
        <v>8.7125999999999995E-2</v>
      </c>
    </row>
    <row r="1459" spans="1:23" x14ac:dyDescent="0.35">
      <c r="A1459" t="s">
        <v>2</v>
      </c>
      <c r="B1459">
        <v>3250</v>
      </c>
      <c r="C1459">
        <v>30</v>
      </c>
      <c r="D1459">
        <v>25</v>
      </c>
      <c r="E1459">
        <v>0</v>
      </c>
      <c r="F1459">
        <v>441760108</v>
      </c>
      <c r="G1459">
        <v>869345.76</v>
      </c>
      <c r="H1459">
        <v>440890762.24000001</v>
      </c>
      <c r="I1459">
        <v>440890762.24000001</v>
      </c>
      <c r="J1459">
        <v>0</v>
      </c>
      <c r="K1459">
        <v>0</v>
      </c>
      <c r="M1459" t="s">
        <v>1</v>
      </c>
      <c r="N1459">
        <v>7500</v>
      </c>
      <c r="O1459">
        <v>20</v>
      </c>
      <c r="P1459">
        <v>239</v>
      </c>
      <c r="Q1459">
        <v>0</v>
      </c>
      <c r="R1459">
        <v>6046348225</v>
      </c>
      <c r="S1459">
        <v>5225701.96</v>
      </c>
      <c r="T1459">
        <v>5388572711.1499996</v>
      </c>
      <c r="U1459">
        <v>5863133870.4300003</v>
      </c>
      <c r="V1459">
        <v>0.74600900000000003</v>
      </c>
      <c r="W1459">
        <v>0.301313</v>
      </c>
    </row>
    <row r="1460" spans="1:23" x14ac:dyDescent="0.35">
      <c r="A1460" t="s">
        <v>2</v>
      </c>
      <c r="B1460">
        <v>5000</v>
      </c>
      <c r="C1460">
        <v>24</v>
      </c>
      <c r="D1460">
        <v>152</v>
      </c>
      <c r="E1460">
        <v>0</v>
      </c>
      <c r="F1460">
        <v>4085317269</v>
      </c>
      <c r="G1460">
        <v>5571999.3499999996</v>
      </c>
      <c r="H1460">
        <v>4079745269.6500001</v>
      </c>
      <c r="I1460">
        <v>4079745269.6500001</v>
      </c>
      <c r="J1460">
        <v>0</v>
      </c>
      <c r="K1460">
        <v>0</v>
      </c>
      <c r="M1460" t="s">
        <v>0</v>
      </c>
      <c r="N1460">
        <v>5000</v>
      </c>
      <c r="O1460">
        <v>12</v>
      </c>
      <c r="P1460">
        <v>5292</v>
      </c>
      <c r="Q1460">
        <v>0</v>
      </c>
      <c r="R1460">
        <v>188404568814</v>
      </c>
      <c r="S1460">
        <v>242255004.5</v>
      </c>
      <c r="T1460">
        <v>187959954990.69</v>
      </c>
      <c r="U1460">
        <v>188089909162.22</v>
      </c>
      <c r="V1460">
        <v>1.2813E-2</v>
      </c>
      <c r="W1460">
        <v>4.6020000000000002E-3</v>
      </c>
    </row>
    <row r="1461" spans="1:23" x14ac:dyDescent="0.35">
      <c r="A1461" t="s">
        <v>0</v>
      </c>
      <c r="B1461">
        <v>8500</v>
      </c>
      <c r="C1461">
        <v>24</v>
      </c>
      <c r="D1461">
        <v>17</v>
      </c>
      <c r="E1461">
        <v>0</v>
      </c>
      <c r="F1461">
        <v>464468753</v>
      </c>
      <c r="G1461">
        <v>337034.81</v>
      </c>
      <c r="H1461">
        <v>429995820.10000002</v>
      </c>
      <c r="I1461">
        <v>429995820.10000002</v>
      </c>
      <c r="J1461">
        <v>0.59989300000000001</v>
      </c>
      <c r="K1461">
        <v>0.59989300000000001</v>
      </c>
      <c r="M1461" t="s">
        <v>0</v>
      </c>
      <c r="N1461">
        <v>5000</v>
      </c>
      <c r="O1461">
        <v>14</v>
      </c>
      <c r="P1461">
        <v>3484</v>
      </c>
      <c r="Q1461">
        <v>0</v>
      </c>
      <c r="R1461">
        <v>124295341472</v>
      </c>
      <c r="S1461">
        <v>161613605.59999999</v>
      </c>
      <c r="T1461">
        <v>123859286527.34</v>
      </c>
      <c r="U1461">
        <v>124068593411.14</v>
      </c>
      <c r="V1461">
        <v>2.6176000000000001E-2</v>
      </c>
      <c r="W1461">
        <v>6.2700000000000004E-3</v>
      </c>
    </row>
    <row r="1462" spans="1:23" x14ac:dyDescent="0.35">
      <c r="A1462" t="s">
        <v>1</v>
      </c>
      <c r="B1462">
        <v>7250</v>
      </c>
      <c r="C1462">
        <v>18</v>
      </c>
      <c r="D1462">
        <v>559</v>
      </c>
      <c r="E1462">
        <v>0</v>
      </c>
      <c r="F1462">
        <v>14248802923</v>
      </c>
      <c r="G1462">
        <v>12696371.83</v>
      </c>
      <c r="H1462">
        <v>13509499033.280001</v>
      </c>
      <c r="I1462">
        <v>13857111149.360001</v>
      </c>
      <c r="J1462">
        <v>0.46638800000000002</v>
      </c>
      <c r="K1462">
        <v>0.27639000000000002</v>
      </c>
      <c r="M1462" t="s">
        <v>3</v>
      </c>
      <c r="N1462">
        <v>7750</v>
      </c>
      <c r="O1462">
        <v>24</v>
      </c>
      <c r="P1462">
        <v>11</v>
      </c>
      <c r="Q1462">
        <v>0</v>
      </c>
      <c r="R1462">
        <v>229408176</v>
      </c>
      <c r="S1462">
        <v>194275.61</v>
      </c>
      <c r="T1462">
        <v>229213900.38999999</v>
      </c>
      <c r="U1462">
        <v>229213900.38999999</v>
      </c>
      <c r="V1462">
        <v>0</v>
      </c>
      <c r="W1462">
        <v>0</v>
      </c>
    </row>
    <row r="1463" spans="1:23" x14ac:dyDescent="0.35">
      <c r="A1463" t="s">
        <v>2</v>
      </c>
      <c r="B1463">
        <v>7750</v>
      </c>
      <c r="C1463">
        <v>20</v>
      </c>
      <c r="D1463">
        <v>81</v>
      </c>
      <c r="E1463">
        <v>0</v>
      </c>
      <c r="F1463">
        <v>939026122</v>
      </c>
      <c r="G1463">
        <v>781486.24</v>
      </c>
      <c r="H1463">
        <v>911176577.25</v>
      </c>
      <c r="I1463">
        <v>930049486.13</v>
      </c>
      <c r="J1463">
        <v>0.29601</v>
      </c>
      <c r="K1463">
        <v>9.9844000000000002E-2</v>
      </c>
      <c r="M1463" t="s">
        <v>1</v>
      </c>
      <c r="N1463">
        <v>7250</v>
      </c>
      <c r="O1463">
        <v>18</v>
      </c>
      <c r="P1463">
        <v>546</v>
      </c>
      <c r="Q1463">
        <v>0</v>
      </c>
      <c r="R1463">
        <v>13183939752</v>
      </c>
      <c r="S1463">
        <v>11783886.630000001</v>
      </c>
      <c r="T1463">
        <v>12005083416.809999</v>
      </c>
      <c r="U1463">
        <v>13002341627.719999</v>
      </c>
      <c r="V1463">
        <v>0.671184</v>
      </c>
      <c r="W1463">
        <v>0.14407200000000001</v>
      </c>
    </row>
    <row r="1464" spans="1:23" x14ac:dyDescent="0.35">
      <c r="A1464" t="s">
        <v>0</v>
      </c>
      <c r="B1464">
        <v>8250</v>
      </c>
      <c r="C1464">
        <v>20</v>
      </c>
      <c r="D1464">
        <v>224</v>
      </c>
      <c r="E1464">
        <v>0</v>
      </c>
      <c r="F1464">
        <v>6578506674</v>
      </c>
      <c r="G1464">
        <v>4873975.04</v>
      </c>
      <c r="H1464">
        <v>6368162703.5799999</v>
      </c>
      <c r="I1464">
        <v>6476087033.0200005</v>
      </c>
      <c r="J1464">
        <v>0.31667200000000001</v>
      </c>
      <c r="K1464">
        <v>0.16411800000000001</v>
      </c>
      <c r="M1464" t="s">
        <v>0</v>
      </c>
      <c r="N1464">
        <v>4500</v>
      </c>
      <c r="O1464">
        <v>30</v>
      </c>
      <c r="P1464">
        <v>1313</v>
      </c>
      <c r="Q1464">
        <v>0</v>
      </c>
      <c r="R1464">
        <v>39486213228</v>
      </c>
      <c r="S1464">
        <v>59851735.890000001</v>
      </c>
      <c r="T1464">
        <v>39426361492.110001</v>
      </c>
      <c r="U1464">
        <v>39426361492.110001</v>
      </c>
      <c r="V1464">
        <v>0</v>
      </c>
      <c r="W1464">
        <v>0</v>
      </c>
    </row>
    <row r="1465" spans="1:23" x14ac:dyDescent="0.35">
      <c r="A1465" t="s">
        <v>3</v>
      </c>
      <c r="B1465">
        <v>7750</v>
      </c>
      <c r="C1465">
        <v>20</v>
      </c>
      <c r="D1465">
        <v>3</v>
      </c>
      <c r="E1465">
        <v>0</v>
      </c>
      <c r="F1465">
        <v>47192700</v>
      </c>
      <c r="G1465">
        <v>39084.6</v>
      </c>
      <c r="H1465">
        <v>47153615.399999999</v>
      </c>
      <c r="I1465">
        <v>47153615.399999999</v>
      </c>
      <c r="J1465">
        <v>0</v>
      </c>
      <c r="K1465">
        <v>0</v>
      </c>
      <c r="M1465" t="s">
        <v>0</v>
      </c>
      <c r="N1465">
        <v>4500</v>
      </c>
      <c r="O1465">
        <v>24</v>
      </c>
      <c r="P1465">
        <v>1310</v>
      </c>
      <c r="Q1465">
        <v>0</v>
      </c>
      <c r="R1465">
        <v>39951756423</v>
      </c>
      <c r="S1465">
        <v>59308368.920000002</v>
      </c>
      <c r="T1465">
        <v>39802233525.849998</v>
      </c>
      <c r="U1465">
        <v>39892448054.080002</v>
      </c>
      <c r="V1465">
        <v>2.6762999999999999E-2</v>
      </c>
      <c r="W1465">
        <v>0</v>
      </c>
    </row>
    <row r="1466" spans="1:23" x14ac:dyDescent="0.35">
      <c r="A1466" t="s">
        <v>3</v>
      </c>
      <c r="B1466">
        <v>6500</v>
      </c>
      <c r="C1466">
        <v>20</v>
      </c>
      <c r="D1466">
        <v>41</v>
      </c>
      <c r="E1466">
        <v>0</v>
      </c>
      <c r="F1466">
        <v>1060859388</v>
      </c>
      <c r="G1466">
        <v>1098380.5900000001</v>
      </c>
      <c r="H1466">
        <v>1059761007.41</v>
      </c>
      <c r="I1466">
        <v>1059761007.41</v>
      </c>
      <c r="J1466">
        <v>0</v>
      </c>
      <c r="K1466">
        <v>0</v>
      </c>
      <c r="M1466" t="s">
        <v>1</v>
      </c>
      <c r="N1466">
        <v>4500</v>
      </c>
      <c r="O1466">
        <v>24</v>
      </c>
      <c r="P1466">
        <v>570</v>
      </c>
      <c r="Q1466">
        <v>0</v>
      </c>
      <c r="R1466">
        <v>18929302900</v>
      </c>
      <c r="S1466">
        <v>28240296.73</v>
      </c>
      <c r="T1466">
        <v>18754940167.48</v>
      </c>
      <c r="U1466">
        <v>18812180366.610001</v>
      </c>
      <c r="V1466">
        <v>8.8799000000000003E-2</v>
      </c>
      <c r="W1466">
        <v>5.4912999999999997E-2</v>
      </c>
    </row>
    <row r="1467" spans="1:23" x14ac:dyDescent="0.35">
      <c r="A1467" t="s">
        <v>1</v>
      </c>
      <c r="B1467">
        <v>7500</v>
      </c>
      <c r="C1467">
        <v>18</v>
      </c>
      <c r="D1467">
        <v>231</v>
      </c>
      <c r="E1467">
        <v>0</v>
      </c>
      <c r="F1467">
        <v>4767046686</v>
      </c>
      <c r="G1467">
        <v>4048982.92</v>
      </c>
      <c r="H1467">
        <v>4628020762.1800003</v>
      </c>
      <c r="I1467">
        <v>4723722906.4899998</v>
      </c>
      <c r="J1467">
        <v>0.29155199999999998</v>
      </c>
      <c r="K1467">
        <v>9.4506999999999994E-2</v>
      </c>
      <c r="M1467" t="s">
        <v>1</v>
      </c>
      <c r="N1467">
        <v>8500</v>
      </c>
      <c r="O1467">
        <v>24</v>
      </c>
      <c r="P1467">
        <v>30</v>
      </c>
      <c r="Q1467">
        <v>0</v>
      </c>
      <c r="R1467">
        <v>793703943</v>
      </c>
      <c r="S1467">
        <v>568357.05000000005</v>
      </c>
      <c r="T1467">
        <v>793135585.95000005</v>
      </c>
      <c r="U1467">
        <v>793135585.95000005</v>
      </c>
      <c r="V1467">
        <v>0</v>
      </c>
      <c r="W1467">
        <v>0</v>
      </c>
    </row>
    <row r="1468" spans="1:23" x14ac:dyDescent="0.35">
      <c r="A1468" t="s">
        <v>3</v>
      </c>
      <c r="B1468">
        <v>6000</v>
      </c>
      <c r="C1468">
        <v>18</v>
      </c>
      <c r="D1468">
        <v>46</v>
      </c>
      <c r="E1468">
        <v>0</v>
      </c>
      <c r="F1468">
        <v>1202992127</v>
      </c>
      <c r="G1468">
        <v>1340632.93</v>
      </c>
      <c r="H1468">
        <v>1201651494.0699999</v>
      </c>
      <c r="I1468">
        <v>1201651494.0699999</v>
      </c>
      <c r="J1468">
        <v>0</v>
      </c>
      <c r="K1468">
        <v>0</v>
      </c>
      <c r="M1468" t="s">
        <v>0</v>
      </c>
      <c r="N1468">
        <v>9000</v>
      </c>
      <c r="O1468">
        <v>24</v>
      </c>
      <c r="P1468">
        <v>74</v>
      </c>
      <c r="Q1468">
        <v>0</v>
      </c>
      <c r="R1468">
        <v>1898579376</v>
      </c>
      <c r="S1468">
        <v>1313369.5</v>
      </c>
      <c r="T1468">
        <v>1866568973.25</v>
      </c>
      <c r="U1468">
        <v>1866568973.25</v>
      </c>
      <c r="V1468">
        <v>0.17766399999999999</v>
      </c>
      <c r="W1468">
        <v>0.17766399999999999</v>
      </c>
    </row>
    <row r="1469" spans="1:23" x14ac:dyDescent="0.35">
      <c r="A1469" t="s">
        <v>3</v>
      </c>
      <c r="B1469">
        <v>5750</v>
      </c>
      <c r="C1469">
        <v>18</v>
      </c>
      <c r="D1469">
        <v>25</v>
      </c>
      <c r="E1469">
        <v>0</v>
      </c>
      <c r="F1469">
        <v>754302749</v>
      </c>
      <c r="G1469">
        <v>884189.82</v>
      </c>
      <c r="H1469">
        <v>753418559.17999995</v>
      </c>
      <c r="I1469">
        <v>753418559.17999995</v>
      </c>
      <c r="J1469">
        <v>0</v>
      </c>
      <c r="K1469">
        <v>0</v>
      </c>
      <c r="M1469" t="s">
        <v>3</v>
      </c>
      <c r="N1469">
        <v>7000</v>
      </c>
      <c r="O1469">
        <v>20</v>
      </c>
      <c r="P1469">
        <v>22</v>
      </c>
      <c r="Q1469">
        <v>0</v>
      </c>
      <c r="R1469">
        <v>499596083</v>
      </c>
      <c r="S1469">
        <v>473066.54</v>
      </c>
      <c r="T1469">
        <v>499123016.45999998</v>
      </c>
      <c r="U1469">
        <v>499123016.45999998</v>
      </c>
      <c r="V1469">
        <v>0</v>
      </c>
      <c r="W1469">
        <v>0</v>
      </c>
    </row>
    <row r="1470" spans="1:23" x14ac:dyDescent="0.35">
      <c r="A1470" t="s">
        <v>3</v>
      </c>
      <c r="B1470">
        <v>5500</v>
      </c>
      <c r="C1470">
        <v>18</v>
      </c>
      <c r="D1470">
        <v>13</v>
      </c>
      <c r="E1470">
        <v>0</v>
      </c>
      <c r="F1470">
        <v>374044435</v>
      </c>
      <c r="G1470">
        <v>458596.58</v>
      </c>
      <c r="H1470">
        <v>373585838.42000002</v>
      </c>
      <c r="I1470">
        <v>373585838.42000002</v>
      </c>
      <c r="J1470">
        <v>0</v>
      </c>
      <c r="K1470">
        <v>0</v>
      </c>
      <c r="M1470" t="s">
        <v>2</v>
      </c>
      <c r="N1470">
        <v>7250</v>
      </c>
      <c r="O1470">
        <v>18</v>
      </c>
      <c r="P1470">
        <v>277</v>
      </c>
      <c r="Q1470">
        <v>0</v>
      </c>
      <c r="R1470">
        <v>4034714975</v>
      </c>
      <c r="S1470">
        <v>3576649.38</v>
      </c>
      <c r="T1470">
        <v>4003486588.5799999</v>
      </c>
      <c r="U1470">
        <v>4031138325.6199999</v>
      </c>
      <c r="V1470">
        <v>7.9211000000000004E-2</v>
      </c>
      <c r="W1470">
        <v>0</v>
      </c>
    </row>
    <row r="1471" spans="1:23" x14ac:dyDescent="0.35">
      <c r="A1471" t="s">
        <v>3</v>
      </c>
      <c r="B1471">
        <v>5250</v>
      </c>
      <c r="C1471">
        <v>18</v>
      </c>
      <c r="D1471">
        <v>20</v>
      </c>
      <c r="E1471">
        <v>0</v>
      </c>
      <c r="F1471">
        <v>535193454</v>
      </c>
      <c r="G1471">
        <v>681899.29</v>
      </c>
      <c r="H1471">
        <v>534511554.70999998</v>
      </c>
      <c r="I1471">
        <v>534511554.70999998</v>
      </c>
      <c r="J1471">
        <v>0</v>
      </c>
      <c r="K1471">
        <v>0</v>
      </c>
      <c r="M1471" t="s">
        <v>2</v>
      </c>
      <c r="N1471">
        <v>8000</v>
      </c>
      <c r="O1471">
        <v>24</v>
      </c>
      <c r="P1471">
        <v>11</v>
      </c>
      <c r="Q1471">
        <v>0</v>
      </c>
      <c r="R1471">
        <v>178033626</v>
      </c>
      <c r="S1471">
        <v>148539.60999999999</v>
      </c>
      <c r="T1471">
        <v>177885086.38999999</v>
      </c>
      <c r="U1471">
        <v>177885086.38999999</v>
      </c>
      <c r="V1471">
        <v>0</v>
      </c>
      <c r="W1471">
        <v>0</v>
      </c>
    </row>
    <row r="1472" spans="1:23" x14ac:dyDescent="0.35">
      <c r="A1472" t="s">
        <v>3</v>
      </c>
      <c r="B1472">
        <v>6000</v>
      </c>
      <c r="C1472">
        <v>16</v>
      </c>
      <c r="D1472">
        <v>31</v>
      </c>
      <c r="E1472">
        <v>0</v>
      </c>
      <c r="F1472">
        <v>753452006</v>
      </c>
      <c r="G1472">
        <v>832375.27</v>
      </c>
      <c r="H1472">
        <v>752619630.73000002</v>
      </c>
      <c r="I1472">
        <v>752619630.73000002</v>
      </c>
      <c r="J1472">
        <v>0</v>
      </c>
      <c r="K1472">
        <v>0</v>
      </c>
      <c r="M1472" t="s">
        <v>1</v>
      </c>
      <c r="N1472">
        <v>8250</v>
      </c>
      <c r="O1472">
        <v>20</v>
      </c>
      <c r="P1472">
        <v>60</v>
      </c>
      <c r="Q1472">
        <v>0</v>
      </c>
      <c r="R1472">
        <v>1588110680</v>
      </c>
      <c r="S1472">
        <v>1176797.7</v>
      </c>
      <c r="T1472">
        <v>1452127576.78</v>
      </c>
      <c r="U1472">
        <v>1487306999.9000001</v>
      </c>
      <c r="V1472">
        <v>0.65508699999999997</v>
      </c>
      <c r="W1472">
        <v>0.54042100000000004</v>
      </c>
    </row>
    <row r="1473" spans="1:23" x14ac:dyDescent="0.35">
      <c r="A1473" t="s">
        <v>1</v>
      </c>
      <c r="B1473">
        <v>8250</v>
      </c>
      <c r="C1473">
        <v>20</v>
      </c>
      <c r="D1473">
        <v>27</v>
      </c>
      <c r="E1473">
        <v>0</v>
      </c>
      <c r="F1473">
        <v>666517684</v>
      </c>
      <c r="G1473">
        <v>495058.29</v>
      </c>
      <c r="H1473">
        <v>629074171.30999994</v>
      </c>
      <c r="I1473">
        <v>666022625.71000004</v>
      </c>
      <c r="J1473">
        <v>0.49559199999999998</v>
      </c>
      <c r="K1473">
        <v>0</v>
      </c>
      <c r="M1473" t="s">
        <v>1</v>
      </c>
      <c r="N1473">
        <v>7750</v>
      </c>
      <c r="O1473">
        <v>20</v>
      </c>
      <c r="P1473">
        <v>209</v>
      </c>
      <c r="Q1473">
        <v>0</v>
      </c>
      <c r="R1473">
        <v>5100434941</v>
      </c>
      <c r="S1473">
        <v>4212849.76</v>
      </c>
      <c r="T1473">
        <v>4712723126.46</v>
      </c>
      <c r="U1473">
        <v>4953678505.5</v>
      </c>
      <c r="V1473">
        <v>0.60858900000000005</v>
      </c>
      <c r="W1473">
        <v>0.28833199999999998</v>
      </c>
    </row>
    <row r="1474" spans="1:23" x14ac:dyDescent="0.35">
      <c r="A1474" t="s">
        <v>2</v>
      </c>
      <c r="B1474">
        <v>6500</v>
      </c>
      <c r="C1474">
        <v>10</v>
      </c>
      <c r="D1474">
        <v>738</v>
      </c>
      <c r="E1474">
        <v>0</v>
      </c>
      <c r="F1474">
        <v>15201541461</v>
      </c>
      <c r="G1474">
        <v>14830668.949999999</v>
      </c>
      <c r="H1474">
        <v>15074569449.860001</v>
      </c>
      <c r="I1474">
        <v>15154763366.690001</v>
      </c>
      <c r="J1474">
        <v>8.5018999999999997E-2</v>
      </c>
      <c r="K1474">
        <v>2.4930000000000001E-2</v>
      </c>
      <c r="M1474" t="s">
        <v>3</v>
      </c>
      <c r="N1474">
        <v>7250</v>
      </c>
      <c r="O1474">
        <v>20</v>
      </c>
      <c r="P1474">
        <v>15</v>
      </c>
      <c r="Q1474">
        <v>0</v>
      </c>
      <c r="R1474">
        <v>392070435</v>
      </c>
      <c r="S1474">
        <v>357599.83</v>
      </c>
      <c r="T1474">
        <v>391712835.17000002</v>
      </c>
      <c r="U1474">
        <v>391712835.17000002</v>
      </c>
      <c r="V1474">
        <v>0</v>
      </c>
      <c r="W1474">
        <v>0</v>
      </c>
    </row>
    <row r="1475" spans="1:23" x14ac:dyDescent="0.35">
      <c r="A1475" t="s">
        <v>1</v>
      </c>
      <c r="B1475">
        <v>8000</v>
      </c>
      <c r="C1475">
        <v>20</v>
      </c>
      <c r="D1475">
        <v>86</v>
      </c>
      <c r="E1475">
        <v>0</v>
      </c>
      <c r="F1475">
        <v>1747996891</v>
      </c>
      <c r="G1475">
        <v>1367664.76</v>
      </c>
      <c r="H1475">
        <v>1661402352.1900001</v>
      </c>
      <c r="I1475">
        <v>1733163458.3900001</v>
      </c>
      <c r="J1475">
        <v>0.45109399999999999</v>
      </c>
      <c r="K1475">
        <v>8.8624999999999995E-2</v>
      </c>
      <c r="M1475" t="s">
        <v>2</v>
      </c>
      <c r="N1475">
        <v>7500</v>
      </c>
      <c r="O1475">
        <v>20</v>
      </c>
      <c r="P1475">
        <v>144</v>
      </c>
      <c r="Q1475">
        <v>0</v>
      </c>
      <c r="R1475">
        <v>2066845829</v>
      </c>
      <c r="S1475">
        <v>1783117.63</v>
      </c>
      <c r="T1475">
        <v>2016726675.3699999</v>
      </c>
      <c r="U1475">
        <v>2053022431.51</v>
      </c>
      <c r="V1475">
        <v>0.24721099999999999</v>
      </c>
      <c r="W1475">
        <v>6.7708000000000004E-2</v>
      </c>
    </row>
    <row r="1476" spans="1:23" x14ac:dyDescent="0.35">
      <c r="A1476" t="s">
        <v>2</v>
      </c>
      <c r="B1476">
        <v>7250</v>
      </c>
      <c r="C1476">
        <v>16</v>
      </c>
      <c r="D1476">
        <v>324</v>
      </c>
      <c r="E1476">
        <v>0</v>
      </c>
      <c r="F1476">
        <v>4734262422</v>
      </c>
      <c r="G1476">
        <v>4152590.86</v>
      </c>
      <c r="H1476">
        <v>4641201803.1199999</v>
      </c>
      <c r="I1476">
        <v>4703714945.0299997</v>
      </c>
      <c r="J1476">
        <v>0.20347699999999999</v>
      </c>
      <c r="K1476">
        <v>6.4890000000000003E-2</v>
      </c>
      <c r="M1476" t="s">
        <v>3</v>
      </c>
      <c r="N1476">
        <v>7500</v>
      </c>
      <c r="O1476">
        <v>24</v>
      </c>
      <c r="P1476">
        <v>5</v>
      </c>
      <c r="Q1476">
        <v>0</v>
      </c>
      <c r="R1476">
        <v>111473494</v>
      </c>
      <c r="S1476">
        <v>97517.7</v>
      </c>
      <c r="T1476">
        <v>111375976.3</v>
      </c>
      <c r="U1476">
        <v>111375976.3</v>
      </c>
      <c r="V1476">
        <v>0</v>
      </c>
      <c r="W1476">
        <v>0</v>
      </c>
    </row>
    <row r="1477" spans="1:23" x14ac:dyDescent="0.35">
      <c r="A1477" t="s">
        <v>2</v>
      </c>
      <c r="B1477">
        <v>7750</v>
      </c>
      <c r="C1477">
        <v>18</v>
      </c>
      <c r="D1477">
        <v>10</v>
      </c>
      <c r="E1477">
        <v>0</v>
      </c>
      <c r="F1477">
        <v>107539590</v>
      </c>
      <c r="G1477">
        <v>86848.02</v>
      </c>
      <c r="H1477">
        <v>107452741.98</v>
      </c>
      <c r="I1477">
        <v>107452741.98</v>
      </c>
      <c r="J1477">
        <v>0</v>
      </c>
      <c r="K1477">
        <v>0</v>
      </c>
      <c r="M1477" t="s">
        <v>3</v>
      </c>
      <c r="N1477">
        <v>6500</v>
      </c>
      <c r="O1477">
        <v>20</v>
      </c>
      <c r="P1477">
        <v>38</v>
      </c>
      <c r="Q1477">
        <v>0</v>
      </c>
      <c r="R1477">
        <v>1017362825</v>
      </c>
      <c r="S1477">
        <v>1049791.3</v>
      </c>
      <c r="T1477">
        <v>1016313033.7</v>
      </c>
      <c r="U1477">
        <v>1016313033.7</v>
      </c>
      <c r="V1477">
        <v>0</v>
      </c>
      <c r="W1477">
        <v>0</v>
      </c>
    </row>
    <row r="1478" spans="1:23" x14ac:dyDescent="0.35">
      <c r="A1478" t="s">
        <v>2</v>
      </c>
      <c r="B1478">
        <v>7250</v>
      </c>
      <c r="C1478">
        <v>18</v>
      </c>
      <c r="D1478">
        <v>279</v>
      </c>
      <c r="E1478">
        <v>0</v>
      </c>
      <c r="F1478">
        <v>4035753967</v>
      </c>
      <c r="G1478">
        <v>3579889.76</v>
      </c>
      <c r="H1478">
        <v>3968334690.0500002</v>
      </c>
      <c r="I1478">
        <v>3972759920.4000001</v>
      </c>
      <c r="J1478">
        <v>0.174147</v>
      </c>
      <c r="K1478">
        <v>0.16303799999999999</v>
      </c>
      <c r="M1478" t="s">
        <v>3</v>
      </c>
      <c r="N1478">
        <v>7500</v>
      </c>
      <c r="O1478">
        <v>20</v>
      </c>
      <c r="P1478">
        <v>2</v>
      </c>
      <c r="Q1478">
        <v>0</v>
      </c>
      <c r="R1478">
        <v>29285647</v>
      </c>
      <c r="S1478">
        <v>25602.26</v>
      </c>
      <c r="T1478">
        <v>29260044.739999998</v>
      </c>
      <c r="U1478">
        <v>29260044.739999998</v>
      </c>
      <c r="V1478">
        <v>0</v>
      </c>
      <c r="W1478">
        <v>0</v>
      </c>
    </row>
    <row r="1479" spans="1:23" x14ac:dyDescent="0.35">
      <c r="A1479" t="s">
        <v>1</v>
      </c>
      <c r="B1479">
        <v>7500</v>
      </c>
      <c r="C1479">
        <v>8</v>
      </c>
      <c r="D1479">
        <v>88</v>
      </c>
      <c r="E1479">
        <v>0</v>
      </c>
      <c r="F1479">
        <v>2615755447</v>
      </c>
      <c r="G1479">
        <v>2081966.02</v>
      </c>
      <c r="H1479">
        <v>1965032562.5899999</v>
      </c>
      <c r="I1479">
        <v>2583195269.6500001</v>
      </c>
      <c r="J1479">
        <v>0.96728199999999998</v>
      </c>
      <c r="K1479">
        <v>0.13120000000000001</v>
      </c>
      <c r="M1479" t="s">
        <v>1</v>
      </c>
      <c r="N1479">
        <v>7500</v>
      </c>
      <c r="O1479">
        <v>18</v>
      </c>
      <c r="P1479">
        <v>224</v>
      </c>
      <c r="Q1479">
        <v>0</v>
      </c>
      <c r="R1479">
        <v>4908035867</v>
      </c>
      <c r="S1479">
        <v>4170037.34</v>
      </c>
      <c r="T1479">
        <v>4708537150.5900002</v>
      </c>
      <c r="U1479">
        <v>4858243522.1199999</v>
      </c>
      <c r="V1479">
        <v>0.385739</v>
      </c>
      <c r="W1479">
        <v>0.106015</v>
      </c>
    </row>
    <row r="1480" spans="1:23" x14ac:dyDescent="0.35">
      <c r="A1480" t="s">
        <v>1</v>
      </c>
      <c r="B1480">
        <v>6250</v>
      </c>
      <c r="C1480">
        <v>7</v>
      </c>
      <c r="D1480">
        <v>10269</v>
      </c>
      <c r="E1480">
        <v>0</v>
      </c>
      <c r="F1480">
        <v>383555860381</v>
      </c>
      <c r="G1480">
        <v>385532472.06999999</v>
      </c>
      <c r="H1480">
        <v>350212075171.03998</v>
      </c>
      <c r="I1480">
        <v>382749079258.04999</v>
      </c>
      <c r="J1480">
        <v>0.65977699999999995</v>
      </c>
      <c r="K1480">
        <v>1.3100000000000001E-2</v>
      </c>
      <c r="M1480" t="s">
        <v>1</v>
      </c>
      <c r="N1480">
        <v>8000</v>
      </c>
      <c r="O1480">
        <v>20</v>
      </c>
      <c r="P1480">
        <v>129</v>
      </c>
      <c r="Q1480">
        <v>0</v>
      </c>
      <c r="R1480">
        <v>2889618558</v>
      </c>
      <c r="S1480">
        <v>2262311.2799999998</v>
      </c>
      <c r="T1480">
        <v>2658064173.1399999</v>
      </c>
      <c r="U1480">
        <v>2830385614.3699999</v>
      </c>
      <c r="V1480">
        <v>0.62920600000000004</v>
      </c>
      <c r="W1480">
        <v>0.21254600000000001</v>
      </c>
    </row>
    <row r="1481" spans="1:23" x14ac:dyDescent="0.35">
      <c r="A1481" t="s">
        <v>3</v>
      </c>
      <c r="B1481">
        <v>6500</v>
      </c>
      <c r="C1481">
        <v>18</v>
      </c>
      <c r="D1481">
        <v>27</v>
      </c>
      <c r="E1481">
        <v>0</v>
      </c>
      <c r="F1481">
        <v>618157547</v>
      </c>
      <c r="G1481">
        <v>633270.28</v>
      </c>
      <c r="H1481">
        <v>617524276.72000003</v>
      </c>
      <c r="I1481">
        <v>617524276.72000003</v>
      </c>
      <c r="J1481">
        <v>0</v>
      </c>
      <c r="K1481">
        <v>0</v>
      </c>
      <c r="M1481" t="s">
        <v>2</v>
      </c>
      <c r="N1481">
        <v>3250</v>
      </c>
      <c r="O1481">
        <v>24</v>
      </c>
      <c r="P1481">
        <v>19</v>
      </c>
      <c r="Q1481">
        <v>0</v>
      </c>
      <c r="R1481">
        <v>378655454</v>
      </c>
      <c r="S1481">
        <v>702666.63</v>
      </c>
      <c r="T1481">
        <v>377952787.37</v>
      </c>
      <c r="U1481">
        <v>377952787.37</v>
      </c>
      <c r="V1481">
        <v>0</v>
      </c>
      <c r="W1481">
        <v>0</v>
      </c>
    </row>
    <row r="1482" spans="1:23" x14ac:dyDescent="0.35">
      <c r="A1482" t="s">
        <v>3</v>
      </c>
      <c r="B1482">
        <v>6000</v>
      </c>
      <c r="C1482">
        <v>20</v>
      </c>
      <c r="D1482">
        <v>15</v>
      </c>
      <c r="E1482">
        <v>0</v>
      </c>
      <c r="F1482">
        <v>374996939</v>
      </c>
      <c r="G1482">
        <v>424318.61</v>
      </c>
      <c r="H1482">
        <v>374572620.38999999</v>
      </c>
      <c r="I1482">
        <v>374572620.38999999</v>
      </c>
      <c r="J1482">
        <v>0</v>
      </c>
      <c r="K1482">
        <v>0</v>
      </c>
      <c r="M1482" t="s">
        <v>1</v>
      </c>
      <c r="N1482">
        <v>7250</v>
      </c>
      <c r="O1482">
        <v>7</v>
      </c>
      <c r="P1482">
        <v>1426</v>
      </c>
      <c r="Q1482">
        <v>0</v>
      </c>
      <c r="R1482">
        <v>45211861163</v>
      </c>
      <c r="S1482">
        <v>37658633.829999998</v>
      </c>
      <c r="T1482">
        <v>24769837007.610001</v>
      </c>
      <c r="U1482">
        <v>45068814982.5</v>
      </c>
      <c r="V1482">
        <v>0.999255</v>
      </c>
      <c r="W1482">
        <v>2.7616000000000002E-2</v>
      </c>
    </row>
    <row r="1483" spans="1:23" x14ac:dyDescent="0.35">
      <c r="A1483" t="s">
        <v>2</v>
      </c>
      <c r="B1483">
        <v>4750</v>
      </c>
      <c r="C1483">
        <v>20</v>
      </c>
      <c r="D1483">
        <v>36</v>
      </c>
      <c r="E1483">
        <v>0</v>
      </c>
      <c r="F1483">
        <v>912546375</v>
      </c>
      <c r="G1483">
        <v>1274228.28</v>
      </c>
      <c r="H1483">
        <v>911272146.72000003</v>
      </c>
      <c r="I1483">
        <v>911272146.72000003</v>
      </c>
      <c r="J1483">
        <v>0</v>
      </c>
      <c r="K1483">
        <v>0</v>
      </c>
      <c r="M1483" t="s">
        <v>1</v>
      </c>
      <c r="N1483">
        <v>7250</v>
      </c>
      <c r="O1483">
        <v>16</v>
      </c>
      <c r="P1483">
        <v>947</v>
      </c>
      <c r="Q1483">
        <v>0</v>
      </c>
      <c r="R1483">
        <v>24734582802</v>
      </c>
      <c r="S1483">
        <v>21761607.789999999</v>
      </c>
      <c r="T1483">
        <v>23544824258.360001</v>
      </c>
      <c r="U1483">
        <v>24435294526.639999</v>
      </c>
      <c r="V1483">
        <v>0.44036500000000001</v>
      </c>
      <c r="W1483">
        <v>0.126636</v>
      </c>
    </row>
    <row r="1484" spans="1:23" x14ac:dyDescent="0.35">
      <c r="A1484" t="s">
        <v>0</v>
      </c>
      <c r="B1484">
        <v>4250</v>
      </c>
      <c r="C1484">
        <v>20</v>
      </c>
      <c r="D1484">
        <v>963</v>
      </c>
      <c r="E1484">
        <v>0</v>
      </c>
      <c r="F1484">
        <v>29142229480</v>
      </c>
      <c r="G1484">
        <v>44322202.350000001</v>
      </c>
      <c r="H1484">
        <v>29097907277.650002</v>
      </c>
      <c r="I1484">
        <v>29097907277.650002</v>
      </c>
      <c r="J1484">
        <v>0</v>
      </c>
      <c r="K1484">
        <v>0</v>
      </c>
      <c r="M1484" t="s">
        <v>3</v>
      </c>
      <c r="N1484">
        <v>6750</v>
      </c>
      <c r="O1484">
        <v>18</v>
      </c>
      <c r="P1484">
        <v>26</v>
      </c>
      <c r="Q1484">
        <v>0</v>
      </c>
      <c r="R1484">
        <v>793720543</v>
      </c>
      <c r="S1484">
        <v>775652.86</v>
      </c>
      <c r="T1484">
        <v>761022806.89999998</v>
      </c>
      <c r="U1484">
        <v>792944890.13999999</v>
      </c>
      <c r="V1484">
        <v>0.38895999999999997</v>
      </c>
      <c r="W1484">
        <v>0</v>
      </c>
    </row>
    <row r="1485" spans="1:23" x14ac:dyDescent="0.35">
      <c r="A1485" t="s">
        <v>2</v>
      </c>
      <c r="B1485">
        <v>4250</v>
      </c>
      <c r="C1485">
        <v>20</v>
      </c>
      <c r="D1485">
        <v>27</v>
      </c>
      <c r="E1485">
        <v>0</v>
      </c>
      <c r="F1485">
        <v>613205838</v>
      </c>
      <c r="G1485">
        <v>942611.65</v>
      </c>
      <c r="H1485">
        <v>612263226.35000002</v>
      </c>
      <c r="I1485">
        <v>612263226.35000002</v>
      </c>
      <c r="J1485">
        <v>0</v>
      </c>
      <c r="K1485">
        <v>0</v>
      </c>
      <c r="M1485" t="s">
        <v>3</v>
      </c>
      <c r="N1485">
        <v>7750</v>
      </c>
      <c r="O1485">
        <v>20</v>
      </c>
      <c r="P1485">
        <v>4</v>
      </c>
      <c r="Q1485">
        <v>0</v>
      </c>
      <c r="R1485">
        <v>68495713</v>
      </c>
      <c r="S1485">
        <v>56167.15</v>
      </c>
      <c r="T1485">
        <v>68439545.849999994</v>
      </c>
      <c r="U1485">
        <v>68439545.849999994</v>
      </c>
      <c r="V1485">
        <v>0</v>
      </c>
      <c r="W1485">
        <v>0</v>
      </c>
    </row>
    <row r="1486" spans="1:23" x14ac:dyDescent="0.35">
      <c r="A1486" t="s">
        <v>1</v>
      </c>
      <c r="B1486">
        <v>4250</v>
      </c>
      <c r="C1486">
        <v>20</v>
      </c>
      <c r="D1486">
        <v>344</v>
      </c>
      <c r="E1486">
        <v>0</v>
      </c>
      <c r="F1486">
        <v>12069784235</v>
      </c>
      <c r="G1486">
        <v>18397482.719999999</v>
      </c>
      <c r="H1486">
        <v>11967334096.870001</v>
      </c>
      <c r="I1486">
        <v>11967352245.209999</v>
      </c>
      <c r="J1486">
        <v>8.0438999999999997E-2</v>
      </c>
      <c r="K1486">
        <v>8.0421999999999993E-2</v>
      </c>
      <c r="M1486" t="s">
        <v>1</v>
      </c>
      <c r="N1486">
        <v>7750</v>
      </c>
      <c r="O1486">
        <v>18</v>
      </c>
      <c r="P1486">
        <v>191</v>
      </c>
      <c r="Q1486">
        <v>0</v>
      </c>
      <c r="R1486">
        <v>4504111524</v>
      </c>
      <c r="S1486">
        <v>3625388.82</v>
      </c>
      <c r="T1486">
        <v>4248722644.8200002</v>
      </c>
      <c r="U1486">
        <v>4380378469.1499996</v>
      </c>
      <c r="V1486">
        <v>0.49853999999999998</v>
      </c>
      <c r="W1486">
        <v>0.27699499999999999</v>
      </c>
    </row>
    <row r="1487" spans="1:23" x14ac:dyDescent="0.35">
      <c r="A1487" t="s">
        <v>0</v>
      </c>
      <c r="B1487">
        <v>4250</v>
      </c>
      <c r="C1487">
        <v>18</v>
      </c>
      <c r="D1487">
        <v>1553</v>
      </c>
      <c r="E1487">
        <v>0</v>
      </c>
      <c r="F1487">
        <v>51375542526</v>
      </c>
      <c r="G1487">
        <v>77502286.480000004</v>
      </c>
      <c r="H1487">
        <v>51217559295.279999</v>
      </c>
      <c r="I1487">
        <v>51298040239.519997</v>
      </c>
      <c r="J1487">
        <v>1.8637000000000001E-2</v>
      </c>
      <c r="K1487">
        <v>0</v>
      </c>
      <c r="M1487" t="s">
        <v>2</v>
      </c>
      <c r="N1487">
        <v>5000</v>
      </c>
      <c r="O1487">
        <v>16</v>
      </c>
      <c r="P1487">
        <v>127</v>
      </c>
      <c r="Q1487">
        <v>0</v>
      </c>
      <c r="R1487">
        <v>3199974262</v>
      </c>
      <c r="S1487">
        <v>4199356.3899999997</v>
      </c>
      <c r="T1487">
        <v>3195774905.6100001</v>
      </c>
      <c r="U1487">
        <v>3195774905.6100001</v>
      </c>
      <c r="V1487">
        <v>0</v>
      </c>
      <c r="W1487">
        <v>0</v>
      </c>
    </row>
    <row r="1488" spans="1:23" x14ac:dyDescent="0.35">
      <c r="A1488" t="s">
        <v>0</v>
      </c>
      <c r="B1488">
        <v>4500</v>
      </c>
      <c r="C1488">
        <v>18</v>
      </c>
      <c r="D1488">
        <v>1832</v>
      </c>
      <c r="E1488">
        <v>0</v>
      </c>
      <c r="F1488">
        <v>61803624029</v>
      </c>
      <c r="G1488">
        <v>89377402.400000006</v>
      </c>
      <c r="H1488">
        <v>61617481702.730003</v>
      </c>
      <c r="I1488">
        <v>61714246626.599998</v>
      </c>
      <c r="J1488">
        <v>1.8627000000000001E-2</v>
      </c>
      <c r="K1488">
        <v>0</v>
      </c>
      <c r="M1488" t="s">
        <v>3</v>
      </c>
      <c r="N1488">
        <v>6000</v>
      </c>
      <c r="O1488">
        <v>16</v>
      </c>
      <c r="P1488">
        <v>31</v>
      </c>
      <c r="Q1488">
        <v>0</v>
      </c>
      <c r="R1488">
        <v>830336074</v>
      </c>
      <c r="S1488">
        <v>913959.3</v>
      </c>
      <c r="T1488">
        <v>829422114.70000005</v>
      </c>
      <c r="U1488">
        <v>829422114.70000005</v>
      </c>
      <c r="V1488">
        <v>0</v>
      </c>
      <c r="W1488">
        <v>0</v>
      </c>
    </row>
    <row r="1489" spans="1:23" x14ac:dyDescent="0.35">
      <c r="A1489" t="s">
        <v>2</v>
      </c>
      <c r="B1489">
        <v>4250</v>
      </c>
      <c r="C1489">
        <v>18</v>
      </c>
      <c r="D1489">
        <v>50</v>
      </c>
      <c r="E1489">
        <v>0</v>
      </c>
      <c r="F1489">
        <v>1116113079</v>
      </c>
      <c r="G1489">
        <v>1682838.93</v>
      </c>
      <c r="H1489">
        <v>1100042878.24</v>
      </c>
      <c r="I1489">
        <v>1114430240.0699999</v>
      </c>
      <c r="J1489">
        <v>0.144178</v>
      </c>
      <c r="K1489">
        <v>0</v>
      </c>
      <c r="M1489" t="s">
        <v>3</v>
      </c>
      <c r="N1489">
        <v>5250</v>
      </c>
      <c r="O1489">
        <v>18</v>
      </c>
      <c r="P1489">
        <v>18</v>
      </c>
      <c r="Q1489">
        <v>0</v>
      </c>
      <c r="R1489">
        <v>483871081</v>
      </c>
      <c r="S1489">
        <v>615319.46</v>
      </c>
      <c r="T1489">
        <v>483255761.54000002</v>
      </c>
      <c r="U1489">
        <v>483255761.54000002</v>
      </c>
      <c r="V1489">
        <v>0</v>
      </c>
      <c r="W1489">
        <v>0</v>
      </c>
    </row>
    <row r="1490" spans="1:23" x14ac:dyDescent="0.35">
      <c r="A1490" t="s">
        <v>2</v>
      </c>
      <c r="B1490">
        <v>4750</v>
      </c>
      <c r="C1490">
        <v>18</v>
      </c>
      <c r="D1490">
        <v>37</v>
      </c>
      <c r="E1490">
        <v>0</v>
      </c>
      <c r="F1490">
        <v>946639220</v>
      </c>
      <c r="G1490">
        <v>1310395.57</v>
      </c>
      <c r="H1490">
        <v>945328824.42999995</v>
      </c>
      <c r="I1490">
        <v>945328824.42999995</v>
      </c>
      <c r="J1490">
        <v>0</v>
      </c>
      <c r="K1490">
        <v>0</v>
      </c>
      <c r="M1490" t="s">
        <v>2</v>
      </c>
      <c r="N1490">
        <v>8250</v>
      </c>
      <c r="O1490">
        <v>20</v>
      </c>
      <c r="P1490">
        <v>2</v>
      </c>
      <c r="Q1490">
        <v>0</v>
      </c>
      <c r="R1490">
        <v>25696790</v>
      </c>
      <c r="S1490">
        <v>18995.53</v>
      </c>
      <c r="T1490">
        <v>25677794.469999999</v>
      </c>
      <c r="U1490">
        <v>25677794.469999999</v>
      </c>
      <c r="V1490">
        <v>0</v>
      </c>
      <c r="W1490">
        <v>0</v>
      </c>
    </row>
    <row r="1491" spans="1:23" x14ac:dyDescent="0.35">
      <c r="A1491" t="s">
        <v>2</v>
      </c>
      <c r="B1491">
        <v>4500</v>
      </c>
      <c r="C1491">
        <v>18</v>
      </c>
      <c r="D1491">
        <v>48</v>
      </c>
      <c r="E1491">
        <v>0</v>
      </c>
      <c r="F1491">
        <v>1186061771</v>
      </c>
      <c r="G1491">
        <v>1718478.96</v>
      </c>
      <c r="H1491">
        <v>1184343292.04</v>
      </c>
      <c r="I1491">
        <v>1184343292.04</v>
      </c>
      <c r="J1491">
        <v>0</v>
      </c>
      <c r="K1491">
        <v>0</v>
      </c>
      <c r="M1491" t="s">
        <v>3</v>
      </c>
      <c r="N1491">
        <v>6000</v>
      </c>
      <c r="O1491">
        <v>14</v>
      </c>
      <c r="P1491">
        <v>23</v>
      </c>
      <c r="Q1491">
        <v>0</v>
      </c>
      <c r="R1491">
        <v>533159243</v>
      </c>
      <c r="S1491">
        <v>582942.92000000004</v>
      </c>
      <c r="T1491">
        <v>532576300.07999998</v>
      </c>
      <c r="U1491">
        <v>532576300.07999998</v>
      </c>
      <c r="V1491">
        <v>0</v>
      </c>
      <c r="W1491">
        <v>0</v>
      </c>
    </row>
    <row r="1492" spans="1:23" x14ac:dyDescent="0.35">
      <c r="A1492" t="s">
        <v>1</v>
      </c>
      <c r="B1492">
        <v>4250</v>
      </c>
      <c r="C1492">
        <v>18</v>
      </c>
      <c r="D1492">
        <v>514</v>
      </c>
      <c r="E1492">
        <v>0</v>
      </c>
      <c r="F1492">
        <v>17985520633</v>
      </c>
      <c r="G1492">
        <v>27148859.379999999</v>
      </c>
      <c r="H1492">
        <v>17872028047.48</v>
      </c>
      <c r="I1492">
        <v>17872028047.48</v>
      </c>
      <c r="J1492">
        <v>5.6112000000000002E-2</v>
      </c>
      <c r="K1492">
        <v>5.6112000000000002E-2</v>
      </c>
      <c r="M1492" t="s">
        <v>3</v>
      </c>
      <c r="N1492">
        <v>6000</v>
      </c>
      <c r="O1492">
        <v>18</v>
      </c>
      <c r="P1492">
        <v>45</v>
      </c>
      <c r="Q1492">
        <v>0</v>
      </c>
      <c r="R1492">
        <v>1123740629</v>
      </c>
      <c r="S1492">
        <v>1252383.1399999999</v>
      </c>
      <c r="T1492">
        <v>1112331859.9300001</v>
      </c>
      <c r="U1492">
        <v>1122488245.8599999</v>
      </c>
      <c r="V1492">
        <v>0.103224</v>
      </c>
      <c r="W1492">
        <v>0</v>
      </c>
    </row>
    <row r="1493" spans="1:23" x14ac:dyDescent="0.35">
      <c r="A1493" t="s">
        <v>1</v>
      </c>
      <c r="B1493">
        <v>4500</v>
      </c>
      <c r="C1493">
        <v>18</v>
      </c>
      <c r="D1493">
        <v>835</v>
      </c>
      <c r="E1493">
        <v>0</v>
      </c>
      <c r="F1493">
        <v>29835832389</v>
      </c>
      <c r="G1493">
        <v>43192803.060000002</v>
      </c>
      <c r="H1493">
        <v>29686576517.889999</v>
      </c>
      <c r="I1493">
        <v>29778027424.290001</v>
      </c>
      <c r="J1493">
        <v>4.1834000000000003E-2</v>
      </c>
      <c r="K1493">
        <v>5.8609999999999999E-3</v>
      </c>
      <c r="M1493" t="s">
        <v>0</v>
      </c>
      <c r="N1493">
        <v>8250</v>
      </c>
      <c r="O1493">
        <v>18</v>
      </c>
      <c r="P1493">
        <v>207</v>
      </c>
      <c r="Q1493">
        <v>0</v>
      </c>
      <c r="R1493">
        <v>5961420923</v>
      </c>
      <c r="S1493">
        <v>4348487.5999999996</v>
      </c>
      <c r="T1493">
        <v>5853748479.2700005</v>
      </c>
      <c r="U1493">
        <v>5957072435.3999996</v>
      </c>
      <c r="V1493">
        <v>0.18926100000000001</v>
      </c>
      <c r="W1493">
        <v>0</v>
      </c>
    </row>
    <row r="1494" spans="1:23" x14ac:dyDescent="0.35">
      <c r="A1494" t="s">
        <v>2</v>
      </c>
      <c r="B1494">
        <v>4750</v>
      </c>
      <c r="C1494">
        <v>16</v>
      </c>
      <c r="D1494">
        <v>41</v>
      </c>
      <c r="E1494">
        <v>0</v>
      </c>
      <c r="F1494">
        <v>928248908</v>
      </c>
      <c r="G1494">
        <v>1277027.56</v>
      </c>
      <c r="H1494">
        <v>926971880.44000006</v>
      </c>
      <c r="I1494">
        <v>926971880.44000006</v>
      </c>
      <c r="J1494">
        <v>0</v>
      </c>
      <c r="K1494">
        <v>0</v>
      </c>
      <c r="M1494" t="s">
        <v>2</v>
      </c>
      <c r="N1494">
        <v>6500</v>
      </c>
      <c r="O1494">
        <v>9</v>
      </c>
      <c r="P1494">
        <v>740</v>
      </c>
      <c r="Q1494">
        <v>0</v>
      </c>
      <c r="R1494">
        <v>15246800914</v>
      </c>
      <c r="S1494">
        <v>14781486.09</v>
      </c>
      <c r="T1494">
        <v>15202536532.950001</v>
      </c>
      <c r="U1494">
        <v>15218828959.33</v>
      </c>
      <c r="V1494">
        <v>2.2959E-2</v>
      </c>
      <c r="W1494">
        <v>1.0331999999999999E-2</v>
      </c>
    </row>
    <row r="1495" spans="1:23" x14ac:dyDescent="0.35">
      <c r="A1495" t="s">
        <v>0</v>
      </c>
      <c r="B1495">
        <v>4750</v>
      </c>
      <c r="C1495">
        <v>16</v>
      </c>
      <c r="D1495">
        <v>1237</v>
      </c>
      <c r="E1495">
        <v>0</v>
      </c>
      <c r="F1495">
        <v>42191277382</v>
      </c>
      <c r="G1495">
        <v>57960442.25</v>
      </c>
      <c r="H1495">
        <v>42009052322.220001</v>
      </c>
      <c r="I1495">
        <v>42058954880.07</v>
      </c>
      <c r="J1495">
        <v>3.4776000000000001E-2</v>
      </c>
      <c r="K1495">
        <v>2.0945999999999999E-2</v>
      </c>
      <c r="M1495" t="s">
        <v>2</v>
      </c>
      <c r="N1495">
        <v>8000</v>
      </c>
      <c r="O1495">
        <v>20</v>
      </c>
      <c r="P1495">
        <v>4</v>
      </c>
      <c r="Q1495">
        <v>0</v>
      </c>
      <c r="R1495">
        <v>73454409</v>
      </c>
      <c r="S1495">
        <v>57216.04</v>
      </c>
      <c r="T1495">
        <v>60563655.259999998</v>
      </c>
      <c r="U1495">
        <v>73397192.959999993</v>
      </c>
      <c r="V1495">
        <v>0.90017199999999997</v>
      </c>
      <c r="W1495">
        <v>0</v>
      </c>
    </row>
    <row r="1496" spans="1:23" x14ac:dyDescent="0.35">
      <c r="A1496" t="s">
        <v>1</v>
      </c>
      <c r="B1496">
        <v>4750</v>
      </c>
      <c r="C1496">
        <v>16</v>
      </c>
      <c r="D1496">
        <v>460</v>
      </c>
      <c r="E1496">
        <v>0</v>
      </c>
      <c r="F1496">
        <v>17820294949</v>
      </c>
      <c r="G1496">
        <v>24485492.039999999</v>
      </c>
      <c r="H1496">
        <v>17671891697.349998</v>
      </c>
      <c r="I1496">
        <v>17795809456.959999</v>
      </c>
      <c r="J1496">
        <v>8.0325999999999995E-2</v>
      </c>
      <c r="K1496">
        <v>0</v>
      </c>
      <c r="M1496" t="s">
        <v>1</v>
      </c>
      <c r="N1496">
        <v>8000</v>
      </c>
      <c r="O1496">
        <v>18</v>
      </c>
      <c r="P1496">
        <v>44</v>
      </c>
      <c r="Q1496">
        <v>0</v>
      </c>
      <c r="R1496">
        <v>925595994</v>
      </c>
      <c r="S1496">
        <v>712155.07</v>
      </c>
      <c r="T1496">
        <v>830803744.20000005</v>
      </c>
      <c r="U1496">
        <v>869860316.36000001</v>
      </c>
      <c r="V1496">
        <v>0.72369499999999998</v>
      </c>
      <c r="W1496">
        <v>0.520706</v>
      </c>
    </row>
    <row r="1497" spans="1:23" x14ac:dyDescent="0.35">
      <c r="A1497" t="s">
        <v>1</v>
      </c>
      <c r="B1497">
        <v>4250</v>
      </c>
      <c r="C1497">
        <v>16</v>
      </c>
      <c r="D1497">
        <v>290</v>
      </c>
      <c r="E1497">
        <v>0</v>
      </c>
      <c r="F1497">
        <v>9839752890</v>
      </c>
      <c r="G1497">
        <v>14721018.65</v>
      </c>
      <c r="H1497">
        <v>9825031871.3500004</v>
      </c>
      <c r="I1497">
        <v>9825031871.3500004</v>
      </c>
      <c r="J1497">
        <v>0</v>
      </c>
      <c r="K1497">
        <v>0</v>
      </c>
      <c r="M1497" t="s">
        <v>1</v>
      </c>
      <c r="N1497">
        <v>8250</v>
      </c>
      <c r="O1497">
        <v>18</v>
      </c>
      <c r="P1497">
        <v>8</v>
      </c>
      <c r="Q1497">
        <v>0</v>
      </c>
      <c r="R1497">
        <v>185191278</v>
      </c>
      <c r="S1497">
        <v>135199.10999999999</v>
      </c>
      <c r="T1497">
        <v>185056078.88999999</v>
      </c>
      <c r="U1497">
        <v>185056078.88999999</v>
      </c>
      <c r="V1497">
        <v>0</v>
      </c>
      <c r="W1497">
        <v>0</v>
      </c>
    </row>
    <row r="1498" spans="1:23" x14ac:dyDescent="0.35">
      <c r="A1498" t="s">
        <v>0</v>
      </c>
      <c r="B1498">
        <v>4250</v>
      </c>
      <c r="C1498">
        <v>16</v>
      </c>
      <c r="D1498">
        <v>695</v>
      </c>
      <c r="E1498">
        <v>0</v>
      </c>
      <c r="F1498">
        <v>23861593065</v>
      </c>
      <c r="G1498">
        <v>35657387.920000002</v>
      </c>
      <c r="H1498">
        <v>23825935677.080002</v>
      </c>
      <c r="I1498">
        <v>23825935677.080002</v>
      </c>
      <c r="J1498">
        <v>0</v>
      </c>
      <c r="K1498">
        <v>0</v>
      </c>
      <c r="M1498" t="s">
        <v>0</v>
      </c>
      <c r="N1498">
        <v>8500</v>
      </c>
      <c r="O1498">
        <v>20</v>
      </c>
      <c r="P1498">
        <v>9</v>
      </c>
      <c r="Q1498">
        <v>0</v>
      </c>
      <c r="R1498">
        <v>263722769</v>
      </c>
      <c r="S1498">
        <v>187631</v>
      </c>
      <c r="T1498">
        <v>263535138</v>
      </c>
      <c r="U1498">
        <v>263535138</v>
      </c>
      <c r="V1498">
        <v>0</v>
      </c>
      <c r="W1498">
        <v>0</v>
      </c>
    </row>
    <row r="1499" spans="1:23" x14ac:dyDescent="0.35">
      <c r="A1499" t="s">
        <v>1</v>
      </c>
      <c r="B1499">
        <v>5000</v>
      </c>
      <c r="C1499">
        <v>16</v>
      </c>
      <c r="D1499">
        <v>2038</v>
      </c>
      <c r="E1499">
        <v>0</v>
      </c>
      <c r="F1499">
        <v>78571998135</v>
      </c>
      <c r="G1499">
        <v>103386636.78</v>
      </c>
      <c r="H1499">
        <v>78078530080.949997</v>
      </c>
      <c r="I1499">
        <v>78294368161.679993</v>
      </c>
      <c r="J1499">
        <v>5.7976E-2</v>
      </c>
      <c r="K1499">
        <v>2.6289E-2</v>
      </c>
      <c r="M1499" t="s">
        <v>0</v>
      </c>
      <c r="N1499">
        <v>9000</v>
      </c>
      <c r="O1499">
        <v>20</v>
      </c>
      <c r="P1499">
        <v>33</v>
      </c>
      <c r="Q1499">
        <v>0</v>
      </c>
      <c r="R1499">
        <v>759331070</v>
      </c>
      <c r="S1499">
        <v>516181.1</v>
      </c>
      <c r="T1499">
        <v>758814888.89999998</v>
      </c>
      <c r="U1499">
        <v>758814888.89999998</v>
      </c>
      <c r="V1499">
        <v>0</v>
      </c>
      <c r="W1499">
        <v>0</v>
      </c>
    </row>
    <row r="1500" spans="1:23" x14ac:dyDescent="0.35">
      <c r="A1500" t="s">
        <v>0</v>
      </c>
      <c r="B1500">
        <v>5250</v>
      </c>
      <c r="C1500">
        <v>16</v>
      </c>
      <c r="D1500">
        <v>2293</v>
      </c>
      <c r="E1500">
        <v>0</v>
      </c>
      <c r="F1500">
        <v>78362058494</v>
      </c>
      <c r="G1500">
        <v>98714527.390000001</v>
      </c>
      <c r="H1500">
        <v>77971494221.320007</v>
      </c>
      <c r="I1500">
        <v>78103933086.309998</v>
      </c>
      <c r="J1500">
        <v>4.3788000000000001E-2</v>
      </c>
      <c r="K1500">
        <v>2.4140000000000002E-2</v>
      </c>
      <c r="M1500" t="s">
        <v>2</v>
      </c>
      <c r="N1500">
        <v>7250</v>
      </c>
      <c r="O1500">
        <v>16</v>
      </c>
      <c r="P1500">
        <v>309</v>
      </c>
      <c r="Q1500">
        <v>0</v>
      </c>
      <c r="R1500">
        <v>4495079574</v>
      </c>
      <c r="S1500">
        <v>3943601.4</v>
      </c>
      <c r="T1500">
        <v>4422178068.1099997</v>
      </c>
      <c r="U1500">
        <v>4472984169.5200005</v>
      </c>
      <c r="V1500">
        <v>0.169324</v>
      </c>
      <c r="W1500">
        <v>4.7396000000000001E-2</v>
      </c>
    </row>
    <row r="1501" spans="1:23" x14ac:dyDescent="0.35">
      <c r="A1501" t="s">
        <v>2</v>
      </c>
      <c r="B1501">
        <v>5000</v>
      </c>
      <c r="C1501">
        <v>16</v>
      </c>
      <c r="D1501">
        <v>113</v>
      </c>
      <c r="E1501">
        <v>0</v>
      </c>
      <c r="F1501">
        <v>2903481750</v>
      </c>
      <c r="G1501">
        <v>3813573.19</v>
      </c>
      <c r="H1501">
        <v>2899668176.8099999</v>
      </c>
      <c r="I1501">
        <v>2899668176.8099999</v>
      </c>
      <c r="J1501">
        <v>0</v>
      </c>
      <c r="K1501">
        <v>0</v>
      </c>
      <c r="M1501" t="s">
        <v>2</v>
      </c>
      <c r="N1501">
        <v>7500</v>
      </c>
      <c r="O1501">
        <v>18</v>
      </c>
      <c r="P1501">
        <v>121</v>
      </c>
      <c r="Q1501">
        <v>0</v>
      </c>
      <c r="R1501">
        <v>1875077634</v>
      </c>
      <c r="S1501">
        <v>1604603.16</v>
      </c>
      <c r="T1501">
        <v>1718977449.6700001</v>
      </c>
      <c r="U1501">
        <v>1803295511.0999999</v>
      </c>
      <c r="V1501">
        <v>0.64365300000000003</v>
      </c>
      <c r="W1501">
        <v>0.36728699999999997</v>
      </c>
    </row>
    <row r="1502" spans="1:23" x14ac:dyDescent="0.35">
      <c r="A1502" t="s">
        <v>1</v>
      </c>
      <c r="B1502">
        <v>5250</v>
      </c>
      <c r="C1502">
        <v>16</v>
      </c>
      <c r="D1502">
        <v>1738</v>
      </c>
      <c r="E1502">
        <v>0</v>
      </c>
      <c r="F1502">
        <v>68900579967</v>
      </c>
      <c r="G1502">
        <v>86775771.790000007</v>
      </c>
      <c r="H1502">
        <v>67978842832.120003</v>
      </c>
      <c r="I1502">
        <v>68690847122.879997</v>
      </c>
      <c r="J1502">
        <v>0.13610900000000001</v>
      </c>
      <c r="K1502">
        <v>2.1205999999999999E-2</v>
      </c>
      <c r="M1502" t="s">
        <v>2</v>
      </c>
      <c r="N1502">
        <v>7750</v>
      </c>
      <c r="O1502">
        <v>18</v>
      </c>
      <c r="P1502">
        <v>19</v>
      </c>
      <c r="Q1502">
        <v>0</v>
      </c>
      <c r="R1502">
        <v>200770882</v>
      </c>
      <c r="S1502">
        <v>162072.04999999999</v>
      </c>
      <c r="T1502">
        <v>200608809.94999999</v>
      </c>
      <c r="U1502">
        <v>200608809.94999999</v>
      </c>
      <c r="V1502">
        <v>0</v>
      </c>
      <c r="W1502">
        <v>0</v>
      </c>
    </row>
    <row r="1503" spans="1:23" x14ac:dyDescent="0.35">
      <c r="A1503" t="s">
        <v>1</v>
      </c>
      <c r="B1503">
        <v>5000</v>
      </c>
      <c r="C1503">
        <v>14</v>
      </c>
      <c r="D1503">
        <v>1784</v>
      </c>
      <c r="E1503">
        <v>0</v>
      </c>
      <c r="F1503">
        <v>67053870564</v>
      </c>
      <c r="G1503">
        <v>87031353.680000007</v>
      </c>
      <c r="H1503">
        <v>66693604581.970001</v>
      </c>
      <c r="I1503">
        <v>66895859579.809998</v>
      </c>
      <c r="J1503">
        <v>4.7816999999999998E-2</v>
      </c>
      <c r="K1503">
        <v>1.2629E-2</v>
      </c>
      <c r="M1503" t="s">
        <v>1</v>
      </c>
      <c r="N1503">
        <v>7500</v>
      </c>
      <c r="O1503">
        <v>7</v>
      </c>
      <c r="P1503">
        <v>195</v>
      </c>
      <c r="Q1503">
        <v>0</v>
      </c>
      <c r="R1503">
        <v>6656117654</v>
      </c>
      <c r="S1503">
        <v>5263283.3</v>
      </c>
      <c r="T1503">
        <v>2616461103.8200002</v>
      </c>
      <c r="U1503">
        <v>6650854370.6999998</v>
      </c>
      <c r="V1503">
        <v>0.99998600000000004</v>
      </c>
      <c r="W1503">
        <v>0</v>
      </c>
    </row>
    <row r="1504" spans="1:23" x14ac:dyDescent="0.35">
      <c r="A1504" t="s">
        <v>0</v>
      </c>
      <c r="B1504">
        <v>4750</v>
      </c>
      <c r="C1504">
        <v>14</v>
      </c>
      <c r="D1504">
        <v>1576</v>
      </c>
      <c r="E1504">
        <v>0</v>
      </c>
      <c r="F1504">
        <v>52946562555</v>
      </c>
      <c r="G1504">
        <v>71937554.280000001</v>
      </c>
      <c r="H1504">
        <v>52846463589.279999</v>
      </c>
      <c r="I1504">
        <v>52846463589.279999</v>
      </c>
      <c r="J1504">
        <v>6.3639999999999999E-3</v>
      </c>
      <c r="K1504">
        <v>6.3639999999999999E-3</v>
      </c>
      <c r="M1504" t="s">
        <v>1</v>
      </c>
      <c r="N1504">
        <v>6250</v>
      </c>
      <c r="O1504">
        <v>6</v>
      </c>
      <c r="P1504">
        <v>10304</v>
      </c>
      <c r="Q1504">
        <v>0</v>
      </c>
      <c r="R1504">
        <v>385820563529</v>
      </c>
      <c r="S1504">
        <v>385432847.43000001</v>
      </c>
      <c r="T1504">
        <v>384112245577.59003</v>
      </c>
      <c r="U1504">
        <v>385203804789.02002</v>
      </c>
      <c r="V1504">
        <v>4.0377999999999997E-2</v>
      </c>
      <c r="W1504">
        <v>7.1710000000000003E-3</v>
      </c>
    </row>
    <row r="1505" spans="1:23" x14ac:dyDescent="0.35">
      <c r="A1505" t="s">
        <v>2</v>
      </c>
      <c r="B1505">
        <v>5000</v>
      </c>
      <c r="C1505">
        <v>14</v>
      </c>
      <c r="D1505">
        <v>143</v>
      </c>
      <c r="E1505">
        <v>0</v>
      </c>
      <c r="F1505">
        <v>3801419708</v>
      </c>
      <c r="G1505">
        <v>4933558.28</v>
      </c>
      <c r="H1505">
        <v>3796486149.7199998</v>
      </c>
      <c r="I1505">
        <v>3796486149.7199998</v>
      </c>
      <c r="J1505">
        <v>0</v>
      </c>
      <c r="K1505">
        <v>0</v>
      </c>
      <c r="M1505" t="s">
        <v>3</v>
      </c>
      <c r="N1505">
        <v>6500</v>
      </c>
      <c r="O1505">
        <v>16</v>
      </c>
      <c r="P1505">
        <v>43</v>
      </c>
      <c r="Q1505">
        <v>0</v>
      </c>
      <c r="R1505">
        <v>1048381099</v>
      </c>
      <c r="S1505">
        <v>1057160.04</v>
      </c>
      <c r="T1505">
        <v>1047323938.96</v>
      </c>
      <c r="U1505">
        <v>1047323938.96</v>
      </c>
      <c r="V1505">
        <v>0</v>
      </c>
      <c r="W1505">
        <v>0</v>
      </c>
    </row>
    <row r="1506" spans="1:23" x14ac:dyDescent="0.35">
      <c r="A1506" t="s">
        <v>0</v>
      </c>
      <c r="B1506">
        <v>5250</v>
      </c>
      <c r="C1506">
        <v>14</v>
      </c>
      <c r="D1506">
        <v>2020</v>
      </c>
      <c r="E1506">
        <v>0</v>
      </c>
      <c r="F1506">
        <v>70967697507</v>
      </c>
      <c r="G1506">
        <v>88331984.560000002</v>
      </c>
      <c r="H1506">
        <v>70800308792.440002</v>
      </c>
      <c r="I1506">
        <v>70853259892.529999</v>
      </c>
      <c r="J1506">
        <v>1.3285999999999999E-2</v>
      </c>
      <c r="K1506">
        <v>4.4050000000000001E-3</v>
      </c>
      <c r="M1506" t="s">
        <v>1</v>
      </c>
      <c r="N1506">
        <v>4750</v>
      </c>
      <c r="O1506">
        <v>20</v>
      </c>
      <c r="P1506">
        <v>557</v>
      </c>
      <c r="Q1506">
        <v>0</v>
      </c>
      <c r="R1506">
        <v>19669581078</v>
      </c>
      <c r="S1506">
        <v>27582763.780000001</v>
      </c>
      <c r="T1506">
        <v>19614557937.709999</v>
      </c>
      <c r="U1506">
        <v>19614557937.709999</v>
      </c>
      <c r="V1506">
        <v>1.6612999999999999E-2</v>
      </c>
      <c r="W1506">
        <v>1.6612999999999999E-2</v>
      </c>
    </row>
    <row r="1507" spans="1:23" x14ac:dyDescent="0.35">
      <c r="A1507" t="s">
        <v>2</v>
      </c>
      <c r="B1507">
        <v>5250</v>
      </c>
      <c r="C1507">
        <v>14</v>
      </c>
      <c r="D1507">
        <v>49</v>
      </c>
      <c r="E1507">
        <v>0</v>
      </c>
      <c r="F1507">
        <v>1168281520</v>
      </c>
      <c r="G1507">
        <v>1450186.82</v>
      </c>
      <c r="H1507">
        <v>1166831333.1800001</v>
      </c>
      <c r="I1507">
        <v>1166831333.1800001</v>
      </c>
      <c r="J1507">
        <v>0</v>
      </c>
      <c r="K1507">
        <v>0</v>
      </c>
      <c r="M1507" t="s">
        <v>0</v>
      </c>
      <c r="N1507">
        <v>4250</v>
      </c>
      <c r="O1507">
        <v>18</v>
      </c>
      <c r="P1507">
        <v>1220</v>
      </c>
      <c r="Q1507">
        <v>0</v>
      </c>
      <c r="R1507">
        <v>38937620838</v>
      </c>
      <c r="S1507">
        <v>58704672.030000001</v>
      </c>
      <c r="T1507">
        <v>38839780921.970001</v>
      </c>
      <c r="U1507">
        <v>38857212735.650002</v>
      </c>
      <c r="V1507">
        <v>1.1993999999999999E-2</v>
      </c>
      <c r="W1507">
        <v>6.6680000000000003E-3</v>
      </c>
    </row>
    <row r="1508" spans="1:23" x14ac:dyDescent="0.35">
      <c r="A1508" t="s">
        <v>1</v>
      </c>
      <c r="B1508">
        <v>5250</v>
      </c>
      <c r="C1508">
        <v>14</v>
      </c>
      <c r="D1508">
        <v>983</v>
      </c>
      <c r="E1508">
        <v>0</v>
      </c>
      <c r="F1508">
        <v>39065875660</v>
      </c>
      <c r="G1508">
        <v>48559620.899999999</v>
      </c>
      <c r="H1508">
        <v>38604755830.730003</v>
      </c>
      <c r="I1508">
        <v>38943767098.760002</v>
      </c>
      <c r="J1508">
        <v>0.11962</v>
      </c>
      <c r="K1508">
        <v>2.2360000000000001E-2</v>
      </c>
      <c r="M1508" t="s">
        <v>2</v>
      </c>
      <c r="N1508">
        <v>4250</v>
      </c>
      <c r="O1508">
        <v>18</v>
      </c>
      <c r="P1508">
        <v>43</v>
      </c>
      <c r="Q1508">
        <v>0</v>
      </c>
      <c r="R1508">
        <v>955796854</v>
      </c>
      <c r="S1508">
        <v>1447995.49</v>
      </c>
      <c r="T1508">
        <v>954348858.50999999</v>
      </c>
      <c r="U1508">
        <v>954348858.50999999</v>
      </c>
      <c r="V1508">
        <v>0</v>
      </c>
      <c r="W1508">
        <v>0</v>
      </c>
    </row>
    <row r="1509" spans="1:23" x14ac:dyDescent="0.35">
      <c r="A1509" t="s">
        <v>2</v>
      </c>
      <c r="B1509">
        <v>5750</v>
      </c>
      <c r="C1509">
        <v>14</v>
      </c>
      <c r="D1509">
        <v>184</v>
      </c>
      <c r="E1509">
        <v>0</v>
      </c>
      <c r="F1509">
        <v>4149902054</v>
      </c>
      <c r="G1509">
        <v>4724484.95</v>
      </c>
      <c r="H1509">
        <v>4126800467.1500001</v>
      </c>
      <c r="I1509">
        <v>4145177569.0500002</v>
      </c>
      <c r="J1509">
        <v>5.1865000000000001E-2</v>
      </c>
      <c r="K1509">
        <v>0</v>
      </c>
      <c r="M1509" t="s">
        <v>1</v>
      </c>
      <c r="N1509">
        <v>4250</v>
      </c>
      <c r="O1509">
        <v>18</v>
      </c>
      <c r="P1509">
        <v>454</v>
      </c>
      <c r="Q1509">
        <v>0</v>
      </c>
      <c r="R1509">
        <v>16110847006</v>
      </c>
      <c r="S1509">
        <v>24317848.530000001</v>
      </c>
      <c r="T1509">
        <v>16086529157.469999</v>
      </c>
      <c r="U1509">
        <v>16086529157.469999</v>
      </c>
      <c r="V1509">
        <v>0</v>
      </c>
      <c r="W1509">
        <v>0</v>
      </c>
    </row>
    <row r="1510" spans="1:23" x14ac:dyDescent="0.35">
      <c r="A1510" t="s">
        <v>2</v>
      </c>
      <c r="B1510">
        <v>4750</v>
      </c>
      <c r="C1510">
        <v>14</v>
      </c>
      <c r="D1510">
        <v>54</v>
      </c>
      <c r="E1510">
        <v>0</v>
      </c>
      <c r="F1510">
        <v>1324916090</v>
      </c>
      <c r="G1510">
        <v>1796964.84</v>
      </c>
      <c r="H1510">
        <v>1323119125.1600001</v>
      </c>
      <c r="I1510">
        <v>1323119125.1600001</v>
      </c>
      <c r="J1510">
        <v>0</v>
      </c>
      <c r="K1510">
        <v>0</v>
      </c>
      <c r="M1510" t="s">
        <v>2</v>
      </c>
      <c r="N1510">
        <v>4750</v>
      </c>
      <c r="O1510">
        <v>18</v>
      </c>
      <c r="P1510">
        <v>47</v>
      </c>
      <c r="Q1510">
        <v>0</v>
      </c>
      <c r="R1510">
        <v>1252147889</v>
      </c>
      <c r="S1510">
        <v>1734158.81</v>
      </c>
      <c r="T1510">
        <v>1250413730.1900001</v>
      </c>
      <c r="U1510">
        <v>1250413730.1900001</v>
      </c>
      <c r="V1510">
        <v>0</v>
      </c>
      <c r="W1510">
        <v>0</v>
      </c>
    </row>
    <row r="1511" spans="1:23" x14ac:dyDescent="0.35">
      <c r="A1511" t="s">
        <v>2</v>
      </c>
      <c r="B1511">
        <v>5500</v>
      </c>
      <c r="C1511">
        <v>14</v>
      </c>
      <c r="D1511">
        <v>142</v>
      </c>
      <c r="E1511">
        <v>0</v>
      </c>
      <c r="F1511">
        <v>3204870688</v>
      </c>
      <c r="G1511">
        <v>3804696.83</v>
      </c>
      <c r="H1511">
        <v>3201065991.1700001</v>
      </c>
      <c r="I1511">
        <v>3201065991.1700001</v>
      </c>
      <c r="J1511">
        <v>0</v>
      </c>
      <c r="K1511">
        <v>0</v>
      </c>
      <c r="M1511" t="s">
        <v>0</v>
      </c>
      <c r="N1511">
        <v>4250</v>
      </c>
      <c r="O1511">
        <v>16</v>
      </c>
      <c r="P1511">
        <v>1243</v>
      </c>
      <c r="Q1511">
        <v>0</v>
      </c>
      <c r="R1511">
        <v>42519957821</v>
      </c>
      <c r="S1511">
        <v>63559574.079999998</v>
      </c>
      <c r="T1511">
        <v>42421003254.889999</v>
      </c>
      <c r="U1511">
        <v>42456398246.919998</v>
      </c>
      <c r="V1511">
        <v>9.9439999999999997E-3</v>
      </c>
      <c r="W1511">
        <v>0</v>
      </c>
    </row>
    <row r="1512" spans="1:23" x14ac:dyDescent="0.35">
      <c r="A1512" t="s">
        <v>1</v>
      </c>
      <c r="B1512">
        <v>4750</v>
      </c>
      <c r="C1512">
        <v>14</v>
      </c>
      <c r="D1512">
        <v>503</v>
      </c>
      <c r="E1512">
        <v>0</v>
      </c>
      <c r="F1512">
        <v>18918791552</v>
      </c>
      <c r="G1512">
        <v>25671952.890000001</v>
      </c>
      <c r="H1512">
        <v>18824305274.950001</v>
      </c>
      <c r="I1512">
        <v>18886553882.200001</v>
      </c>
      <c r="J1512">
        <v>4.2785999999999998E-2</v>
      </c>
      <c r="K1512">
        <v>4.1570000000000001E-3</v>
      </c>
      <c r="M1512" t="s">
        <v>1</v>
      </c>
      <c r="N1512">
        <v>4250</v>
      </c>
      <c r="O1512">
        <v>16</v>
      </c>
      <c r="P1512">
        <v>432</v>
      </c>
      <c r="Q1512">
        <v>0</v>
      </c>
      <c r="R1512">
        <v>14747617347</v>
      </c>
      <c r="S1512">
        <v>22060622.120000001</v>
      </c>
      <c r="T1512">
        <v>14714722812.780001</v>
      </c>
      <c r="U1512">
        <v>14725556724.879999</v>
      </c>
      <c r="V1512">
        <v>8.7799999999999996E-3</v>
      </c>
      <c r="W1512">
        <v>0</v>
      </c>
    </row>
    <row r="1513" spans="1:23" x14ac:dyDescent="0.35">
      <c r="A1513" t="s">
        <v>2</v>
      </c>
      <c r="B1513">
        <v>8250</v>
      </c>
      <c r="C1513">
        <v>20</v>
      </c>
      <c r="D1513">
        <v>2</v>
      </c>
      <c r="E1513">
        <v>0</v>
      </c>
      <c r="F1513">
        <v>27013305</v>
      </c>
      <c r="G1513">
        <v>19933.060000000001</v>
      </c>
      <c r="H1513">
        <v>26993371.940000001</v>
      </c>
      <c r="I1513">
        <v>26993371.940000001</v>
      </c>
      <c r="J1513">
        <v>0</v>
      </c>
      <c r="K1513">
        <v>0</v>
      </c>
      <c r="M1513" t="s">
        <v>2</v>
      </c>
      <c r="N1513">
        <v>4250</v>
      </c>
      <c r="O1513">
        <v>16</v>
      </c>
      <c r="P1513">
        <v>40</v>
      </c>
      <c r="Q1513">
        <v>0</v>
      </c>
      <c r="R1513">
        <v>936763500</v>
      </c>
      <c r="S1513">
        <v>1401372.91</v>
      </c>
      <c r="T1513">
        <v>935362127.09000003</v>
      </c>
      <c r="U1513">
        <v>935362127.09000003</v>
      </c>
      <c r="V1513">
        <v>0</v>
      </c>
      <c r="W1513">
        <v>0</v>
      </c>
    </row>
    <row r="1514" spans="1:23" x14ac:dyDescent="0.35">
      <c r="A1514" t="s">
        <v>2</v>
      </c>
      <c r="B1514">
        <v>7500</v>
      </c>
      <c r="C1514">
        <v>18</v>
      </c>
      <c r="D1514">
        <v>50</v>
      </c>
      <c r="E1514">
        <v>0</v>
      </c>
      <c r="F1514">
        <v>754592258</v>
      </c>
      <c r="G1514">
        <v>649119.80000000005</v>
      </c>
      <c r="H1514">
        <v>753943138.20000005</v>
      </c>
      <c r="I1514">
        <v>753943138.20000005</v>
      </c>
      <c r="J1514">
        <v>0</v>
      </c>
      <c r="K1514">
        <v>0</v>
      </c>
      <c r="M1514" t="s">
        <v>1</v>
      </c>
      <c r="N1514">
        <v>4500</v>
      </c>
      <c r="O1514">
        <v>16</v>
      </c>
      <c r="P1514">
        <v>914</v>
      </c>
      <c r="Q1514">
        <v>0</v>
      </c>
      <c r="R1514">
        <v>31568815099</v>
      </c>
      <c r="S1514">
        <v>45149903.640000001</v>
      </c>
      <c r="T1514">
        <v>31400034041.639999</v>
      </c>
      <c r="U1514">
        <v>31523665195.360001</v>
      </c>
      <c r="V1514">
        <v>4.5996000000000002E-2</v>
      </c>
      <c r="W1514">
        <v>0</v>
      </c>
    </row>
    <row r="1515" spans="1:23" x14ac:dyDescent="0.35">
      <c r="A1515" t="s">
        <v>0</v>
      </c>
      <c r="B1515">
        <v>8000</v>
      </c>
      <c r="C1515">
        <v>18</v>
      </c>
      <c r="D1515">
        <v>131</v>
      </c>
      <c r="E1515">
        <v>0</v>
      </c>
      <c r="F1515">
        <v>3584140330</v>
      </c>
      <c r="G1515">
        <v>2781039.26</v>
      </c>
      <c r="H1515">
        <v>3525803597.9899998</v>
      </c>
      <c r="I1515">
        <v>3525803597.9899998</v>
      </c>
      <c r="J1515">
        <v>0.17093900000000001</v>
      </c>
      <c r="K1515">
        <v>0.17093900000000001</v>
      </c>
      <c r="M1515" t="s">
        <v>0</v>
      </c>
      <c r="N1515">
        <v>4750</v>
      </c>
      <c r="O1515">
        <v>16</v>
      </c>
      <c r="P1515">
        <v>1524</v>
      </c>
      <c r="Q1515">
        <v>0</v>
      </c>
      <c r="R1515">
        <v>53231504362</v>
      </c>
      <c r="S1515">
        <v>73173059.870000005</v>
      </c>
      <c r="T1515">
        <v>53037098851.720001</v>
      </c>
      <c r="U1515">
        <v>53106768534.800003</v>
      </c>
      <c r="V1515">
        <v>2.699E-2</v>
      </c>
      <c r="W1515">
        <v>1.1561999999999999E-2</v>
      </c>
    </row>
    <row r="1516" spans="1:23" x14ac:dyDescent="0.35">
      <c r="A1516" t="s">
        <v>0</v>
      </c>
      <c r="B1516">
        <v>8500</v>
      </c>
      <c r="C1516">
        <v>20</v>
      </c>
      <c r="D1516">
        <v>7</v>
      </c>
      <c r="E1516">
        <v>0</v>
      </c>
      <c r="F1516">
        <v>176566678</v>
      </c>
      <c r="G1516">
        <v>125790.92</v>
      </c>
      <c r="H1516">
        <v>176440887.08000001</v>
      </c>
      <c r="I1516">
        <v>176440887.08000001</v>
      </c>
      <c r="J1516">
        <v>0</v>
      </c>
      <c r="K1516">
        <v>0</v>
      </c>
      <c r="M1516" t="s">
        <v>2</v>
      </c>
      <c r="N1516">
        <v>4750</v>
      </c>
      <c r="O1516">
        <v>16</v>
      </c>
      <c r="P1516">
        <v>30</v>
      </c>
      <c r="Q1516">
        <v>0</v>
      </c>
      <c r="R1516">
        <v>679807430</v>
      </c>
      <c r="S1516">
        <v>931090.08</v>
      </c>
      <c r="T1516">
        <v>678876339.91999996</v>
      </c>
      <c r="U1516">
        <v>678876339.91999996</v>
      </c>
      <c r="V1516">
        <v>0</v>
      </c>
      <c r="W1516">
        <v>0</v>
      </c>
    </row>
    <row r="1517" spans="1:23" x14ac:dyDescent="0.35">
      <c r="A1517" t="s">
        <v>0</v>
      </c>
      <c r="B1517">
        <v>9000</v>
      </c>
      <c r="C1517">
        <v>20</v>
      </c>
      <c r="D1517">
        <v>23</v>
      </c>
      <c r="E1517">
        <v>0</v>
      </c>
      <c r="F1517">
        <v>541312780</v>
      </c>
      <c r="G1517">
        <v>369431.89</v>
      </c>
      <c r="H1517">
        <v>540943348.11000001</v>
      </c>
      <c r="I1517">
        <v>540943348.11000001</v>
      </c>
      <c r="J1517">
        <v>0</v>
      </c>
      <c r="K1517">
        <v>0</v>
      </c>
      <c r="M1517" t="s">
        <v>1</v>
      </c>
      <c r="N1517">
        <v>4750</v>
      </c>
      <c r="O1517">
        <v>16</v>
      </c>
      <c r="P1517">
        <v>881</v>
      </c>
      <c r="Q1517">
        <v>0</v>
      </c>
      <c r="R1517">
        <v>36142745511</v>
      </c>
      <c r="S1517">
        <v>49651344.210000001</v>
      </c>
      <c r="T1517">
        <v>35850365087.550003</v>
      </c>
      <c r="U1517">
        <v>35983771137.57</v>
      </c>
      <c r="V1517">
        <v>7.7678999999999998E-2</v>
      </c>
      <c r="W1517">
        <v>3.5699000000000002E-2</v>
      </c>
    </row>
    <row r="1518" spans="1:23" x14ac:dyDescent="0.35">
      <c r="A1518" t="s">
        <v>3</v>
      </c>
      <c r="B1518">
        <v>7250</v>
      </c>
      <c r="C1518">
        <v>20</v>
      </c>
      <c r="D1518">
        <v>11</v>
      </c>
      <c r="E1518">
        <v>0</v>
      </c>
      <c r="F1518">
        <v>267861690</v>
      </c>
      <c r="G1518">
        <v>244337.42</v>
      </c>
      <c r="H1518">
        <v>267617352.58000001</v>
      </c>
      <c r="I1518">
        <v>267617352.58000001</v>
      </c>
      <c r="J1518">
        <v>0</v>
      </c>
      <c r="K1518">
        <v>0</v>
      </c>
      <c r="M1518" t="s">
        <v>2</v>
      </c>
      <c r="N1518">
        <v>5000</v>
      </c>
      <c r="O1518">
        <v>14</v>
      </c>
      <c r="P1518">
        <v>113</v>
      </c>
      <c r="Q1518">
        <v>0</v>
      </c>
      <c r="R1518">
        <v>2922538156</v>
      </c>
      <c r="S1518">
        <v>3794888.09</v>
      </c>
      <c r="T1518">
        <v>2918743267.9099998</v>
      </c>
      <c r="U1518">
        <v>2918743267.9099998</v>
      </c>
      <c r="V1518">
        <v>0</v>
      </c>
      <c r="W1518">
        <v>0</v>
      </c>
    </row>
    <row r="1519" spans="1:23" x14ac:dyDescent="0.35">
      <c r="A1519" t="s">
        <v>1</v>
      </c>
      <c r="B1519">
        <v>7750</v>
      </c>
      <c r="C1519">
        <v>18</v>
      </c>
      <c r="D1519">
        <v>170</v>
      </c>
      <c r="E1519">
        <v>0</v>
      </c>
      <c r="F1519">
        <v>4559419671</v>
      </c>
      <c r="G1519">
        <v>3668813.13</v>
      </c>
      <c r="H1519">
        <v>4308317127.9799995</v>
      </c>
      <c r="I1519">
        <v>4335931967.3900003</v>
      </c>
      <c r="J1519">
        <v>0.48806699999999997</v>
      </c>
      <c r="K1519">
        <v>0.44730900000000001</v>
      </c>
      <c r="M1519" t="s">
        <v>0</v>
      </c>
      <c r="N1519">
        <v>4750</v>
      </c>
      <c r="O1519">
        <v>14</v>
      </c>
      <c r="P1519">
        <v>1366</v>
      </c>
      <c r="Q1519">
        <v>0</v>
      </c>
      <c r="R1519">
        <v>45282457087</v>
      </c>
      <c r="S1519">
        <v>61511287.899999999</v>
      </c>
      <c r="T1519">
        <v>45144958568.82</v>
      </c>
      <c r="U1519">
        <v>45168585813.360001</v>
      </c>
      <c r="V1519">
        <v>1.9952000000000001E-2</v>
      </c>
      <c r="W1519">
        <v>1.3788E-2</v>
      </c>
    </row>
    <row r="1520" spans="1:23" x14ac:dyDescent="0.35">
      <c r="A1520" t="s">
        <v>2</v>
      </c>
      <c r="B1520">
        <v>7000</v>
      </c>
      <c r="C1520">
        <v>16</v>
      </c>
      <c r="D1520">
        <v>422</v>
      </c>
      <c r="E1520">
        <v>0</v>
      </c>
      <c r="F1520">
        <v>6677960894</v>
      </c>
      <c r="G1520">
        <v>6156009.4800000004</v>
      </c>
      <c r="H1520">
        <v>6587542808.2700005</v>
      </c>
      <c r="I1520">
        <v>6594638949.8599997</v>
      </c>
      <c r="J1520">
        <v>0.14133699999999999</v>
      </c>
      <c r="K1520">
        <v>0.13018199999999999</v>
      </c>
      <c r="M1520" t="s">
        <v>1</v>
      </c>
      <c r="N1520">
        <v>4750</v>
      </c>
      <c r="O1520">
        <v>14</v>
      </c>
      <c r="P1520">
        <v>419</v>
      </c>
      <c r="Q1520">
        <v>0</v>
      </c>
      <c r="R1520">
        <v>15659965575</v>
      </c>
      <c r="S1520">
        <v>21266982.68</v>
      </c>
      <c r="T1520">
        <v>15498838848.92</v>
      </c>
      <c r="U1520">
        <v>15547109913.889999</v>
      </c>
      <c r="V1520">
        <v>0.102062</v>
      </c>
      <c r="W1520">
        <v>6.7969000000000002E-2</v>
      </c>
    </row>
    <row r="1521" spans="1:23" x14ac:dyDescent="0.35">
      <c r="A1521" t="s">
        <v>2</v>
      </c>
      <c r="B1521">
        <v>5250</v>
      </c>
      <c r="C1521">
        <v>10</v>
      </c>
      <c r="D1521">
        <v>14</v>
      </c>
      <c r="E1521">
        <v>0</v>
      </c>
      <c r="F1521">
        <v>294280576</v>
      </c>
      <c r="G1521">
        <v>359484.62</v>
      </c>
      <c r="H1521">
        <v>293921091.38</v>
      </c>
      <c r="I1521">
        <v>293921091.38</v>
      </c>
      <c r="J1521">
        <v>0</v>
      </c>
      <c r="K1521">
        <v>0</v>
      </c>
      <c r="M1521" t="s">
        <v>2</v>
      </c>
      <c r="N1521">
        <v>4750</v>
      </c>
      <c r="O1521">
        <v>14</v>
      </c>
      <c r="P1521">
        <v>53</v>
      </c>
      <c r="Q1521">
        <v>0</v>
      </c>
      <c r="R1521">
        <v>1266448983</v>
      </c>
      <c r="S1521">
        <v>1722497.25</v>
      </c>
      <c r="T1521">
        <v>1264726485.75</v>
      </c>
      <c r="U1521">
        <v>1264726485.75</v>
      </c>
      <c r="V1521">
        <v>0</v>
      </c>
      <c r="W1521">
        <v>0</v>
      </c>
    </row>
    <row r="1522" spans="1:23" x14ac:dyDescent="0.35">
      <c r="A1522" t="s">
        <v>0</v>
      </c>
      <c r="B1522">
        <v>5250</v>
      </c>
      <c r="C1522">
        <v>10</v>
      </c>
      <c r="D1522">
        <v>641</v>
      </c>
      <c r="E1522">
        <v>0</v>
      </c>
      <c r="F1522">
        <v>22250459967</v>
      </c>
      <c r="G1522">
        <v>27193947.350000001</v>
      </c>
      <c r="H1522">
        <v>22223266019.650002</v>
      </c>
      <c r="I1522">
        <v>22223266019.650002</v>
      </c>
      <c r="J1522">
        <v>0</v>
      </c>
      <c r="K1522">
        <v>0</v>
      </c>
      <c r="M1522" t="s">
        <v>1</v>
      </c>
      <c r="N1522">
        <v>5000</v>
      </c>
      <c r="O1522">
        <v>14</v>
      </c>
      <c r="P1522">
        <v>1383</v>
      </c>
      <c r="Q1522">
        <v>0</v>
      </c>
      <c r="R1522">
        <v>53149837233</v>
      </c>
      <c r="S1522">
        <v>69071829.060000002</v>
      </c>
      <c r="T1522">
        <v>52979208114.040001</v>
      </c>
      <c r="U1522">
        <v>53080765403.940002</v>
      </c>
      <c r="V1522">
        <v>2.2689999999999998E-2</v>
      </c>
      <c r="W1522">
        <v>0</v>
      </c>
    </row>
    <row r="1523" spans="1:23" x14ac:dyDescent="0.35">
      <c r="A1523" t="s">
        <v>2</v>
      </c>
      <c r="B1523">
        <v>7000</v>
      </c>
      <c r="C1523">
        <v>9</v>
      </c>
      <c r="D1523">
        <v>337</v>
      </c>
      <c r="E1523">
        <v>0</v>
      </c>
      <c r="F1523">
        <v>5625201849</v>
      </c>
      <c r="G1523">
        <v>4962169.8099999996</v>
      </c>
      <c r="H1523">
        <v>5547120912.8100004</v>
      </c>
      <c r="I1523">
        <v>5620239679.1899996</v>
      </c>
      <c r="J1523">
        <v>0.14529900000000001</v>
      </c>
      <c r="K1523">
        <v>0</v>
      </c>
      <c r="M1523" t="s">
        <v>0</v>
      </c>
      <c r="N1523">
        <v>5250</v>
      </c>
      <c r="O1523">
        <v>14</v>
      </c>
      <c r="P1523">
        <v>1570</v>
      </c>
      <c r="Q1523">
        <v>0</v>
      </c>
      <c r="R1523">
        <v>54200863425</v>
      </c>
      <c r="S1523">
        <v>67442306.840000004</v>
      </c>
      <c r="T1523">
        <v>54015514384.059998</v>
      </c>
      <c r="U1523">
        <v>54133421118.160004</v>
      </c>
      <c r="V1523">
        <v>2.5794000000000001E-2</v>
      </c>
      <c r="W1523">
        <v>0</v>
      </c>
    </row>
    <row r="1524" spans="1:23" x14ac:dyDescent="0.35">
      <c r="A1524" t="s">
        <v>1</v>
      </c>
      <c r="B1524">
        <v>8000</v>
      </c>
      <c r="C1524">
        <v>18</v>
      </c>
      <c r="D1524">
        <v>8</v>
      </c>
      <c r="E1524">
        <v>0</v>
      </c>
      <c r="F1524">
        <v>220524581</v>
      </c>
      <c r="G1524">
        <v>169479.28</v>
      </c>
      <c r="H1524">
        <v>220355101.72</v>
      </c>
      <c r="I1524">
        <v>220355101.72</v>
      </c>
      <c r="J1524">
        <v>0</v>
      </c>
      <c r="K1524">
        <v>0</v>
      </c>
      <c r="M1524" t="s">
        <v>1</v>
      </c>
      <c r="N1524">
        <v>5250</v>
      </c>
      <c r="O1524">
        <v>14</v>
      </c>
      <c r="P1524">
        <v>809</v>
      </c>
      <c r="Q1524">
        <v>0</v>
      </c>
      <c r="R1524">
        <v>32577656347</v>
      </c>
      <c r="S1524">
        <v>40534558.469999999</v>
      </c>
      <c r="T1524">
        <v>32369985207.639999</v>
      </c>
      <c r="U1524">
        <v>32537121788.529999</v>
      </c>
      <c r="V1524">
        <v>5.9857E-2</v>
      </c>
      <c r="W1524">
        <v>0</v>
      </c>
    </row>
    <row r="1525" spans="1:23" x14ac:dyDescent="0.35">
      <c r="A1525" t="s">
        <v>0</v>
      </c>
      <c r="B1525">
        <v>4000</v>
      </c>
      <c r="C1525">
        <v>18</v>
      </c>
      <c r="D1525">
        <v>3311</v>
      </c>
      <c r="E1525">
        <v>0</v>
      </c>
      <c r="F1525">
        <v>109190747144</v>
      </c>
      <c r="G1525">
        <v>171839997.50999999</v>
      </c>
      <c r="H1525">
        <v>108951419149.99001</v>
      </c>
      <c r="I1525">
        <v>109018907146.49001</v>
      </c>
      <c r="J1525">
        <v>7.3920000000000001E-3</v>
      </c>
      <c r="K1525">
        <v>0</v>
      </c>
      <c r="M1525" t="s">
        <v>0</v>
      </c>
      <c r="N1525">
        <v>5500</v>
      </c>
      <c r="O1525">
        <v>14</v>
      </c>
      <c r="P1525">
        <v>2628</v>
      </c>
      <c r="Q1525">
        <v>0</v>
      </c>
      <c r="R1525">
        <v>86496777651</v>
      </c>
      <c r="S1525">
        <v>103071784.7</v>
      </c>
      <c r="T1525">
        <v>86010990270.169998</v>
      </c>
      <c r="U1525">
        <v>86354088548.009995</v>
      </c>
      <c r="V1525">
        <v>5.1822E-2</v>
      </c>
      <c r="W1525">
        <v>5.4819999999999999E-3</v>
      </c>
    </row>
    <row r="1526" spans="1:23" x14ac:dyDescent="0.35">
      <c r="A1526" t="s">
        <v>2</v>
      </c>
      <c r="B1526">
        <v>4000</v>
      </c>
      <c r="C1526">
        <v>18</v>
      </c>
      <c r="D1526">
        <v>116</v>
      </c>
      <c r="E1526">
        <v>0</v>
      </c>
      <c r="F1526">
        <v>3257647239</v>
      </c>
      <c r="G1526">
        <v>5124083.3499999996</v>
      </c>
      <c r="H1526">
        <v>3252523155.6500001</v>
      </c>
      <c r="I1526">
        <v>3252523155.6500001</v>
      </c>
      <c r="J1526">
        <v>0</v>
      </c>
      <c r="K1526">
        <v>0</v>
      </c>
      <c r="M1526" t="s">
        <v>2</v>
      </c>
      <c r="N1526">
        <v>5250</v>
      </c>
      <c r="O1526">
        <v>14</v>
      </c>
      <c r="P1526">
        <v>31</v>
      </c>
      <c r="Q1526">
        <v>0</v>
      </c>
      <c r="R1526">
        <v>709249949</v>
      </c>
      <c r="S1526">
        <v>882686.4</v>
      </c>
      <c r="T1526">
        <v>708367262.60000002</v>
      </c>
      <c r="U1526">
        <v>708367262.60000002</v>
      </c>
      <c r="V1526">
        <v>0</v>
      </c>
      <c r="W1526">
        <v>0</v>
      </c>
    </row>
    <row r="1527" spans="1:23" x14ac:dyDescent="0.35">
      <c r="A1527" t="s">
        <v>1</v>
      </c>
      <c r="B1527">
        <v>4000</v>
      </c>
      <c r="C1527">
        <v>18</v>
      </c>
      <c r="D1527">
        <v>1042</v>
      </c>
      <c r="E1527">
        <v>0</v>
      </c>
      <c r="F1527">
        <v>37067655474</v>
      </c>
      <c r="G1527">
        <v>58365400.240000002</v>
      </c>
      <c r="H1527">
        <v>36944166493.599998</v>
      </c>
      <c r="I1527">
        <v>37009290073.760002</v>
      </c>
      <c r="J1527">
        <v>2.0879999999999999E-2</v>
      </c>
      <c r="K1527">
        <v>0</v>
      </c>
      <c r="M1527" t="s">
        <v>2</v>
      </c>
      <c r="N1527">
        <v>5500</v>
      </c>
      <c r="O1527">
        <v>14</v>
      </c>
      <c r="P1527">
        <v>104</v>
      </c>
      <c r="Q1527">
        <v>0</v>
      </c>
      <c r="R1527">
        <v>2351500396</v>
      </c>
      <c r="S1527">
        <v>2793204.27</v>
      </c>
      <c r="T1527">
        <v>2348707191.73</v>
      </c>
      <c r="U1527">
        <v>2348707191.73</v>
      </c>
      <c r="V1527">
        <v>0</v>
      </c>
      <c r="W1527">
        <v>0</v>
      </c>
    </row>
    <row r="1528" spans="1:23" x14ac:dyDescent="0.35">
      <c r="A1528" t="s">
        <v>0</v>
      </c>
      <c r="B1528">
        <v>4000</v>
      </c>
      <c r="C1528">
        <v>16</v>
      </c>
      <c r="D1528">
        <v>2222</v>
      </c>
      <c r="E1528">
        <v>0</v>
      </c>
      <c r="F1528">
        <v>73819180365</v>
      </c>
      <c r="G1528">
        <v>115016338.56999999</v>
      </c>
      <c r="H1528">
        <v>73590412499.490005</v>
      </c>
      <c r="I1528">
        <v>73704164026.429993</v>
      </c>
      <c r="J1528">
        <v>1.8335000000000001E-2</v>
      </c>
      <c r="K1528">
        <v>0</v>
      </c>
      <c r="M1528" t="s">
        <v>0</v>
      </c>
      <c r="N1528">
        <v>4750</v>
      </c>
      <c r="O1528">
        <v>12</v>
      </c>
      <c r="P1528">
        <v>1617</v>
      </c>
      <c r="Q1528">
        <v>0</v>
      </c>
      <c r="R1528">
        <v>54903411268</v>
      </c>
      <c r="S1528">
        <v>73826834.310000002</v>
      </c>
      <c r="T1528">
        <v>54829584433.690002</v>
      </c>
      <c r="U1528">
        <v>54829584433.690002</v>
      </c>
      <c r="V1528">
        <v>0</v>
      </c>
      <c r="W1528">
        <v>0</v>
      </c>
    </row>
    <row r="1529" spans="1:23" x14ac:dyDescent="0.35">
      <c r="A1529" t="s">
        <v>2</v>
      </c>
      <c r="B1529">
        <v>4250</v>
      </c>
      <c r="C1529">
        <v>16</v>
      </c>
      <c r="D1529">
        <v>27</v>
      </c>
      <c r="E1529">
        <v>0</v>
      </c>
      <c r="F1529">
        <v>672388507</v>
      </c>
      <c r="G1529">
        <v>1004824.94</v>
      </c>
      <c r="H1529">
        <v>671383682.05999994</v>
      </c>
      <c r="I1529">
        <v>671383682.05999994</v>
      </c>
      <c r="J1529">
        <v>0</v>
      </c>
      <c r="K1529">
        <v>0</v>
      </c>
      <c r="M1529" t="s">
        <v>1</v>
      </c>
      <c r="N1529">
        <v>4750</v>
      </c>
      <c r="O1529">
        <v>12</v>
      </c>
      <c r="P1529">
        <v>535</v>
      </c>
      <c r="Q1529">
        <v>0</v>
      </c>
      <c r="R1529">
        <v>20655823469</v>
      </c>
      <c r="S1529">
        <v>27748825.289999999</v>
      </c>
      <c r="T1529">
        <v>20628074643.709999</v>
      </c>
      <c r="U1529">
        <v>20628074643.709999</v>
      </c>
      <c r="V1529">
        <v>0</v>
      </c>
      <c r="W1529">
        <v>0</v>
      </c>
    </row>
    <row r="1530" spans="1:23" x14ac:dyDescent="0.35">
      <c r="A1530" t="s">
        <v>0</v>
      </c>
      <c r="B1530">
        <v>4750</v>
      </c>
      <c r="C1530">
        <v>12</v>
      </c>
      <c r="D1530">
        <v>1885</v>
      </c>
      <c r="E1530">
        <v>0</v>
      </c>
      <c r="F1530">
        <v>62760816167</v>
      </c>
      <c r="G1530">
        <v>84447094.920000002</v>
      </c>
      <c r="H1530">
        <v>62591285405.32</v>
      </c>
      <c r="I1530">
        <v>62660308812.599998</v>
      </c>
      <c r="J1530">
        <v>1.6147000000000002E-2</v>
      </c>
      <c r="K1530">
        <v>3.0660000000000001E-3</v>
      </c>
      <c r="M1530" t="s">
        <v>3</v>
      </c>
      <c r="N1530">
        <v>6500</v>
      </c>
      <c r="O1530">
        <v>18</v>
      </c>
      <c r="P1530">
        <v>27</v>
      </c>
      <c r="Q1530">
        <v>0</v>
      </c>
      <c r="R1530">
        <v>670056907</v>
      </c>
      <c r="S1530">
        <v>685512.02</v>
      </c>
      <c r="T1530">
        <v>669371394.98000002</v>
      </c>
      <c r="U1530">
        <v>669371394.98000002</v>
      </c>
      <c r="V1530">
        <v>0</v>
      </c>
      <c r="W1530">
        <v>0</v>
      </c>
    </row>
    <row r="1531" spans="1:23" x14ac:dyDescent="0.35">
      <c r="A1531" t="s">
        <v>2</v>
      </c>
      <c r="B1531">
        <v>4750</v>
      </c>
      <c r="C1531">
        <v>12</v>
      </c>
      <c r="D1531">
        <v>45</v>
      </c>
      <c r="E1531">
        <v>0</v>
      </c>
      <c r="F1531">
        <v>1086102543</v>
      </c>
      <c r="G1531">
        <v>1462348.9</v>
      </c>
      <c r="H1531">
        <v>1084640194.0999999</v>
      </c>
      <c r="I1531">
        <v>1084640194.0999999</v>
      </c>
      <c r="J1531">
        <v>0</v>
      </c>
      <c r="K1531">
        <v>0</v>
      </c>
      <c r="M1531" t="s">
        <v>0</v>
      </c>
      <c r="N1531">
        <v>8000</v>
      </c>
      <c r="O1531">
        <v>18</v>
      </c>
      <c r="P1531">
        <v>115</v>
      </c>
      <c r="Q1531">
        <v>0</v>
      </c>
      <c r="R1531">
        <v>3128747050</v>
      </c>
      <c r="S1531">
        <v>2427198.0499999998</v>
      </c>
      <c r="T1531">
        <v>3059985304.4200001</v>
      </c>
      <c r="U1531">
        <v>3059985304.4200001</v>
      </c>
      <c r="V1531">
        <v>0.22675200000000001</v>
      </c>
      <c r="W1531">
        <v>0.22675200000000001</v>
      </c>
    </row>
    <row r="1532" spans="1:23" x14ac:dyDescent="0.35">
      <c r="A1532" t="s">
        <v>1</v>
      </c>
      <c r="B1532">
        <v>4750</v>
      </c>
      <c r="C1532">
        <v>12</v>
      </c>
      <c r="D1532">
        <v>587</v>
      </c>
      <c r="E1532">
        <v>0</v>
      </c>
      <c r="F1532">
        <v>22881345773</v>
      </c>
      <c r="G1532">
        <v>30771083.579999998</v>
      </c>
      <c r="H1532">
        <v>22817590778.169998</v>
      </c>
      <c r="I1532">
        <v>22817590778.169998</v>
      </c>
      <c r="J1532">
        <v>1.7162E-2</v>
      </c>
      <c r="K1532">
        <v>1.7162E-2</v>
      </c>
      <c r="M1532" t="s">
        <v>0</v>
      </c>
      <c r="N1532">
        <v>8000</v>
      </c>
      <c r="O1532">
        <v>16</v>
      </c>
      <c r="P1532">
        <v>197</v>
      </c>
      <c r="Q1532">
        <v>0</v>
      </c>
      <c r="R1532">
        <v>5431248353</v>
      </c>
      <c r="S1532">
        <v>4138660.82</v>
      </c>
      <c r="T1532">
        <v>5357488009.46</v>
      </c>
      <c r="U1532">
        <v>5403790972.5699997</v>
      </c>
      <c r="V1532">
        <v>0.14343</v>
      </c>
      <c r="W1532">
        <v>5.0321999999999999E-2</v>
      </c>
    </row>
    <row r="1533" spans="1:23" x14ac:dyDescent="0.35">
      <c r="A1533" t="s">
        <v>0</v>
      </c>
      <c r="B1533">
        <v>5000</v>
      </c>
      <c r="C1533">
        <v>12</v>
      </c>
      <c r="D1533">
        <v>5262</v>
      </c>
      <c r="E1533">
        <v>0</v>
      </c>
      <c r="F1533">
        <v>186599348567</v>
      </c>
      <c r="G1533">
        <v>240005437.31999999</v>
      </c>
      <c r="H1533">
        <v>186204524774.38</v>
      </c>
      <c r="I1533">
        <v>186301296991.89001</v>
      </c>
      <c r="J1533">
        <v>9.9109999999999997E-3</v>
      </c>
      <c r="K1533">
        <v>3.7269999999999998E-3</v>
      </c>
      <c r="M1533" t="s">
        <v>3</v>
      </c>
      <c r="N1533">
        <v>5750</v>
      </c>
      <c r="O1533">
        <v>20</v>
      </c>
      <c r="P1533">
        <v>8</v>
      </c>
      <c r="Q1533">
        <v>0</v>
      </c>
      <c r="R1533">
        <v>244262407</v>
      </c>
      <c r="S1533">
        <v>286755.73</v>
      </c>
      <c r="T1533">
        <v>243975651.27000001</v>
      </c>
      <c r="U1533">
        <v>243975651.27000001</v>
      </c>
      <c r="V1533">
        <v>0</v>
      </c>
      <c r="W1533">
        <v>0</v>
      </c>
    </row>
    <row r="1534" spans="1:23" x14ac:dyDescent="0.35">
      <c r="A1534" t="s">
        <v>1</v>
      </c>
      <c r="B1534">
        <v>5000</v>
      </c>
      <c r="C1534">
        <v>12</v>
      </c>
      <c r="D1534">
        <v>1984</v>
      </c>
      <c r="E1534">
        <v>0</v>
      </c>
      <c r="F1534">
        <v>77324525662</v>
      </c>
      <c r="G1534">
        <v>99421443.840000004</v>
      </c>
      <c r="H1534">
        <v>76951001233.589996</v>
      </c>
      <c r="I1534">
        <v>77036459082.190002</v>
      </c>
      <c r="J1534">
        <v>4.1717999999999998E-2</v>
      </c>
      <c r="K1534">
        <v>2.8885999999999998E-2</v>
      </c>
      <c r="M1534" t="s">
        <v>1</v>
      </c>
      <c r="N1534">
        <v>7500</v>
      </c>
      <c r="O1534">
        <v>16</v>
      </c>
      <c r="P1534">
        <v>272</v>
      </c>
      <c r="Q1534">
        <v>0</v>
      </c>
      <c r="R1534">
        <v>6370432561</v>
      </c>
      <c r="S1534">
        <v>5346061.5999999996</v>
      </c>
      <c r="T1534">
        <v>6129587901.1800003</v>
      </c>
      <c r="U1534">
        <v>6273690136.2200003</v>
      </c>
      <c r="V1534">
        <v>0.36365599999999998</v>
      </c>
      <c r="W1534">
        <v>0.15920799999999999</v>
      </c>
    </row>
    <row r="1535" spans="1:23" x14ac:dyDescent="0.35">
      <c r="A1535" t="s">
        <v>2</v>
      </c>
      <c r="B1535">
        <v>5000</v>
      </c>
      <c r="C1535">
        <v>12</v>
      </c>
      <c r="D1535">
        <v>111</v>
      </c>
      <c r="E1535">
        <v>0</v>
      </c>
      <c r="F1535">
        <v>2978994471</v>
      </c>
      <c r="G1535">
        <v>3836312.36</v>
      </c>
      <c r="H1535">
        <v>2975158158.6399999</v>
      </c>
      <c r="I1535">
        <v>2975158158.6399999</v>
      </c>
      <c r="J1535">
        <v>0</v>
      </c>
      <c r="K1535">
        <v>0</v>
      </c>
      <c r="M1535" t="s">
        <v>1</v>
      </c>
      <c r="N1535">
        <v>7750</v>
      </c>
      <c r="O1535">
        <v>16</v>
      </c>
      <c r="P1535">
        <v>264</v>
      </c>
      <c r="Q1535">
        <v>0</v>
      </c>
      <c r="R1535">
        <v>7334917363</v>
      </c>
      <c r="S1535">
        <v>5810916.2400000002</v>
      </c>
      <c r="T1535">
        <v>7006478524.3800001</v>
      </c>
      <c r="U1535">
        <v>7117622116.1099997</v>
      </c>
      <c r="V1535">
        <v>0.41712500000000002</v>
      </c>
      <c r="W1535">
        <v>0.29607</v>
      </c>
    </row>
    <row r="1536" spans="1:23" x14ac:dyDescent="0.35">
      <c r="A1536" t="s">
        <v>0</v>
      </c>
      <c r="B1536">
        <v>5250</v>
      </c>
      <c r="C1536">
        <v>9</v>
      </c>
      <c r="D1536">
        <v>616</v>
      </c>
      <c r="E1536">
        <v>0</v>
      </c>
      <c r="F1536">
        <v>21434062295</v>
      </c>
      <c r="G1536">
        <v>26042969.760000002</v>
      </c>
      <c r="H1536">
        <v>21340829193.919998</v>
      </c>
      <c r="I1536">
        <v>21408019325.240002</v>
      </c>
      <c r="J1536">
        <v>3.6975000000000001E-2</v>
      </c>
      <c r="K1536">
        <v>0</v>
      </c>
      <c r="M1536" t="s">
        <v>0</v>
      </c>
      <c r="N1536">
        <v>5250</v>
      </c>
      <c r="O1536">
        <v>10</v>
      </c>
      <c r="P1536">
        <v>982</v>
      </c>
      <c r="Q1536">
        <v>0</v>
      </c>
      <c r="R1536">
        <v>35410929568</v>
      </c>
      <c r="S1536">
        <v>43242040.869999997</v>
      </c>
      <c r="T1536">
        <v>35245165209.730003</v>
      </c>
      <c r="U1536">
        <v>35367687527.129997</v>
      </c>
      <c r="V1536">
        <v>4.0738999999999997E-2</v>
      </c>
      <c r="W1536">
        <v>0</v>
      </c>
    </row>
    <row r="1537" spans="1:23" x14ac:dyDescent="0.35">
      <c r="A1537" t="s">
        <v>2</v>
      </c>
      <c r="B1537">
        <v>5000</v>
      </c>
      <c r="C1537">
        <v>9</v>
      </c>
      <c r="D1537">
        <v>65</v>
      </c>
      <c r="E1537">
        <v>0</v>
      </c>
      <c r="F1537">
        <v>1806128767</v>
      </c>
      <c r="G1537">
        <v>2292603.06</v>
      </c>
      <c r="H1537">
        <v>1783165832.6199999</v>
      </c>
      <c r="I1537">
        <v>1803836163.9400001</v>
      </c>
      <c r="J1537">
        <v>0.12901199999999999</v>
      </c>
      <c r="K1537">
        <v>0</v>
      </c>
      <c r="M1537" t="s">
        <v>2</v>
      </c>
      <c r="N1537">
        <v>5250</v>
      </c>
      <c r="O1537">
        <v>9</v>
      </c>
      <c r="P1537">
        <v>14</v>
      </c>
      <c r="Q1537">
        <v>0</v>
      </c>
      <c r="R1537">
        <v>294625825</v>
      </c>
      <c r="S1537">
        <v>357916.06</v>
      </c>
      <c r="T1537">
        <v>294267908.94</v>
      </c>
      <c r="U1537">
        <v>294267908.94</v>
      </c>
      <c r="V1537">
        <v>0</v>
      </c>
      <c r="W1537">
        <v>0</v>
      </c>
    </row>
    <row r="1538" spans="1:23" x14ac:dyDescent="0.35">
      <c r="A1538" t="s">
        <v>0</v>
      </c>
      <c r="B1538">
        <v>5000</v>
      </c>
      <c r="C1538">
        <v>9</v>
      </c>
      <c r="D1538">
        <v>2246</v>
      </c>
      <c r="E1538">
        <v>0</v>
      </c>
      <c r="F1538">
        <v>78617811400</v>
      </c>
      <c r="G1538">
        <v>99735136.650000006</v>
      </c>
      <c r="H1538">
        <v>78457194046.570007</v>
      </c>
      <c r="I1538">
        <v>78487028209.169998</v>
      </c>
      <c r="J1538">
        <v>9.2530000000000008E-3</v>
      </c>
      <c r="K1538">
        <v>4.7289999999999997E-3</v>
      </c>
      <c r="M1538" t="s">
        <v>0</v>
      </c>
      <c r="N1538">
        <v>5250</v>
      </c>
      <c r="O1538">
        <v>9</v>
      </c>
      <c r="P1538">
        <v>642</v>
      </c>
      <c r="Q1538">
        <v>0</v>
      </c>
      <c r="R1538">
        <v>22306163261</v>
      </c>
      <c r="S1538">
        <v>27110919.289999999</v>
      </c>
      <c r="T1538">
        <v>22252366327.990002</v>
      </c>
      <c r="U1538">
        <v>22279052341.709999</v>
      </c>
      <c r="V1538">
        <v>1.4262E-2</v>
      </c>
      <c r="W1538">
        <v>0</v>
      </c>
    </row>
    <row r="1539" spans="1:23" x14ac:dyDescent="0.35">
      <c r="A1539" t="s">
        <v>0</v>
      </c>
      <c r="B1539">
        <v>4750</v>
      </c>
      <c r="C1539">
        <v>8</v>
      </c>
      <c r="D1539">
        <v>860</v>
      </c>
      <c r="E1539">
        <v>0</v>
      </c>
      <c r="F1539">
        <v>27749630130</v>
      </c>
      <c r="G1539">
        <v>36696443.090000004</v>
      </c>
      <c r="H1539">
        <v>27712933686.91</v>
      </c>
      <c r="I1539">
        <v>27712933686.91</v>
      </c>
      <c r="J1539">
        <v>0</v>
      </c>
      <c r="K1539">
        <v>0</v>
      </c>
      <c r="M1539" t="s">
        <v>2</v>
      </c>
      <c r="N1539">
        <v>7000</v>
      </c>
      <c r="O1539">
        <v>8</v>
      </c>
      <c r="P1539">
        <v>337</v>
      </c>
      <c r="Q1539">
        <v>0</v>
      </c>
      <c r="R1539">
        <v>5632719431</v>
      </c>
      <c r="S1539">
        <v>4937766.99</v>
      </c>
      <c r="T1539">
        <v>5615586340.2600002</v>
      </c>
      <c r="U1539">
        <v>5627781664.0100002</v>
      </c>
      <c r="V1539">
        <v>2.5673999999999999E-2</v>
      </c>
      <c r="W1539">
        <v>0</v>
      </c>
    </row>
    <row r="1540" spans="1:23" x14ac:dyDescent="0.35">
      <c r="A1540" t="s">
        <v>2</v>
      </c>
      <c r="B1540">
        <v>4750</v>
      </c>
      <c r="C1540">
        <v>8</v>
      </c>
      <c r="D1540">
        <v>20</v>
      </c>
      <c r="E1540">
        <v>0</v>
      </c>
      <c r="F1540">
        <v>449632838</v>
      </c>
      <c r="G1540">
        <v>593307.67000000004</v>
      </c>
      <c r="H1540">
        <v>449039530.32999998</v>
      </c>
      <c r="I1540">
        <v>449039530.32999998</v>
      </c>
      <c r="J1540">
        <v>0</v>
      </c>
      <c r="K1540">
        <v>0</v>
      </c>
      <c r="M1540" t="s">
        <v>0</v>
      </c>
      <c r="N1540">
        <v>4000</v>
      </c>
      <c r="O1540">
        <v>18</v>
      </c>
      <c r="P1540">
        <v>2446</v>
      </c>
      <c r="Q1540">
        <v>0</v>
      </c>
      <c r="R1540">
        <v>78888364869</v>
      </c>
      <c r="S1540">
        <v>124156195.56</v>
      </c>
      <c r="T1540">
        <v>78710587023.380005</v>
      </c>
      <c r="U1540">
        <v>78764208673.429993</v>
      </c>
      <c r="V1540">
        <v>8.1259999999999995E-3</v>
      </c>
      <c r="W1540">
        <v>0</v>
      </c>
    </row>
    <row r="1541" spans="1:23" x14ac:dyDescent="0.35">
      <c r="A1541" t="s">
        <v>0</v>
      </c>
      <c r="B1541">
        <v>5000</v>
      </c>
      <c r="C1541">
        <v>8</v>
      </c>
      <c r="D1541">
        <v>2090</v>
      </c>
      <c r="E1541">
        <v>0</v>
      </c>
      <c r="F1541">
        <v>73857981716</v>
      </c>
      <c r="G1541">
        <v>93231237.230000004</v>
      </c>
      <c r="H1541">
        <v>73735876497.949997</v>
      </c>
      <c r="I1541">
        <v>73764750478.770004</v>
      </c>
      <c r="J1541">
        <v>4.6810000000000003E-3</v>
      </c>
      <c r="K1541">
        <v>0</v>
      </c>
      <c r="M1541" t="s">
        <v>1</v>
      </c>
      <c r="N1541">
        <v>4500</v>
      </c>
      <c r="O1541">
        <v>18</v>
      </c>
      <c r="P1541">
        <v>730</v>
      </c>
      <c r="Q1541">
        <v>0</v>
      </c>
      <c r="R1541">
        <v>27032099333</v>
      </c>
      <c r="S1541">
        <v>39111263.549999997</v>
      </c>
      <c r="T1541">
        <v>26956824801.689999</v>
      </c>
      <c r="U1541">
        <v>26992988069.450001</v>
      </c>
      <c r="V1541">
        <v>1.5935999999999999E-2</v>
      </c>
      <c r="W1541">
        <v>0</v>
      </c>
    </row>
    <row r="1542" spans="1:23" x14ac:dyDescent="0.35">
      <c r="A1542" t="s">
        <v>2</v>
      </c>
      <c r="B1542">
        <v>5000</v>
      </c>
      <c r="C1542">
        <v>8</v>
      </c>
      <c r="D1542">
        <v>65</v>
      </c>
      <c r="E1542">
        <v>0</v>
      </c>
      <c r="F1542">
        <v>1857536293</v>
      </c>
      <c r="G1542">
        <v>2340967.4500000002</v>
      </c>
      <c r="H1542">
        <v>1855195325.55</v>
      </c>
      <c r="I1542">
        <v>1855195325.55</v>
      </c>
      <c r="J1542">
        <v>0</v>
      </c>
      <c r="K1542">
        <v>0</v>
      </c>
      <c r="M1542" t="s">
        <v>0</v>
      </c>
      <c r="N1542">
        <v>4000</v>
      </c>
      <c r="O1542">
        <v>16</v>
      </c>
      <c r="P1542">
        <v>3289</v>
      </c>
      <c r="Q1542">
        <v>0</v>
      </c>
      <c r="R1542">
        <v>110441387056</v>
      </c>
      <c r="S1542">
        <v>172169101.74000001</v>
      </c>
      <c r="T1542">
        <v>110216611741.92999</v>
      </c>
      <c r="U1542">
        <v>110216611741.92999</v>
      </c>
      <c r="V1542">
        <v>5.7010000000000003E-3</v>
      </c>
      <c r="W1542">
        <v>5.7010000000000003E-3</v>
      </c>
    </row>
    <row r="1543" spans="1:23" x14ac:dyDescent="0.35">
      <c r="A1543" t="s">
        <v>0</v>
      </c>
      <c r="B1543">
        <v>5250</v>
      </c>
      <c r="C1543">
        <v>8</v>
      </c>
      <c r="D1543">
        <v>677</v>
      </c>
      <c r="E1543">
        <v>0</v>
      </c>
      <c r="F1543">
        <v>23345982764</v>
      </c>
      <c r="G1543">
        <v>28232373.73</v>
      </c>
      <c r="H1543">
        <v>23317750390.27</v>
      </c>
      <c r="I1543">
        <v>23317750390.27</v>
      </c>
      <c r="J1543">
        <v>0</v>
      </c>
      <c r="K1543">
        <v>0</v>
      </c>
      <c r="M1543" t="s">
        <v>2</v>
      </c>
      <c r="N1543">
        <v>4000</v>
      </c>
      <c r="O1543">
        <v>16</v>
      </c>
      <c r="P1543">
        <v>105</v>
      </c>
      <c r="Q1543">
        <v>0</v>
      </c>
      <c r="R1543">
        <v>2941161439</v>
      </c>
      <c r="S1543">
        <v>4580190.5199999996</v>
      </c>
      <c r="T1543">
        <v>2936581248.48</v>
      </c>
      <c r="U1543">
        <v>2936581248.48</v>
      </c>
      <c r="V1543">
        <v>0</v>
      </c>
      <c r="W1543">
        <v>0</v>
      </c>
    </row>
    <row r="1544" spans="1:23" x14ac:dyDescent="0.35">
      <c r="A1544" t="s">
        <v>1</v>
      </c>
      <c r="B1544">
        <v>5250</v>
      </c>
      <c r="C1544">
        <v>8</v>
      </c>
      <c r="D1544">
        <v>463</v>
      </c>
      <c r="E1544">
        <v>0</v>
      </c>
      <c r="F1544">
        <v>18542557492</v>
      </c>
      <c r="G1544">
        <v>22355961.039999999</v>
      </c>
      <c r="H1544">
        <v>18495068380.169998</v>
      </c>
      <c r="I1544">
        <v>18520201530.959999</v>
      </c>
      <c r="J1544">
        <v>1.6143999999999999E-2</v>
      </c>
      <c r="K1544">
        <v>0</v>
      </c>
      <c r="M1544" t="s">
        <v>1</v>
      </c>
      <c r="N1544">
        <v>4000</v>
      </c>
      <c r="O1544">
        <v>16</v>
      </c>
      <c r="P1544">
        <v>989</v>
      </c>
      <c r="Q1544">
        <v>0</v>
      </c>
      <c r="R1544">
        <v>35616688834</v>
      </c>
      <c r="S1544">
        <v>55511623.450000003</v>
      </c>
      <c r="T1544">
        <v>35526644163.419998</v>
      </c>
      <c r="U1544">
        <v>35526644163.419998</v>
      </c>
      <c r="V1544">
        <v>1.1573E-2</v>
      </c>
      <c r="W1544">
        <v>1.1573E-2</v>
      </c>
    </row>
    <row r="1545" spans="1:23" x14ac:dyDescent="0.35">
      <c r="A1545" t="s">
        <v>2</v>
      </c>
      <c r="B1545">
        <v>5500</v>
      </c>
      <c r="C1545">
        <v>8</v>
      </c>
      <c r="D1545">
        <v>62</v>
      </c>
      <c r="E1545">
        <v>0</v>
      </c>
      <c r="F1545">
        <v>1586133227</v>
      </c>
      <c r="G1545">
        <v>1830598.93</v>
      </c>
      <c r="H1545">
        <v>1552248953.26</v>
      </c>
      <c r="I1545">
        <v>1584302628.0699999</v>
      </c>
      <c r="J1545">
        <v>0.21728600000000001</v>
      </c>
      <c r="K1545">
        <v>0</v>
      </c>
      <c r="M1545" t="s">
        <v>2</v>
      </c>
      <c r="N1545">
        <v>4750</v>
      </c>
      <c r="O1545">
        <v>12</v>
      </c>
      <c r="P1545">
        <v>54</v>
      </c>
      <c r="Q1545">
        <v>0</v>
      </c>
      <c r="R1545">
        <v>1323490815</v>
      </c>
      <c r="S1545">
        <v>1778310.29</v>
      </c>
      <c r="T1545">
        <v>1321712504.71</v>
      </c>
      <c r="U1545">
        <v>1321712504.71</v>
      </c>
      <c r="V1545">
        <v>0</v>
      </c>
      <c r="W1545">
        <v>0</v>
      </c>
    </row>
    <row r="1546" spans="1:23" x14ac:dyDescent="0.35">
      <c r="A1546" t="s">
        <v>3</v>
      </c>
      <c r="B1546">
        <v>6750</v>
      </c>
      <c r="C1546">
        <v>16</v>
      </c>
      <c r="D1546">
        <v>36</v>
      </c>
      <c r="E1546">
        <v>0</v>
      </c>
      <c r="F1546">
        <v>1054531034</v>
      </c>
      <c r="G1546">
        <v>1019773.07</v>
      </c>
      <c r="H1546">
        <v>1053511260.9299999</v>
      </c>
      <c r="I1546">
        <v>1053511260.9299999</v>
      </c>
      <c r="J1546">
        <v>0</v>
      </c>
      <c r="K1546">
        <v>0</v>
      </c>
      <c r="M1546" t="s">
        <v>2</v>
      </c>
      <c r="N1546">
        <v>5500</v>
      </c>
      <c r="O1546">
        <v>12</v>
      </c>
      <c r="P1546">
        <v>192</v>
      </c>
      <c r="Q1546">
        <v>0</v>
      </c>
      <c r="R1546">
        <v>4347456836</v>
      </c>
      <c r="S1546">
        <v>5105951.4400000004</v>
      </c>
      <c r="T1546">
        <v>4316498255.8500004</v>
      </c>
      <c r="U1546">
        <v>4342350884.5600004</v>
      </c>
      <c r="V1546">
        <v>6.9070999999999994E-2</v>
      </c>
      <c r="W1546">
        <v>0</v>
      </c>
    </row>
    <row r="1547" spans="1:23" x14ac:dyDescent="0.35">
      <c r="A1547" t="s">
        <v>0</v>
      </c>
      <c r="B1547">
        <v>4500</v>
      </c>
      <c r="C1547">
        <v>24</v>
      </c>
      <c r="D1547">
        <v>1255</v>
      </c>
      <c r="E1547">
        <v>0</v>
      </c>
      <c r="F1547">
        <v>38569726599</v>
      </c>
      <c r="G1547">
        <v>57077004.280000001</v>
      </c>
      <c r="H1547">
        <v>38490827736.800003</v>
      </c>
      <c r="I1547">
        <v>38512649594.720001</v>
      </c>
      <c r="J1547">
        <v>6.7679999999999997E-3</v>
      </c>
      <c r="K1547">
        <v>0</v>
      </c>
      <c r="M1547" t="s">
        <v>1</v>
      </c>
      <c r="N1547">
        <v>5000</v>
      </c>
      <c r="O1547">
        <v>12</v>
      </c>
      <c r="P1547">
        <v>1995</v>
      </c>
      <c r="Q1547">
        <v>0</v>
      </c>
      <c r="R1547">
        <v>75947052336</v>
      </c>
      <c r="S1547">
        <v>97610052.280000001</v>
      </c>
      <c r="T1547">
        <v>75811640624.059998</v>
      </c>
      <c r="U1547">
        <v>75816070776.449997</v>
      </c>
      <c r="V1547">
        <v>5.9569999999999996E-3</v>
      </c>
      <c r="W1547">
        <v>5.2599999999999999E-3</v>
      </c>
    </row>
    <row r="1548" spans="1:23" x14ac:dyDescent="0.35">
      <c r="A1548" t="s">
        <v>0</v>
      </c>
      <c r="B1548">
        <v>8250</v>
      </c>
      <c r="C1548">
        <v>18</v>
      </c>
      <c r="D1548">
        <v>193</v>
      </c>
      <c r="E1548">
        <v>0</v>
      </c>
      <c r="F1548">
        <v>5874539105</v>
      </c>
      <c r="G1548">
        <v>4290321.8</v>
      </c>
      <c r="H1548">
        <v>5853590338.96</v>
      </c>
      <c r="I1548">
        <v>5870248783.1999998</v>
      </c>
      <c r="J1548">
        <v>3.3502999999999998E-2</v>
      </c>
      <c r="K1548">
        <v>0</v>
      </c>
      <c r="M1548" t="s">
        <v>2</v>
      </c>
      <c r="N1548">
        <v>5000</v>
      </c>
      <c r="O1548">
        <v>12</v>
      </c>
      <c r="P1548">
        <v>138</v>
      </c>
      <c r="Q1548">
        <v>0</v>
      </c>
      <c r="R1548">
        <v>3675788411</v>
      </c>
      <c r="S1548">
        <v>4727340.63</v>
      </c>
      <c r="T1548">
        <v>3671061070.3699999</v>
      </c>
      <c r="U1548">
        <v>3671061070.3699999</v>
      </c>
      <c r="V1548">
        <v>0</v>
      </c>
      <c r="W1548">
        <v>0</v>
      </c>
    </row>
    <row r="1549" spans="1:23" x14ac:dyDescent="0.35">
      <c r="A1549" t="s">
        <v>1</v>
      </c>
      <c r="B1549">
        <v>7750</v>
      </c>
      <c r="C1549">
        <v>12</v>
      </c>
      <c r="D1549">
        <v>356</v>
      </c>
      <c r="E1549">
        <v>0</v>
      </c>
      <c r="F1549">
        <v>10063321279</v>
      </c>
      <c r="G1549">
        <v>7775964.5700000003</v>
      </c>
      <c r="H1549">
        <v>9496752626.6900005</v>
      </c>
      <c r="I1549">
        <v>9874262097.1100006</v>
      </c>
      <c r="J1549">
        <v>0.49618499999999999</v>
      </c>
      <c r="K1549">
        <v>0.195989</v>
      </c>
      <c r="M1549" t="s">
        <v>2</v>
      </c>
      <c r="N1549">
        <v>5000</v>
      </c>
      <c r="O1549">
        <v>10</v>
      </c>
      <c r="P1549">
        <v>53</v>
      </c>
      <c r="Q1549">
        <v>0</v>
      </c>
      <c r="R1549">
        <v>1449443712</v>
      </c>
      <c r="S1549">
        <v>1852005.09</v>
      </c>
      <c r="T1549">
        <v>1447591706.9100001</v>
      </c>
      <c r="U1549">
        <v>1447591706.9100001</v>
      </c>
      <c r="V1549">
        <v>0</v>
      </c>
      <c r="W1549">
        <v>0</v>
      </c>
    </row>
    <row r="1550" spans="1:23" x14ac:dyDescent="0.35">
      <c r="A1550" t="s">
        <v>1</v>
      </c>
      <c r="B1550">
        <v>7750</v>
      </c>
      <c r="C1550">
        <v>10</v>
      </c>
      <c r="D1550">
        <v>206</v>
      </c>
      <c r="E1550">
        <v>0</v>
      </c>
      <c r="F1550">
        <v>5659106875</v>
      </c>
      <c r="G1550">
        <v>4349745.26</v>
      </c>
      <c r="H1550">
        <v>5404280795.54</v>
      </c>
      <c r="I1550">
        <v>5570748903.4300003</v>
      </c>
      <c r="J1550">
        <v>0.41913800000000001</v>
      </c>
      <c r="K1550">
        <v>0.16428899999999999</v>
      </c>
      <c r="M1550" t="s">
        <v>0</v>
      </c>
      <c r="N1550">
        <v>5000</v>
      </c>
      <c r="O1550">
        <v>10</v>
      </c>
      <c r="P1550">
        <v>2780</v>
      </c>
      <c r="Q1550">
        <v>0</v>
      </c>
      <c r="R1550">
        <v>98363687912</v>
      </c>
      <c r="S1550">
        <v>125520575.72</v>
      </c>
      <c r="T1550">
        <v>98238167336.279999</v>
      </c>
      <c r="U1550">
        <v>98238167336.279999</v>
      </c>
      <c r="V1550">
        <v>0</v>
      </c>
      <c r="W1550">
        <v>0</v>
      </c>
    </row>
    <row r="1551" spans="1:23" x14ac:dyDescent="0.35">
      <c r="A1551" t="s">
        <v>3</v>
      </c>
      <c r="B1551">
        <v>5250</v>
      </c>
      <c r="C1551">
        <v>20</v>
      </c>
      <c r="D1551">
        <v>7</v>
      </c>
      <c r="E1551">
        <v>0</v>
      </c>
      <c r="F1551">
        <v>153816534</v>
      </c>
      <c r="G1551">
        <v>196451.13</v>
      </c>
      <c r="H1551">
        <v>153620082.87</v>
      </c>
      <c r="I1551">
        <v>153620082.87</v>
      </c>
      <c r="J1551">
        <v>0</v>
      </c>
      <c r="K1551">
        <v>0</v>
      </c>
      <c r="M1551" t="s">
        <v>1</v>
      </c>
      <c r="N1551">
        <v>5000</v>
      </c>
      <c r="O1551">
        <v>10</v>
      </c>
      <c r="P1551">
        <v>1035</v>
      </c>
      <c r="Q1551">
        <v>0</v>
      </c>
      <c r="R1551">
        <v>40033442339</v>
      </c>
      <c r="S1551">
        <v>51060307.030000001</v>
      </c>
      <c r="T1551">
        <v>39982382031.970001</v>
      </c>
      <c r="U1551">
        <v>39982382031.970001</v>
      </c>
      <c r="V1551">
        <v>0</v>
      </c>
      <c r="W1551">
        <v>0</v>
      </c>
    </row>
    <row r="1552" spans="1:23" x14ac:dyDescent="0.35">
      <c r="A1552" t="s">
        <v>3</v>
      </c>
      <c r="B1552">
        <v>7250</v>
      </c>
      <c r="C1552">
        <v>18</v>
      </c>
      <c r="D1552">
        <v>4</v>
      </c>
      <c r="E1552">
        <v>0</v>
      </c>
      <c r="F1552">
        <v>128758147</v>
      </c>
      <c r="G1552">
        <v>116003.88</v>
      </c>
      <c r="H1552">
        <v>128642143.12</v>
      </c>
      <c r="I1552">
        <v>128642143.12</v>
      </c>
      <c r="J1552">
        <v>0</v>
      </c>
      <c r="K1552">
        <v>0</v>
      </c>
      <c r="M1552" t="s">
        <v>0</v>
      </c>
      <c r="N1552">
        <v>5250</v>
      </c>
      <c r="O1552">
        <v>8</v>
      </c>
      <c r="P1552">
        <v>618</v>
      </c>
      <c r="Q1552">
        <v>0</v>
      </c>
      <c r="R1552">
        <v>21478522341</v>
      </c>
      <c r="S1552">
        <v>25952599</v>
      </c>
      <c r="T1552">
        <v>21436054785.799999</v>
      </c>
      <c r="U1552">
        <v>21452569742</v>
      </c>
      <c r="V1552">
        <v>9.188E-3</v>
      </c>
      <c r="W1552">
        <v>0</v>
      </c>
    </row>
    <row r="1553" spans="1:23" x14ac:dyDescent="0.35">
      <c r="A1553" t="s">
        <v>3</v>
      </c>
      <c r="B1553">
        <v>7000</v>
      </c>
      <c r="C1553">
        <v>14</v>
      </c>
      <c r="D1553">
        <v>14</v>
      </c>
      <c r="E1553">
        <v>0</v>
      </c>
      <c r="F1553">
        <v>270288204</v>
      </c>
      <c r="G1553">
        <v>247086.59</v>
      </c>
      <c r="H1553">
        <v>239378314.81</v>
      </c>
      <c r="I1553">
        <v>270041117.41000003</v>
      </c>
      <c r="J1553">
        <v>0.76424099999999995</v>
      </c>
      <c r="K1553">
        <v>0</v>
      </c>
      <c r="M1553" t="s">
        <v>2</v>
      </c>
      <c r="N1553">
        <v>5000</v>
      </c>
      <c r="O1553">
        <v>8</v>
      </c>
      <c r="P1553">
        <v>65</v>
      </c>
      <c r="Q1553">
        <v>0</v>
      </c>
      <c r="R1553">
        <v>1808551829</v>
      </c>
      <c r="S1553">
        <v>2283334.2400000002</v>
      </c>
      <c r="T1553">
        <v>1806268494.76</v>
      </c>
      <c r="U1553">
        <v>1806268494.76</v>
      </c>
      <c r="V1553">
        <v>0</v>
      </c>
      <c r="W1553">
        <v>0</v>
      </c>
    </row>
    <row r="1554" spans="1:23" x14ac:dyDescent="0.35">
      <c r="A1554" t="s">
        <v>3</v>
      </c>
      <c r="B1554">
        <v>6500</v>
      </c>
      <c r="C1554">
        <v>16</v>
      </c>
      <c r="D1554">
        <v>43</v>
      </c>
      <c r="E1554">
        <v>0</v>
      </c>
      <c r="F1554">
        <v>1212412566</v>
      </c>
      <c r="G1554">
        <v>1219552.01</v>
      </c>
      <c r="H1554">
        <v>1211193013.99</v>
      </c>
      <c r="I1554">
        <v>1211193013.99</v>
      </c>
      <c r="J1554">
        <v>0</v>
      </c>
      <c r="K1554">
        <v>0</v>
      </c>
      <c r="M1554" t="s">
        <v>0</v>
      </c>
      <c r="N1554">
        <v>5000</v>
      </c>
      <c r="O1554">
        <v>8</v>
      </c>
      <c r="P1554">
        <v>2248</v>
      </c>
      <c r="Q1554">
        <v>0</v>
      </c>
      <c r="R1554">
        <v>78827807744</v>
      </c>
      <c r="S1554">
        <v>99463237.849999994</v>
      </c>
      <c r="T1554">
        <v>78643032232.779999</v>
      </c>
      <c r="U1554">
        <v>78728344506.149994</v>
      </c>
      <c r="V1554">
        <v>1.291E-2</v>
      </c>
      <c r="W1554">
        <v>0</v>
      </c>
    </row>
    <row r="1555" spans="1:23" x14ac:dyDescent="0.35">
      <c r="A1555" t="s">
        <v>0</v>
      </c>
      <c r="B1555">
        <v>8000</v>
      </c>
      <c r="C1555">
        <v>16</v>
      </c>
      <c r="D1555">
        <v>194</v>
      </c>
      <c r="E1555">
        <v>0</v>
      </c>
      <c r="F1555">
        <v>5534439769</v>
      </c>
      <c r="G1555">
        <v>4214065.13</v>
      </c>
      <c r="H1555">
        <v>5433172780.8199997</v>
      </c>
      <c r="I1555">
        <v>5530225703.8699999</v>
      </c>
      <c r="J1555">
        <v>0.191279</v>
      </c>
      <c r="K1555">
        <v>0</v>
      </c>
      <c r="M1555" t="s">
        <v>0</v>
      </c>
      <c r="N1555">
        <v>4750</v>
      </c>
      <c r="O1555">
        <v>7</v>
      </c>
      <c r="P1555">
        <v>861</v>
      </c>
      <c r="Q1555">
        <v>0</v>
      </c>
      <c r="R1555">
        <v>27823022472</v>
      </c>
      <c r="S1555">
        <v>36602158.93</v>
      </c>
      <c r="T1555">
        <v>27761560950.860001</v>
      </c>
      <c r="U1555">
        <v>27786420313.07</v>
      </c>
      <c r="V1555">
        <v>1.0669E-2</v>
      </c>
      <c r="W1555">
        <v>0</v>
      </c>
    </row>
    <row r="1556" spans="1:23" x14ac:dyDescent="0.35">
      <c r="A1556" t="s">
        <v>0</v>
      </c>
      <c r="B1556">
        <v>8250</v>
      </c>
      <c r="C1556">
        <v>16</v>
      </c>
      <c r="D1556">
        <v>279</v>
      </c>
      <c r="E1556">
        <v>0</v>
      </c>
      <c r="F1556">
        <v>8372375129</v>
      </c>
      <c r="G1556">
        <v>6038277.6500000004</v>
      </c>
      <c r="H1556">
        <v>8250114318.4099998</v>
      </c>
      <c r="I1556">
        <v>8345774989.21</v>
      </c>
      <c r="J1556">
        <v>0.15443200000000001</v>
      </c>
      <c r="K1556">
        <v>2.9076000000000001E-2</v>
      </c>
      <c r="M1556" t="s">
        <v>0</v>
      </c>
      <c r="N1556">
        <v>4750</v>
      </c>
      <c r="O1556">
        <v>10</v>
      </c>
      <c r="P1556">
        <v>1047</v>
      </c>
      <c r="Q1556">
        <v>0</v>
      </c>
      <c r="R1556">
        <v>34724919014</v>
      </c>
      <c r="S1556">
        <v>46373452.530000001</v>
      </c>
      <c r="T1556">
        <v>34655081844.849998</v>
      </c>
      <c r="U1556">
        <v>34678545561.470001</v>
      </c>
      <c r="V1556">
        <v>8.0780000000000001E-3</v>
      </c>
      <c r="W1556">
        <v>0</v>
      </c>
    </row>
    <row r="1557" spans="1:23" x14ac:dyDescent="0.35">
      <c r="A1557" t="s">
        <v>0</v>
      </c>
      <c r="B1557">
        <v>8000</v>
      </c>
      <c r="C1557">
        <v>14</v>
      </c>
      <c r="D1557">
        <v>146</v>
      </c>
      <c r="E1557">
        <v>0</v>
      </c>
      <c r="F1557">
        <v>4529115373</v>
      </c>
      <c r="G1557">
        <v>3399632.69</v>
      </c>
      <c r="H1557">
        <v>4512018229.75</v>
      </c>
      <c r="I1557">
        <v>4512018229.75</v>
      </c>
      <c r="J1557">
        <v>3.5693999999999997E-2</v>
      </c>
      <c r="K1557">
        <v>3.5693999999999997E-2</v>
      </c>
      <c r="M1557" t="s">
        <v>2</v>
      </c>
      <c r="N1557">
        <v>4750</v>
      </c>
      <c r="O1557">
        <v>7</v>
      </c>
      <c r="P1557">
        <v>20</v>
      </c>
      <c r="Q1557">
        <v>0</v>
      </c>
      <c r="R1557">
        <v>450154747</v>
      </c>
      <c r="S1557">
        <v>590895.94999999995</v>
      </c>
      <c r="T1557">
        <v>449563851.05000001</v>
      </c>
      <c r="U1557">
        <v>449563851.05000001</v>
      </c>
      <c r="V1557">
        <v>0</v>
      </c>
      <c r="W1557">
        <v>0</v>
      </c>
    </row>
    <row r="1558" spans="1:23" x14ac:dyDescent="0.35">
      <c r="A1558" t="s">
        <v>0</v>
      </c>
      <c r="B1558">
        <v>8250</v>
      </c>
      <c r="C1558">
        <v>14</v>
      </c>
      <c r="D1558">
        <v>180</v>
      </c>
      <c r="E1558">
        <v>0</v>
      </c>
      <c r="F1558">
        <v>5675428384</v>
      </c>
      <c r="G1558">
        <v>4038318.75</v>
      </c>
      <c r="H1558">
        <v>5638049479.0200005</v>
      </c>
      <c r="I1558">
        <v>5671390065.25</v>
      </c>
      <c r="J1558">
        <v>6.8261000000000002E-2</v>
      </c>
      <c r="K1558">
        <v>0</v>
      </c>
      <c r="M1558" t="s">
        <v>0</v>
      </c>
      <c r="N1558">
        <v>5000</v>
      </c>
      <c r="O1558">
        <v>7</v>
      </c>
      <c r="P1558">
        <v>2091</v>
      </c>
      <c r="Q1558">
        <v>0</v>
      </c>
      <c r="R1558">
        <v>74033710163</v>
      </c>
      <c r="S1558">
        <v>92951134.239999995</v>
      </c>
      <c r="T1558">
        <v>73907551387.520004</v>
      </c>
      <c r="U1558">
        <v>73940759028.759995</v>
      </c>
      <c r="V1558">
        <v>5.3689999999999996E-3</v>
      </c>
      <c r="W1558">
        <v>0</v>
      </c>
    </row>
    <row r="1559" spans="1:23" x14ac:dyDescent="0.35">
      <c r="A1559" t="s">
        <v>2</v>
      </c>
      <c r="B1559">
        <v>7750</v>
      </c>
      <c r="C1559">
        <v>16</v>
      </c>
      <c r="D1559">
        <v>30</v>
      </c>
      <c r="E1559">
        <v>0</v>
      </c>
      <c r="F1559">
        <v>413649550</v>
      </c>
      <c r="G1559">
        <v>330843.33</v>
      </c>
      <c r="H1559">
        <v>405798870.20999998</v>
      </c>
      <c r="I1559">
        <v>413318706.67000002</v>
      </c>
      <c r="J1559">
        <v>0.19760800000000001</v>
      </c>
      <c r="K1559">
        <v>0</v>
      </c>
      <c r="M1559" t="s">
        <v>2</v>
      </c>
      <c r="N1559">
        <v>5000</v>
      </c>
      <c r="O1559">
        <v>7</v>
      </c>
      <c r="P1559">
        <v>65</v>
      </c>
      <c r="Q1559">
        <v>0</v>
      </c>
      <c r="R1559">
        <v>1860625552</v>
      </c>
      <c r="S1559">
        <v>2332252.04</v>
      </c>
      <c r="T1559">
        <v>1858293299.96</v>
      </c>
      <c r="U1559">
        <v>1858293299.96</v>
      </c>
      <c r="V1559">
        <v>0</v>
      </c>
      <c r="W1559">
        <v>0</v>
      </c>
    </row>
    <row r="1560" spans="1:23" x14ac:dyDescent="0.35">
      <c r="A1560" t="s">
        <v>2</v>
      </c>
      <c r="B1560">
        <v>7250</v>
      </c>
      <c r="C1560">
        <v>14</v>
      </c>
      <c r="D1560">
        <v>498</v>
      </c>
      <c r="E1560">
        <v>0</v>
      </c>
      <c r="F1560">
        <v>7523503396</v>
      </c>
      <c r="G1560">
        <v>6502663.1600000001</v>
      </c>
      <c r="H1560">
        <v>7491268976.3199997</v>
      </c>
      <c r="I1560">
        <v>7501583147.0200005</v>
      </c>
      <c r="J1560">
        <v>4.0279000000000002E-2</v>
      </c>
      <c r="K1560">
        <v>2.4316000000000001E-2</v>
      </c>
      <c r="M1560" t="s">
        <v>0</v>
      </c>
      <c r="N1560">
        <v>5250</v>
      </c>
      <c r="O1560">
        <v>7</v>
      </c>
      <c r="P1560">
        <v>681</v>
      </c>
      <c r="Q1560">
        <v>0</v>
      </c>
      <c r="R1560">
        <v>23480053565</v>
      </c>
      <c r="S1560">
        <v>28239535.140000001</v>
      </c>
      <c r="T1560">
        <v>23361630802.41</v>
      </c>
      <c r="U1560">
        <v>23451814029.860001</v>
      </c>
      <c r="V1560">
        <v>4.5129000000000002E-2</v>
      </c>
      <c r="W1560">
        <v>0</v>
      </c>
    </row>
    <row r="1561" spans="1:23" x14ac:dyDescent="0.35">
      <c r="A1561" t="s">
        <v>2</v>
      </c>
      <c r="B1561">
        <v>7000</v>
      </c>
      <c r="C1561">
        <v>12</v>
      </c>
      <c r="D1561">
        <v>426</v>
      </c>
      <c r="E1561">
        <v>0</v>
      </c>
      <c r="F1561">
        <v>7295043508</v>
      </c>
      <c r="G1561">
        <v>6552754.4500000002</v>
      </c>
      <c r="H1561">
        <v>7181376360.1599998</v>
      </c>
      <c r="I1561">
        <v>7181376360.1599998</v>
      </c>
      <c r="J1561">
        <v>0.16264300000000001</v>
      </c>
      <c r="K1561">
        <v>0.16264300000000001</v>
      </c>
      <c r="M1561" t="s">
        <v>1</v>
      </c>
      <c r="N1561">
        <v>5250</v>
      </c>
      <c r="O1561">
        <v>7</v>
      </c>
      <c r="P1561">
        <v>468</v>
      </c>
      <c r="Q1561">
        <v>0</v>
      </c>
      <c r="R1561">
        <v>18745390237</v>
      </c>
      <c r="S1561">
        <v>22475732.109999999</v>
      </c>
      <c r="T1561">
        <v>18560396006.27</v>
      </c>
      <c r="U1561">
        <v>18722914504.889999</v>
      </c>
      <c r="V1561">
        <v>9.9217E-2</v>
      </c>
      <c r="W1561">
        <v>0</v>
      </c>
    </row>
    <row r="1562" spans="1:23" x14ac:dyDescent="0.35">
      <c r="A1562" t="s">
        <v>1</v>
      </c>
      <c r="B1562">
        <v>7750</v>
      </c>
      <c r="C1562">
        <v>16</v>
      </c>
      <c r="D1562">
        <v>287</v>
      </c>
      <c r="E1562">
        <v>0</v>
      </c>
      <c r="F1562">
        <v>7463760857</v>
      </c>
      <c r="G1562">
        <v>5922308.2400000002</v>
      </c>
      <c r="H1562">
        <v>6985770158.2200003</v>
      </c>
      <c r="I1562">
        <v>7187666522.79</v>
      </c>
      <c r="J1562">
        <v>0.54344300000000001</v>
      </c>
      <c r="K1562">
        <v>0.35752699999999998</v>
      </c>
      <c r="M1562" t="s">
        <v>2</v>
      </c>
      <c r="N1562">
        <v>5500</v>
      </c>
      <c r="O1562">
        <v>7</v>
      </c>
      <c r="P1562">
        <v>62</v>
      </c>
      <c r="Q1562">
        <v>0</v>
      </c>
      <c r="R1562">
        <v>1588241430</v>
      </c>
      <c r="S1562">
        <v>1822640.15</v>
      </c>
      <c r="T1562">
        <v>1586418789.8499999</v>
      </c>
      <c r="U1562">
        <v>1586418789.8499999</v>
      </c>
      <c r="V1562">
        <v>0</v>
      </c>
      <c r="W1562">
        <v>0</v>
      </c>
    </row>
    <row r="1563" spans="1:23" x14ac:dyDescent="0.35">
      <c r="A1563" t="s">
        <v>1</v>
      </c>
      <c r="B1563">
        <v>7500</v>
      </c>
      <c r="C1563">
        <v>16</v>
      </c>
      <c r="D1563">
        <v>280</v>
      </c>
      <c r="E1563">
        <v>0</v>
      </c>
      <c r="F1563">
        <v>7011671394</v>
      </c>
      <c r="G1563">
        <v>5892865.4100000001</v>
      </c>
      <c r="H1563">
        <v>6603776778.7399998</v>
      </c>
      <c r="I1563">
        <v>6959302990.1099997</v>
      </c>
      <c r="J1563">
        <v>0.50762200000000002</v>
      </c>
      <c r="K1563">
        <v>7.6702999999999993E-2</v>
      </c>
      <c r="M1563" t="s">
        <v>1</v>
      </c>
      <c r="N1563">
        <v>7750</v>
      </c>
      <c r="O1563">
        <v>10</v>
      </c>
      <c r="P1563">
        <v>198</v>
      </c>
      <c r="Q1563">
        <v>0</v>
      </c>
      <c r="R1563">
        <v>5823708941</v>
      </c>
      <c r="S1563">
        <v>4455851.09</v>
      </c>
      <c r="T1563">
        <v>5421778901.8199997</v>
      </c>
      <c r="U1563">
        <v>5662363994.0200005</v>
      </c>
      <c r="V1563">
        <v>0.57185900000000001</v>
      </c>
      <c r="W1563">
        <v>0.27942899999999998</v>
      </c>
    </row>
    <row r="1564" spans="1:23" x14ac:dyDescent="0.35">
      <c r="A1564" t="s">
        <v>1</v>
      </c>
      <c r="B1564">
        <v>4750</v>
      </c>
      <c r="C1564">
        <v>5</v>
      </c>
      <c r="D1564">
        <v>3634</v>
      </c>
      <c r="E1564">
        <v>0</v>
      </c>
      <c r="F1564">
        <v>152452500000</v>
      </c>
      <c r="G1564">
        <v>194514967.56999999</v>
      </c>
      <c r="H1564">
        <v>151961164563.56</v>
      </c>
      <c r="I1564">
        <v>152257985032.42999</v>
      </c>
      <c r="J1564">
        <v>2.3115E-2</v>
      </c>
      <c r="K1564">
        <v>0</v>
      </c>
      <c r="M1564" t="s">
        <v>1</v>
      </c>
      <c r="N1564">
        <v>7750</v>
      </c>
      <c r="O1564">
        <v>9</v>
      </c>
      <c r="P1564">
        <v>247</v>
      </c>
      <c r="Q1564">
        <v>0</v>
      </c>
      <c r="R1564">
        <v>6810360016</v>
      </c>
      <c r="S1564">
        <v>5188283.91</v>
      </c>
      <c r="T1564">
        <v>5562577493.2799997</v>
      </c>
      <c r="U1564">
        <v>6248796435.8800001</v>
      </c>
      <c r="V1564">
        <v>0.91084799999999999</v>
      </c>
      <c r="W1564">
        <v>0.64038200000000001</v>
      </c>
    </row>
    <row r="1565" spans="1:23" x14ac:dyDescent="0.35">
      <c r="A1565" t="s">
        <v>2</v>
      </c>
      <c r="B1565">
        <v>8000</v>
      </c>
      <c r="C1565">
        <v>20</v>
      </c>
      <c r="D1565">
        <v>1</v>
      </c>
      <c r="E1565">
        <v>0</v>
      </c>
      <c r="F1565">
        <v>21980427</v>
      </c>
      <c r="G1565">
        <v>17121.349999999999</v>
      </c>
      <c r="H1565">
        <v>21963305.649999999</v>
      </c>
      <c r="I1565">
        <v>21963305.649999999</v>
      </c>
      <c r="J1565">
        <v>0</v>
      </c>
      <c r="K1565">
        <v>0</v>
      </c>
      <c r="M1565" t="s">
        <v>2</v>
      </c>
      <c r="N1565">
        <v>7250</v>
      </c>
      <c r="O1565">
        <v>14</v>
      </c>
      <c r="P1565">
        <v>414</v>
      </c>
      <c r="Q1565">
        <v>0</v>
      </c>
      <c r="R1565">
        <v>6036323002</v>
      </c>
      <c r="S1565">
        <v>5207060.68</v>
      </c>
      <c r="T1565">
        <v>5987122342.3699999</v>
      </c>
      <c r="U1565">
        <v>6006230047.3100004</v>
      </c>
      <c r="V1565">
        <v>8.4036E-2</v>
      </c>
      <c r="W1565">
        <v>4.8365999999999999E-2</v>
      </c>
    </row>
    <row r="1566" spans="1:23" x14ac:dyDescent="0.35">
      <c r="A1566" t="s">
        <v>1</v>
      </c>
      <c r="B1566">
        <v>8250</v>
      </c>
      <c r="C1566">
        <v>18</v>
      </c>
      <c r="D1566">
        <v>2</v>
      </c>
      <c r="E1566">
        <v>0</v>
      </c>
      <c r="F1566">
        <v>40291818</v>
      </c>
      <c r="G1566">
        <v>29562.44</v>
      </c>
      <c r="H1566">
        <v>40262255.560000002</v>
      </c>
      <c r="I1566">
        <v>40262255.560000002</v>
      </c>
      <c r="J1566">
        <v>0</v>
      </c>
      <c r="K1566">
        <v>0</v>
      </c>
      <c r="M1566" t="s">
        <v>2</v>
      </c>
      <c r="N1566">
        <v>7000</v>
      </c>
      <c r="O1566">
        <v>14</v>
      </c>
      <c r="P1566">
        <v>415</v>
      </c>
      <c r="Q1566">
        <v>0</v>
      </c>
      <c r="R1566">
        <v>6828743736</v>
      </c>
      <c r="S1566">
        <v>6208588.5300000003</v>
      </c>
      <c r="T1566">
        <v>6752525920.1199999</v>
      </c>
      <c r="U1566">
        <v>6800852829.0500002</v>
      </c>
      <c r="V1566">
        <v>0.11632000000000001</v>
      </c>
      <c r="W1566">
        <v>3.7442999999999997E-2</v>
      </c>
    </row>
    <row r="1567" spans="1:23" x14ac:dyDescent="0.35">
      <c r="A1567" t="s">
        <v>1</v>
      </c>
      <c r="B1567">
        <v>7500</v>
      </c>
      <c r="C1567">
        <v>14</v>
      </c>
      <c r="D1567">
        <v>369</v>
      </c>
      <c r="E1567">
        <v>0</v>
      </c>
      <c r="F1567">
        <v>9296935591</v>
      </c>
      <c r="G1567">
        <v>7687752.79</v>
      </c>
      <c r="H1567">
        <v>8704837791.4799995</v>
      </c>
      <c r="I1567">
        <v>9093042953.1299992</v>
      </c>
      <c r="J1567">
        <v>0.54117099999999996</v>
      </c>
      <c r="K1567">
        <v>0.225828</v>
      </c>
      <c r="M1567" t="s">
        <v>0</v>
      </c>
      <c r="N1567">
        <v>9000</v>
      </c>
      <c r="O1567">
        <v>18</v>
      </c>
      <c r="P1567">
        <v>6</v>
      </c>
      <c r="Q1567">
        <v>0</v>
      </c>
      <c r="R1567">
        <v>192008748</v>
      </c>
      <c r="S1567">
        <v>127883.83</v>
      </c>
      <c r="T1567">
        <v>191880864.16999999</v>
      </c>
      <c r="U1567">
        <v>191880864.16999999</v>
      </c>
      <c r="V1567">
        <v>0</v>
      </c>
      <c r="W1567">
        <v>0</v>
      </c>
    </row>
    <row r="1568" spans="1:23" x14ac:dyDescent="0.35">
      <c r="A1568" t="s">
        <v>3</v>
      </c>
      <c r="B1568">
        <v>7000</v>
      </c>
      <c r="C1568">
        <v>16</v>
      </c>
      <c r="D1568">
        <v>13</v>
      </c>
      <c r="E1568">
        <v>0</v>
      </c>
      <c r="F1568">
        <v>357898689</v>
      </c>
      <c r="G1568">
        <v>330237.94</v>
      </c>
      <c r="H1568">
        <v>357568451.06</v>
      </c>
      <c r="I1568">
        <v>357568451.06</v>
      </c>
      <c r="J1568">
        <v>0</v>
      </c>
      <c r="K1568">
        <v>0</v>
      </c>
      <c r="M1568" t="s">
        <v>0</v>
      </c>
      <c r="N1568">
        <v>8500</v>
      </c>
      <c r="O1568">
        <v>18</v>
      </c>
      <c r="P1568">
        <v>2</v>
      </c>
      <c r="Q1568">
        <v>0</v>
      </c>
      <c r="R1568">
        <v>64954656</v>
      </c>
      <c r="S1568">
        <v>45293.71</v>
      </c>
      <c r="T1568">
        <v>64909362.289999999</v>
      </c>
      <c r="U1568">
        <v>64909362.289999999</v>
      </c>
      <c r="V1568">
        <v>0</v>
      </c>
      <c r="W1568">
        <v>0</v>
      </c>
    </row>
    <row r="1569" spans="1:23" x14ac:dyDescent="0.35">
      <c r="A1569" t="s">
        <v>3</v>
      </c>
      <c r="B1569">
        <v>7250</v>
      </c>
      <c r="C1569">
        <v>16</v>
      </c>
      <c r="D1569">
        <v>4</v>
      </c>
      <c r="E1569">
        <v>0</v>
      </c>
      <c r="F1569">
        <v>75785890</v>
      </c>
      <c r="G1569">
        <v>66991.75</v>
      </c>
      <c r="H1569">
        <v>75718898.25</v>
      </c>
      <c r="I1569">
        <v>75718898.25</v>
      </c>
      <c r="J1569">
        <v>0</v>
      </c>
      <c r="K1569">
        <v>0</v>
      </c>
      <c r="M1569" t="s">
        <v>3</v>
      </c>
      <c r="N1569">
        <v>7250</v>
      </c>
      <c r="O1569">
        <v>18</v>
      </c>
      <c r="P1569">
        <v>8</v>
      </c>
      <c r="Q1569">
        <v>0</v>
      </c>
      <c r="R1569">
        <v>231492959</v>
      </c>
      <c r="S1569">
        <v>208614.63</v>
      </c>
      <c r="T1569">
        <v>231284344.37</v>
      </c>
      <c r="U1569">
        <v>231284344.37</v>
      </c>
      <c r="V1569">
        <v>0</v>
      </c>
      <c r="W1569">
        <v>0</v>
      </c>
    </row>
    <row r="1570" spans="1:23" x14ac:dyDescent="0.35">
      <c r="A1570" t="s">
        <v>1</v>
      </c>
      <c r="B1570">
        <v>4500</v>
      </c>
      <c r="C1570">
        <v>20</v>
      </c>
      <c r="D1570">
        <v>573</v>
      </c>
      <c r="E1570">
        <v>0</v>
      </c>
      <c r="F1570">
        <v>20437353509</v>
      </c>
      <c r="G1570">
        <v>29866201.440000001</v>
      </c>
      <c r="H1570">
        <v>20407487307.560001</v>
      </c>
      <c r="I1570">
        <v>20407487307.560001</v>
      </c>
      <c r="J1570">
        <v>0</v>
      </c>
      <c r="K1570">
        <v>0</v>
      </c>
      <c r="M1570" t="s">
        <v>3</v>
      </c>
      <c r="N1570">
        <v>6000</v>
      </c>
      <c r="O1570">
        <v>20</v>
      </c>
      <c r="P1570">
        <v>3</v>
      </c>
      <c r="Q1570">
        <v>0</v>
      </c>
      <c r="R1570">
        <v>69287758</v>
      </c>
      <c r="S1570">
        <v>79319.23</v>
      </c>
      <c r="T1570">
        <v>69208438.769999996</v>
      </c>
      <c r="U1570">
        <v>69208438.769999996</v>
      </c>
      <c r="V1570">
        <v>0</v>
      </c>
      <c r="W1570">
        <v>0</v>
      </c>
    </row>
    <row r="1571" spans="1:23" x14ac:dyDescent="0.35">
      <c r="A1571" t="s">
        <v>3</v>
      </c>
      <c r="B1571">
        <v>7500</v>
      </c>
      <c r="C1571">
        <v>16</v>
      </c>
      <c r="D1571">
        <v>1</v>
      </c>
      <c r="E1571">
        <v>0</v>
      </c>
      <c r="F1571">
        <v>18698579</v>
      </c>
      <c r="G1571">
        <v>15525</v>
      </c>
      <c r="H1571">
        <v>18683054</v>
      </c>
      <c r="I1571">
        <v>18683054</v>
      </c>
      <c r="J1571">
        <v>0</v>
      </c>
      <c r="K1571">
        <v>0</v>
      </c>
      <c r="M1571" t="s">
        <v>3</v>
      </c>
      <c r="N1571">
        <v>5500</v>
      </c>
      <c r="O1571">
        <v>20</v>
      </c>
      <c r="P1571">
        <v>2</v>
      </c>
      <c r="Q1571">
        <v>0</v>
      </c>
      <c r="R1571">
        <v>75314576</v>
      </c>
      <c r="S1571">
        <v>93142.92</v>
      </c>
      <c r="T1571">
        <v>75221433.079999998</v>
      </c>
      <c r="U1571">
        <v>75221433.079999998</v>
      </c>
      <c r="V1571">
        <v>0</v>
      </c>
      <c r="W1571">
        <v>0</v>
      </c>
    </row>
    <row r="1572" spans="1:23" x14ac:dyDescent="0.35">
      <c r="A1572" t="s">
        <v>3</v>
      </c>
      <c r="B1572">
        <v>6500</v>
      </c>
      <c r="C1572">
        <v>14</v>
      </c>
      <c r="D1572">
        <v>66</v>
      </c>
      <c r="E1572">
        <v>0</v>
      </c>
      <c r="F1572">
        <v>1911429238</v>
      </c>
      <c r="G1572">
        <v>1910327.33</v>
      </c>
      <c r="H1572">
        <v>1909518910.6700001</v>
      </c>
      <c r="I1572">
        <v>1909518910.6700001</v>
      </c>
      <c r="J1572">
        <v>0</v>
      </c>
      <c r="K1572">
        <v>0</v>
      </c>
      <c r="M1572" t="s">
        <v>3</v>
      </c>
      <c r="N1572">
        <v>7000</v>
      </c>
      <c r="O1572">
        <v>14</v>
      </c>
      <c r="P1572">
        <v>17</v>
      </c>
      <c r="Q1572">
        <v>0</v>
      </c>
      <c r="R1572">
        <v>430675346</v>
      </c>
      <c r="S1572">
        <v>393791.31</v>
      </c>
      <c r="T1572">
        <v>430281554.69</v>
      </c>
      <c r="U1572">
        <v>430281554.69</v>
      </c>
      <c r="V1572">
        <v>0</v>
      </c>
      <c r="W1572">
        <v>0</v>
      </c>
    </row>
    <row r="1573" spans="1:23" x14ac:dyDescent="0.35">
      <c r="A1573" t="s">
        <v>3</v>
      </c>
      <c r="B1573">
        <v>7250</v>
      </c>
      <c r="C1573">
        <v>14</v>
      </c>
      <c r="D1573">
        <v>7</v>
      </c>
      <c r="E1573">
        <v>0</v>
      </c>
      <c r="F1573">
        <v>160232386</v>
      </c>
      <c r="G1573">
        <v>139363.9</v>
      </c>
      <c r="H1573">
        <v>160093022.09999999</v>
      </c>
      <c r="I1573">
        <v>160093022.09999999</v>
      </c>
      <c r="J1573">
        <v>0</v>
      </c>
      <c r="K1573">
        <v>0</v>
      </c>
      <c r="M1573" t="s">
        <v>3</v>
      </c>
      <c r="N1573">
        <v>6500</v>
      </c>
      <c r="O1573">
        <v>14</v>
      </c>
      <c r="P1573">
        <v>47</v>
      </c>
      <c r="Q1573">
        <v>0</v>
      </c>
      <c r="R1573">
        <v>1375050325</v>
      </c>
      <c r="S1573">
        <v>1365889.96</v>
      </c>
      <c r="T1573">
        <v>1373684435.04</v>
      </c>
      <c r="U1573">
        <v>1373684435.04</v>
      </c>
      <c r="V1573">
        <v>0</v>
      </c>
      <c r="W1573">
        <v>0</v>
      </c>
    </row>
    <row r="1574" spans="1:23" x14ac:dyDescent="0.35">
      <c r="A1574" t="s">
        <v>3</v>
      </c>
      <c r="B1574">
        <v>6000</v>
      </c>
      <c r="C1574">
        <v>14</v>
      </c>
      <c r="D1574">
        <v>18</v>
      </c>
      <c r="E1574">
        <v>0</v>
      </c>
      <c r="F1574">
        <v>431972637</v>
      </c>
      <c r="G1574">
        <v>469965.02</v>
      </c>
      <c r="H1574">
        <v>431502671.98000002</v>
      </c>
      <c r="I1574">
        <v>431502671.98000002</v>
      </c>
      <c r="J1574">
        <v>0</v>
      </c>
      <c r="K1574">
        <v>0</v>
      </c>
      <c r="M1574" t="s">
        <v>2</v>
      </c>
      <c r="N1574">
        <v>7500</v>
      </c>
      <c r="O1574">
        <v>16</v>
      </c>
      <c r="P1574">
        <v>19</v>
      </c>
      <c r="Q1574">
        <v>0</v>
      </c>
      <c r="R1574">
        <v>293672734</v>
      </c>
      <c r="S1574">
        <v>246289.19</v>
      </c>
      <c r="T1574">
        <v>293426444.81</v>
      </c>
      <c r="U1574">
        <v>293426444.81</v>
      </c>
      <c r="V1574">
        <v>0</v>
      </c>
      <c r="W1574">
        <v>0</v>
      </c>
    </row>
    <row r="1575" spans="1:23" x14ac:dyDescent="0.35">
      <c r="A1575" t="s">
        <v>3</v>
      </c>
      <c r="B1575">
        <v>6250</v>
      </c>
      <c r="C1575">
        <v>14</v>
      </c>
      <c r="D1575">
        <v>42</v>
      </c>
      <c r="E1575">
        <v>0</v>
      </c>
      <c r="F1575">
        <v>1150070313</v>
      </c>
      <c r="G1575">
        <v>1193049.44</v>
      </c>
      <c r="H1575">
        <v>1148877263.5599999</v>
      </c>
      <c r="I1575">
        <v>1148877263.5599999</v>
      </c>
      <c r="J1575">
        <v>0</v>
      </c>
      <c r="K1575">
        <v>0</v>
      </c>
      <c r="M1575" t="s">
        <v>0</v>
      </c>
      <c r="N1575">
        <v>8250</v>
      </c>
      <c r="O1575">
        <v>14</v>
      </c>
      <c r="P1575">
        <v>225</v>
      </c>
      <c r="Q1575">
        <v>0</v>
      </c>
      <c r="R1575">
        <v>6766974826</v>
      </c>
      <c r="S1575">
        <v>4816032.8899999997</v>
      </c>
      <c r="T1575">
        <v>6620094754.8900003</v>
      </c>
      <c r="U1575">
        <v>6729537103.8699999</v>
      </c>
      <c r="V1575">
        <v>0.22477900000000001</v>
      </c>
      <c r="W1575">
        <v>5.6339E-2</v>
      </c>
    </row>
    <row r="1576" spans="1:23" x14ac:dyDescent="0.35">
      <c r="A1576" t="s">
        <v>3</v>
      </c>
      <c r="B1576">
        <v>5000</v>
      </c>
      <c r="C1576">
        <v>18</v>
      </c>
      <c r="D1576">
        <v>4</v>
      </c>
      <c r="E1576">
        <v>0</v>
      </c>
      <c r="F1576">
        <v>108688066</v>
      </c>
      <c r="G1576">
        <v>144197.82999999999</v>
      </c>
      <c r="H1576">
        <v>108543868.17</v>
      </c>
      <c r="I1576">
        <v>108543868.17</v>
      </c>
      <c r="J1576">
        <v>0</v>
      </c>
      <c r="K1576">
        <v>0</v>
      </c>
      <c r="M1576" t="s">
        <v>0</v>
      </c>
      <c r="N1576">
        <v>8000</v>
      </c>
      <c r="O1576">
        <v>14</v>
      </c>
      <c r="P1576">
        <v>144</v>
      </c>
      <c r="Q1576">
        <v>0</v>
      </c>
      <c r="R1576">
        <v>4309749572</v>
      </c>
      <c r="S1576">
        <v>3228940.17</v>
      </c>
      <c r="T1576">
        <v>4162033320.6799998</v>
      </c>
      <c r="U1576">
        <v>4277216792.9699998</v>
      </c>
      <c r="V1576">
        <v>0.33582299999999998</v>
      </c>
      <c r="W1576">
        <v>7.8609999999999999E-2</v>
      </c>
    </row>
    <row r="1577" spans="1:23" x14ac:dyDescent="0.35">
      <c r="A1577" t="s">
        <v>3</v>
      </c>
      <c r="B1577">
        <v>5750</v>
      </c>
      <c r="C1577">
        <v>14</v>
      </c>
      <c r="D1577">
        <v>13</v>
      </c>
      <c r="E1577">
        <v>0</v>
      </c>
      <c r="F1577">
        <v>394239099</v>
      </c>
      <c r="G1577">
        <v>447665.99</v>
      </c>
      <c r="H1577">
        <v>393791433.00999999</v>
      </c>
      <c r="I1577">
        <v>393791433.00999999</v>
      </c>
      <c r="J1577">
        <v>0</v>
      </c>
      <c r="K1577">
        <v>0</v>
      </c>
      <c r="M1577" t="s">
        <v>0</v>
      </c>
      <c r="N1577">
        <v>8250</v>
      </c>
      <c r="O1577">
        <v>16</v>
      </c>
      <c r="P1577">
        <v>257</v>
      </c>
      <c r="Q1577">
        <v>0</v>
      </c>
      <c r="R1577">
        <v>7958015261</v>
      </c>
      <c r="S1577">
        <v>5720440.0999999996</v>
      </c>
      <c r="T1577">
        <v>7761299624.8500004</v>
      </c>
      <c r="U1577">
        <v>7919086750.79</v>
      </c>
      <c r="V1577">
        <v>0.25286999999999998</v>
      </c>
      <c r="W1577">
        <v>4.8940999999999998E-2</v>
      </c>
    </row>
    <row r="1578" spans="1:23" x14ac:dyDescent="0.35">
      <c r="A1578" t="s">
        <v>0</v>
      </c>
      <c r="B1578">
        <v>5250</v>
      </c>
      <c r="C1578">
        <v>6</v>
      </c>
      <c r="D1578">
        <v>2785</v>
      </c>
      <c r="E1578">
        <v>0</v>
      </c>
      <c r="F1578">
        <v>99374364407</v>
      </c>
      <c r="G1578">
        <v>118859984.97</v>
      </c>
      <c r="H1578">
        <v>98902064145.910004</v>
      </c>
      <c r="I1578">
        <v>99233430626.630005</v>
      </c>
      <c r="J1578">
        <v>4.1855000000000003E-2</v>
      </c>
      <c r="K1578">
        <v>2.6619999999999999E-3</v>
      </c>
      <c r="M1578" t="s">
        <v>2</v>
      </c>
      <c r="N1578">
        <v>7750</v>
      </c>
      <c r="O1578">
        <v>16</v>
      </c>
      <c r="P1578">
        <v>25</v>
      </c>
      <c r="Q1578">
        <v>0</v>
      </c>
      <c r="R1578">
        <v>366406456</v>
      </c>
      <c r="S1578">
        <v>291895.08</v>
      </c>
      <c r="T1578">
        <v>366114560.92000002</v>
      </c>
      <c r="U1578">
        <v>366114560.92000002</v>
      </c>
      <c r="V1578">
        <v>0</v>
      </c>
      <c r="W1578">
        <v>0</v>
      </c>
    </row>
    <row r="1579" spans="1:23" x14ac:dyDescent="0.35">
      <c r="A1579" t="s">
        <v>1</v>
      </c>
      <c r="B1579">
        <v>7000</v>
      </c>
      <c r="C1579">
        <v>8</v>
      </c>
      <c r="D1579">
        <v>984</v>
      </c>
      <c r="E1579">
        <v>0</v>
      </c>
      <c r="F1579">
        <v>29649949396</v>
      </c>
      <c r="G1579">
        <v>25936110.539999999</v>
      </c>
      <c r="H1579">
        <v>25983955922.080002</v>
      </c>
      <c r="I1579">
        <v>29544664637</v>
      </c>
      <c r="J1579">
        <v>0.79232899999999995</v>
      </c>
      <c r="K1579">
        <v>3.1646000000000001E-2</v>
      </c>
      <c r="M1579" t="s">
        <v>2</v>
      </c>
      <c r="N1579">
        <v>7250</v>
      </c>
      <c r="O1579">
        <v>12</v>
      </c>
      <c r="P1579">
        <v>388</v>
      </c>
      <c r="Q1579">
        <v>0</v>
      </c>
      <c r="R1579">
        <v>6008733773</v>
      </c>
      <c r="S1579">
        <v>5134518.0199999996</v>
      </c>
      <c r="T1579">
        <v>5926769118.7399998</v>
      </c>
      <c r="U1579">
        <v>5957335622.6599998</v>
      </c>
      <c r="V1579">
        <v>0.143093</v>
      </c>
      <c r="W1579">
        <v>8.8579000000000005E-2</v>
      </c>
    </row>
    <row r="1580" spans="1:23" x14ac:dyDescent="0.35">
      <c r="A1580" t="s">
        <v>3</v>
      </c>
      <c r="B1580">
        <v>5000</v>
      </c>
      <c r="C1580">
        <v>16</v>
      </c>
      <c r="D1580">
        <v>3</v>
      </c>
      <c r="E1580">
        <v>0</v>
      </c>
      <c r="F1580">
        <v>62194578</v>
      </c>
      <c r="G1580">
        <v>82116.02</v>
      </c>
      <c r="H1580">
        <v>62112461.979999997</v>
      </c>
      <c r="I1580">
        <v>62112461.979999997</v>
      </c>
      <c r="J1580">
        <v>0</v>
      </c>
      <c r="K1580">
        <v>0</v>
      </c>
      <c r="M1580" t="s">
        <v>2</v>
      </c>
      <c r="N1580">
        <v>7000</v>
      </c>
      <c r="O1580">
        <v>10</v>
      </c>
      <c r="P1580">
        <v>254</v>
      </c>
      <c r="Q1580">
        <v>0</v>
      </c>
      <c r="R1580">
        <v>4461958540</v>
      </c>
      <c r="S1580">
        <v>3968819.4</v>
      </c>
      <c r="T1580">
        <v>4426579473.7200003</v>
      </c>
      <c r="U1580">
        <v>4457989720.6000004</v>
      </c>
      <c r="V1580">
        <v>8.1280000000000005E-2</v>
      </c>
      <c r="W1580">
        <v>0</v>
      </c>
    </row>
    <row r="1581" spans="1:23" x14ac:dyDescent="0.35">
      <c r="A1581" t="s">
        <v>1</v>
      </c>
      <c r="B1581">
        <v>7750</v>
      </c>
      <c r="C1581">
        <v>14</v>
      </c>
      <c r="D1581">
        <v>357</v>
      </c>
      <c r="E1581">
        <v>0</v>
      </c>
      <c r="F1581">
        <v>9288137038</v>
      </c>
      <c r="G1581">
        <v>7266110.1399999997</v>
      </c>
      <c r="H1581">
        <v>8944645954.9400005</v>
      </c>
      <c r="I1581">
        <v>9147912073.6700001</v>
      </c>
      <c r="J1581">
        <v>0.35754000000000002</v>
      </c>
      <c r="K1581">
        <v>0.15887899999999999</v>
      </c>
      <c r="M1581" t="s">
        <v>3</v>
      </c>
      <c r="N1581">
        <v>5750</v>
      </c>
      <c r="O1581">
        <v>16</v>
      </c>
      <c r="P1581">
        <v>23</v>
      </c>
      <c r="Q1581">
        <v>0</v>
      </c>
      <c r="R1581">
        <v>636373008</v>
      </c>
      <c r="S1581">
        <v>737147.19</v>
      </c>
      <c r="T1581">
        <v>635635860.80999994</v>
      </c>
      <c r="U1581">
        <v>635635860.80999994</v>
      </c>
      <c r="V1581">
        <v>0</v>
      </c>
      <c r="W1581">
        <v>0</v>
      </c>
    </row>
    <row r="1582" spans="1:23" x14ac:dyDescent="0.35">
      <c r="A1582" t="s">
        <v>3</v>
      </c>
      <c r="B1582">
        <v>7000</v>
      </c>
      <c r="C1582">
        <v>12</v>
      </c>
      <c r="D1582">
        <v>11</v>
      </c>
      <c r="E1582">
        <v>0</v>
      </c>
      <c r="F1582">
        <v>379430833</v>
      </c>
      <c r="G1582">
        <v>340068.14</v>
      </c>
      <c r="H1582">
        <v>379090764.86000001</v>
      </c>
      <c r="I1582">
        <v>379090764.86000001</v>
      </c>
      <c r="J1582">
        <v>0</v>
      </c>
      <c r="K1582">
        <v>0</v>
      </c>
      <c r="M1582" t="s">
        <v>3</v>
      </c>
      <c r="N1582">
        <v>7250</v>
      </c>
      <c r="O1582">
        <v>16</v>
      </c>
      <c r="P1582">
        <v>4</v>
      </c>
      <c r="Q1582">
        <v>0</v>
      </c>
      <c r="R1582">
        <v>104817686</v>
      </c>
      <c r="S1582">
        <v>93062.23</v>
      </c>
      <c r="T1582">
        <v>104724623.77</v>
      </c>
      <c r="U1582">
        <v>104724623.77</v>
      </c>
      <c r="V1582">
        <v>0</v>
      </c>
      <c r="W1582">
        <v>0</v>
      </c>
    </row>
    <row r="1583" spans="1:23" x14ac:dyDescent="0.35">
      <c r="A1583" t="s">
        <v>0</v>
      </c>
      <c r="B1583">
        <v>4250</v>
      </c>
      <c r="C1583">
        <v>10</v>
      </c>
      <c r="D1583">
        <v>355</v>
      </c>
      <c r="E1583">
        <v>0</v>
      </c>
      <c r="F1583">
        <v>11756121258</v>
      </c>
      <c r="G1583">
        <v>17058859.18</v>
      </c>
      <c r="H1583">
        <v>11739062398.82</v>
      </c>
      <c r="I1583">
        <v>11739062398.82</v>
      </c>
      <c r="J1583">
        <v>0</v>
      </c>
      <c r="K1583">
        <v>0</v>
      </c>
      <c r="M1583" t="s">
        <v>1</v>
      </c>
      <c r="N1583">
        <v>7750</v>
      </c>
      <c r="O1583">
        <v>14</v>
      </c>
      <c r="P1583">
        <v>296</v>
      </c>
      <c r="Q1583">
        <v>0</v>
      </c>
      <c r="R1583">
        <v>7440656614</v>
      </c>
      <c r="S1583">
        <v>5816164.3200000003</v>
      </c>
      <c r="T1583">
        <v>7114453988.4499998</v>
      </c>
      <c r="U1583">
        <v>7320053862.6000004</v>
      </c>
      <c r="V1583">
        <v>0.41031200000000001</v>
      </c>
      <c r="W1583">
        <v>0.17019599999999999</v>
      </c>
    </row>
    <row r="1584" spans="1:23" x14ac:dyDescent="0.35">
      <c r="A1584" t="s">
        <v>1</v>
      </c>
      <c r="B1584">
        <v>4250</v>
      </c>
      <c r="C1584">
        <v>10</v>
      </c>
      <c r="D1584">
        <v>138</v>
      </c>
      <c r="E1584">
        <v>0</v>
      </c>
      <c r="F1584">
        <v>5038994678</v>
      </c>
      <c r="G1584">
        <v>7308243.0199999996</v>
      </c>
      <c r="H1584">
        <v>5031686434.9799995</v>
      </c>
      <c r="I1584">
        <v>5031686434.9799995</v>
      </c>
      <c r="J1584">
        <v>0</v>
      </c>
      <c r="K1584">
        <v>0</v>
      </c>
      <c r="M1584" t="s">
        <v>2</v>
      </c>
      <c r="N1584">
        <v>7750</v>
      </c>
      <c r="O1584">
        <v>14</v>
      </c>
      <c r="P1584">
        <v>28</v>
      </c>
      <c r="Q1584">
        <v>0</v>
      </c>
      <c r="R1584">
        <v>362738431</v>
      </c>
      <c r="S1584">
        <v>285553.11</v>
      </c>
      <c r="T1584">
        <v>337167296.72000003</v>
      </c>
      <c r="U1584">
        <v>362452877.88999999</v>
      </c>
      <c r="V1584">
        <v>0.57982100000000003</v>
      </c>
      <c r="W1584">
        <v>0</v>
      </c>
    </row>
    <row r="1585" spans="1:23" x14ac:dyDescent="0.35">
      <c r="A1585" t="s">
        <v>1</v>
      </c>
      <c r="B1585">
        <v>5000</v>
      </c>
      <c r="C1585">
        <v>9</v>
      </c>
      <c r="D1585">
        <v>917</v>
      </c>
      <c r="E1585">
        <v>0</v>
      </c>
      <c r="F1585">
        <v>35174367816</v>
      </c>
      <c r="G1585">
        <v>44600668.469999999</v>
      </c>
      <c r="H1585">
        <v>34946238263.720001</v>
      </c>
      <c r="I1585">
        <v>35081681979.089996</v>
      </c>
      <c r="J1585">
        <v>6.0845999999999997E-2</v>
      </c>
      <c r="K1585">
        <v>1.6282000000000001E-2</v>
      </c>
      <c r="M1585" t="s">
        <v>1</v>
      </c>
      <c r="N1585">
        <v>4750</v>
      </c>
      <c r="O1585">
        <v>5</v>
      </c>
      <c r="P1585">
        <v>3642</v>
      </c>
      <c r="Q1585">
        <v>0</v>
      </c>
      <c r="R1585">
        <v>152140800000</v>
      </c>
      <c r="S1585">
        <v>194031780.62</v>
      </c>
      <c r="T1585">
        <v>151816532748.92001</v>
      </c>
      <c r="U1585">
        <v>151946768219.38</v>
      </c>
      <c r="V1585">
        <v>1.0224E-2</v>
      </c>
      <c r="W1585">
        <v>0</v>
      </c>
    </row>
    <row r="1586" spans="1:23" x14ac:dyDescent="0.35">
      <c r="A1586" t="s">
        <v>1</v>
      </c>
      <c r="B1586">
        <v>5000</v>
      </c>
      <c r="C1586">
        <v>8</v>
      </c>
      <c r="D1586">
        <v>937</v>
      </c>
      <c r="E1586">
        <v>0</v>
      </c>
      <c r="F1586">
        <v>37754336943</v>
      </c>
      <c r="G1586">
        <v>47630589.229999997</v>
      </c>
      <c r="H1586">
        <v>37706706353.769997</v>
      </c>
      <c r="I1586">
        <v>37706706353.769997</v>
      </c>
      <c r="J1586">
        <v>0</v>
      </c>
      <c r="K1586">
        <v>0</v>
      </c>
      <c r="M1586" t="s">
        <v>2</v>
      </c>
      <c r="N1586">
        <v>8250</v>
      </c>
      <c r="O1586">
        <v>18</v>
      </c>
      <c r="P1586">
        <v>1</v>
      </c>
      <c r="Q1586">
        <v>0</v>
      </c>
      <c r="R1586">
        <v>16962655</v>
      </c>
      <c r="S1586">
        <v>12387.02</v>
      </c>
      <c r="T1586">
        <v>16950267.98</v>
      </c>
      <c r="U1586">
        <v>16950267.98</v>
      </c>
      <c r="V1586">
        <v>0</v>
      </c>
      <c r="W1586">
        <v>0</v>
      </c>
    </row>
    <row r="1587" spans="1:23" x14ac:dyDescent="0.35">
      <c r="A1587" t="s">
        <v>0</v>
      </c>
      <c r="B1587">
        <v>5000</v>
      </c>
      <c r="C1587">
        <v>7</v>
      </c>
      <c r="D1587">
        <v>2427</v>
      </c>
      <c r="E1587">
        <v>0</v>
      </c>
      <c r="F1587">
        <v>87096841123</v>
      </c>
      <c r="G1587">
        <v>109412382.34999999</v>
      </c>
      <c r="H1587">
        <v>86936949756.190002</v>
      </c>
      <c r="I1587">
        <v>86987428740.649994</v>
      </c>
      <c r="J1587">
        <v>6.9329999999999999E-3</v>
      </c>
      <c r="K1587">
        <v>0</v>
      </c>
      <c r="M1587" t="s">
        <v>1</v>
      </c>
      <c r="N1587">
        <v>7500</v>
      </c>
      <c r="O1587">
        <v>14</v>
      </c>
      <c r="P1587">
        <v>349</v>
      </c>
      <c r="Q1587">
        <v>0</v>
      </c>
      <c r="R1587">
        <v>8866629971</v>
      </c>
      <c r="S1587">
        <v>7348669.8700000001</v>
      </c>
      <c r="T1587">
        <v>8145098814.3500004</v>
      </c>
      <c r="U1587">
        <v>8539838181.1099997</v>
      </c>
      <c r="V1587">
        <v>0.63494899999999999</v>
      </c>
      <c r="W1587">
        <v>0.35616399999999998</v>
      </c>
    </row>
    <row r="1588" spans="1:23" x14ac:dyDescent="0.35">
      <c r="A1588" t="s">
        <v>2</v>
      </c>
      <c r="B1588">
        <v>7250</v>
      </c>
      <c r="C1588">
        <v>12</v>
      </c>
      <c r="D1588">
        <v>320</v>
      </c>
      <c r="E1588">
        <v>0</v>
      </c>
      <c r="F1588">
        <v>4712745870</v>
      </c>
      <c r="G1588">
        <v>4022153.42</v>
      </c>
      <c r="H1588">
        <v>4633988621.6599998</v>
      </c>
      <c r="I1588">
        <v>4708723716.5799999</v>
      </c>
      <c r="J1588">
        <v>0.17454600000000001</v>
      </c>
      <c r="K1588">
        <v>0</v>
      </c>
      <c r="M1588" t="s">
        <v>3</v>
      </c>
      <c r="N1588">
        <v>7000</v>
      </c>
      <c r="O1588">
        <v>16</v>
      </c>
      <c r="P1588">
        <v>2</v>
      </c>
      <c r="Q1588">
        <v>0</v>
      </c>
      <c r="R1588">
        <v>74062450</v>
      </c>
      <c r="S1588">
        <v>67728.13</v>
      </c>
      <c r="T1588">
        <v>73994721.870000005</v>
      </c>
      <c r="U1588">
        <v>73994721.870000005</v>
      </c>
      <c r="V1588">
        <v>0</v>
      </c>
      <c r="W1588">
        <v>0</v>
      </c>
    </row>
    <row r="1589" spans="1:23" x14ac:dyDescent="0.35">
      <c r="A1589" t="s">
        <v>2</v>
      </c>
      <c r="B1589">
        <v>7250</v>
      </c>
      <c r="C1589">
        <v>10</v>
      </c>
      <c r="D1589">
        <v>255</v>
      </c>
      <c r="E1589">
        <v>0</v>
      </c>
      <c r="F1589">
        <v>3850186273</v>
      </c>
      <c r="G1589">
        <v>3268192.63</v>
      </c>
      <c r="H1589">
        <v>3813235026.3000002</v>
      </c>
      <c r="I1589">
        <v>3821569682.04</v>
      </c>
      <c r="J1589">
        <v>0.100074</v>
      </c>
      <c r="K1589">
        <v>7.6204999999999995E-2</v>
      </c>
      <c r="M1589" t="s">
        <v>3</v>
      </c>
      <c r="N1589">
        <v>7250</v>
      </c>
      <c r="O1589">
        <v>14</v>
      </c>
      <c r="P1589">
        <v>8</v>
      </c>
      <c r="Q1589">
        <v>0</v>
      </c>
      <c r="R1589">
        <v>160484618</v>
      </c>
      <c r="S1589">
        <v>138458.60999999999</v>
      </c>
      <c r="T1589">
        <v>160346159.38999999</v>
      </c>
      <c r="U1589">
        <v>160346159.38999999</v>
      </c>
      <c r="V1589">
        <v>0</v>
      </c>
      <c r="W1589">
        <v>0</v>
      </c>
    </row>
    <row r="1590" spans="1:23" x14ac:dyDescent="0.35">
      <c r="A1590" t="s">
        <v>2</v>
      </c>
      <c r="B1590">
        <v>7750</v>
      </c>
      <c r="C1590">
        <v>14</v>
      </c>
      <c r="D1590">
        <v>34</v>
      </c>
      <c r="E1590">
        <v>0</v>
      </c>
      <c r="F1590">
        <v>484400712</v>
      </c>
      <c r="G1590">
        <v>382150.2</v>
      </c>
      <c r="H1590">
        <v>458033350.32999998</v>
      </c>
      <c r="I1590">
        <v>484018561.80000001</v>
      </c>
      <c r="J1590">
        <v>0.48399500000000001</v>
      </c>
      <c r="K1590">
        <v>0</v>
      </c>
      <c r="M1590" t="s">
        <v>3</v>
      </c>
      <c r="N1590">
        <v>5500</v>
      </c>
      <c r="O1590">
        <v>16</v>
      </c>
      <c r="P1590">
        <v>10</v>
      </c>
      <c r="Q1590">
        <v>0</v>
      </c>
      <c r="R1590">
        <v>294272819</v>
      </c>
      <c r="S1590">
        <v>357204.92</v>
      </c>
      <c r="T1590">
        <v>293915614.07999998</v>
      </c>
      <c r="U1590">
        <v>293915614.07999998</v>
      </c>
      <c r="V1590">
        <v>0</v>
      </c>
      <c r="W1590">
        <v>0</v>
      </c>
    </row>
    <row r="1591" spans="1:23" x14ac:dyDescent="0.35">
      <c r="A1591" t="s">
        <v>3</v>
      </c>
      <c r="B1591">
        <v>5500</v>
      </c>
      <c r="C1591">
        <v>14</v>
      </c>
      <c r="D1591">
        <v>6</v>
      </c>
      <c r="E1591">
        <v>0</v>
      </c>
      <c r="F1591">
        <v>136352639</v>
      </c>
      <c r="G1591">
        <v>162524.18</v>
      </c>
      <c r="H1591">
        <v>136190114.81999999</v>
      </c>
      <c r="I1591">
        <v>136190114.81999999</v>
      </c>
      <c r="J1591">
        <v>0</v>
      </c>
      <c r="K1591">
        <v>0</v>
      </c>
      <c r="M1591" t="s">
        <v>3</v>
      </c>
      <c r="N1591">
        <v>7500</v>
      </c>
      <c r="O1591">
        <v>16</v>
      </c>
      <c r="P1591">
        <v>1</v>
      </c>
      <c r="Q1591">
        <v>0</v>
      </c>
      <c r="R1591">
        <v>18714518</v>
      </c>
      <c r="S1591">
        <v>15428.99</v>
      </c>
      <c r="T1591">
        <v>18699089.010000002</v>
      </c>
      <c r="U1591">
        <v>18699089.010000002</v>
      </c>
      <c r="V1591">
        <v>0</v>
      </c>
      <c r="W1591">
        <v>0</v>
      </c>
    </row>
    <row r="1592" spans="1:23" x14ac:dyDescent="0.35">
      <c r="A1592" t="s">
        <v>3</v>
      </c>
      <c r="B1592">
        <v>7000</v>
      </c>
      <c r="C1592">
        <v>10</v>
      </c>
      <c r="D1592">
        <v>7</v>
      </c>
      <c r="E1592">
        <v>0</v>
      </c>
      <c r="F1592">
        <v>121479416</v>
      </c>
      <c r="G1592">
        <v>108148.57</v>
      </c>
      <c r="H1592">
        <v>121371267.43000001</v>
      </c>
      <c r="I1592">
        <v>121371267.43000001</v>
      </c>
      <c r="J1592">
        <v>0</v>
      </c>
      <c r="K1592">
        <v>0</v>
      </c>
      <c r="M1592" t="s">
        <v>3</v>
      </c>
      <c r="N1592">
        <v>6250</v>
      </c>
      <c r="O1592">
        <v>12</v>
      </c>
      <c r="P1592">
        <v>64</v>
      </c>
      <c r="Q1592">
        <v>0</v>
      </c>
      <c r="R1592">
        <v>1949337003</v>
      </c>
      <c r="S1592">
        <v>1998429.74</v>
      </c>
      <c r="T1592">
        <v>1947338573.26</v>
      </c>
      <c r="U1592">
        <v>1947338573.26</v>
      </c>
      <c r="V1592">
        <v>0</v>
      </c>
      <c r="W1592">
        <v>0</v>
      </c>
    </row>
    <row r="1593" spans="1:23" x14ac:dyDescent="0.35">
      <c r="A1593" t="s">
        <v>3</v>
      </c>
      <c r="B1593">
        <v>6750</v>
      </c>
      <c r="C1593">
        <v>12</v>
      </c>
      <c r="D1593">
        <v>60</v>
      </c>
      <c r="E1593">
        <v>0</v>
      </c>
      <c r="F1593">
        <v>1744445802</v>
      </c>
      <c r="G1593">
        <v>1634344.84</v>
      </c>
      <c r="H1593">
        <v>1742811457.1600001</v>
      </c>
      <c r="I1593">
        <v>1742811457.1600001</v>
      </c>
      <c r="J1593">
        <v>0</v>
      </c>
      <c r="K1593">
        <v>0</v>
      </c>
      <c r="M1593" t="s">
        <v>3</v>
      </c>
      <c r="N1593">
        <v>6500</v>
      </c>
      <c r="O1593">
        <v>12</v>
      </c>
      <c r="P1593">
        <v>64</v>
      </c>
      <c r="Q1593">
        <v>0</v>
      </c>
      <c r="R1593">
        <v>1863760185</v>
      </c>
      <c r="S1593">
        <v>1842348.31</v>
      </c>
      <c r="T1593">
        <v>1861917836.6900001</v>
      </c>
      <c r="U1593">
        <v>1861917836.6900001</v>
      </c>
      <c r="V1593">
        <v>0</v>
      </c>
      <c r="W1593">
        <v>0</v>
      </c>
    </row>
    <row r="1594" spans="1:23" x14ac:dyDescent="0.35">
      <c r="A1594" t="s">
        <v>3</v>
      </c>
      <c r="B1594">
        <v>5500</v>
      </c>
      <c r="C1594">
        <v>16</v>
      </c>
      <c r="D1594">
        <v>7</v>
      </c>
      <c r="E1594">
        <v>0</v>
      </c>
      <c r="F1594">
        <v>195227371</v>
      </c>
      <c r="G1594">
        <v>234698.97</v>
      </c>
      <c r="H1594">
        <v>194992672.03</v>
      </c>
      <c r="I1594">
        <v>194992672.03</v>
      </c>
      <c r="J1594">
        <v>0</v>
      </c>
      <c r="K1594">
        <v>0</v>
      </c>
      <c r="M1594" t="s">
        <v>1</v>
      </c>
      <c r="N1594">
        <v>7250</v>
      </c>
      <c r="O1594">
        <v>12</v>
      </c>
      <c r="P1594">
        <v>1232</v>
      </c>
      <c r="Q1594">
        <v>0</v>
      </c>
      <c r="R1594">
        <v>32262493269</v>
      </c>
      <c r="S1594">
        <v>27738264.66</v>
      </c>
      <c r="T1594">
        <v>30192111341.150002</v>
      </c>
      <c r="U1594">
        <v>31625925213.799999</v>
      </c>
      <c r="V1594">
        <v>0.54382399999999997</v>
      </c>
      <c r="W1594">
        <v>0.20436699999999999</v>
      </c>
    </row>
    <row r="1595" spans="1:23" x14ac:dyDescent="0.35">
      <c r="A1595" t="s">
        <v>2</v>
      </c>
      <c r="B1595">
        <v>7500</v>
      </c>
      <c r="C1595">
        <v>14</v>
      </c>
      <c r="D1595">
        <v>68</v>
      </c>
      <c r="E1595">
        <v>0</v>
      </c>
      <c r="F1595">
        <v>1007431136</v>
      </c>
      <c r="G1595">
        <v>836496.73</v>
      </c>
      <c r="H1595">
        <v>962737354.13999999</v>
      </c>
      <c r="I1595">
        <v>962737354.13999999</v>
      </c>
      <c r="J1595">
        <v>0.41381400000000002</v>
      </c>
      <c r="K1595">
        <v>0.41381400000000002</v>
      </c>
      <c r="M1595" t="s">
        <v>3</v>
      </c>
      <c r="N1595">
        <v>5000</v>
      </c>
      <c r="O1595">
        <v>18</v>
      </c>
      <c r="P1595">
        <v>2</v>
      </c>
      <c r="Q1595">
        <v>0</v>
      </c>
      <c r="R1595">
        <v>49108784</v>
      </c>
      <c r="S1595">
        <v>64695</v>
      </c>
      <c r="T1595">
        <v>49044089</v>
      </c>
      <c r="U1595">
        <v>49044089</v>
      </c>
      <c r="V1595">
        <v>0</v>
      </c>
      <c r="W1595">
        <v>0</v>
      </c>
    </row>
    <row r="1596" spans="1:23" x14ac:dyDescent="0.35">
      <c r="A1596" t="s">
        <v>0</v>
      </c>
      <c r="B1596">
        <v>7750</v>
      </c>
      <c r="C1596">
        <v>8</v>
      </c>
      <c r="D1596">
        <v>857</v>
      </c>
      <c r="E1596">
        <v>0</v>
      </c>
      <c r="F1596">
        <v>22597256393</v>
      </c>
      <c r="G1596">
        <v>17039683.879999999</v>
      </c>
      <c r="H1596">
        <v>21960076506.779999</v>
      </c>
      <c r="I1596">
        <v>22345970445.279999</v>
      </c>
      <c r="J1596">
        <v>0.28388999999999998</v>
      </c>
      <c r="K1596">
        <v>0.11754100000000001</v>
      </c>
      <c r="M1596" t="s">
        <v>0</v>
      </c>
      <c r="N1596">
        <v>8250</v>
      </c>
      <c r="O1596">
        <v>12</v>
      </c>
      <c r="P1596">
        <v>159</v>
      </c>
      <c r="Q1596">
        <v>0</v>
      </c>
      <c r="R1596">
        <v>4931661146</v>
      </c>
      <c r="S1596">
        <v>3458771.62</v>
      </c>
      <c r="T1596">
        <v>4904865278.2700005</v>
      </c>
      <c r="U1596">
        <v>4928202374.3800001</v>
      </c>
      <c r="V1596">
        <v>5.5329999999999997E-2</v>
      </c>
      <c r="W1596">
        <v>0</v>
      </c>
    </row>
    <row r="1597" spans="1:23" x14ac:dyDescent="0.35">
      <c r="A1597" t="s">
        <v>2</v>
      </c>
      <c r="B1597">
        <v>7750</v>
      </c>
      <c r="C1597">
        <v>12</v>
      </c>
      <c r="D1597">
        <v>18</v>
      </c>
      <c r="E1597">
        <v>0</v>
      </c>
      <c r="F1597">
        <v>246732143</v>
      </c>
      <c r="G1597">
        <v>192583.11</v>
      </c>
      <c r="H1597">
        <v>246539559.88999999</v>
      </c>
      <c r="I1597">
        <v>246539559.88999999</v>
      </c>
      <c r="J1597">
        <v>0</v>
      </c>
      <c r="K1597">
        <v>0</v>
      </c>
      <c r="M1597" t="s">
        <v>1</v>
      </c>
      <c r="N1597">
        <v>7000</v>
      </c>
      <c r="O1597">
        <v>7</v>
      </c>
      <c r="P1597">
        <v>1452</v>
      </c>
      <c r="Q1597">
        <v>0</v>
      </c>
      <c r="R1597">
        <v>45898113728</v>
      </c>
      <c r="S1597">
        <v>39921799.619999997</v>
      </c>
      <c r="T1597">
        <v>29671068989.110001</v>
      </c>
      <c r="U1597">
        <v>45771242744.339996</v>
      </c>
      <c r="V1597">
        <v>0.994587</v>
      </c>
      <c r="W1597">
        <v>2.2497E-2</v>
      </c>
    </row>
    <row r="1598" spans="1:23" x14ac:dyDescent="0.35">
      <c r="A1598" t="s">
        <v>1</v>
      </c>
      <c r="B1598">
        <v>7250</v>
      </c>
      <c r="C1598">
        <v>9</v>
      </c>
      <c r="D1598">
        <v>956</v>
      </c>
      <c r="E1598">
        <v>0</v>
      </c>
      <c r="F1598">
        <v>26675680759</v>
      </c>
      <c r="G1598">
        <v>22577463.75</v>
      </c>
      <c r="H1598">
        <v>23847108529.849998</v>
      </c>
      <c r="I1598">
        <v>26294596665.490002</v>
      </c>
      <c r="J1598">
        <v>0.73650400000000005</v>
      </c>
      <c r="K1598">
        <v>0.149871</v>
      </c>
      <c r="M1598" t="s">
        <v>0</v>
      </c>
      <c r="N1598">
        <v>8000</v>
      </c>
      <c r="O1598">
        <v>12</v>
      </c>
      <c r="P1598">
        <v>164</v>
      </c>
      <c r="Q1598">
        <v>0</v>
      </c>
      <c r="R1598">
        <v>5238849188</v>
      </c>
      <c r="S1598">
        <v>3890903.85</v>
      </c>
      <c r="T1598">
        <v>5113861081.6599998</v>
      </c>
      <c r="U1598">
        <v>5234958284.1499996</v>
      </c>
      <c r="V1598">
        <v>0.244699</v>
      </c>
      <c r="W1598">
        <v>0</v>
      </c>
    </row>
    <row r="1599" spans="1:23" x14ac:dyDescent="0.35">
      <c r="A1599" t="s">
        <v>2</v>
      </c>
      <c r="B1599">
        <v>7250</v>
      </c>
      <c r="C1599">
        <v>9</v>
      </c>
      <c r="D1599">
        <v>323</v>
      </c>
      <c r="E1599">
        <v>0</v>
      </c>
      <c r="F1599">
        <v>4939888500</v>
      </c>
      <c r="G1599">
        <v>4174403.93</v>
      </c>
      <c r="H1599">
        <v>4918229893.21</v>
      </c>
      <c r="I1599">
        <v>4918229893.21</v>
      </c>
      <c r="J1599">
        <v>4.1655999999999999E-2</v>
      </c>
      <c r="K1599">
        <v>4.1655999999999999E-2</v>
      </c>
      <c r="M1599" t="s">
        <v>3</v>
      </c>
      <c r="N1599">
        <v>5000</v>
      </c>
      <c r="O1599">
        <v>16</v>
      </c>
      <c r="P1599">
        <v>5</v>
      </c>
      <c r="Q1599">
        <v>0</v>
      </c>
      <c r="R1599">
        <v>122001848</v>
      </c>
      <c r="S1599">
        <v>160689.37</v>
      </c>
      <c r="T1599">
        <v>121841158.63</v>
      </c>
      <c r="U1599">
        <v>121841158.63</v>
      </c>
      <c r="V1599">
        <v>0</v>
      </c>
      <c r="W1599">
        <v>0</v>
      </c>
    </row>
    <row r="1600" spans="1:23" x14ac:dyDescent="0.35">
      <c r="A1600" t="s">
        <v>3</v>
      </c>
      <c r="B1600">
        <v>6500</v>
      </c>
      <c r="C1600">
        <v>9</v>
      </c>
      <c r="D1600">
        <v>37</v>
      </c>
      <c r="E1600">
        <v>0</v>
      </c>
      <c r="F1600">
        <v>1067501851</v>
      </c>
      <c r="G1600">
        <v>1030423.81</v>
      </c>
      <c r="H1600">
        <v>1066471427.1900001</v>
      </c>
      <c r="I1600">
        <v>1066471427.1900001</v>
      </c>
      <c r="J1600">
        <v>0</v>
      </c>
      <c r="K1600">
        <v>0</v>
      </c>
      <c r="M1600" t="s">
        <v>1</v>
      </c>
      <c r="N1600">
        <v>7500</v>
      </c>
      <c r="O1600">
        <v>12</v>
      </c>
      <c r="P1600">
        <v>293</v>
      </c>
      <c r="Q1600">
        <v>0</v>
      </c>
      <c r="R1600">
        <v>7607237946</v>
      </c>
      <c r="S1600">
        <v>6204509.0899999999</v>
      </c>
      <c r="T1600">
        <v>7209629558.4700003</v>
      </c>
      <c r="U1600">
        <v>7568359495.6400003</v>
      </c>
      <c r="V1600">
        <v>0.46946500000000002</v>
      </c>
      <c r="W1600">
        <v>5.0340999999999997E-2</v>
      </c>
    </row>
    <row r="1601" spans="1:23" x14ac:dyDescent="0.35">
      <c r="A1601" t="s">
        <v>0</v>
      </c>
      <c r="B1601">
        <v>4750</v>
      </c>
      <c r="C1601">
        <v>9</v>
      </c>
      <c r="D1601">
        <v>796</v>
      </c>
      <c r="E1601">
        <v>0</v>
      </c>
      <c r="F1601">
        <v>25641556593</v>
      </c>
      <c r="G1601">
        <v>34039597.329999998</v>
      </c>
      <c r="H1601">
        <v>25607516995.669998</v>
      </c>
      <c r="I1601">
        <v>25607516995.669998</v>
      </c>
      <c r="J1601">
        <v>0</v>
      </c>
      <c r="K1601">
        <v>0</v>
      </c>
      <c r="M1601" t="s">
        <v>3</v>
      </c>
      <c r="N1601">
        <v>7000</v>
      </c>
      <c r="O1601">
        <v>12</v>
      </c>
      <c r="P1601">
        <v>11</v>
      </c>
      <c r="Q1601">
        <v>0</v>
      </c>
      <c r="R1601">
        <v>265130236</v>
      </c>
      <c r="S1601">
        <v>238354.5</v>
      </c>
      <c r="T1601">
        <v>264891881.5</v>
      </c>
      <c r="U1601">
        <v>264891881.5</v>
      </c>
      <c r="V1601">
        <v>0</v>
      </c>
      <c r="W1601">
        <v>0</v>
      </c>
    </row>
    <row r="1602" spans="1:23" x14ac:dyDescent="0.35">
      <c r="A1602" t="s">
        <v>1</v>
      </c>
      <c r="B1602">
        <v>4750</v>
      </c>
      <c r="C1602">
        <v>8</v>
      </c>
      <c r="D1602">
        <v>290</v>
      </c>
      <c r="E1602">
        <v>0</v>
      </c>
      <c r="F1602">
        <v>11197802513</v>
      </c>
      <c r="G1602">
        <v>14807064.130000001</v>
      </c>
      <c r="H1602">
        <v>11133293261.15</v>
      </c>
      <c r="I1602">
        <v>11133293261.15</v>
      </c>
      <c r="J1602">
        <v>5.1982E-2</v>
      </c>
      <c r="K1602">
        <v>5.1982E-2</v>
      </c>
      <c r="M1602" t="s">
        <v>0</v>
      </c>
      <c r="N1602">
        <v>4250</v>
      </c>
      <c r="O1602">
        <v>9</v>
      </c>
      <c r="P1602">
        <v>355</v>
      </c>
      <c r="Q1602">
        <v>0</v>
      </c>
      <c r="R1602">
        <v>11774949629</v>
      </c>
      <c r="S1602">
        <v>17001488.75</v>
      </c>
      <c r="T1602">
        <v>11757948140.25</v>
      </c>
      <c r="U1602">
        <v>11757948140.25</v>
      </c>
      <c r="V1602">
        <v>0</v>
      </c>
      <c r="W1602">
        <v>0</v>
      </c>
    </row>
    <row r="1603" spans="1:23" x14ac:dyDescent="0.35">
      <c r="A1603" t="s">
        <v>2</v>
      </c>
      <c r="B1603">
        <v>4750</v>
      </c>
      <c r="C1603">
        <v>9</v>
      </c>
      <c r="D1603">
        <v>18</v>
      </c>
      <c r="E1603">
        <v>0</v>
      </c>
      <c r="F1603">
        <v>451849277</v>
      </c>
      <c r="G1603">
        <v>609963.80000000005</v>
      </c>
      <c r="H1603">
        <v>451239313.19999999</v>
      </c>
      <c r="I1603">
        <v>451239313.19999999</v>
      </c>
      <c r="J1603">
        <v>0</v>
      </c>
      <c r="K1603">
        <v>0</v>
      </c>
      <c r="M1603" t="s">
        <v>1</v>
      </c>
      <c r="N1603">
        <v>4250</v>
      </c>
      <c r="O1603">
        <v>9</v>
      </c>
      <c r="P1603">
        <v>138</v>
      </c>
      <c r="Q1603">
        <v>0</v>
      </c>
      <c r="R1603">
        <v>5046856329</v>
      </c>
      <c r="S1603">
        <v>7283338.4800000004</v>
      </c>
      <c r="T1603">
        <v>5039572990.5200005</v>
      </c>
      <c r="U1603">
        <v>5039572990.5200005</v>
      </c>
      <c r="V1603">
        <v>0</v>
      </c>
      <c r="W1603">
        <v>0</v>
      </c>
    </row>
    <row r="1604" spans="1:23" x14ac:dyDescent="0.35">
      <c r="A1604" t="s">
        <v>1</v>
      </c>
      <c r="B1604">
        <v>4750</v>
      </c>
      <c r="C1604">
        <v>9</v>
      </c>
      <c r="D1604">
        <v>282</v>
      </c>
      <c r="E1604">
        <v>0</v>
      </c>
      <c r="F1604">
        <v>10570380960</v>
      </c>
      <c r="G1604">
        <v>14030018.24</v>
      </c>
      <c r="H1604">
        <v>10556350941.76</v>
      </c>
      <c r="I1604">
        <v>10556350941.76</v>
      </c>
      <c r="J1604">
        <v>0</v>
      </c>
      <c r="K1604">
        <v>0</v>
      </c>
      <c r="M1604" t="s">
        <v>1</v>
      </c>
      <c r="N1604">
        <v>5000</v>
      </c>
      <c r="O1604">
        <v>8</v>
      </c>
      <c r="P1604">
        <v>918</v>
      </c>
      <c r="Q1604">
        <v>0</v>
      </c>
      <c r="R1604">
        <v>35292519133</v>
      </c>
      <c r="S1604">
        <v>44509655.43</v>
      </c>
      <c r="T1604">
        <v>35197040896.669998</v>
      </c>
      <c r="U1604">
        <v>35248009477.57</v>
      </c>
      <c r="V1604">
        <v>1.7193E-2</v>
      </c>
      <c r="W1604">
        <v>0</v>
      </c>
    </row>
    <row r="1605" spans="1:23" x14ac:dyDescent="0.35">
      <c r="A1605" t="s">
        <v>1</v>
      </c>
      <c r="B1605">
        <v>7500</v>
      </c>
      <c r="C1605">
        <v>9</v>
      </c>
      <c r="D1605">
        <v>96</v>
      </c>
      <c r="E1605">
        <v>0</v>
      </c>
      <c r="F1605">
        <v>2489489153</v>
      </c>
      <c r="G1605">
        <v>1995173.06</v>
      </c>
      <c r="H1605">
        <v>2265569851.0500002</v>
      </c>
      <c r="I1605">
        <v>2475856283.1100001</v>
      </c>
      <c r="J1605">
        <v>0.67386699999999999</v>
      </c>
      <c r="K1605">
        <v>5.4677000000000003E-2</v>
      </c>
      <c r="M1605" t="s">
        <v>1</v>
      </c>
      <c r="N1605">
        <v>5000</v>
      </c>
      <c r="O1605">
        <v>7</v>
      </c>
      <c r="P1605">
        <v>940</v>
      </c>
      <c r="Q1605">
        <v>0</v>
      </c>
      <c r="R1605">
        <v>37916922444</v>
      </c>
      <c r="S1605">
        <v>47579946.770000003</v>
      </c>
      <c r="T1605">
        <v>37774267737.099998</v>
      </c>
      <c r="U1605">
        <v>37869342497.230003</v>
      </c>
      <c r="V1605">
        <v>2.9678E-2</v>
      </c>
      <c r="W1605">
        <v>0</v>
      </c>
    </row>
    <row r="1606" spans="1:23" x14ac:dyDescent="0.35">
      <c r="A1606" t="s">
        <v>3</v>
      </c>
      <c r="B1606">
        <v>7250</v>
      </c>
      <c r="C1606">
        <v>9</v>
      </c>
      <c r="D1606">
        <v>4</v>
      </c>
      <c r="E1606">
        <v>0</v>
      </c>
      <c r="F1606">
        <v>140036153</v>
      </c>
      <c r="G1606">
        <v>116834.54</v>
      </c>
      <c r="H1606">
        <v>139919318.46000001</v>
      </c>
      <c r="I1606">
        <v>139919318.46000001</v>
      </c>
      <c r="J1606">
        <v>0</v>
      </c>
      <c r="K1606">
        <v>0</v>
      </c>
      <c r="M1606" t="s">
        <v>0</v>
      </c>
      <c r="N1606">
        <v>5000</v>
      </c>
      <c r="O1606">
        <v>6</v>
      </c>
      <c r="P1606">
        <v>2428</v>
      </c>
      <c r="Q1606">
        <v>0</v>
      </c>
      <c r="R1606">
        <v>87500874762</v>
      </c>
      <c r="S1606">
        <v>109329751.55</v>
      </c>
      <c r="T1606">
        <v>87366551308.149994</v>
      </c>
      <c r="U1606">
        <v>87391545010.449997</v>
      </c>
      <c r="V1606">
        <v>3.4220000000000001E-3</v>
      </c>
      <c r="W1606">
        <v>0</v>
      </c>
    </row>
    <row r="1607" spans="1:23" x14ac:dyDescent="0.35">
      <c r="A1607" t="s">
        <v>1</v>
      </c>
      <c r="B1607">
        <v>7500</v>
      </c>
      <c r="C1607">
        <v>10</v>
      </c>
      <c r="D1607">
        <v>175</v>
      </c>
      <c r="E1607">
        <v>0</v>
      </c>
      <c r="F1607">
        <v>5001380359</v>
      </c>
      <c r="G1607">
        <v>4079314.1</v>
      </c>
      <c r="H1607">
        <v>4784058045.54</v>
      </c>
      <c r="I1607">
        <v>4988901377.3800001</v>
      </c>
      <c r="J1607">
        <v>0.40718300000000002</v>
      </c>
      <c r="K1607">
        <v>1.9969000000000001E-2</v>
      </c>
      <c r="M1607" t="s">
        <v>2</v>
      </c>
      <c r="N1607">
        <v>7250</v>
      </c>
      <c r="O1607">
        <v>10</v>
      </c>
      <c r="P1607">
        <v>177</v>
      </c>
      <c r="Q1607">
        <v>0</v>
      </c>
      <c r="R1607">
        <v>2559473710</v>
      </c>
      <c r="S1607">
        <v>2164329.25</v>
      </c>
      <c r="T1607">
        <v>2538610172.29</v>
      </c>
      <c r="U1607">
        <v>2538610172.29</v>
      </c>
      <c r="V1607">
        <v>8.4232000000000001E-2</v>
      </c>
      <c r="W1607">
        <v>8.4232000000000001E-2</v>
      </c>
    </row>
    <row r="1608" spans="1:23" x14ac:dyDescent="0.35">
      <c r="A1608" t="s">
        <v>1</v>
      </c>
      <c r="B1608">
        <v>7500</v>
      </c>
      <c r="C1608">
        <v>12</v>
      </c>
      <c r="D1608">
        <v>184</v>
      </c>
      <c r="E1608">
        <v>0</v>
      </c>
      <c r="F1608">
        <v>5402316701</v>
      </c>
      <c r="G1608">
        <v>4447702.75</v>
      </c>
      <c r="H1608">
        <v>4636161166.21</v>
      </c>
      <c r="I1608">
        <v>5172564721.4300003</v>
      </c>
      <c r="J1608">
        <v>0.83858699999999997</v>
      </c>
      <c r="K1608">
        <v>0.400223</v>
      </c>
      <c r="M1608" t="s">
        <v>2</v>
      </c>
      <c r="N1608">
        <v>7250</v>
      </c>
      <c r="O1608">
        <v>9</v>
      </c>
      <c r="P1608">
        <v>258</v>
      </c>
      <c r="Q1608">
        <v>0</v>
      </c>
      <c r="R1608">
        <v>3888360618</v>
      </c>
      <c r="S1608">
        <v>3278277.77</v>
      </c>
      <c r="T1608">
        <v>3849662517.5100002</v>
      </c>
      <c r="U1608">
        <v>3876714693.3600001</v>
      </c>
      <c r="V1608">
        <v>0.10399700000000001</v>
      </c>
      <c r="W1608">
        <v>2.5520000000000001E-2</v>
      </c>
    </row>
    <row r="1609" spans="1:23" x14ac:dyDescent="0.35">
      <c r="A1609" t="s">
        <v>2</v>
      </c>
      <c r="B1609">
        <v>7500</v>
      </c>
      <c r="C1609">
        <v>12</v>
      </c>
      <c r="D1609">
        <v>201</v>
      </c>
      <c r="E1609">
        <v>0</v>
      </c>
      <c r="F1609">
        <v>2850180723</v>
      </c>
      <c r="G1609">
        <v>2328543.2799999998</v>
      </c>
      <c r="H1609">
        <v>2815839415.3200002</v>
      </c>
      <c r="I1609">
        <v>2815839415.3200002</v>
      </c>
      <c r="J1609">
        <v>0.12676000000000001</v>
      </c>
      <c r="K1609">
        <v>0.12676000000000001</v>
      </c>
      <c r="M1609" t="s">
        <v>1</v>
      </c>
      <c r="N1609">
        <v>7750</v>
      </c>
      <c r="O1609">
        <v>12</v>
      </c>
      <c r="P1609">
        <v>394</v>
      </c>
      <c r="Q1609">
        <v>0</v>
      </c>
      <c r="R1609">
        <v>10761050174</v>
      </c>
      <c r="S1609">
        <v>8311732.2699999996</v>
      </c>
      <c r="T1609">
        <v>9817875784.9500008</v>
      </c>
      <c r="U1609">
        <v>10411125340.040001</v>
      </c>
      <c r="V1609">
        <v>0.66398000000000001</v>
      </c>
      <c r="W1609">
        <v>0.320992</v>
      </c>
    </row>
    <row r="1610" spans="1:23" x14ac:dyDescent="0.35">
      <c r="A1610" t="s">
        <v>3</v>
      </c>
      <c r="B1610">
        <v>5750</v>
      </c>
      <c r="C1610">
        <v>12</v>
      </c>
      <c r="D1610">
        <v>17</v>
      </c>
      <c r="E1610">
        <v>0</v>
      </c>
      <c r="F1610">
        <v>475110499</v>
      </c>
      <c r="G1610">
        <v>532350.28</v>
      </c>
      <c r="H1610">
        <v>474578148.72000003</v>
      </c>
      <c r="I1610">
        <v>474578148.72000003</v>
      </c>
      <c r="J1610">
        <v>0</v>
      </c>
      <c r="K1610">
        <v>0</v>
      </c>
      <c r="M1610" t="s">
        <v>3</v>
      </c>
      <c r="N1610">
        <v>5500</v>
      </c>
      <c r="O1610">
        <v>14</v>
      </c>
      <c r="P1610">
        <v>6</v>
      </c>
      <c r="Q1610">
        <v>0</v>
      </c>
      <c r="R1610">
        <v>126641399</v>
      </c>
      <c r="S1610">
        <v>150444.94</v>
      </c>
      <c r="T1610">
        <v>126490954.06</v>
      </c>
      <c r="U1610">
        <v>126490954.06</v>
      </c>
      <c r="V1610">
        <v>0</v>
      </c>
      <c r="W1610">
        <v>0</v>
      </c>
    </row>
    <row r="1611" spans="1:23" x14ac:dyDescent="0.35">
      <c r="A1611" t="s">
        <v>3</v>
      </c>
      <c r="B1611">
        <v>5500</v>
      </c>
      <c r="C1611">
        <v>12</v>
      </c>
      <c r="D1611">
        <v>7</v>
      </c>
      <c r="E1611">
        <v>0</v>
      </c>
      <c r="F1611">
        <v>145943192</v>
      </c>
      <c r="G1611">
        <v>171854.31</v>
      </c>
      <c r="H1611">
        <v>145771337.69</v>
      </c>
      <c r="I1611">
        <v>145771337.69</v>
      </c>
      <c r="J1611">
        <v>0</v>
      </c>
      <c r="K1611">
        <v>0</v>
      </c>
      <c r="M1611" t="s">
        <v>3</v>
      </c>
      <c r="N1611">
        <v>7000</v>
      </c>
      <c r="O1611">
        <v>9</v>
      </c>
      <c r="P1611">
        <v>7</v>
      </c>
      <c r="Q1611">
        <v>0</v>
      </c>
      <c r="R1611">
        <v>121593027</v>
      </c>
      <c r="S1611">
        <v>107533.74</v>
      </c>
      <c r="T1611">
        <v>121485493.26000001</v>
      </c>
      <c r="U1611">
        <v>121485493.26000001</v>
      </c>
      <c r="V1611">
        <v>0</v>
      </c>
      <c r="W1611">
        <v>0</v>
      </c>
    </row>
    <row r="1612" spans="1:23" x14ac:dyDescent="0.35">
      <c r="A1612" t="s">
        <v>1</v>
      </c>
      <c r="B1612">
        <v>8250</v>
      </c>
      <c r="C1612">
        <v>14</v>
      </c>
      <c r="D1612">
        <v>4</v>
      </c>
      <c r="E1612">
        <v>0</v>
      </c>
      <c r="F1612">
        <v>105741158</v>
      </c>
      <c r="G1612">
        <v>76445.53</v>
      </c>
      <c r="H1612">
        <v>78773758.739999995</v>
      </c>
      <c r="I1612">
        <v>78773758.739999995</v>
      </c>
      <c r="J1612">
        <v>0.97043999999999997</v>
      </c>
      <c r="K1612">
        <v>0.97043999999999997</v>
      </c>
      <c r="M1612" t="s">
        <v>3</v>
      </c>
      <c r="N1612">
        <v>6750</v>
      </c>
      <c r="O1612">
        <v>10</v>
      </c>
      <c r="P1612">
        <v>32</v>
      </c>
      <c r="Q1612">
        <v>0</v>
      </c>
      <c r="R1612">
        <v>907479549</v>
      </c>
      <c r="S1612">
        <v>841843.42</v>
      </c>
      <c r="T1612">
        <v>906637705.58000004</v>
      </c>
      <c r="U1612">
        <v>906637705.58000004</v>
      </c>
      <c r="V1612">
        <v>0</v>
      </c>
      <c r="W1612">
        <v>0</v>
      </c>
    </row>
    <row r="1613" spans="1:23" x14ac:dyDescent="0.35">
      <c r="A1613" t="s">
        <v>2</v>
      </c>
      <c r="B1613">
        <v>7250</v>
      </c>
      <c r="C1613">
        <v>8</v>
      </c>
      <c r="D1613">
        <v>200</v>
      </c>
      <c r="E1613">
        <v>0</v>
      </c>
      <c r="F1613">
        <v>2915128437</v>
      </c>
      <c r="G1613">
        <v>2448063.86</v>
      </c>
      <c r="H1613">
        <v>2912680373.1399999</v>
      </c>
      <c r="I1613">
        <v>2912680373.1399999</v>
      </c>
      <c r="J1613">
        <v>0</v>
      </c>
      <c r="K1613">
        <v>0</v>
      </c>
      <c r="M1613" t="s">
        <v>2</v>
      </c>
      <c r="N1613">
        <v>7500</v>
      </c>
      <c r="O1613">
        <v>12</v>
      </c>
      <c r="P1613">
        <v>180</v>
      </c>
      <c r="Q1613">
        <v>0</v>
      </c>
      <c r="R1613">
        <v>2524162662</v>
      </c>
      <c r="S1613">
        <v>2058718.02</v>
      </c>
      <c r="T1613">
        <v>2437494683.8400002</v>
      </c>
      <c r="U1613">
        <v>2446225135.75</v>
      </c>
      <c r="V1613">
        <v>0.33577400000000002</v>
      </c>
      <c r="W1613">
        <v>0.30668099999999998</v>
      </c>
    </row>
    <row r="1614" spans="1:23" x14ac:dyDescent="0.35">
      <c r="A1614" t="s">
        <v>2</v>
      </c>
      <c r="B1614">
        <v>7000</v>
      </c>
      <c r="C1614">
        <v>8</v>
      </c>
      <c r="D1614">
        <v>296</v>
      </c>
      <c r="E1614">
        <v>0</v>
      </c>
      <c r="F1614">
        <v>4946720358</v>
      </c>
      <c r="G1614">
        <v>4357187.8899999997</v>
      </c>
      <c r="H1614">
        <v>4894676016.5600004</v>
      </c>
      <c r="I1614">
        <v>4942363170.1099997</v>
      </c>
      <c r="J1614">
        <v>0.10974100000000001</v>
      </c>
      <c r="K1614">
        <v>0</v>
      </c>
      <c r="M1614" t="s">
        <v>2</v>
      </c>
      <c r="N1614">
        <v>7750</v>
      </c>
      <c r="O1614">
        <v>12</v>
      </c>
      <c r="P1614">
        <v>27</v>
      </c>
      <c r="Q1614">
        <v>0</v>
      </c>
      <c r="R1614">
        <v>377573218</v>
      </c>
      <c r="S1614">
        <v>294544.02</v>
      </c>
      <c r="T1614">
        <v>377278673.98000002</v>
      </c>
      <c r="U1614">
        <v>377278673.98000002</v>
      </c>
      <c r="V1614">
        <v>0</v>
      </c>
      <c r="W1614">
        <v>0</v>
      </c>
    </row>
    <row r="1615" spans="1:23" x14ac:dyDescent="0.35">
      <c r="A1615" t="s">
        <v>1</v>
      </c>
      <c r="B1615">
        <v>7250</v>
      </c>
      <c r="C1615">
        <v>8</v>
      </c>
      <c r="D1615">
        <v>856</v>
      </c>
      <c r="E1615">
        <v>0</v>
      </c>
      <c r="F1615">
        <v>24675072166</v>
      </c>
      <c r="G1615">
        <v>20678335.530000001</v>
      </c>
      <c r="H1615">
        <v>21091402475.900002</v>
      </c>
      <c r="I1615">
        <v>24299653082.009998</v>
      </c>
      <c r="J1615">
        <v>0.84608799999999995</v>
      </c>
      <c r="K1615">
        <v>0.15951000000000001</v>
      </c>
      <c r="M1615" t="s">
        <v>0</v>
      </c>
      <c r="N1615">
        <v>7750</v>
      </c>
      <c r="O1615">
        <v>7</v>
      </c>
      <c r="P1615">
        <v>897</v>
      </c>
      <c r="Q1615">
        <v>0</v>
      </c>
      <c r="R1615">
        <v>23804820710</v>
      </c>
      <c r="S1615">
        <v>17830119.140000001</v>
      </c>
      <c r="T1615">
        <v>22599789744.84</v>
      </c>
      <c r="U1615">
        <v>23641228991.540001</v>
      </c>
      <c r="V1615">
        <v>0.45876800000000001</v>
      </c>
      <c r="W1615">
        <v>7.1054000000000006E-2</v>
      </c>
    </row>
    <row r="1616" spans="1:23" x14ac:dyDescent="0.35">
      <c r="A1616" t="s">
        <v>0</v>
      </c>
      <c r="B1616">
        <v>5250</v>
      </c>
      <c r="C1616">
        <v>7</v>
      </c>
      <c r="D1616">
        <v>1434</v>
      </c>
      <c r="E1616">
        <v>0</v>
      </c>
      <c r="F1616">
        <v>52672962299</v>
      </c>
      <c r="G1616">
        <v>63363374.030000001</v>
      </c>
      <c r="H1616">
        <v>52307868502.650002</v>
      </c>
      <c r="I1616">
        <v>52609598924.970001</v>
      </c>
      <c r="J1616">
        <v>6.6615999999999995E-2</v>
      </c>
      <c r="K1616">
        <v>0</v>
      </c>
      <c r="M1616" t="s">
        <v>2</v>
      </c>
      <c r="N1616">
        <v>7750</v>
      </c>
      <c r="O1616">
        <v>10</v>
      </c>
      <c r="P1616">
        <v>7</v>
      </c>
      <c r="Q1616">
        <v>0</v>
      </c>
      <c r="R1616">
        <v>113390031</v>
      </c>
      <c r="S1616">
        <v>87309.1</v>
      </c>
      <c r="T1616">
        <v>113302721.90000001</v>
      </c>
      <c r="U1616">
        <v>113302721.90000001</v>
      </c>
      <c r="V1616">
        <v>0</v>
      </c>
      <c r="W1616">
        <v>0</v>
      </c>
    </row>
    <row r="1617" spans="1:23" x14ac:dyDescent="0.35">
      <c r="A1617" t="s">
        <v>2</v>
      </c>
      <c r="B1617">
        <v>7000</v>
      </c>
      <c r="C1617">
        <v>7</v>
      </c>
      <c r="D1617">
        <v>158</v>
      </c>
      <c r="E1617">
        <v>0</v>
      </c>
      <c r="F1617">
        <v>2442945396</v>
      </c>
      <c r="G1617">
        <v>2135915.73</v>
      </c>
      <c r="H1617">
        <v>2399316488.5900002</v>
      </c>
      <c r="I1617">
        <v>2440809480.27</v>
      </c>
      <c r="J1617">
        <v>0.18581600000000001</v>
      </c>
      <c r="K1617">
        <v>0</v>
      </c>
      <c r="M1617" t="s">
        <v>1</v>
      </c>
      <c r="N1617">
        <v>7250</v>
      </c>
      <c r="O1617">
        <v>8</v>
      </c>
      <c r="P1617">
        <v>1107</v>
      </c>
      <c r="Q1617">
        <v>0</v>
      </c>
      <c r="R1617">
        <v>31708388703</v>
      </c>
      <c r="S1617">
        <v>26629444.329999998</v>
      </c>
      <c r="T1617">
        <v>26642628041.900002</v>
      </c>
      <c r="U1617">
        <v>31423729394.450001</v>
      </c>
      <c r="V1617">
        <v>0.87467399999999995</v>
      </c>
      <c r="W1617">
        <v>9.3396999999999994E-2</v>
      </c>
    </row>
    <row r="1618" spans="1:23" x14ac:dyDescent="0.35">
      <c r="A1618" t="s">
        <v>3</v>
      </c>
      <c r="B1618">
        <v>6000</v>
      </c>
      <c r="C1618">
        <v>10</v>
      </c>
      <c r="D1618">
        <v>10</v>
      </c>
      <c r="E1618">
        <v>0</v>
      </c>
      <c r="F1618">
        <v>307209378</v>
      </c>
      <c r="G1618">
        <v>328077.09999999998</v>
      </c>
      <c r="H1618">
        <v>306881300.89999998</v>
      </c>
      <c r="I1618">
        <v>306881300.89999998</v>
      </c>
      <c r="J1618">
        <v>0</v>
      </c>
      <c r="K1618">
        <v>0</v>
      </c>
      <c r="M1618" t="s">
        <v>2</v>
      </c>
      <c r="N1618">
        <v>7250</v>
      </c>
      <c r="O1618">
        <v>8</v>
      </c>
      <c r="P1618">
        <v>324</v>
      </c>
      <c r="Q1618">
        <v>0</v>
      </c>
      <c r="R1618">
        <v>4958352937</v>
      </c>
      <c r="S1618">
        <v>4161436.97</v>
      </c>
      <c r="T1618">
        <v>4939538187.2600002</v>
      </c>
      <c r="U1618">
        <v>4954191500.0299997</v>
      </c>
      <c r="V1618">
        <v>3.4893E-2</v>
      </c>
      <c r="W1618">
        <v>0</v>
      </c>
    </row>
    <row r="1619" spans="1:23" x14ac:dyDescent="0.35">
      <c r="A1619" t="s">
        <v>3</v>
      </c>
      <c r="B1619">
        <v>6500</v>
      </c>
      <c r="C1619">
        <v>12</v>
      </c>
      <c r="D1619">
        <v>70</v>
      </c>
      <c r="E1619">
        <v>0</v>
      </c>
      <c r="F1619">
        <v>2113696698</v>
      </c>
      <c r="G1619">
        <v>2081729.81</v>
      </c>
      <c r="H1619">
        <v>2111614968.1900001</v>
      </c>
      <c r="I1619">
        <v>2111614968.1900001</v>
      </c>
      <c r="J1619">
        <v>0</v>
      </c>
      <c r="K1619">
        <v>0</v>
      </c>
      <c r="M1619" t="s">
        <v>3</v>
      </c>
      <c r="N1619">
        <v>6500</v>
      </c>
      <c r="O1619">
        <v>8</v>
      </c>
      <c r="P1619">
        <v>37</v>
      </c>
      <c r="Q1619">
        <v>0</v>
      </c>
      <c r="R1619">
        <v>1068786388</v>
      </c>
      <c r="S1619">
        <v>1025160.39</v>
      </c>
      <c r="T1619">
        <v>1067761227.61</v>
      </c>
      <c r="U1619">
        <v>1067761227.61</v>
      </c>
      <c r="V1619">
        <v>0</v>
      </c>
      <c r="W1619">
        <v>0</v>
      </c>
    </row>
    <row r="1620" spans="1:23" x14ac:dyDescent="0.35">
      <c r="A1620" t="s">
        <v>0</v>
      </c>
      <c r="B1620">
        <v>8250</v>
      </c>
      <c r="C1620">
        <v>12</v>
      </c>
      <c r="D1620">
        <v>175</v>
      </c>
      <c r="E1620">
        <v>0</v>
      </c>
      <c r="F1620">
        <v>5284782164</v>
      </c>
      <c r="G1620">
        <v>3712298.13</v>
      </c>
      <c r="H1620">
        <v>5240168289.5100002</v>
      </c>
      <c r="I1620">
        <v>5281069865.8699999</v>
      </c>
      <c r="J1620">
        <v>8.9021000000000003E-2</v>
      </c>
      <c r="K1620">
        <v>0</v>
      </c>
      <c r="M1620" t="s">
        <v>0</v>
      </c>
      <c r="N1620">
        <v>4750</v>
      </c>
      <c r="O1620">
        <v>8</v>
      </c>
      <c r="P1620">
        <v>796</v>
      </c>
      <c r="Q1620">
        <v>0</v>
      </c>
      <c r="R1620">
        <v>25677774787</v>
      </c>
      <c r="S1620">
        <v>33909509.079999998</v>
      </c>
      <c r="T1620">
        <v>25643865277.919998</v>
      </c>
      <c r="U1620">
        <v>25643865277.919998</v>
      </c>
      <c r="V1620">
        <v>0</v>
      </c>
      <c r="W1620">
        <v>0</v>
      </c>
    </row>
    <row r="1621" spans="1:23" x14ac:dyDescent="0.35">
      <c r="A1621" t="s">
        <v>2</v>
      </c>
      <c r="B1621">
        <v>5500</v>
      </c>
      <c r="C1621">
        <v>10</v>
      </c>
      <c r="D1621">
        <v>37</v>
      </c>
      <c r="E1621">
        <v>0</v>
      </c>
      <c r="F1621">
        <v>947897219</v>
      </c>
      <c r="G1621">
        <v>1105564.8899999999</v>
      </c>
      <c r="H1621">
        <v>946791654.11000001</v>
      </c>
      <c r="I1621">
        <v>946791654.11000001</v>
      </c>
      <c r="J1621">
        <v>0</v>
      </c>
      <c r="K1621">
        <v>0</v>
      </c>
      <c r="M1621" t="s">
        <v>1</v>
      </c>
      <c r="N1621">
        <v>4750</v>
      </c>
      <c r="O1621">
        <v>7</v>
      </c>
      <c r="P1621">
        <v>291</v>
      </c>
      <c r="Q1621">
        <v>0</v>
      </c>
      <c r="R1621">
        <v>11252724052</v>
      </c>
      <c r="S1621">
        <v>14802769.039999999</v>
      </c>
      <c r="T1621">
        <v>11207504297.459999</v>
      </c>
      <c r="U1621">
        <v>11237921282.959999</v>
      </c>
      <c r="V1621">
        <v>3.1959000000000001E-2</v>
      </c>
      <c r="W1621">
        <v>0</v>
      </c>
    </row>
    <row r="1622" spans="1:23" x14ac:dyDescent="0.35">
      <c r="A1622" t="s">
        <v>2</v>
      </c>
      <c r="B1622">
        <v>7750</v>
      </c>
      <c r="C1622">
        <v>10</v>
      </c>
      <c r="D1622">
        <v>9</v>
      </c>
      <c r="E1622">
        <v>0</v>
      </c>
      <c r="F1622">
        <v>157494254</v>
      </c>
      <c r="G1622">
        <v>121745.15</v>
      </c>
      <c r="H1622">
        <v>157372508.84999999</v>
      </c>
      <c r="I1622">
        <v>157372508.84999999</v>
      </c>
      <c r="J1622">
        <v>0</v>
      </c>
      <c r="K1622">
        <v>0</v>
      </c>
      <c r="M1622" t="s">
        <v>2</v>
      </c>
      <c r="N1622">
        <v>4750</v>
      </c>
      <c r="O1622">
        <v>8</v>
      </c>
      <c r="P1622">
        <v>18</v>
      </c>
      <c r="Q1622">
        <v>0</v>
      </c>
      <c r="R1622">
        <v>452425611</v>
      </c>
      <c r="S1622">
        <v>607539.1</v>
      </c>
      <c r="T1622">
        <v>451818071.89999998</v>
      </c>
      <c r="U1622">
        <v>451818071.89999998</v>
      </c>
      <c r="V1622">
        <v>0</v>
      </c>
      <c r="W1622">
        <v>0</v>
      </c>
    </row>
    <row r="1623" spans="1:23" x14ac:dyDescent="0.35">
      <c r="A1623" t="s">
        <v>0</v>
      </c>
      <c r="B1623">
        <v>8250</v>
      </c>
      <c r="C1623">
        <v>10</v>
      </c>
      <c r="D1623">
        <v>119</v>
      </c>
      <c r="E1623">
        <v>0</v>
      </c>
      <c r="F1623">
        <v>3791668338</v>
      </c>
      <c r="G1623">
        <v>2632094.94</v>
      </c>
      <c r="H1623">
        <v>3706961603.6700001</v>
      </c>
      <c r="I1623">
        <v>3789036243.0599999</v>
      </c>
      <c r="J1623">
        <v>0.23095399999999999</v>
      </c>
      <c r="K1623">
        <v>0</v>
      </c>
      <c r="M1623" t="s">
        <v>1</v>
      </c>
      <c r="N1623">
        <v>4750</v>
      </c>
      <c r="O1623">
        <v>8</v>
      </c>
      <c r="P1623">
        <v>281</v>
      </c>
      <c r="Q1623">
        <v>0</v>
      </c>
      <c r="R1623">
        <v>10542891067</v>
      </c>
      <c r="S1623">
        <v>13920718.449999999</v>
      </c>
      <c r="T1623">
        <v>10528970348.549999</v>
      </c>
      <c r="U1623">
        <v>10528970348.549999</v>
      </c>
      <c r="V1623">
        <v>0</v>
      </c>
      <c r="W1623">
        <v>0</v>
      </c>
    </row>
    <row r="1624" spans="1:23" x14ac:dyDescent="0.35">
      <c r="A1624" t="s">
        <v>0</v>
      </c>
      <c r="B1624">
        <v>9000</v>
      </c>
      <c r="C1624">
        <v>10</v>
      </c>
      <c r="D1624">
        <v>2</v>
      </c>
      <c r="E1624">
        <v>0</v>
      </c>
      <c r="F1624">
        <v>54641368</v>
      </c>
      <c r="G1624">
        <v>34008.43</v>
      </c>
      <c r="H1624">
        <v>54607359.57</v>
      </c>
      <c r="I1624">
        <v>54607359.57</v>
      </c>
      <c r="J1624">
        <v>0</v>
      </c>
      <c r="K1624">
        <v>0</v>
      </c>
      <c r="M1624" t="s">
        <v>1</v>
      </c>
      <c r="N1624">
        <v>7500</v>
      </c>
      <c r="O1624">
        <v>8</v>
      </c>
      <c r="P1624">
        <v>116</v>
      </c>
      <c r="Q1624">
        <v>0</v>
      </c>
      <c r="R1624">
        <v>3133081289</v>
      </c>
      <c r="S1624">
        <v>2493449.5499999998</v>
      </c>
      <c r="T1624">
        <v>2492854048.8499999</v>
      </c>
      <c r="U1624">
        <v>3045086051.6900001</v>
      </c>
      <c r="V1624">
        <v>0.93484999999999996</v>
      </c>
      <c r="W1624">
        <v>0.28253499999999998</v>
      </c>
    </row>
    <row r="1625" spans="1:23" x14ac:dyDescent="0.35">
      <c r="A1625" t="s">
        <v>0</v>
      </c>
      <c r="B1625">
        <v>8500</v>
      </c>
      <c r="C1625">
        <v>10</v>
      </c>
      <c r="D1625">
        <v>2</v>
      </c>
      <c r="E1625">
        <v>0</v>
      </c>
      <c r="F1625">
        <v>57520859</v>
      </c>
      <c r="G1625">
        <v>38574.92</v>
      </c>
      <c r="H1625">
        <v>57482284.079999998</v>
      </c>
      <c r="I1625">
        <v>57482284.079999998</v>
      </c>
      <c r="J1625">
        <v>0</v>
      </c>
      <c r="K1625">
        <v>0</v>
      </c>
      <c r="M1625" t="s">
        <v>3</v>
      </c>
      <c r="N1625">
        <v>7250</v>
      </c>
      <c r="O1625">
        <v>8</v>
      </c>
      <c r="P1625">
        <v>4</v>
      </c>
      <c r="Q1625">
        <v>0</v>
      </c>
      <c r="R1625">
        <v>140155829</v>
      </c>
      <c r="S1625">
        <v>116138.8</v>
      </c>
      <c r="T1625">
        <v>140039690.19999999</v>
      </c>
      <c r="U1625">
        <v>140039690.19999999</v>
      </c>
      <c r="V1625">
        <v>0</v>
      </c>
      <c r="W1625">
        <v>0</v>
      </c>
    </row>
    <row r="1626" spans="1:23" x14ac:dyDescent="0.35">
      <c r="A1626" t="s">
        <v>0</v>
      </c>
      <c r="B1626">
        <v>4750</v>
      </c>
      <c r="C1626">
        <v>10</v>
      </c>
      <c r="D1626">
        <v>788</v>
      </c>
      <c r="E1626">
        <v>0</v>
      </c>
      <c r="F1626">
        <v>25987747272</v>
      </c>
      <c r="G1626">
        <v>34639376.340000004</v>
      </c>
      <c r="H1626">
        <v>25953107895.66</v>
      </c>
      <c r="I1626">
        <v>25953107895.66</v>
      </c>
      <c r="J1626">
        <v>0</v>
      </c>
      <c r="K1626">
        <v>0</v>
      </c>
      <c r="M1626" t="s">
        <v>1</v>
      </c>
      <c r="N1626">
        <v>7500</v>
      </c>
      <c r="O1626">
        <v>9</v>
      </c>
      <c r="P1626">
        <v>188</v>
      </c>
      <c r="Q1626">
        <v>0</v>
      </c>
      <c r="R1626">
        <v>5335631460</v>
      </c>
      <c r="S1626">
        <v>4320152.07</v>
      </c>
      <c r="T1626">
        <v>4970435577.1400003</v>
      </c>
      <c r="U1626">
        <v>5284309283.6599998</v>
      </c>
      <c r="V1626">
        <v>0.56845000000000001</v>
      </c>
      <c r="W1626">
        <v>0.10073500000000001</v>
      </c>
    </row>
    <row r="1627" spans="1:23" x14ac:dyDescent="0.35">
      <c r="A1627" t="s">
        <v>2</v>
      </c>
      <c r="B1627">
        <v>4750</v>
      </c>
      <c r="C1627">
        <v>10</v>
      </c>
      <c r="D1627">
        <v>17</v>
      </c>
      <c r="E1627">
        <v>0</v>
      </c>
      <c r="F1627">
        <v>439346622</v>
      </c>
      <c r="G1627">
        <v>586753.78</v>
      </c>
      <c r="H1627">
        <v>438759868.22000003</v>
      </c>
      <c r="I1627">
        <v>438759868.22000003</v>
      </c>
      <c r="J1627">
        <v>0</v>
      </c>
      <c r="K1627">
        <v>0</v>
      </c>
      <c r="M1627" t="s">
        <v>3</v>
      </c>
      <c r="N1627">
        <v>7000</v>
      </c>
      <c r="O1627">
        <v>10</v>
      </c>
      <c r="P1627">
        <v>8</v>
      </c>
      <c r="Q1627">
        <v>0</v>
      </c>
      <c r="R1627">
        <v>238782461</v>
      </c>
      <c r="S1627">
        <v>212371.86</v>
      </c>
      <c r="T1627">
        <v>238570089.13999999</v>
      </c>
      <c r="U1627">
        <v>238570089.13999999</v>
      </c>
      <c r="V1627">
        <v>0</v>
      </c>
      <c r="W1627">
        <v>0</v>
      </c>
    </row>
    <row r="1628" spans="1:23" x14ac:dyDescent="0.35">
      <c r="A1628" t="s">
        <v>1</v>
      </c>
      <c r="B1628">
        <v>4750</v>
      </c>
      <c r="C1628">
        <v>10</v>
      </c>
      <c r="D1628">
        <v>254</v>
      </c>
      <c r="E1628">
        <v>0</v>
      </c>
      <c r="F1628">
        <v>10252879097</v>
      </c>
      <c r="G1628">
        <v>13682461.119999999</v>
      </c>
      <c r="H1628">
        <v>10191133272.43</v>
      </c>
      <c r="I1628">
        <v>10191133272.43</v>
      </c>
      <c r="J1628">
        <v>5.4826E-2</v>
      </c>
      <c r="K1628">
        <v>5.4826E-2</v>
      </c>
      <c r="M1628" t="s">
        <v>1</v>
      </c>
      <c r="N1628">
        <v>7500</v>
      </c>
      <c r="O1628">
        <v>10</v>
      </c>
      <c r="P1628">
        <v>100</v>
      </c>
      <c r="Q1628">
        <v>0</v>
      </c>
      <c r="R1628">
        <v>3112415974</v>
      </c>
      <c r="S1628">
        <v>2560968.84</v>
      </c>
      <c r="T1628">
        <v>2739582148.7199998</v>
      </c>
      <c r="U1628">
        <v>3012989684.1799998</v>
      </c>
      <c r="V1628">
        <v>0.78126899999999999</v>
      </c>
      <c r="W1628">
        <v>0.31572899999999998</v>
      </c>
    </row>
    <row r="1629" spans="1:23" x14ac:dyDescent="0.35">
      <c r="A1629" t="s">
        <v>2</v>
      </c>
      <c r="B1629">
        <v>5250</v>
      </c>
      <c r="C1629">
        <v>9</v>
      </c>
      <c r="D1629">
        <v>10</v>
      </c>
      <c r="E1629">
        <v>0</v>
      </c>
      <c r="F1629">
        <v>241126141</v>
      </c>
      <c r="G1629">
        <v>293875.7</v>
      </c>
      <c r="H1629">
        <v>240832265.30000001</v>
      </c>
      <c r="I1629">
        <v>240832265.30000001</v>
      </c>
      <c r="J1629">
        <v>0</v>
      </c>
      <c r="K1629">
        <v>0</v>
      </c>
      <c r="M1629" t="s">
        <v>2</v>
      </c>
      <c r="N1629">
        <v>7500</v>
      </c>
      <c r="O1629">
        <v>10</v>
      </c>
      <c r="P1629">
        <v>81</v>
      </c>
      <c r="Q1629">
        <v>0</v>
      </c>
      <c r="R1629">
        <v>1192399091</v>
      </c>
      <c r="S1629">
        <v>965863.7</v>
      </c>
      <c r="T1629">
        <v>1181747589.1900001</v>
      </c>
      <c r="U1629">
        <v>1181747589.1900001</v>
      </c>
      <c r="V1629">
        <v>9.3234999999999998E-2</v>
      </c>
      <c r="W1629">
        <v>9.3234999999999998E-2</v>
      </c>
    </row>
    <row r="1630" spans="1:23" x14ac:dyDescent="0.35">
      <c r="A1630" t="s">
        <v>2</v>
      </c>
      <c r="B1630">
        <v>5250</v>
      </c>
      <c r="C1630">
        <v>8</v>
      </c>
      <c r="D1630">
        <v>23</v>
      </c>
      <c r="E1630">
        <v>0</v>
      </c>
      <c r="F1630">
        <v>536019100</v>
      </c>
      <c r="G1630">
        <v>647352.30000000005</v>
      </c>
      <c r="H1630">
        <v>535371747.69999999</v>
      </c>
      <c r="I1630">
        <v>535371747.69999999</v>
      </c>
      <c r="J1630">
        <v>0</v>
      </c>
      <c r="K1630">
        <v>0</v>
      </c>
      <c r="M1630" t="s">
        <v>3</v>
      </c>
      <c r="N1630">
        <v>6000</v>
      </c>
      <c r="O1630">
        <v>10</v>
      </c>
      <c r="P1630">
        <v>14</v>
      </c>
      <c r="Q1630">
        <v>0</v>
      </c>
      <c r="R1630">
        <v>400665498</v>
      </c>
      <c r="S1630">
        <v>427659.78</v>
      </c>
      <c r="T1630">
        <v>400237838.22000003</v>
      </c>
      <c r="U1630">
        <v>400237838.22000003</v>
      </c>
      <c r="V1630">
        <v>0</v>
      </c>
      <c r="W1630">
        <v>0</v>
      </c>
    </row>
    <row r="1631" spans="1:23" x14ac:dyDescent="0.35">
      <c r="A1631" t="s">
        <v>0</v>
      </c>
      <c r="B1631">
        <v>4750</v>
      </c>
      <c r="C1631">
        <v>7</v>
      </c>
      <c r="D1631">
        <v>722</v>
      </c>
      <c r="E1631">
        <v>0</v>
      </c>
      <c r="F1631">
        <v>24096158156</v>
      </c>
      <c r="G1631">
        <v>31656930.309999999</v>
      </c>
      <c r="H1631">
        <v>24064501225.689999</v>
      </c>
      <c r="I1631">
        <v>24064501225.689999</v>
      </c>
      <c r="J1631">
        <v>0</v>
      </c>
      <c r="K1631">
        <v>0</v>
      </c>
      <c r="M1631" t="s">
        <v>3</v>
      </c>
      <c r="N1631">
        <v>5750</v>
      </c>
      <c r="O1631">
        <v>12</v>
      </c>
      <c r="P1631">
        <v>16</v>
      </c>
      <c r="Q1631">
        <v>0</v>
      </c>
      <c r="R1631">
        <v>436563172</v>
      </c>
      <c r="S1631">
        <v>490747.08</v>
      </c>
      <c r="T1631">
        <v>436072424.92000002</v>
      </c>
      <c r="U1631">
        <v>436072424.92000002</v>
      </c>
      <c r="V1631">
        <v>0</v>
      </c>
      <c r="W1631">
        <v>0</v>
      </c>
    </row>
    <row r="1632" spans="1:23" x14ac:dyDescent="0.35">
      <c r="A1632" t="s">
        <v>2</v>
      </c>
      <c r="B1632">
        <v>4750</v>
      </c>
      <c r="C1632">
        <v>7</v>
      </c>
      <c r="D1632">
        <v>16</v>
      </c>
      <c r="E1632">
        <v>0</v>
      </c>
      <c r="F1632">
        <v>368337356</v>
      </c>
      <c r="G1632">
        <v>483648.03</v>
      </c>
      <c r="H1632">
        <v>367853707.97000003</v>
      </c>
      <c r="I1632">
        <v>367853707.97000003</v>
      </c>
      <c r="J1632">
        <v>0</v>
      </c>
      <c r="K1632">
        <v>0</v>
      </c>
      <c r="M1632" t="s">
        <v>3</v>
      </c>
      <c r="N1632">
        <v>5500</v>
      </c>
      <c r="O1632">
        <v>12</v>
      </c>
      <c r="P1632">
        <v>10</v>
      </c>
      <c r="Q1632">
        <v>0</v>
      </c>
      <c r="R1632">
        <v>220271241</v>
      </c>
      <c r="S1632">
        <v>259159.53</v>
      </c>
      <c r="T1632">
        <v>220012081.47</v>
      </c>
      <c r="U1632">
        <v>220012081.47</v>
      </c>
      <c r="V1632">
        <v>0</v>
      </c>
      <c r="W1632">
        <v>0</v>
      </c>
    </row>
    <row r="1633" spans="1:23" x14ac:dyDescent="0.35">
      <c r="A1633" t="s">
        <v>2</v>
      </c>
      <c r="B1633">
        <v>5250</v>
      </c>
      <c r="C1633">
        <v>7</v>
      </c>
      <c r="D1633">
        <v>30</v>
      </c>
      <c r="E1633">
        <v>0</v>
      </c>
      <c r="F1633">
        <v>753741655</v>
      </c>
      <c r="G1633">
        <v>902204.88</v>
      </c>
      <c r="H1633">
        <v>752839450.12</v>
      </c>
      <c r="I1633">
        <v>752839450.12</v>
      </c>
      <c r="J1633">
        <v>0</v>
      </c>
      <c r="K1633">
        <v>0</v>
      </c>
      <c r="M1633" t="s">
        <v>1</v>
      </c>
      <c r="N1633">
        <v>8250</v>
      </c>
      <c r="O1633">
        <v>14</v>
      </c>
      <c r="P1633">
        <v>2</v>
      </c>
      <c r="Q1633">
        <v>0</v>
      </c>
      <c r="R1633">
        <v>48021812</v>
      </c>
      <c r="S1633">
        <v>34599.550000000003</v>
      </c>
      <c r="T1633">
        <v>47987212.450000003</v>
      </c>
      <c r="U1633">
        <v>47987212.450000003</v>
      </c>
      <c r="V1633">
        <v>0</v>
      </c>
      <c r="W1633">
        <v>0</v>
      </c>
    </row>
    <row r="1634" spans="1:23" x14ac:dyDescent="0.35">
      <c r="A1634" t="s">
        <v>1</v>
      </c>
      <c r="B1634">
        <v>5250</v>
      </c>
      <c r="C1634">
        <v>7</v>
      </c>
      <c r="D1634">
        <v>2037</v>
      </c>
      <c r="E1634">
        <v>0</v>
      </c>
      <c r="F1634">
        <v>94099985940</v>
      </c>
      <c r="G1634">
        <v>112805170.92</v>
      </c>
      <c r="H1634">
        <v>93113484608.360001</v>
      </c>
      <c r="I1634">
        <v>93918611841.440002</v>
      </c>
      <c r="J1634">
        <v>0.10589999999999999</v>
      </c>
      <c r="K1634">
        <v>8.7089999999999997E-3</v>
      </c>
      <c r="M1634" t="s">
        <v>1</v>
      </c>
      <c r="N1634">
        <v>8250</v>
      </c>
      <c r="O1634">
        <v>12</v>
      </c>
      <c r="P1634">
        <v>2</v>
      </c>
      <c r="Q1634">
        <v>0</v>
      </c>
      <c r="R1634">
        <v>57760394</v>
      </c>
      <c r="S1634">
        <v>41306.730000000003</v>
      </c>
      <c r="T1634">
        <v>57719087.270000003</v>
      </c>
      <c r="U1634">
        <v>57719087.270000003</v>
      </c>
      <c r="V1634">
        <v>0</v>
      </c>
      <c r="W1634">
        <v>0</v>
      </c>
    </row>
    <row r="1635" spans="1:23" x14ac:dyDescent="0.35">
      <c r="A1635" t="s">
        <v>0</v>
      </c>
      <c r="B1635">
        <v>4750</v>
      </c>
      <c r="C1635">
        <v>6</v>
      </c>
      <c r="D1635">
        <v>835</v>
      </c>
      <c r="E1635">
        <v>0</v>
      </c>
      <c r="F1635">
        <v>28145230031</v>
      </c>
      <c r="G1635">
        <v>36759852.340000004</v>
      </c>
      <c r="H1635">
        <v>28084965615.310001</v>
      </c>
      <c r="I1635">
        <v>28108470178.66</v>
      </c>
      <c r="J1635">
        <v>9.9760000000000005E-3</v>
      </c>
      <c r="K1635">
        <v>0</v>
      </c>
      <c r="M1635" t="s">
        <v>2</v>
      </c>
      <c r="N1635">
        <v>7250</v>
      </c>
      <c r="O1635">
        <v>7</v>
      </c>
      <c r="P1635">
        <v>204</v>
      </c>
      <c r="Q1635">
        <v>0</v>
      </c>
      <c r="R1635">
        <v>2988825366</v>
      </c>
      <c r="S1635">
        <v>2492755.87</v>
      </c>
      <c r="T1635">
        <v>2914754042.5700002</v>
      </c>
      <c r="U1635">
        <v>2986332610.1300001</v>
      </c>
      <c r="V1635">
        <v>0.25239600000000001</v>
      </c>
      <c r="W1635">
        <v>0</v>
      </c>
    </row>
    <row r="1636" spans="1:23" x14ac:dyDescent="0.35">
      <c r="A1636" t="s">
        <v>2</v>
      </c>
      <c r="B1636">
        <v>5000</v>
      </c>
      <c r="C1636">
        <v>6</v>
      </c>
      <c r="D1636">
        <v>12</v>
      </c>
      <c r="E1636">
        <v>0</v>
      </c>
      <c r="F1636">
        <v>340935540</v>
      </c>
      <c r="G1636">
        <v>425262.93</v>
      </c>
      <c r="H1636">
        <v>340510277.06999999</v>
      </c>
      <c r="I1636">
        <v>340510277.06999999</v>
      </c>
      <c r="J1636">
        <v>0</v>
      </c>
      <c r="K1636">
        <v>0</v>
      </c>
      <c r="M1636" t="s">
        <v>2</v>
      </c>
      <c r="N1636">
        <v>7000</v>
      </c>
      <c r="O1636">
        <v>7</v>
      </c>
      <c r="P1636">
        <v>301</v>
      </c>
      <c r="Q1636">
        <v>0</v>
      </c>
      <c r="R1636">
        <v>5033107376</v>
      </c>
      <c r="S1636">
        <v>4403316.07</v>
      </c>
      <c r="T1636">
        <v>4946436839.0299997</v>
      </c>
      <c r="U1636">
        <v>5001394691.8100004</v>
      </c>
      <c r="V1636">
        <v>0.17943600000000001</v>
      </c>
      <c r="W1636">
        <v>6.3202999999999995E-2</v>
      </c>
    </row>
    <row r="1637" spans="1:23" x14ac:dyDescent="0.35">
      <c r="A1637" t="s">
        <v>1</v>
      </c>
      <c r="B1637">
        <v>5000</v>
      </c>
      <c r="C1637">
        <v>6</v>
      </c>
      <c r="D1637">
        <v>1658</v>
      </c>
      <c r="E1637">
        <v>0</v>
      </c>
      <c r="F1637">
        <v>70735997306</v>
      </c>
      <c r="G1637">
        <v>88290994.260000005</v>
      </c>
      <c r="H1637">
        <v>70531184073.029999</v>
      </c>
      <c r="I1637">
        <v>70587477062.589996</v>
      </c>
      <c r="J1637">
        <v>1.9588999999999999E-2</v>
      </c>
      <c r="K1637">
        <v>1.017E-2</v>
      </c>
      <c r="M1637" t="s">
        <v>0</v>
      </c>
      <c r="N1637">
        <v>5250</v>
      </c>
      <c r="O1637">
        <v>6</v>
      </c>
      <c r="P1637">
        <v>1440</v>
      </c>
      <c r="Q1637">
        <v>0</v>
      </c>
      <c r="R1637">
        <v>52977187165</v>
      </c>
      <c r="S1637">
        <v>63376416.030000001</v>
      </c>
      <c r="T1637">
        <v>52773028469.660004</v>
      </c>
      <c r="U1637">
        <v>52913810748.970001</v>
      </c>
      <c r="V1637">
        <v>3.1426999999999997E-2</v>
      </c>
      <c r="W1637">
        <v>0</v>
      </c>
    </row>
    <row r="1638" spans="1:23" x14ac:dyDescent="0.35">
      <c r="A1638" t="s">
        <v>0</v>
      </c>
      <c r="B1638">
        <v>5000</v>
      </c>
      <c r="C1638">
        <v>6</v>
      </c>
      <c r="D1638">
        <v>2321</v>
      </c>
      <c r="E1638">
        <v>0</v>
      </c>
      <c r="F1638">
        <v>82236331679</v>
      </c>
      <c r="G1638">
        <v>102734918.88</v>
      </c>
      <c r="H1638">
        <v>82085579892.300003</v>
      </c>
      <c r="I1638">
        <v>82133596760.119995</v>
      </c>
      <c r="J1638">
        <v>6.9839999999999998E-3</v>
      </c>
      <c r="K1638">
        <v>0</v>
      </c>
      <c r="M1638" t="s">
        <v>2</v>
      </c>
      <c r="N1638">
        <v>7000</v>
      </c>
      <c r="O1638">
        <v>6</v>
      </c>
      <c r="P1638">
        <v>159</v>
      </c>
      <c r="Q1638">
        <v>0</v>
      </c>
      <c r="R1638">
        <v>2465117812</v>
      </c>
      <c r="S1638">
        <v>2140771.9300000002</v>
      </c>
      <c r="T1638">
        <v>2443395382.02</v>
      </c>
      <c r="U1638">
        <v>2462977040.0700002</v>
      </c>
      <c r="V1638">
        <v>9.1266E-2</v>
      </c>
      <c r="W1638">
        <v>0</v>
      </c>
    </row>
    <row r="1639" spans="1:23" x14ac:dyDescent="0.35">
      <c r="A1639" t="s">
        <v>2</v>
      </c>
      <c r="B1639">
        <v>4750</v>
      </c>
      <c r="C1639">
        <v>6</v>
      </c>
      <c r="D1639">
        <v>3</v>
      </c>
      <c r="E1639">
        <v>0</v>
      </c>
      <c r="F1639">
        <v>59480787</v>
      </c>
      <c r="G1639">
        <v>77218.89</v>
      </c>
      <c r="H1639">
        <v>59403568.109999999</v>
      </c>
      <c r="I1639">
        <v>59403568.109999999</v>
      </c>
      <c r="J1639">
        <v>0</v>
      </c>
      <c r="K1639">
        <v>0</v>
      </c>
      <c r="M1639" t="s">
        <v>3</v>
      </c>
      <c r="N1639">
        <v>6000</v>
      </c>
      <c r="O1639">
        <v>9</v>
      </c>
      <c r="P1639">
        <v>10</v>
      </c>
      <c r="Q1639">
        <v>0</v>
      </c>
      <c r="R1639">
        <v>307584950</v>
      </c>
      <c r="S1639">
        <v>326512.46000000002</v>
      </c>
      <c r="T1639">
        <v>307258437.54000002</v>
      </c>
      <c r="U1639">
        <v>307258437.54000002</v>
      </c>
      <c r="V1639">
        <v>0</v>
      </c>
      <c r="W1639">
        <v>0</v>
      </c>
    </row>
    <row r="1640" spans="1:23" x14ac:dyDescent="0.35">
      <c r="A1640" t="s">
        <v>1</v>
      </c>
      <c r="B1640">
        <v>4750</v>
      </c>
      <c r="C1640">
        <v>6</v>
      </c>
      <c r="D1640">
        <v>439</v>
      </c>
      <c r="E1640">
        <v>0</v>
      </c>
      <c r="F1640">
        <v>17653112801</v>
      </c>
      <c r="G1640">
        <v>23029805.170000002</v>
      </c>
      <c r="H1640">
        <v>17602418956.400002</v>
      </c>
      <c r="I1640">
        <v>17630082995.830002</v>
      </c>
      <c r="J1640">
        <v>1.8644000000000001E-2</v>
      </c>
      <c r="K1640">
        <v>0</v>
      </c>
      <c r="M1640" t="s">
        <v>3</v>
      </c>
      <c r="N1640">
        <v>6500</v>
      </c>
      <c r="O1640">
        <v>10</v>
      </c>
      <c r="P1640">
        <v>41</v>
      </c>
      <c r="Q1640">
        <v>0</v>
      </c>
      <c r="R1640">
        <v>1288709582</v>
      </c>
      <c r="S1640">
        <v>1256419.72</v>
      </c>
      <c r="T1640">
        <v>1287453162.28</v>
      </c>
      <c r="U1640">
        <v>1287453162.28</v>
      </c>
      <c r="V1640">
        <v>0</v>
      </c>
      <c r="W1640">
        <v>0</v>
      </c>
    </row>
    <row r="1641" spans="1:23" x14ac:dyDescent="0.35">
      <c r="A1641" t="s">
        <v>2</v>
      </c>
      <c r="B1641">
        <v>5250</v>
      </c>
      <c r="C1641">
        <v>6</v>
      </c>
      <c r="D1641">
        <v>7</v>
      </c>
      <c r="E1641">
        <v>0</v>
      </c>
      <c r="F1641">
        <v>107602962</v>
      </c>
      <c r="G1641">
        <v>127587.87</v>
      </c>
      <c r="H1641">
        <v>107475374.13</v>
      </c>
      <c r="I1641">
        <v>107475374.13</v>
      </c>
      <c r="J1641">
        <v>0</v>
      </c>
      <c r="K1641">
        <v>0</v>
      </c>
      <c r="M1641" t="s">
        <v>0</v>
      </c>
      <c r="N1641">
        <v>8250</v>
      </c>
      <c r="O1641">
        <v>10</v>
      </c>
      <c r="P1641">
        <v>97</v>
      </c>
      <c r="Q1641">
        <v>0</v>
      </c>
      <c r="R1641">
        <v>2881607784</v>
      </c>
      <c r="S1641">
        <v>2004366.86</v>
      </c>
      <c r="T1641">
        <v>2829139461.8400002</v>
      </c>
      <c r="U1641">
        <v>2857467795.9000001</v>
      </c>
      <c r="V1641">
        <v>0.19104399999999999</v>
      </c>
      <c r="W1641">
        <v>8.8384000000000004E-2</v>
      </c>
    </row>
    <row r="1642" spans="1:23" x14ac:dyDescent="0.35">
      <c r="A1642" t="s">
        <v>0</v>
      </c>
      <c r="B1642">
        <v>4750</v>
      </c>
      <c r="C1642">
        <v>5</v>
      </c>
      <c r="D1642">
        <v>6077</v>
      </c>
      <c r="E1642">
        <v>0</v>
      </c>
      <c r="F1642">
        <v>209424400000</v>
      </c>
      <c r="G1642">
        <v>267900416.53999999</v>
      </c>
      <c r="H1642">
        <v>208873661588.03</v>
      </c>
      <c r="I1642">
        <v>209061421601.84</v>
      </c>
      <c r="J1642">
        <v>1.6087000000000001E-2</v>
      </c>
      <c r="K1642">
        <v>5.4339999999999996E-3</v>
      </c>
      <c r="M1642" t="s">
        <v>2</v>
      </c>
      <c r="N1642">
        <v>5500</v>
      </c>
      <c r="O1642">
        <v>9</v>
      </c>
      <c r="P1642">
        <v>38</v>
      </c>
      <c r="Q1642">
        <v>0</v>
      </c>
      <c r="R1642">
        <v>961469768</v>
      </c>
      <c r="S1642">
        <v>1114922.25</v>
      </c>
      <c r="T1642">
        <v>947914590.74000001</v>
      </c>
      <c r="U1642">
        <v>960354845.75</v>
      </c>
      <c r="V1642">
        <v>0.144679</v>
      </c>
      <c r="W1642">
        <v>0</v>
      </c>
    </row>
    <row r="1643" spans="1:23" x14ac:dyDescent="0.35">
      <c r="A1643" t="s">
        <v>2</v>
      </c>
      <c r="B1643">
        <v>4750</v>
      </c>
      <c r="C1643">
        <v>5</v>
      </c>
      <c r="D1643">
        <v>218</v>
      </c>
      <c r="E1643">
        <v>0</v>
      </c>
      <c r="F1643">
        <v>5595100000</v>
      </c>
      <c r="G1643">
        <v>7131517.75</v>
      </c>
      <c r="H1643">
        <v>5587968482.25</v>
      </c>
      <c r="I1643">
        <v>5587968482.25</v>
      </c>
      <c r="J1643">
        <v>0</v>
      </c>
      <c r="K1643">
        <v>0</v>
      </c>
      <c r="M1643" t="s">
        <v>2</v>
      </c>
      <c r="N1643">
        <v>7750</v>
      </c>
      <c r="O1643">
        <v>9</v>
      </c>
      <c r="P1643">
        <v>9</v>
      </c>
      <c r="Q1643">
        <v>0</v>
      </c>
      <c r="R1643">
        <v>157606590</v>
      </c>
      <c r="S1643">
        <v>120967.24</v>
      </c>
      <c r="T1643">
        <v>157485622.75999999</v>
      </c>
      <c r="U1643">
        <v>157485622.75999999</v>
      </c>
      <c r="V1643">
        <v>0</v>
      </c>
      <c r="W1643">
        <v>0</v>
      </c>
    </row>
    <row r="1644" spans="1:23" x14ac:dyDescent="0.35">
      <c r="A1644" t="s">
        <v>3</v>
      </c>
      <c r="B1644">
        <v>6750</v>
      </c>
      <c r="C1644">
        <v>8</v>
      </c>
      <c r="D1644">
        <v>30</v>
      </c>
      <c r="E1644">
        <v>0</v>
      </c>
      <c r="F1644">
        <v>806234533</v>
      </c>
      <c r="G1644">
        <v>740852.69</v>
      </c>
      <c r="H1644">
        <v>805493680.30999994</v>
      </c>
      <c r="I1644">
        <v>805493680.30999994</v>
      </c>
      <c r="J1644">
        <v>0</v>
      </c>
      <c r="K1644">
        <v>0</v>
      </c>
      <c r="M1644" t="s">
        <v>0</v>
      </c>
      <c r="N1644">
        <v>8250</v>
      </c>
      <c r="O1644">
        <v>9</v>
      </c>
      <c r="P1644">
        <v>120</v>
      </c>
      <c r="Q1644">
        <v>0</v>
      </c>
      <c r="R1644">
        <v>3833611963</v>
      </c>
      <c r="S1644">
        <v>2641071.6</v>
      </c>
      <c r="T1644">
        <v>3791990482.9099998</v>
      </c>
      <c r="U1644">
        <v>3830970891.4000001</v>
      </c>
      <c r="V1644">
        <v>0.11541899999999999</v>
      </c>
      <c r="W1644">
        <v>0</v>
      </c>
    </row>
    <row r="1645" spans="1:23" x14ac:dyDescent="0.35">
      <c r="A1645" t="s">
        <v>2</v>
      </c>
      <c r="B1645">
        <v>7750</v>
      </c>
      <c r="C1645">
        <v>9</v>
      </c>
      <c r="D1645">
        <v>17</v>
      </c>
      <c r="E1645">
        <v>0</v>
      </c>
      <c r="F1645">
        <v>247427219</v>
      </c>
      <c r="G1645">
        <v>189400.77</v>
      </c>
      <c r="H1645">
        <v>247237818.22999999</v>
      </c>
      <c r="I1645">
        <v>247237818.22999999</v>
      </c>
      <c r="J1645">
        <v>0</v>
      </c>
      <c r="K1645">
        <v>0</v>
      </c>
      <c r="M1645" t="s">
        <v>0</v>
      </c>
      <c r="N1645">
        <v>9000</v>
      </c>
      <c r="O1645">
        <v>9</v>
      </c>
      <c r="P1645">
        <v>2</v>
      </c>
      <c r="Q1645">
        <v>0</v>
      </c>
      <c r="R1645">
        <v>54654600</v>
      </c>
      <c r="S1645">
        <v>33749.57</v>
      </c>
      <c r="T1645">
        <v>54620850.43</v>
      </c>
      <c r="U1645">
        <v>54620850.43</v>
      </c>
      <c r="V1645">
        <v>0</v>
      </c>
      <c r="W1645">
        <v>0</v>
      </c>
    </row>
    <row r="1646" spans="1:23" x14ac:dyDescent="0.35">
      <c r="A1646" t="s">
        <v>1</v>
      </c>
      <c r="B1646">
        <v>7750</v>
      </c>
      <c r="C1646">
        <v>9</v>
      </c>
      <c r="D1646">
        <v>236</v>
      </c>
      <c r="E1646">
        <v>0</v>
      </c>
      <c r="F1646">
        <v>6758407549</v>
      </c>
      <c r="G1646">
        <v>5134810.5199999996</v>
      </c>
      <c r="H1646">
        <v>6273872385.0600004</v>
      </c>
      <c r="I1646">
        <v>6691456703.4200001</v>
      </c>
      <c r="J1646">
        <v>0.58642000000000005</v>
      </c>
      <c r="K1646">
        <v>0.10440199999999999</v>
      </c>
      <c r="M1646" t="s">
        <v>0</v>
      </c>
      <c r="N1646">
        <v>8500</v>
      </c>
      <c r="O1646">
        <v>9</v>
      </c>
      <c r="P1646">
        <v>2</v>
      </c>
      <c r="Q1646">
        <v>0</v>
      </c>
      <c r="R1646">
        <v>57559166</v>
      </c>
      <c r="S1646">
        <v>38307.56</v>
      </c>
      <c r="T1646">
        <v>57520858.439999998</v>
      </c>
      <c r="U1646">
        <v>57520858.439999998</v>
      </c>
      <c r="V1646">
        <v>0</v>
      </c>
      <c r="W1646">
        <v>0</v>
      </c>
    </row>
    <row r="1647" spans="1:23" x14ac:dyDescent="0.35">
      <c r="A1647" t="s">
        <v>1</v>
      </c>
      <c r="B1647">
        <v>8250</v>
      </c>
      <c r="C1647">
        <v>12</v>
      </c>
      <c r="D1647">
        <v>1</v>
      </c>
      <c r="E1647">
        <v>0</v>
      </c>
      <c r="F1647">
        <v>30769233</v>
      </c>
      <c r="G1647">
        <v>21840.79</v>
      </c>
      <c r="H1647">
        <v>0</v>
      </c>
      <c r="I1647">
        <v>30747392.210000001</v>
      </c>
      <c r="J1647">
        <v>1</v>
      </c>
      <c r="K1647">
        <v>0</v>
      </c>
      <c r="M1647" t="s">
        <v>1</v>
      </c>
      <c r="N1647">
        <v>4750</v>
      </c>
      <c r="O1647">
        <v>10</v>
      </c>
      <c r="P1647">
        <v>319</v>
      </c>
      <c r="Q1647">
        <v>0</v>
      </c>
      <c r="R1647">
        <v>12508371843</v>
      </c>
      <c r="S1647">
        <v>16695866.76</v>
      </c>
      <c r="T1647">
        <v>12491659516.58</v>
      </c>
      <c r="U1647">
        <v>12491675976.24</v>
      </c>
      <c r="V1647">
        <v>1.5999999999999999E-5</v>
      </c>
      <c r="W1647">
        <v>0</v>
      </c>
    </row>
    <row r="1648" spans="1:23" x14ac:dyDescent="0.35">
      <c r="A1648" t="s">
        <v>1</v>
      </c>
      <c r="B1648">
        <v>8000</v>
      </c>
      <c r="C1648">
        <v>12</v>
      </c>
      <c r="D1648">
        <v>5</v>
      </c>
      <c r="E1648">
        <v>0</v>
      </c>
      <c r="F1648">
        <v>170512429</v>
      </c>
      <c r="G1648">
        <v>126947.43</v>
      </c>
      <c r="H1648">
        <v>144541941.34999999</v>
      </c>
      <c r="I1648">
        <v>170385481.56999999</v>
      </c>
      <c r="J1648">
        <v>0.86086700000000005</v>
      </c>
      <c r="K1648">
        <v>0</v>
      </c>
      <c r="M1648" t="s">
        <v>2</v>
      </c>
      <c r="N1648">
        <v>4750</v>
      </c>
      <c r="O1648">
        <v>10</v>
      </c>
      <c r="P1648">
        <v>19</v>
      </c>
      <c r="Q1648">
        <v>0</v>
      </c>
      <c r="R1648">
        <v>443343512</v>
      </c>
      <c r="S1648">
        <v>592126.05000000005</v>
      </c>
      <c r="T1648">
        <v>442751385.94999999</v>
      </c>
      <c r="U1648">
        <v>442751385.94999999</v>
      </c>
      <c r="V1648">
        <v>0</v>
      </c>
      <c r="W1648">
        <v>0</v>
      </c>
    </row>
    <row r="1649" spans="1:23" x14ac:dyDescent="0.35">
      <c r="A1649" t="s">
        <v>0</v>
      </c>
      <c r="B1649">
        <v>3750</v>
      </c>
      <c r="C1649">
        <v>16</v>
      </c>
      <c r="D1649">
        <v>200</v>
      </c>
      <c r="E1649">
        <v>0</v>
      </c>
      <c r="F1649">
        <v>6552176475</v>
      </c>
      <c r="G1649">
        <v>10621983.5</v>
      </c>
      <c r="H1649">
        <v>6541554491.5</v>
      </c>
      <c r="I1649">
        <v>6541554491.5</v>
      </c>
      <c r="J1649">
        <v>0</v>
      </c>
      <c r="K1649">
        <v>0</v>
      </c>
      <c r="M1649" t="s">
        <v>2</v>
      </c>
      <c r="N1649">
        <v>5250</v>
      </c>
      <c r="O1649">
        <v>10</v>
      </c>
      <c r="P1649">
        <v>23</v>
      </c>
      <c r="Q1649">
        <v>0</v>
      </c>
      <c r="R1649">
        <v>559991371</v>
      </c>
      <c r="S1649">
        <v>683325.58</v>
      </c>
      <c r="T1649">
        <v>559308045.41999996</v>
      </c>
      <c r="U1649">
        <v>559308045.41999996</v>
      </c>
      <c r="V1649">
        <v>0</v>
      </c>
      <c r="W1649">
        <v>0</v>
      </c>
    </row>
    <row r="1650" spans="1:23" x14ac:dyDescent="0.35">
      <c r="A1650" t="s">
        <v>0</v>
      </c>
      <c r="B1650">
        <v>4000</v>
      </c>
      <c r="C1650">
        <v>14</v>
      </c>
      <c r="D1650">
        <v>1142</v>
      </c>
      <c r="E1650">
        <v>0</v>
      </c>
      <c r="F1650">
        <v>39325208829</v>
      </c>
      <c r="G1650">
        <v>60594137.469999999</v>
      </c>
      <c r="H1650">
        <v>39264614691.529999</v>
      </c>
      <c r="I1650">
        <v>39264614691.529999</v>
      </c>
      <c r="J1650">
        <v>0</v>
      </c>
      <c r="K1650">
        <v>0</v>
      </c>
      <c r="M1650" t="s">
        <v>0</v>
      </c>
      <c r="N1650">
        <v>4750</v>
      </c>
      <c r="O1650">
        <v>9</v>
      </c>
      <c r="P1650">
        <v>788</v>
      </c>
      <c r="Q1650">
        <v>0</v>
      </c>
      <c r="R1650">
        <v>26024573228</v>
      </c>
      <c r="S1650">
        <v>34506757.380000003</v>
      </c>
      <c r="T1650">
        <v>25990066470.619999</v>
      </c>
      <c r="U1650">
        <v>25990066470.619999</v>
      </c>
      <c r="V1650">
        <v>0</v>
      </c>
      <c r="W1650">
        <v>0</v>
      </c>
    </row>
    <row r="1651" spans="1:23" x14ac:dyDescent="0.35">
      <c r="A1651" t="s">
        <v>1</v>
      </c>
      <c r="B1651">
        <v>4000</v>
      </c>
      <c r="C1651">
        <v>14</v>
      </c>
      <c r="D1651">
        <v>345</v>
      </c>
      <c r="E1651">
        <v>0</v>
      </c>
      <c r="F1651">
        <v>13002035369</v>
      </c>
      <c r="G1651">
        <v>20051015.300000001</v>
      </c>
      <c r="H1651">
        <v>12981984353.700001</v>
      </c>
      <c r="I1651">
        <v>12981984353.700001</v>
      </c>
      <c r="J1651">
        <v>0</v>
      </c>
      <c r="K1651">
        <v>0</v>
      </c>
      <c r="M1651" t="s">
        <v>2</v>
      </c>
      <c r="N1651">
        <v>4750</v>
      </c>
      <c r="O1651">
        <v>9</v>
      </c>
      <c r="P1651">
        <v>17</v>
      </c>
      <c r="Q1651">
        <v>0</v>
      </c>
      <c r="R1651">
        <v>439974016</v>
      </c>
      <c r="S1651">
        <v>584518.43999999994</v>
      </c>
      <c r="T1651">
        <v>439389497.56</v>
      </c>
      <c r="U1651">
        <v>439389497.56</v>
      </c>
      <c r="V1651">
        <v>0</v>
      </c>
      <c r="W1651">
        <v>0</v>
      </c>
    </row>
    <row r="1652" spans="1:23" x14ac:dyDescent="0.35">
      <c r="A1652" t="s">
        <v>2</v>
      </c>
      <c r="B1652">
        <v>4000</v>
      </c>
      <c r="C1652">
        <v>14</v>
      </c>
      <c r="D1652">
        <v>46</v>
      </c>
      <c r="E1652">
        <v>0</v>
      </c>
      <c r="F1652">
        <v>1289602714</v>
      </c>
      <c r="G1652">
        <v>1988778.05</v>
      </c>
      <c r="H1652">
        <v>1287613935.95</v>
      </c>
      <c r="I1652">
        <v>1287613935.95</v>
      </c>
      <c r="J1652">
        <v>0</v>
      </c>
      <c r="K1652">
        <v>0</v>
      </c>
      <c r="M1652" t="s">
        <v>1</v>
      </c>
      <c r="N1652">
        <v>4750</v>
      </c>
      <c r="O1652">
        <v>9</v>
      </c>
      <c r="P1652">
        <v>255</v>
      </c>
      <c r="Q1652">
        <v>0</v>
      </c>
      <c r="R1652">
        <v>10301002468</v>
      </c>
      <c r="S1652">
        <v>13674391.24</v>
      </c>
      <c r="T1652">
        <v>10254464760.77</v>
      </c>
      <c r="U1652">
        <v>10287328076.76</v>
      </c>
      <c r="V1652">
        <v>3.7619E-2</v>
      </c>
      <c r="W1652">
        <v>0</v>
      </c>
    </row>
    <row r="1653" spans="1:23" x14ac:dyDescent="0.35">
      <c r="A1653" t="s">
        <v>1</v>
      </c>
      <c r="B1653">
        <v>8000</v>
      </c>
      <c r="C1653">
        <v>10</v>
      </c>
      <c r="D1653">
        <v>9</v>
      </c>
      <c r="E1653">
        <v>0</v>
      </c>
      <c r="F1653">
        <v>184737352</v>
      </c>
      <c r="G1653">
        <v>134646.53</v>
      </c>
      <c r="H1653">
        <v>161778237.24000001</v>
      </c>
      <c r="I1653">
        <v>184602705.47</v>
      </c>
      <c r="J1653">
        <v>0.794543</v>
      </c>
      <c r="K1653">
        <v>0</v>
      </c>
      <c r="M1653" t="s">
        <v>2</v>
      </c>
      <c r="N1653">
        <v>5250</v>
      </c>
      <c r="O1653">
        <v>8</v>
      </c>
      <c r="P1653">
        <v>10</v>
      </c>
      <c r="Q1653">
        <v>0</v>
      </c>
      <c r="R1653">
        <v>241449964</v>
      </c>
      <c r="S1653">
        <v>292640.82</v>
      </c>
      <c r="T1653">
        <v>241157323.18000001</v>
      </c>
      <c r="U1653">
        <v>241157323.18000001</v>
      </c>
      <c r="V1653">
        <v>0</v>
      </c>
      <c r="W1653">
        <v>0</v>
      </c>
    </row>
    <row r="1654" spans="1:23" x14ac:dyDescent="0.35">
      <c r="A1654" t="s">
        <v>1</v>
      </c>
      <c r="B1654">
        <v>8250</v>
      </c>
      <c r="C1654">
        <v>10</v>
      </c>
      <c r="D1654">
        <v>2</v>
      </c>
      <c r="E1654">
        <v>0</v>
      </c>
      <c r="F1654">
        <v>61735727</v>
      </c>
      <c r="G1654">
        <v>43496.21</v>
      </c>
      <c r="H1654">
        <v>61692230.789999999</v>
      </c>
      <c r="I1654">
        <v>61692230.789999999</v>
      </c>
      <c r="J1654">
        <v>0</v>
      </c>
      <c r="K1654">
        <v>0</v>
      </c>
      <c r="M1654" t="s">
        <v>2</v>
      </c>
      <c r="N1654">
        <v>5250</v>
      </c>
      <c r="O1654">
        <v>7</v>
      </c>
      <c r="P1654">
        <v>23</v>
      </c>
      <c r="Q1654">
        <v>0</v>
      </c>
      <c r="R1654">
        <v>536899369</v>
      </c>
      <c r="S1654">
        <v>644835.74</v>
      </c>
      <c r="T1654">
        <v>536254533.25999999</v>
      </c>
      <c r="U1654">
        <v>536254533.25999999</v>
      </c>
      <c r="V1654">
        <v>0</v>
      </c>
      <c r="W1654">
        <v>0</v>
      </c>
    </row>
    <row r="1655" spans="1:23" x14ac:dyDescent="0.35">
      <c r="A1655" t="s">
        <v>3</v>
      </c>
      <c r="B1655">
        <v>7250</v>
      </c>
      <c r="C1655">
        <v>12</v>
      </c>
      <c r="D1655">
        <v>3</v>
      </c>
      <c r="E1655">
        <v>0</v>
      </c>
      <c r="F1655">
        <v>56335689</v>
      </c>
      <c r="G1655">
        <v>48090.65</v>
      </c>
      <c r="H1655">
        <v>56287598.350000001</v>
      </c>
      <c r="I1655">
        <v>56287598.350000001</v>
      </c>
      <c r="J1655">
        <v>0</v>
      </c>
      <c r="K1655">
        <v>0</v>
      </c>
      <c r="M1655" t="s">
        <v>0</v>
      </c>
      <c r="N1655">
        <v>4750</v>
      </c>
      <c r="O1655">
        <v>6</v>
      </c>
      <c r="P1655">
        <v>723</v>
      </c>
      <c r="Q1655">
        <v>0</v>
      </c>
      <c r="R1655">
        <v>24243377398</v>
      </c>
      <c r="S1655">
        <v>31683595.629999999</v>
      </c>
      <c r="T1655">
        <v>24176709599.450001</v>
      </c>
      <c r="U1655">
        <v>24211693802.369999</v>
      </c>
      <c r="V1655">
        <v>1.7180000000000001E-2</v>
      </c>
      <c r="W1655">
        <v>0</v>
      </c>
    </row>
    <row r="1656" spans="1:23" x14ac:dyDescent="0.35">
      <c r="A1656" t="s">
        <v>1</v>
      </c>
      <c r="B1656">
        <v>4000</v>
      </c>
      <c r="C1656">
        <v>12</v>
      </c>
      <c r="D1656">
        <v>781</v>
      </c>
      <c r="E1656">
        <v>0</v>
      </c>
      <c r="F1656">
        <v>30386059279</v>
      </c>
      <c r="G1656">
        <v>46378428.729999997</v>
      </c>
      <c r="H1656">
        <v>30262861425.720001</v>
      </c>
      <c r="I1656">
        <v>30262861425.720001</v>
      </c>
      <c r="J1656">
        <v>2.9919000000000001E-2</v>
      </c>
      <c r="K1656">
        <v>2.9919000000000001E-2</v>
      </c>
      <c r="M1656" t="s">
        <v>2</v>
      </c>
      <c r="N1656">
        <v>4750</v>
      </c>
      <c r="O1656">
        <v>6</v>
      </c>
      <c r="P1656">
        <v>16</v>
      </c>
      <c r="Q1656">
        <v>0</v>
      </c>
      <c r="R1656">
        <v>369696408</v>
      </c>
      <c r="S1656">
        <v>482905.39</v>
      </c>
      <c r="T1656">
        <v>369213502.61000001</v>
      </c>
      <c r="U1656">
        <v>369213502.61000001</v>
      </c>
      <c r="V1656">
        <v>0</v>
      </c>
      <c r="W1656">
        <v>0</v>
      </c>
    </row>
    <row r="1657" spans="1:23" x14ac:dyDescent="0.35">
      <c r="A1657" t="s">
        <v>0</v>
      </c>
      <c r="B1657">
        <v>4000</v>
      </c>
      <c r="C1657">
        <v>12</v>
      </c>
      <c r="D1657">
        <v>2912</v>
      </c>
      <c r="E1657">
        <v>0</v>
      </c>
      <c r="F1657">
        <v>101928728317</v>
      </c>
      <c r="G1657">
        <v>155444328.91999999</v>
      </c>
      <c r="H1657">
        <v>101696509929.07001</v>
      </c>
      <c r="I1657">
        <v>101744307296.17</v>
      </c>
      <c r="J1657">
        <v>9.0010000000000003E-3</v>
      </c>
      <c r="K1657">
        <v>3.4060000000000002E-3</v>
      </c>
      <c r="M1657" t="s">
        <v>2</v>
      </c>
      <c r="N1657">
        <v>5250</v>
      </c>
      <c r="O1657">
        <v>6</v>
      </c>
      <c r="P1657">
        <v>30</v>
      </c>
      <c r="Q1657">
        <v>0</v>
      </c>
      <c r="R1657">
        <v>755961110</v>
      </c>
      <c r="S1657">
        <v>899866.36</v>
      </c>
      <c r="T1657">
        <v>755061243.63999999</v>
      </c>
      <c r="U1657">
        <v>755061243.63999999</v>
      </c>
      <c r="V1657">
        <v>0</v>
      </c>
      <c r="W1657">
        <v>0</v>
      </c>
    </row>
    <row r="1658" spans="1:23" x14ac:dyDescent="0.35">
      <c r="A1658" t="s">
        <v>3</v>
      </c>
      <c r="B1658">
        <v>6500</v>
      </c>
      <c r="C1658">
        <v>8</v>
      </c>
      <c r="D1658">
        <v>35</v>
      </c>
      <c r="E1658">
        <v>0</v>
      </c>
      <c r="F1658">
        <v>1031590067</v>
      </c>
      <c r="G1658">
        <v>996294.66</v>
      </c>
      <c r="H1658">
        <v>1030593772.34</v>
      </c>
      <c r="I1658">
        <v>1030593772.34</v>
      </c>
      <c r="J1658">
        <v>0</v>
      </c>
      <c r="K1658">
        <v>0</v>
      </c>
      <c r="M1658" t="s">
        <v>1</v>
      </c>
      <c r="N1658">
        <v>5250</v>
      </c>
      <c r="O1658">
        <v>6</v>
      </c>
      <c r="P1658">
        <v>2042</v>
      </c>
      <c r="Q1658">
        <v>0</v>
      </c>
      <c r="R1658">
        <v>94780112289</v>
      </c>
      <c r="S1658">
        <v>112993323.73999999</v>
      </c>
      <c r="T1658">
        <v>94295670734.949997</v>
      </c>
      <c r="U1658">
        <v>94667118965.259995</v>
      </c>
      <c r="V1658">
        <v>4.6027999999999999E-2</v>
      </c>
      <c r="W1658">
        <v>0</v>
      </c>
    </row>
    <row r="1659" spans="1:23" x14ac:dyDescent="0.35">
      <c r="A1659" t="s">
        <v>3</v>
      </c>
      <c r="B1659">
        <v>7000</v>
      </c>
      <c r="C1659">
        <v>9</v>
      </c>
      <c r="D1659">
        <v>3</v>
      </c>
      <c r="E1659">
        <v>0</v>
      </c>
      <c r="F1659">
        <v>88935804</v>
      </c>
      <c r="G1659">
        <v>78623.839999999997</v>
      </c>
      <c r="H1659">
        <v>88857180.159999996</v>
      </c>
      <c r="I1659">
        <v>88857180.159999996</v>
      </c>
      <c r="J1659">
        <v>0</v>
      </c>
      <c r="K1659">
        <v>0</v>
      </c>
      <c r="M1659" t="s">
        <v>0</v>
      </c>
      <c r="N1659">
        <v>4750</v>
      </c>
      <c r="O1659">
        <v>5</v>
      </c>
      <c r="P1659">
        <v>6078</v>
      </c>
      <c r="Q1659">
        <v>0</v>
      </c>
      <c r="R1659">
        <v>208979300000</v>
      </c>
      <c r="S1659">
        <v>267280105.84999999</v>
      </c>
      <c r="T1659">
        <v>208650998800.35001</v>
      </c>
      <c r="U1659">
        <v>208712019894.14999</v>
      </c>
      <c r="V1659">
        <v>3.4979999999999998E-3</v>
      </c>
      <c r="W1659">
        <v>0</v>
      </c>
    </row>
    <row r="1660" spans="1:23" x14ac:dyDescent="0.35">
      <c r="A1660" t="s">
        <v>1</v>
      </c>
      <c r="B1660">
        <v>4500</v>
      </c>
      <c r="C1660">
        <v>9</v>
      </c>
      <c r="D1660">
        <v>220</v>
      </c>
      <c r="E1660">
        <v>0</v>
      </c>
      <c r="F1660">
        <v>7850542453</v>
      </c>
      <c r="G1660">
        <v>10868168.970000001</v>
      </c>
      <c r="H1660">
        <v>7839674284.0299997</v>
      </c>
      <c r="I1660">
        <v>7839674284.0299997</v>
      </c>
      <c r="J1660">
        <v>0</v>
      </c>
      <c r="K1660">
        <v>0</v>
      </c>
      <c r="M1660" t="s">
        <v>2</v>
      </c>
      <c r="N1660">
        <v>4750</v>
      </c>
      <c r="O1660">
        <v>5</v>
      </c>
      <c r="P1660">
        <v>176</v>
      </c>
      <c r="Q1660">
        <v>0</v>
      </c>
      <c r="R1660">
        <v>4433700000</v>
      </c>
      <c r="S1660">
        <v>5638983.2999999998</v>
      </c>
      <c r="T1660">
        <v>4428061016.6999998</v>
      </c>
      <c r="U1660">
        <v>4428061016.6999998</v>
      </c>
      <c r="V1660">
        <v>0</v>
      </c>
      <c r="W1660">
        <v>0</v>
      </c>
    </row>
    <row r="1661" spans="1:23" x14ac:dyDescent="0.35">
      <c r="A1661" t="s">
        <v>0</v>
      </c>
      <c r="B1661">
        <v>8250</v>
      </c>
      <c r="C1661">
        <v>9</v>
      </c>
      <c r="D1661">
        <v>139</v>
      </c>
      <c r="E1661">
        <v>0</v>
      </c>
      <c r="F1661">
        <v>3856656188</v>
      </c>
      <c r="G1661">
        <v>2648841.21</v>
      </c>
      <c r="H1661">
        <v>3794031187.4099998</v>
      </c>
      <c r="I1661">
        <v>3854007346.79</v>
      </c>
      <c r="J1661">
        <v>0.171454</v>
      </c>
      <c r="K1661">
        <v>0</v>
      </c>
      <c r="M1661" t="s">
        <v>3</v>
      </c>
      <c r="N1661">
        <v>6750</v>
      </c>
      <c r="O1661">
        <v>7</v>
      </c>
      <c r="P1661">
        <v>30</v>
      </c>
      <c r="Q1661">
        <v>0</v>
      </c>
      <c r="R1661">
        <v>807008515</v>
      </c>
      <c r="S1661">
        <v>736784.94</v>
      </c>
      <c r="T1661">
        <v>806271730.05999994</v>
      </c>
      <c r="U1661">
        <v>806271730.05999994</v>
      </c>
      <c r="V1661">
        <v>0</v>
      </c>
      <c r="W1661">
        <v>0</v>
      </c>
    </row>
    <row r="1662" spans="1:23" x14ac:dyDescent="0.35">
      <c r="A1662" t="s">
        <v>3</v>
      </c>
      <c r="B1662">
        <v>5750</v>
      </c>
      <c r="C1662">
        <v>10</v>
      </c>
      <c r="D1662">
        <v>5</v>
      </c>
      <c r="E1662">
        <v>0</v>
      </c>
      <c r="F1662">
        <v>119647757</v>
      </c>
      <c r="G1662">
        <v>132449.18</v>
      </c>
      <c r="H1662">
        <v>119515307.81999999</v>
      </c>
      <c r="I1662">
        <v>119515307.81999999</v>
      </c>
      <c r="J1662">
        <v>0</v>
      </c>
      <c r="K1662">
        <v>0</v>
      </c>
      <c r="M1662" t="s">
        <v>2</v>
      </c>
      <c r="N1662">
        <v>7750</v>
      </c>
      <c r="O1662">
        <v>8</v>
      </c>
      <c r="P1662">
        <v>17</v>
      </c>
      <c r="Q1662">
        <v>0</v>
      </c>
      <c r="R1662">
        <v>247700989</v>
      </c>
      <c r="S1662">
        <v>188264.18</v>
      </c>
      <c r="T1662">
        <v>247512724.81999999</v>
      </c>
      <c r="U1662">
        <v>247512724.81999999</v>
      </c>
      <c r="V1662">
        <v>0</v>
      </c>
      <c r="W1662">
        <v>0</v>
      </c>
    </row>
    <row r="1663" spans="1:23" x14ac:dyDescent="0.35">
      <c r="A1663" t="s">
        <v>0</v>
      </c>
      <c r="B1663">
        <v>8250</v>
      </c>
      <c r="C1663">
        <v>8</v>
      </c>
      <c r="D1663">
        <v>133</v>
      </c>
      <c r="E1663">
        <v>0</v>
      </c>
      <c r="F1663">
        <v>4017719315</v>
      </c>
      <c r="G1663">
        <v>2741335.1</v>
      </c>
      <c r="H1663">
        <v>3985695376.52</v>
      </c>
      <c r="I1663">
        <v>4014977979.9000001</v>
      </c>
      <c r="J1663">
        <v>8.4038000000000002E-2</v>
      </c>
      <c r="K1663">
        <v>0</v>
      </c>
      <c r="M1663" t="s">
        <v>1</v>
      </c>
      <c r="N1663">
        <v>7750</v>
      </c>
      <c r="O1663">
        <v>8</v>
      </c>
      <c r="P1663">
        <v>297</v>
      </c>
      <c r="Q1663">
        <v>0</v>
      </c>
      <c r="R1663">
        <v>8846328877</v>
      </c>
      <c r="S1663">
        <v>6666507.6299999999</v>
      </c>
      <c r="T1663">
        <v>6757214256.4300003</v>
      </c>
      <c r="U1663">
        <v>8019901458.3599997</v>
      </c>
      <c r="V1663">
        <v>0.96008000000000004</v>
      </c>
      <c r="W1663">
        <v>0.68868399999999996</v>
      </c>
    </row>
    <row r="1664" spans="1:23" x14ac:dyDescent="0.35">
      <c r="A1664" t="s">
        <v>3</v>
      </c>
      <c r="B1664">
        <v>6000</v>
      </c>
      <c r="C1664">
        <v>8</v>
      </c>
      <c r="D1664">
        <v>9</v>
      </c>
      <c r="E1664">
        <v>0</v>
      </c>
      <c r="F1664">
        <v>227376743</v>
      </c>
      <c r="G1664">
        <v>241418.97</v>
      </c>
      <c r="H1664">
        <v>227135324.03</v>
      </c>
      <c r="I1664">
        <v>227135324.03</v>
      </c>
      <c r="J1664">
        <v>0</v>
      </c>
      <c r="K1664">
        <v>0</v>
      </c>
      <c r="M1664" t="s">
        <v>1</v>
      </c>
      <c r="N1664">
        <v>8250</v>
      </c>
      <c r="O1664">
        <v>10</v>
      </c>
      <c r="P1664">
        <v>2</v>
      </c>
      <c r="Q1664">
        <v>0</v>
      </c>
      <c r="R1664">
        <v>53834462</v>
      </c>
      <c r="S1664">
        <v>37929.339999999997</v>
      </c>
      <c r="T1664">
        <v>30769233.100000001</v>
      </c>
      <c r="U1664">
        <v>53796532.659999996</v>
      </c>
      <c r="V1664">
        <v>0.99876699999999996</v>
      </c>
      <c r="W1664">
        <v>0</v>
      </c>
    </row>
    <row r="1665" spans="1:23" x14ac:dyDescent="0.35">
      <c r="A1665" t="s">
        <v>3</v>
      </c>
      <c r="B1665">
        <v>5750</v>
      </c>
      <c r="C1665">
        <v>9</v>
      </c>
      <c r="D1665">
        <v>2</v>
      </c>
      <c r="E1665">
        <v>0</v>
      </c>
      <c r="F1665">
        <v>40729484</v>
      </c>
      <c r="G1665">
        <v>44822.84</v>
      </c>
      <c r="H1665">
        <v>40684661.159999996</v>
      </c>
      <c r="I1665">
        <v>40684661.159999996</v>
      </c>
      <c r="J1665">
        <v>0</v>
      </c>
      <c r="K1665">
        <v>0</v>
      </c>
      <c r="M1665" t="s">
        <v>1</v>
      </c>
      <c r="N1665">
        <v>8000</v>
      </c>
      <c r="O1665">
        <v>10</v>
      </c>
      <c r="P1665">
        <v>4</v>
      </c>
      <c r="Q1665">
        <v>0</v>
      </c>
      <c r="R1665">
        <v>177784280</v>
      </c>
      <c r="S1665">
        <v>131008.81</v>
      </c>
      <c r="T1665">
        <v>111661796.75</v>
      </c>
      <c r="U1665">
        <v>177653271.19</v>
      </c>
      <c r="V1665">
        <v>0.99617800000000001</v>
      </c>
      <c r="W1665">
        <v>0</v>
      </c>
    </row>
    <row r="1666" spans="1:23" x14ac:dyDescent="0.35">
      <c r="A1666" t="s">
        <v>1</v>
      </c>
      <c r="B1666">
        <v>4250</v>
      </c>
      <c r="C1666">
        <v>12</v>
      </c>
      <c r="D1666">
        <v>301</v>
      </c>
      <c r="E1666">
        <v>0</v>
      </c>
      <c r="F1666">
        <v>11409781780</v>
      </c>
      <c r="G1666">
        <v>16696176.5</v>
      </c>
      <c r="H1666">
        <v>11393085603.5</v>
      </c>
      <c r="I1666">
        <v>11393085603.5</v>
      </c>
      <c r="J1666">
        <v>0</v>
      </c>
      <c r="K1666">
        <v>0</v>
      </c>
      <c r="M1666" t="s">
        <v>0</v>
      </c>
      <c r="N1666">
        <v>3750</v>
      </c>
      <c r="O1666">
        <v>14</v>
      </c>
      <c r="P1666">
        <v>125</v>
      </c>
      <c r="Q1666">
        <v>0</v>
      </c>
      <c r="R1666">
        <v>4011639072</v>
      </c>
      <c r="S1666">
        <v>6439482.2300000004</v>
      </c>
      <c r="T1666">
        <v>4005199589.77</v>
      </c>
      <c r="U1666">
        <v>4005199589.77</v>
      </c>
      <c r="V1666">
        <v>0</v>
      </c>
      <c r="W1666">
        <v>0</v>
      </c>
    </row>
    <row r="1667" spans="1:23" x14ac:dyDescent="0.35">
      <c r="A1667" t="s">
        <v>0</v>
      </c>
      <c r="B1667">
        <v>4250</v>
      </c>
      <c r="C1667">
        <v>12</v>
      </c>
      <c r="D1667">
        <v>870</v>
      </c>
      <c r="E1667">
        <v>0</v>
      </c>
      <c r="F1667">
        <v>27762451061</v>
      </c>
      <c r="G1667">
        <v>40561131.729999997</v>
      </c>
      <c r="H1667">
        <v>27721889929.27</v>
      </c>
      <c r="I1667">
        <v>27721889929.27</v>
      </c>
      <c r="J1667">
        <v>0</v>
      </c>
      <c r="K1667">
        <v>0</v>
      </c>
      <c r="M1667" t="s">
        <v>0</v>
      </c>
      <c r="N1667">
        <v>4000</v>
      </c>
      <c r="O1667">
        <v>14</v>
      </c>
      <c r="P1667">
        <v>1510</v>
      </c>
      <c r="Q1667">
        <v>0</v>
      </c>
      <c r="R1667">
        <v>49101030147</v>
      </c>
      <c r="S1667">
        <v>75679245.310000002</v>
      </c>
      <c r="T1667">
        <v>49025350901.690002</v>
      </c>
      <c r="U1667">
        <v>49025350901.690002</v>
      </c>
      <c r="V1667">
        <v>0</v>
      </c>
      <c r="W1667">
        <v>0</v>
      </c>
    </row>
    <row r="1668" spans="1:23" x14ac:dyDescent="0.35">
      <c r="A1668" t="s">
        <v>1</v>
      </c>
      <c r="B1668">
        <v>7250</v>
      </c>
      <c r="C1668">
        <v>5</v>
      </c>
      <c r="D1668">
        <v>2876</v>
      </c>
      <c r="E1668">
        <v>0</v>
      </c>
      <c r="F1668">
        <v>95685800000</v>
      </c>
      <c r="G1668">
        <v>78261718.390000001</v>
      </c>
      <c r="H1668">
        <v>95495129447.619995</v>
      </c>
      <c r="I1668">
        <v>95583158191.610001</v>
      </c>
      <c r="J1668">
        <v>1.4007E-2</v>
      </c>
      <c r="K1668">
        <v>3.0530000000000002E-3</v>
      </c>
      <c r="M1668" t="s">
        <v>1</v>
      </c>
      <c r="N1668">
        <v>4000</v>
      </c>
      <c r="O1668">
        <v>12</v>
      </c>
      <c r="P1668">
        <v>429</v>
      </c>
      <c r="Q1668">
        <v>0</v>
      </c>
      <c r="R1668">
        <v>17079906721</v>
      </c>
      <c r="S1668">
        <v>26070982.789999999</v>
      </c>
      <c r="T1668">
        <v>17028505288.65</v>
      </c>
      <c r="U1668">
        <v>17028505288.65</v>
      </c>
      <c r="V1668">
        <v>1.7652000000000001E-2</v>
      </c>
      <c r="W1668">
        <v>1.7652000000000001E-2</v>
      </c>
    </row>
    <row r="1669" spans="1:23" x14ac:dyDescent="0.35">
      <c r="A1669" t="s">
        <v>1</v>
      </c>
      <c r="B1669">
        <v>7000</v>
      </c>
      <c r="C1669">
        <v>5</v>
      </c>
      <c r="D1669">
        <v>4813</v>
      </c>
      <c r="E1669">
        <v>0</v>
      </c>
      <c r="F1669">
        <v>151569300000</v>
      </c>
      <c r="G1669">
        <v>128340908.31</v>
      </c>
      <c r="H1669">
        <v>151272401288.38</v>
      </c>
      <c r="I1669">
        <v>151414681478.51001</v>
      </c>
      <c r="J1669">
        <v>1.3264E-2</v>
      </c>
      <c r="K1669">
        <v>2.078E-3</v>
      </c>
      <c r="M1669" t="s">
        <v>2</v>
      </c>
      <c r="N1669">
        <v>4000</v>
      </c>
      <c r="O1669">
        <v>12</v>
      </c>
      <c r="P1669">
        <v>71</v>
      </c>
      <c r="Q1669">
        <v>0</v>
      </c>
      <c r="R1669">
        <v>1999080598</v>
      </c>
      <c r="S1669">
        <v>3047412.18</v>
      </c>
      <c r="T1669">
        <v>1996033185.8199999</v>
      </c>
      <c r="U1669">
        <v>1996033185.8199999</v>
      </c>
      <c r="V1669">
        <v>0</v>
      </c>
      <c r="W1669">
        <v>0</v>
      </c>
    </row>
    <row r="1670" spans="1:23" x14ac:dyDescent="0.35">
      <c r="A1670" t="s">
        <v>1</v>
      </c>
      <c r="B1670">
        <v>7000</v>
      </c>
      <c r="C1670">
        <v>6</v>
      </c>
      <c r="D1670">
        <v>729</v>
      </c>
      <c r="E1670">
        <v>0</v>
      </c>
      <c r="F1670">
        <v>21024347803</v>
      </c>
      <c r="G1670">
        <v>18151668.879999999</v>
      </c>
      <c r="H1670">
        <v>20724387992.849998</v>
      </c>
      <c r="I1670">
        <v>20963733458.439999</v>
      </c>
      <c r="J1670">
        <v>0.149503</v>
      </c>
      <c r="K1670">
        <v>2.3969000000000001E-2</v>
      </c>
      <c r="M1670" t="s">
        <v>0</v>
      </c>
      <c r="N1670">
        <v>4000</v>
      </c>
      <c r="O1670">
        <v>12</v>
      </c>
      <c r="P1670">
        <v>1539</v>
      </c>
      <c r="Q1670">
        <v>0</v>
      </c>
      <c r="R1670">
        <v>55245511445</v>
      </c>
      <c r="S1670">
        <v>84210423.469999999</v>
      </c>
      <c r="T1670">
        <v>55161301021.529999</v>
      </c>
      <c r="U1670">
        <v>55161301021.529999</v>
      </c>
      <c r="V1670">
        <v>0</v>
      </c>
      <c r="W1670">
        <v>0</v>
      </c>
    </row>
    <row r="1671" spans="1:23" x14ac:dyDescent="0.35">
      <c r="A1671" t="s">
        <v>1</v>
      </c>
      <c r="B1671">
        <v>7250</v>
      </c>
      <c r="C1671">
        <v>6</v>
      </c>
      <c r="D1671">
        <v>732</v>
      </c>
      <c r="E1671">
        <v>0</v>
      </c>
      <c r="F1671">
        <v>24345284974</v>
      </c>
      <c r="G1671">
        <v>20199196.739999998</v>
      </c>
      <c r="H1671">
        <v>24178471432.77</v>
      </c>
      <c r="I1671">
        <v>24271205678.200001</v>
      </c>
      <c r="J1671">
        <v>6.9920999999999997E-2</v>
      </c>
      <c r="K1671">
        <v>2.6237E-2</v>
      </c>
      <c r="M1671" t="s">
        <v>1</v>
      </c>
      <c r="N1671">
        <v>8000</v>
      </c>
      <c r="O1671">
        <v>9</v>
      </c>
      <c r="P1671">
        <v>10</v>
      </c>
      <c r="Q1671">
        <v>0</v>
      </c>
      <c r="R1671">
        <v>214249202</v>
      </c>
      <c r="S1671">
        <v>155342.01</v>
      </c>
      <c r="T1671">
        <v>184697478.30000001</v>
      </c>
      <c r="U1671">
        <v>184697478.30000001</v>
      </c>
      <c r="V1671">
        <v>0.82982999999999996</v>
      </c>
      <c r="W1671">
        <v>0.82982999999999996</v>
      </c>
    </row>
    <row r="1672" spans="1:23" x14ac:dyDescent="0.35">
      <c r="A1672" t="s">
        <v>3</v>
      </c>
      <c r="B1672">
        <v>6000</v>
      </c>
      <c r="C1672">
        <v>7</v>
      </c>
      <c r="D1672">
        <v>12</v>
      </c>
      <c r="E1672">
        <v>0</v>
      </c>
      <c r="F1672">
        <v>328549222</v>
      </c>
      <c r="G1672">
        <v>342946.87</v>
      </c>
      <c r="H1672">
        <v>328206275.13</v>
      </c>
      <c r="I1672">
        <v>328206275.13</v>
      </c>
      <c r="J1672">
        <v>0</v>
      </c>
      <c r="K1672">
        <v>0</v>
      </c>
      <c r="M1672" t="s">
        <v>1</v>
      </c>
      <c r="N1672">
        <v>8250</v>
      </c>
      <c r="O1672">
        <v>9</v>
      </c>
      <c r="P1672">
        <v>3</v>
      </c>
      <c r="Q1672">
        <v>0</v>
      </c>
      <c r="R1672">
        <v>85591173</v>
      </c>
      <c r="S1672">
        <v>59856.24</v>
      </c>
      <c r="T1672">
        <v>61703113.130000003</v>
      </c>
      <c r="U1672">
        <v>85531316.760000005</v>
      </c>
      <c r="V1672">
        <v>0.98006599999999999</v>
      </c>
      <c r="W1672">
        <v>0</v>
      </c>
    </row>
    <row r="1673" spans="1:23" x14ac:dyDescent="0.35">
      <c r="A1673" t="s">
        <v>3</v>
      </c>
      <c r="B1673">
        <v>6750</v>
      </c>
      <c r="C1673">
        <v>7</v>
      </c>
      <c r="D1673">
        <v>11</v>
      </c>
      <c r="E1673">
        <v>0</v>
      </c>
      <c r="F1673">
        <v>365010555</v>
      </c>
      <c r="G1673">
        <v>335325.17</v>
      </c>
      <c r="H1673">
        <v>364675229.82999998</v>
      </c>
      <c r="I1673">
        <v>364675229.82999998</v>
      </c>
      <c r="J1673">
        <v>0</v>
      </c>
      <c r="K1673">
        <v>0</v>
      </c>
      <c r="M1673" t="s">
        <v>3</v>
      </c>
      <c r="N1673">
        <v>7250</v>
      </c>
      <c r="O1673">
        <v>12</v>
      </c>
      <c r="P1673">
        <v>3</v>
      </c>
      <c r="Q1673">
        <v>0</v>
      </c>
      <c r="R1673">
        <v>56969055</v>
      </c>
      <c r="S1673">
        <v>48936.15</v>
      </c>
      <c r="T1673">
        <v>56920118.850000001</v>
      </c>
      <c r="U1673">
        <v>56920118.850000001</v>
      </c>
      <c r="V1673">
        <v>0</v>
      </c>
      <c r="W1673">
        <v>0</v>
      </c>
    </row>
    <row r="1674" spans="1:23" x14ac:dyDescent="0.35">
      <c r="A1674" t="s">
        <v>3</v>
      </c>
      <c r="B1674">
        <v>6250</v>
      </c>
      <c r="C1674">
        <v>7</v>
      </c>
      <c r="D1674">
        <v>40</v>
      </c>
      <c r="E1674">
        <v>0</v>
      </c>
      <c r="F1674">
        <v>1210467749</v>
      </c>
      <c r="G1674">
        <v>1206250.56</v>
      </c>
      <c r="H1674">
        <v>1209261498.4400001</v>
      </c>
      <c r="I1674">
        <v>1209261498.4400001</v>
      </c>
      <c r="J1674">
        <v>0</v>
      </c>
      <c r="K1674">
        <v>0</v>
      </c>
      <c r="M1674" t="s">
        <v>3</v>
      </c>
      <c r="N1674">
        <v>5750</v>
      </c>
      <c r="O1674">
        <v>10</v>
      </c>
      <c r="P1674">
        <v>8</v>
      </c>
      <c r="Q1674">
        <v>0</v>
      </c>
      <c r="R1674">
        <v>249931293</v>
      </c>
      <c r="S1674">
        <v>277084.43</v>
      </c>
      <c r="T1674">
        <v>249654208.56999999</v>
      </c>
      <c r="U1674">
        <v>249654208.56999999</v>
      </c>
      <c r="V1674">
        <v>0</v>
      </c>
      <c r="W1674">
        <v>0</v>
      </c>
    </row>
    <row r="1675" spans="1:23" x14ac:dyDescent="0.35">
      <c r="A1675" t="s">
        <v>2</v>
      </c>
      <c r="B1675">
        <v>3500</v>
      </c>
      <c r="C1675">
        <v>10</v>
      </c>
      <c r="D1675">
        <v>6</v>
      </c>
      <c r="E1675">
        <v>0</v>
      </c>
      <c r="F1675">
        <v>88430802</v>
      </c>
      <c r="G1675">
        <v>147316.01</v>
      </c>
      <c r="H1675">
        <v>88283485.989999995</v>
      </c>
      <c r="I1675">
        <v>88283485.989999995</v>
      </c>
      <c r="J1675">
        <v>0</v>
      </c>
      <c r="K1675">
        <v>0</v>
      </c>
      <c r="M1675" t="s">
        <v>1</v>
      </c>
      <c r="N1675">
        <v>4000</v>
      </c>
      <c r="O1675">
        <v>10</v>
      </c>
      <c r="P1675">
        <v>492</v>
      </c>
      <c r="Q1675">
        <v>0</v>
      </c>
      <c r="R1675">
        <v>19046329826</v>
      </c>
      <c r="S1675">
        <v>28878679.670000002</v>
      </c>
      <c r="T1675">
        <v>19017451146.330002</v>
      </c>
      <c r="U1675">
        <v>19017451146.330002</v>
      </c>
      <c r="V1675">
        <v>0</v>
      </c>
      <c r="W1675">
        <v>0</v>
      </c>
    </row>
    <row r="1676" spans="1:23" x14ac:dyDescent="0.35">
      <c r="A1676" t="s">
        <v>2</v>
      </c>
      <c r="B1676">
        <v>5750</v>
      </c>
      <c r="C1676">
        <v>6</v>
      </c>
      <c r="D1676">
        <v>85</v>
      </c>
      <c r="E1676">
        <v>0</v>
      </c>
      <c r="F1676">
        <v>2051716155</v>
      </c>
      <c r="G1676">
        <v>2238727.11</v>
      </c>
      <c r="H1676">
        <v>2049477427.8900001</v>
      </c>
      <c r="I1676">
        <v>2049477427.8900001</v>
      </c>
      <c r="J1676">
        <v>0</v>
      </c>
      <c r="K1676">
        <v>0</v>
      </c>
      <c r="M1676" t="s">
        <v>0</v>
      </c>
      <c r="N1676">
        <v>4000</v>
      </c>
      <c r="O1676">
        <v>10</v>
      </c>
      <c r="P1676">
        <v>1866</v>
      </c>
      <c r="Q1676">
        <v>0</v>
      </c>
      <c r="R1676">
        <v>64888766883</v>
      </c>
      <c r="S1676">
        <v>98321221.450000003</v>
      </c>
      <c r="T1676">
        <v>64790445661.550003</v>
      </c>
      <c r="U1676">
        <v>64790445661.550003</v>
      </c>
      <c r="V1676">
        <v>0</v>
      </c>
      <c r="W1676">
        <v>0</v>
      </c>
    </row>
    <row r="1677" spans="1:23" x14ac:dyDescent="0.35">
      <c r="A1677" t="s">
        <v>3</v>
      </c>
      <c r="B1677">
        <v>5750</v>
      </c>
      <c r="C1677">
        <v>5</v>
      </c>
      <c r="D1677">
        <v>203</v>
      </c>
      <c r="E1677">
        <v>0</v>
      </c>
      <c r="F1677">
        <v>6321800000</v>
      </c>
      <c r="G1677">
        <v>6719697.5700000003</v>
      </c>
      <c r="H1677">
        <v>6315080302.4300003</v>
      </c>
      <c r="I1677">
        <v>6315080302.4300003</v>
      </c>
      <c r="J1677">
        <v>0</v>
      </c>
      <c r="K1677">
        <v>0</v>
      </c>
      <c r="M1677" t="s">
        <v>3</v>
      </c>
      <c r="N1677">
        <v>6500</v>
      </c>
      <c r="O1677">
        <v>7</v>
      </c>
      <c r="P1677">
        <v>35</v>
      </c>
      <c r="Q1677">
        <v>0</v>
      </c>
      <c r="R1677">
        <v>1032513766</v>
      </c>
      <c r="S1677">
        <v>990930.04</v>
      </c>
      <c r="T1677">
        <v>1031522835.96</v>
      </c>
      <c r="U1677">
        <v>1031522835.96</v>
      </c>
      <c r="V1677">
        <v>0</v>
      </c>
      <c r="W1677">
        <v>0</v>
      </c>
    </row>
    <row r="1678" spans="1:23" x14ac:dyDescent="0.35">
      <c r="A1678" t="s">
        <v>3</v>
      </c>
      <c r="B1678">
        <v>6000</v>
      </c>
      <c r="C1678">
        <v>5</v>
      </c>
      <c r="D1678">
        <v>248</v>
      </c>
      <c r="E1678">
        <v>0</v>
      </c>
      <c r="F1678">
        <v>7544900000</v>
      </c>
      <c r="G1678">
        <v>7690444.3399999999</v>
      </c>
      <c r="H1678">
        <v>7537209555.6599998</v>
      </c>
      <c r="I1678">
        <v>7537209555.6599998</v>
      </c>
      <c r="J1678">
        <v>0</v>
      </c>
      <c r="K1678">
        <v>0</v>
      </c>
      <c r="M1678" t="s">
        <v>3</v>
      </c>
      <c r="N1678">
        <v>7000</v>
      </c>
      <c r="O1678">
        <v>8</v>
      </c>
      <c r="P1678">
        <v>3</v>
      </c>
      <c r="Q1678">
        <v>0</v>
      </c>
      <c r="R1678">
        <v>89074289</v>
      </c>
      <c r="S1678">
        <v>78226.039999999994</v>
      </c>
      <c r="T1678">
        <v>88996062.959999993</v>
      </c>
      <c r="U1678">
        <v>88996062.959999993</v>
      </c>
      <c r="V1678">
        <v>0</v>
      </c>
      <c r="W1678">
        <v>0</v>
      </c>
    </row>
    <row r="1679" spans="1:23" x14ac:dyDescent="0.35">
      <c r="A1679" t="s">
        <v>3</v>
      </c>
      <c r="B1679">
        <v>5500</v>
      </c>
      <c r="C1679">
        <v>5</v>
      </c>
      <c r="D1679">
        <v>88</v>
      </c>
      <c r="E1679">
        <v>0</v>
      </c>
      <c r="F1679">
        <v>2518800000</v>
      </c>
      <c r="G1679">
        <v>2823093.94</v>
      </c>
      <c r="H1679">
        <v>2515976906.0599999</v>
      </c>
      <c r="I1679">
        <v>2515976906.0599999</v>
      </c>
      <c r="J1679">
        <v>0</v>
      </c>
      <c r="K1679">
        <v>0</v>
      </c>
      <c r="M1679" t="s">
        <v>1</v>
      </c>
      <c r="N1679">
        <v>4500</v>
      </c>
      <c r="O1679">
        <v>8</v>
      </c>
      <c r="P1679">
        <v>220</v>
      </c>
      <c r="Q1679">
        <v>0</v>
      </c>
      <c r="R1679">
        <v>7867714006</v>
      </c>
      <c r="S1679">
        <v>10836487.199999999</v>
      </c>
      <c r="T1679">
        <v>7856877518.8000002</v>
      </c>
      <c r="U1679">
        <v>7856877518.8000002</v>
      </c>
      <c r="V1679">
        <v>0</v>
      </c>
      <c r="W1679">
        <v>0</v>
      </c>
    </row>
    <row r="1680" spans="1:23" x14ac:dyDescent="0.35">
      <c r="A1680" t="s">
        <v>3</v>
      </c>
      <c r="B1680">
        <v>6250</v>
      </c>
      <c r="C1680">
        <v>5</v>
      </c>
      <c r="D1680">
        <v>233</v>
      </c>
      <c r="E1680">
        <v>0</v>
      </c>
      <c r="F1680">
        <v>7189900000</v>
      </c>
      <c r="G1680">
        <v>7010467.7800000003</v>
      </c>
      <c r="H1680">
        <v>7175396870.9499998</v>
      </c>
      <c r="I1680">
        <v>7182889532.2200003</v>
      </c>
      <c r="J1680">
        <v>1.2434000000000001E-2</v>
      </c>
      <c r="K1680">
        <v>0</v>
      </c>
      <c r="M1680" t="s">
        <v>0</v>
      </c>
      <c r="N1680">
        <v>8250</v>
      </c>
      <c r="O1680">
        <v>8</v>
      </c>
      <c r="P1680">
        <v>140</v>
      </c>
      <c r="Q1680">
        <v>0</v>
      </c>
      <c r="R1680">
        <v>3883730334</v>
      </c>
      <c r="S1680">
        <v>2647798.4500000002</v>
      </c>
      <c r="T1680">
        <v>3856732579.6100001</v>
      </c>
      <c r="U1680">
        <v>3856732579.6100001</v>
      </c>
      <c r="V1680">
        <v>7.2695999999999997E-2</v>
      </c>
      <c r="W1680">
        <v>7.2695999999999997E-2</v>
      </c>
    </row>
    <row r="1681" spans="1:23" x14ac:dyDescent="0.35">
      <c r="A1681" t="s">
        <v>3</v>
      </c>
      <c r="B1681">
        <v>6500</v>
      </c>
      <c r="C1681">
        <v>5</v>
      </c>
      <c r="D1681">
        <v>63</v>
      </c>
      <c r="E1681">
        <v>0</v>
      </c>
      <c r="F1681">
        <v>1812500000</v>
      </c>
      <c r="G1681">
        <v>1687763.86</v>
      </c>
      <c r="H1681">
        <v>1810812236.1400001</v>
      </c>
      <c r="I1681">
        <v>1810812236.1400001</v>
      </c>
      <c r="J1681">
        <v>0</v>
      </c>
      <c r="K1681">
        <v>0</v>
      </c>
      <c r="M1681" t="s">
        <v>3</v>
      </c>
      <c r="N1681">
        <v>5750</v>
      </c>
      <c r="O1681">
        <v>9</v>
      </c>
      <c r="P1681">
        <v>5</v>
      </c>
      <c r="Q1681">
        <v>0</v>
      </c>
      <c r="R1681">
        <v>119826391</v>
      </c>
      <c r="S1681">
        <v>131869.07999999999</v>
      </c>
      <c r="T1681">
        <v>119694521.92</v>
      </c>
      <c r="U1681">
        <v>119694521.92</v>
      </c>
      <c r="V1681">
        <v>0</v>
      </c>
      <c r="W1681">
        <v>0</v>
      </c>
    </row>
    <row r="1682" spans="1:23" x14ac:dyDescent="0.35">
      <c r="A1682" t="s">
        <v>3</v>
      </c>
      <c r="B1682">
        <v>7250</v>
      </c>
      <c r="C1682">
        <v>10</v>
      </c>
      <c r="D1682">
        <v>2</v>
      </c>
      <c r="E1682">
        <v>0</v>
      </c>
      <c r="F1682">
        <v>38392531</v>
      </c>
      <c r="G1682">
        <v>32844.129999999997</v>
      </c>
      <c r="H1682">
        <v>38359686.869999997</v>
      </c>
      <c r="I1682">
        <v>38359686.869999997</v>
      </c>
      <c r="J1682">
        <v>0</v>
      </c>
      <c r="K1682">
        <v>0</v>
      </c>
      <c r="M1682" t="s">
        <v>0</v>
      </c>
      <c r="N1682">
        <v>8250</v>
      </c>
      <c r="O1682">
        <v>7</v>
      </c>
      <c r="P1682">
        <v>133</v>
      </c>
      <c r="Q1682">
        <v>0</v>
      </c>
      <c r="R1682">
        <v>4021094076</v>
      </c>
      <c r="S1682">
        <v>2723151.69</v>
      </c>
      <c r="T1682">
        <v>4018370924.3099999</v>
      </c>
      <c r="U1682">
        <v>4018370924.3099999</v>
      </c>
      <c r="V1682">
        <v>0</v>
      </c>
      <c r="W1682">
        <v>0</v>
      </c>
    </row>
    <row r="1683" spans="1:23" x14ac:dyDescent="0.35">
      <c r="A1683" t="s">
        <v>1</v>
      </c>
      <c r="B1683">
        <v>5000</v>
      </c>
      <c r="C1683">
        <v>7</v>
      </c>
      <c r="D1683">
        <v>1260</v>
      </c>
      <c r="E1683">
        <v>0</v>
      </c>
      <c r="F1683">
        <v>49995774371</v>
      </c>
      <c r="G1683">
        <v>62745709.369999997</v>
      </c>
      <c r="H1683">
        <v>49861479928.57</v>
      </c>
      <c r="I1683">
        <v>49933028661.629997</v>
      </c>
      <c r="J1683">
        <v>1.7038999999999999E-2</v>
      </c>
      <c r="K1683">
        <v>0</v>
      </c>
      <c r="M1683" t="s">
        <v>3</v>
      </c>
      <c r="N1683">
        <v>6000</v>
      </c>
      <c r="O1683">
        <v>7</v>
      </c>
      <c r="P1683">
        <v>9</v>
      </c>
      <c r="Q1683">
        <v>0</v>
      </c>
      <c r="R1683">
        <v>227569522</v>
      </c>
      <c r="S1683">
        <v>240185.7</v>
      </c>
      <c r="T1683">
        <v>227329336.30000001</v>
      </c>
      <c r="U1683">
        <v>227329336.30000001</v>
      </c>
      <c r="V1683">
        <v>0</v>
      </c>
      <c r="W1683">
        <v>0</v>
      </c>
    </row>
    <row r="1684" spans="1:23" x14ac:dyDescent="0.35">
      <c r="A1684" t="s">
        <v>1</v>
      </c>
      <c r="B1684">
        <v>7250</v>
      </c>
      <c r="C1684">
        <v>7</v>
      </c>
      <c r="D1684">
        <v>890</v>
      </c>
      <c r="E1684">
        <v>0</v>
      </c>
      <c r="F1684">
        <v>28048210726</v>
      </c>
      <c r="G1684">
        <v>23383706.52</v>
      </c>
      <c r="H1684">
        <v>16095033970.68</v>
      </c>
      <c r="I1684">
        <v>27971186439.09</v>
      </c>
      <c r="J1684">
        <v>0.99870300000000001</v>
      </c>
      <c r="K1684">
        <v>2.2709E-2</v>
      </c>
      <c r="M1684" t="s">
        <v>3</v>
      </c>
      <c r="N1684">
        <v>5750</v>
      </c>
      <c r="O1684">
        <v>8</v>
      </c>
      <c r="P1684">
        <v>2</v>
      </c>
      <c r="Q1684">
        <v>0</v>
      </c>
      <c r="R1684">
        <v>40930593</v>
      </c>
      <c r="S1684">
        <v>44780.31</v>
      </c>
      <c r="T1684">
        <v>40885812.689999998</v>
      </c>
      <c r="U1684">
        <v>40885812.689999998</v>
      </c>
      <c r="V1684">
        <v>0</v>
      </c>
      <c r="W1684">
        <v>0</v>
      </c>
    </row>
    <row r="1685" spans="1:23" x14ac:dyDescent="0.35">
      <c r="A1685" t="s">
        <v>1</v>
      </c>
      <c r="B1685">
        <v>7750</v>
      </c>
      <c r="C1685">
        <v>8</v>
      </c>
      <c r="D1685">
        <v>226</v>
      </c>
      <c r="E1685">
        <v>0</v>
      </c>
      <c r="F1685">
        <v>6946105838</v>
      </c>
      <c r="G1685">
        <v>5236984.66</v>
      </c>
      <c r="H1685">
        <v>5916388694.4899998</v>
      </c>
      <c r="I1685">
        <v>6905487052.7200003</v>
      </c>
      <c r="J1685">
        <v>0.85263500000000003</v>
      </c>
      <c r="K1685">
        <v>5.9441000000000001E-2</v>
      </c>
      <c r="M1685" t="s">
        <v>1</v>
      </c>
      <c r="N1685">
        <v>4250</v>
      </c>
      <c r="O1685">
        <v>10</v>
      </c>
      <c r="P1685">
        <v>171</v>
      </c>
      <c r="Q1685">
        <v>0</v>
      </c>
      <c r="R1685">
        <v>6459395071</v>
      </c>
      <c r="S1685">
        <v>9386019.2400000002</v>
      </c>
      <c r="T1685">
        <v>6437355017</v>
      </c>
      <c r="U1685">
        <v>6450009051.7600002</v>
      </c>
      <c r="V1685">
        <v>2.3257E-2</v>
      </c>
      <c r="W1685">
        <v>0</v>
      </c>
    </row>
    <row r="1686" spans="1:23" x14ac:dyDescent="0.35">
      <c r="A1686" t="s">
        <v>2</v>
      </c>
      <c r="B1686">
        <v>7250</v>
      </c>
      <c r="C1686">
        <v>7</v>
      </c>
      <c r="D1686">
        <v>142</v>
      </c>
      <c r="E1686">
        <v>0</v>
      </c>
      <c r="F1686">
        <v>1874994343</v>
      </c>
      <c r="G1686">
        <v>1557013.06</v>
      </c>
      <c r="H1686">
        <v>1840533792.54</v>
      </c>
      <c r="I1686">
        <v>1873437329.9400001</v>
      </c>
      <c r="J1686">
        <v>0.19140199999999999</v>
      </c>
      <c r="K1686">
        <v>0</v>
      </c>
      <c r="M1686" t="s">
        <v>0</v>
      </c>
      <c r="N1686">
        <v>4250</v>
      </c>
      <c r="O1686">
        <v>10</v>
      </c>
      <c r="P1686">
        <v>540</v>
      </c>
      <c r="Q1686">
        <v>0</v>
      </c>
      <c r="R1686">
        <v>17053420930</v>
      </c>
      <c r="S1686">
        <v>24742232.75</v>
      </c>
      <c r="T1686">
        <v>17028678697.25</v>
      </c>
      <c r="U1686">
        <v>17028678697.25</v>
      </c>
      <c r="V1686">
        <v>0</v>
      </c>
      <c r="W1686">
        <v>0</v>
      </c>
    </row>
    <row r="1687" spans="1:23" x14ac:dyDescent="0.35">
      <c r="A1687" t="s">
        <v>2</v>
      </c>
      <c r="B1687">
        <v>6750</v>
      </c>
      <c r="C1687">
        <v>6</v>
      </c>
      <c r="D1687">
        <v>90</v>
      </c>
      <c r="E1687">
        <v>0</v>
      </c>
      <c r="F1687">
        <v>1480111407</v>
      </c>
      <c r="G1687">
        <v>1350020.4</v>
      </c>
      <c r="H1687">
        <v>1460278347.9400001</v>
      </c>
      <c r="I1687">
        <v>1460278347.9400001</v>
      </c>
      <c r="J1687">
        <v>0.13997599999999999</v>
      </c>
      <c r="K1687">
        <v>0.13997599999999999</v>
      </c>
      <c r="M1687" t="s">
        <v>1</v>
      </c>
      <c r="N1687">
        <v>7250</v>
      </c>
      <c r="O1687">
        <v>5</v>
      </c>
      <c r="P1687">
        <v>3192</v>
      </c>
      <c r="Q1687">
        <v>0</v>
      </c>
      <c r="R1687">
        <v>105624300000</v>
      </c>
      <c r="S1687">
        <v>86162183.209999993</v>
      </c>
      <c r="T1687">
        <v>104643080225.78999</v>
      </c>
      <c r="U1687">
        <v>105240882571.22</v>
      </c>
      <c r="V1687">
        <v>9.708E-2</v>
      </c>
      <c r="W1687">
        <v>3.3252999999999998E-2</v>
      </c>
    </row>
    <row r="1688" spans="1:23" x14ac:dyDescent="0.35">
      <c r="A1688" t="s">
        <v>2</v>
      </c>
      <c r="B1688">
        <v>6500</v>
      </c>
      <c r="C1688">
        <v>6</v>
      </c>
      <c r="D1688">
        <v>99</v>
      </c>
      <c r="E1688">
        <v>0</v>
      </c>
      <c r="F1688">
        <v>1821991489</v>
      </c>
      <c r="G1688">
        <v>1734517.62</v>
      </c>
      <c r="H1688">
        <v>1820256971.3800001</v>
      </c>
      <c r="I1688">
        <v>1820256971.3800001</v>
      </c>
      <c r="J1688">
        <v>0</v>
      </c>
      <c r="K1688">
        <v>0</v>
      </c>
      <c r="M1688" t="s">
        <v>1</v>
      </c>
      <c r="N1688">
        <v>7000</v>
      </c>
      <c r="O1688">
        <v>5</v>
      </c>
      <c r="P1688">
        <v>4503</v>
      </c>
      <c r="Q1688">
        <v>0</v>
      </c>
      <c r="R1688">
        <v>138787200000</v>
      </c>
      <c r="S1688">
        <v>117364001.02</v>
      </c>
      <c r="T1688">
        <v>138205328697.57001</v>
      </c>
      <c r="U1688">
        <v>138604191146.98001</v>
      </c>
      <c r="V1688">
        <v>3.9432000000000002E-2</v>
      </c>
      <c r="W1688">
        <v>5.6610000000000002E-3</v>
      </c>
    </row>
    <row r="1689" spans="1:23" x14ac:dyDescent="0.35">
      <c r="A1689" t="s">
        <v>2</v>
      </c>
      <c r="B1689">
        <v>5500</v>
      </c>
      <c r="C1689">
        <v>7</v>
      </c>
      <c r="D1689">
        <v>91</v>
      </c>
      <c r="E1689">
        <v>0</v>
      </c>
      <c r="F1689">
        <v>2317636023</v>
      </c>
      <c r="G1689">
        <v>2662481.0699999998</v>
      </c>
      <c r="H1689">
        <v>2299240664.2399998</v>
      </c>
      <c r="I1689">
        <v>2314973541.9299998</v>
      </c>
      <c r="J1689">
        <v>7.8486E-2</v>
      </c>
      <c r="K1689">
        <v>0</v>
      </c>
      <c r="M1689" t="s">
        <v>3</v>
      </c>
      <c r="N1689">
        <v>7250</v>
      </c>
      <c r="O1689">
        <v>10</v>
      </c>
      <c r="P1689">
        <v>1</v>
      </c>
      <c r="Q1689">
        <v>0</v>
      </c>
      <c r="R1689">
        <v>19550802</v>
      </c>
      <c r="S1689">
        <v>16329.31</v>
      </c>
      <c r="T1689">
        <v>19534472.690000001</v>
      </c>
      <c r="U1689">
        <v>19534472.690000001</v>
      </c>
      <c r="V1689">
        <v>0</v>
      </c>
      <c r="W1689">
        <v>0</v>
      </c>
    </row>
    <row r="1690" spans="1:23" x14ac:dyDescent="0.35">
      <c r="A1690" t="s">
        <v>0</v>
      </c>
      <c r="B1690">
        <v>4500</v>
      </c>
      <c r="C1690">
        <v>7</v>
      </c>
      <c r="D1690">
        <v>466</v>
      </c>
      <c r="E1690">
        <v>0</v>
      </c>
      <c r="F1690">
        <v>15860442805</v>
      </c>
      <c r="G1690">
        <v>21729668.239999998</v>
      </c>
      <c r="H1690">
        <v>15838713136.76</v>
      </c>
      <c r="I1690">
        <v>15838713136.76</v>
      </c>
      <c r="J1690">
        <v>0</v>
      </c>
      <c r="K1690">
        <v>0</v>
      </c>
      <c r="M1690" t="s">
        <v>3</v>
      </c>
      <c r="N1690">
        <v>6000</v>
      </c>
      <c r="O1690">
        <v>6</v>
      </c>
      <c r="P1690">
        <v>12</v>
      </c>
      <c r="Q1690">
        <v>0</v>
      </c>
      <c r="R1690">
        <v>329918615</v>
      </c>
      <c r="S1690">
        <v>342313.74</v>
      </c>
      <c r="T1690">
        <v>329576301.25999999</v>
      </c>
      <c r="U1690">
        <v>329576301.25999999</v>
      </c>
      <c r="V1690">
        <v>0</v>
      </c>
      <c r="W1690">
        <v>0</v>
      </c>
    </row>
    <row r="1691" spans="1:23" x14ac:dyDescent="0.35">
      <c r="A1691" t="s">
        <v>0</v>
      </c>
      <c r="B1691">
        <v>4250</v>
      </c>
      <c r="C1691">
        <v>7</v>
      </c>
      <c r="D1691">
        <v>323</v>
      </c>
      <c r="E1691">
        <v>0</v>
      </c>
      <c r="F1691">
        <v>10137306203</v>
      </c>
      <c r="G1691">
        <v>14516436.609999999</v>
      </c>
      <c r="H1691">
        <v>10122789766.389999</v>
      </c>
      <c r="I1691">
        <v>10122789766.389999</v>
      </c>
      <c r="J1691">
        <v>0</v>
      </c>
      <c r="K1691">
        <v>0</v>
      </c>
      <c r="M1691" t="s">
        <v>3</v>
      </c>
      <c r="N1691">
        <v>6750</v>
      </c>
      <c r="O1691">
        <v>6</v>
      </c>
      <c r="P1691">
        <v>11</v>
      </c>
      <c r="Q1691">
        <v>0</v>
      </c>
      <c r="R1691">
        <v>366037231</v>
      </c>
      <c r="S1691">
        <v>334113.25</v>
      </c>
      <c r="T1691">
        <v>365703117.75</v>
      </c>
      <c r="U1691">
        <v>365703117.75</v>
      </c>
      <c r="V1691">
        <v>0</v>
      </c>
      <c r="W1691">
        <v>0</v>
      </c>
    </row>
    <row r="1692" spans="1:23" x14ac:dyDescent="0.35">
      <c r="A1692" t="s">
        <v>1</v>
      </c>
      <c r="B1692">
        <v>4250</v>
      </c>
      <c r="C1692">
        <v>7</v>
      </c>
      <c r="D1692">
        <v>139</v>
      </c>
      <c r="E1692">
        <v>0</v>
      </c>
      <c r="F1692">
        <v>4984518665</v>
      </c>
      <c r="G1692">
        <v>7142670.5599999996</v>
      </c>
      <c r="H1692">
        <v>4960563012.6000004</v>
      </c>
      <c r="I1692">
        <v>4960563012.6000004</v>
      </c>
      <c r="J1692">
        <v>3.9733999999999998E-2</v>
      </c>
      <c r="K1692">
        <v>3.9733999999999998E-2</v>
      </c>
      <c r="M1692" t="s">
        <v>3</v>
      </c>
      <c r="N1692">
        <v>6250</v>
      </c>
      <c r="O1692">
        <v>6</v>
      </c>
      <c r="P1692">
        <v>40</v>
      </c>
      <c r="Q1692">
        <v>0</v>
      </c>
      <c r="R1692">
        <v>1212476968</v>
      </c>
      <c r="S1692">
        <v>1200837.3899999999</v>
      </c>
      <c r="T1692">
        <v>1211276130.6099999</v>
      </c>
      <c r="U1692">
        <v>1211276130.6099999</v>
      </c>
      <c r="V1692">
        <v>0</v>
      </c>
      <c r="W1692">
        <v>0</v>
      </c>
    </row>
    <row r="1693" spans="1:23" x14ac:dyDescent="0.35">
      <c r="A1693" t="s">
        <v>2</v>
      </c>
      <c r="B1693">
        <v>4250</v>
      </c>
      <c r="C1693">
        <v>7</v>
      </c>
      <c r="D1693">
        <v>10</v>
      </c>
      <c r="E1693">
        <v>0</v>
      </c>
      <c r="F1693">
        <v>279850872</v>
      </c>
      <c r="G1693">
        <v>404275.19</v>
      </c>
      <c r="H1693">
        <v>279446596.81</v>
      </c>
      <c r="I1693">
        <v>279446596.81</v>
      </c>
      <c r="J1693">
        <v>0</v>
      </c>
      <c r="K1693">
        <v>0</v>
      </c>
      <c r="M1693" t="s">
        <v>2</v>
      </c>
      <c r="N1693">
        <v>3500</v>
      </c>
      <c r="O1693">
        <v>9</v>
      </c>
      <c r="P1693">
        <v>6</v>
      </c>
      <c r="Q1693">
        <v>0</v>
      </c>
      <c r="R1693">
        <v>88576666</v>
      </c>
      <c r="S1693">
        <v>146891.04999999999</v>
      </c>
      <c r="T1693">
        <v>88429774.950000003</v>
      </c>
      <c r="U1693">
        <v>88429774.950000003</v>
      </c>
      <c r="V1693">
        <v>0</v>
      </c>
      <c r="W1693">
        <v>0</v>
      </c>
    </row>
    <row r="1694" spans="1:23" x14ac:dyDescent="0.35">
      <c r="A1694" t="s">
        <v>2</v>
      </c>
      <c r="B1694">
        <v>6000</v>
      </c>
      <c r="C1694">
        <v>6</v>
      </c>
      <c r="D1694">
        <v>128</v>
      </c>
      <c r="E1694">
        <v>0</v>
      </c>
      <c r="F1694">
        <v>2702099105</v>
      </c>
      <c r="G1694">
        <v>2815310.67</v>
      </c>
      <c r="H1694">
        <v>2690193185.4200001</v>
      </c>
      <c r="I1694">
        <v>2699283794.3299999</v>
      </c>
      <c r="J1694">
        <v>3.9633000000000002E-2</v>
      </c>
      <c r="K1694">
        <v>0</v>
      </c>
      <c r="M1694" t="s">
        <v>3</v>
      </c>
      <c r="N1694">
        <v>5750</v>
      </c>
      <c r="O1694">
        <v>5</v>
      </c>
      <c r="P1694">
        <v>168</v>
      </c>
      <c r="Q1694">
        <v>0</v>
      </c>
      <c r="R1694">
        <v>5204100000</v>
      </c>
      <c r="S1694">
        <v>5523541.0899999999</v>
      </c>
      <c r="T1694">
        <v>5198576458.9099998</v>
      </c>
      <c r="U1694">
        <v>5198576458.9099998</v>
      </c>
      <c r="V1694">
        <v>0</v>
      </c>
      <c r="W1694">
        <v>0</v>
      </c>
    </row>
    <row r="1695" spans="1:23" x14ac:dyDescent="0.35">
      <c r="A1695" t="s">
        <v>0</v>
      </c>
      <c r="B1695">
        <v>4000</v>
      </c>
      <c r="C1695">
        <v>6</v>
      </c>
      <c r="D1695">
        <v>1538</v>
      </c>
      <c r="E1695">
        <v>0</v>
      </c>
      <c r="F1695">
        <v>52901638464</v>
      </c>
      <c r="G1695">
        <v>78635336.989999995</v>
      </c>
      <c r="H1695">
        <v>52823003127.010002</v>
      </c>
      <c r="I1695">
        <v>52823003127.010002</v>
      </c>
      <c r="J1695">
        <v>0</v>
      </c>
      <c r="K1695">
        <v>0</v>
      </c>
      <c r="M1695" t="s">
        <v>3</v>
      </c>
      <c r="N1695">
        <v>6000</v>
      </c>
      <c r="O1695">
        <v>5</v>
      </c>
      <c r="P1695">
        <v>193</v>
      </c>
      <c r="Q1695">
        <v>0</v>
      </c>
      <c r="R1695">
        <v>5819500000</v>
      </c>
      <c r="S1695">
        <v>5921557.7599999998</v>
      </c>
      <c r="T1695">
        <v>5813578442.2399998</v>
      </c>
      <c r="U1695">
        <v>5813578442.2399998</v>
      </c>
      <c r="V1695">
        <v>0</v>
      </c>
      <c r="W1695">
        <v>0</v>
      </c>
    </row>
    <row r="1696" spans="1:23" x14ac:dyDescent="0.35">
      <c r="A1696" t="s">
        <v>2</v>
      </c>
      <c r="B1696">
        <v>7000</v>
      </c>
      <c r="C1696">
        <v>6</v>
      </c>
      <c r="D1696">
        <v>17</v>
      </c>
      <c r="E1696">
        <v>0</v>
      </c>
      <c r="F1696">
        <v>250879514</v>
      </c>
      <c r="G1696">
        <v>216885.52</v>
      </c>
      <c r="H1696">
        <v>250662628.47999999</v>
      </c>
      <c r="I1696">
        <v>250662628.47999999</v>
      </c>
      <c r="J1696">
        <v>0</v>
      </c>
      <c r="K1696">
        <v>0</v>
      </c>
      <c r="M1696" t="s">
        <v>3</v>
      </c>
      <c r="N1696">
        <v>5500</v>
      </c>
      <c r="O1696">
        <v>5</v>
      </c>
      <c r="P1696">
        <v>80</v>
      </c>
      <c r="Q1696">
        <v>0</v>
      </c>
      <c r="R1696">
        <v>2222100000</v>
      </c>
      <c r="S1696">
        <v>2481632.5699999998</v>
      </c>
      <c r="T1696">
        <v>2219618367.4299998</v>
      </c>
      <c r="U1696">
        <v>2219618367.4299998</v>
      </c>
      <c r="V1696">
        <v>0</v>
      </c>
      <c r="W1696">
        <v>0</v>
      </c>
    </row>
    <row r="1697" spans="1:23" x14ac:dyDescent="0.35">
      <c r="A1697" t="s">
        <v>2</v>
      </c>
      <c r="B1697">
        <v>7250</v>
      </c>
      <c r="C1697">
        <v>6</v>
      </c>
      <c r="D1697">
        <v>15</v>
      </c>
      <c r="E1697">
        <v>0</v>
      </c>
      <c r="F1697">
        <v>186843652</v>
      </c>
      <c r="G1697">
        <v>154458.53</v>
      </c>
      <c r="H1697">
        <v>186689193.47</v>
      </c>
      <c r="I1697">
        <v>186689193.47</v>
      </c>
      <c r="J1697">
        <v>0</v>
      </c>
      <c r="K1697">
        <v>0</v>
      </c>
      <c r="M1697" t="s">
        <v>3</v>
      </c>
      <c r="N1697">
        <v>7250</v>
      </c>
      <c r="O1697">
        <v>9</v>
      </c>
      <c r="P1697">
        <v>2</v>
      </c>
      <c r="Q1697">
        <v>0</v>
      </c>
      <c r="R1697">
        <v>38425119</v>
      </c>
      <c r="S1697">
        <v>32650.22</v>
      </c>
      <c r="T1697">
        <v>38392468.780000001</v>
      </c>
      <c r="U1697">
        <v>38392468.780000001</v>
      </c>
      <c r="V1697">
        <v>0</v>
      </c>
      <c r="W1697">
        <v>0</v>
      </c>
    </row>
    <row r="1698" spans="1:23" x14ac:dyDescent="0.35">
      <c r="A1698" t="s">
        <v>0</v>
      </c>
      <c r="B1698">
        <v>4500</v>
      </c>
      <c r="C1698">
        <v>5</v>
      </c>
      <c r="D1698">
        <v>3313</v>
      </c>
      <c r="E1698">
        <v>0</v>
      </c>
      <c r="F1698">
        <v>117180900000</v>
      </c>
      <c r="G1698">
        <v>156663736.38</v>
      </c>
      <c r="H1698">
        <v>117000368545.11</v>
      </c>
      <c r="I1698">
        <v>117024236263.62</v>
      </c>
      <c r="J1698">
        <v>2.441E-3</v>
      </c>
      <c r="K1698">
        <v>0</v>
      </c>
      <c r="M1698" t="s">
        <v>1</v>
      </c>
      <c r="N1698">
        <v>5000</v>
      </c>
      <c r="O1698">
        <v>6</v>
      </c>
      <c r="P1698">
        <v>1261</v>
      </c>
      <c r="Q1698">
        <v>0</v>
      </c>
      <c r="R1698">
        <v>50326005384</v>
      </c>
      <c r="S1698">
        <v>62820326.299999997</v>
      </c>
      <c r="T1698">
        <v>50210251945.739998</v>
      </c>
      <c r="U1698">
        <v>50210251945.739998</v>
      </c>
      <c r="V1698">
        <v>1.2548999999999999E-2</v>
      </c>
      <c r="W1698">
        <v>1.2548999999999999E-2</v>
      </c>
    </row>
    <row r="1699" spans="1:23" x14ac:dyDescent="0.35">
      <c r="A1699" t="s">
        <v>2</v>
      </c>
      <c r="B1699">
        <v>6750</v>
      </c>
      <c r="C1699">
        <v>5</v>
      </c>
      <c r="D1699">
        <v>1283</v>
      </c>
      <c r="E1699">
        <v>0</v>
      </c>
      <c r="F1699">
        <v>20770400000</v>
      </c>
      <c r="G1699">
        <v>18531233.93</v>
      </c>
      <c r="H1699">
        <v>20731886753.34</v>
      </c>
      <c r="I1699">
        <v>20731886753.34</v>
      </c>
      <c r="J1699">
        <v>1.1483999999999999E-2</v>
      </c>
      <c r="K1699">
        <v>1.1483999999999999E-2</v>
      </c>
      <c r="M1699" t="s">
        <v>1</v>
      </c>
      <c r="N1699">
        <v>7250</v>
      </c>
      <c r="O1699">
        <v>6</v>
      </c>
      <c r="P1699">
        <v>896</v>
      </c>
      <c r="Q1699">
        <v>0</v>
      </c>
      <c r="R1699">
        <v>28251007372</v>
      </c>
      <c r="S1699">
        <v>23407163.760000002</v>
      </c>
      <c r="T1699">
        <v>28026540295.16</v>
      </c>
      <c r="U1699">
        <v>28103034643.09</v>
      </c>
      <c r="V1699">
        <v>8.2138000000000003E-2</v>
      </c>
      <c r="W1699">
        <v>5.1645999999999997E-2</v>
      </c>
    </row>
    <row r="1700" spans="1:23" x14ac:dyDescent="0.35">
      <c r="A1700" t="s">
        <v>2</v>
      </c>
      <c r="B1700">
        <v>7000</v>
      </c>
      <c r="C1700">
        <v>5</v>
      </c>
      <c r="D1700">
        <v>434</v>
      </c>
      <c r="E1700">
        <v>0</v>
      </c>
      <c r="F1700">
        <v>6928400000</v>
      </c>
      <c r="G1700">
        <v>5846339.5800000001</v>
      </c>
      <c r="H1700">
        <v>6907466598.3400002</v>
      </c>
      <c r="I1700">
        <v>6907466598.3400002</v>
      </c>
      <c r="J1700">
        <v>2.5819999999999999E-2</v>
      </c>
      <c r="K1700">
        <v>2.5819999999999999E-2</v>
      </c>
      <c r="M1700" t="s">
        <v>1</v>
      </c>
      <c r="N1700">
        <v>7750</v>
      </c>
      <c r="O1700">
        <v>7</v>
      </c>
      <c r="P1700">
        <v>443</v>
      </c>
      <c r="Q1700">
        <v>0</v>
      </c>
      <c r="R1700">
        <v>14118249170</v>
      </c>
      <c r="S1700">
        <v>10587302.08</v>
      </c>
      <c r="T1700">
        <v>6920536755.8500004</v>
      </c>
      <c r="U1700">
        <v>13320962262.389999</v>
      </c>
      <c r="V1700">
        <v>0.99980400000000003</v>
      </c>
      <c r="W1700">
        <v>0.49742900000000001</v>
      </c>
    </row>
    <row r="1701" spans="1:23" x14ac:dyDescent="0.35">
      <c r="A1701" t="s">
        <v>2</v>
      </c>
      <c r="B1701">
        <v>7250</v>
      </c>
      <c r="C1701">
        <v>5</v>
      </c>
      <c r="D1701">
        <v>319</v>
      </c>
      <c r="E1701">
        <v>0</v>
      </c>
      <c r="F1701">
        <v>4617100000</v>
      </c>
      <c r="G1701">
        <v>3779153.3</v>
      </c>
      <c r="H1701">
        <v>4595235616</v>
      </c>
      <c r="I1701">
        <v>4613320846.6999998</v>
      </c>
      <c r="J1701">
        <v>4.6004999999999997E-2</v>
      </c>
      <c r="K1701">
        <v>0</v>
      </c>
      <c r="M1701" t="s">
        <v>2</v>
      </c>
      <c r="N1701">
        <v>7250</v>
      </c>
      <c r="O1701">
        <v>6</v>
      </c>
      <c r="P1701">
        <v>142</v>
      </c>
      <c r="Q1701">
        <v>0</v>
      </c>
      <c r="R1701">
        <v>1894593026</v>
      </c>
      <c r="S1701">
        <v>1562249.98</v>
      </c>
      <c r="T1701">
        <v>1866663119.5699999</v>
      </c>
      <c r="U1701">
        <v>1893030776.02</v>
      </c>
      <c r="V1701">
        <v>0.15479899999999999</v>
      </c>
      <c r="W1701">
        <v>0</v>
      </c>
    </row>
    <row r="1702" spans="1:23" x14ac:dyDescent="0.35">
      <c r="A1702" t="s">
        <v>2</v>
      </c>
      <c r="B1702">
        <v>7750</v>
      </c>
      <c r="C1702">
        <v>8</v>
      </c>
      <c r="D1702">
        <v>9</v>
      </c>
      <c r="E1702">
        <v>0</v>
      </c>
      <c r="F1702">
        <v>128364788</v>
      </c>
      <c r="G1702">
        <v>97040.97</v>
      </c>
      <c r="H1702">
        <v>128267747.03</v>
      </c>
      <c r="I1702">
        <v>128267747.03</v>
      </c>
      <c r="J1702">
        <v>0</v>
      </c>
      <c r="K1702">
        <v>0</v>
      </c>
      <c r="M1702" t="s">
        <v>2</v>
      </c>
      <c r="N1702">
        <v>6750</v>
      </c>
      <c r="O1702">
        <v>5</v>
      </c>
      <c r="P1702">
        <v>1159</v>
      </c>
      <c r="Q1702">
        <v>0</v>
      </c>
      <c r="R1702">
        <v>18813200000</v>
      </c>
      <c r="S1702">
        <v>16759516.51</v>
      </c>
      <c r="T1702">
        <v>18796440483.490002</v>
      </c>
      <c r="U1702">
        <v>18796440483.490002</v>
      </c>
      <c r="V1702">
        <v>0</v>
      </c>
      <c r="W1702">
        <v>0</v>
      </c>
    </row>
    <row r="1703" spans="1:23" x14ac:dyDescent="0.35">
      <c r="A1703" t="s">
        <v>1</v>
      </c>
      <c r="B1703">
        <v>7750</v>
      </c>
      <c r="C1703">
        <v>7</v>
      </c>
      <c r="D1703">
        <v>396</v>
      </c>
      <c r="E1703">
        <v>0</v>
      </c>
      <c r="F1703">
        <v>12349556053</v>
      </c>
      <c r="G1703">
        <v>9300249.25</v>
      </c>
      <c r="H1703">
        <v>6266357562.9300003</v>
      </c>
      <c r="I1703">
        <v>12340255803.75</v>
      </c>
      <c r="J1703">
        <v>0.99970300000000001</v>
      </c>
      <c r="K1703">
        <v>0</v>
      </c>
      <c r="M1703" t="s">
        <v>2</v>
      </c>
      <c r="N1703">
        <v>5500</v>
      </c>
      <c r="O1703">
        <v>6</v>
      </c>
      <c r="P1703">
        <v>92</v>
      </c>
      <c r="Q1703">
        <v>0</v>
      </c>
      <c r="R1703">
        <v>2345541884</v>
      </c>
      <c r="S1703">
        <v>2679695</v>
      </c>
      <c r="T1703">
        <v>2342862189</v>
      </c>
      <c r="U1703">
        <v>2342862189</v>
      </c>
      <c r="V1703">
        <v>0</v>
      </c>
      <c r="W1703">
        <v>0</v>
      </c>
    </row>
    <row r="1704" spans="1:23" x14ac:dyDescent="0.35">
      <c r="A1704" t="s">
        <v>0</v>
      </c>
      <c r="B1704">
        <v>8250</v>
      </c>
      <c r="C1704">
        <v>7</v>
      </c>
      <c r="D1704">
        <v>77</v>
      </c>
      <c r="E1704">
        <v>0</v>
      </c>
      <c r="F1704">
        <v>2226543813</v>
      </c>
      <c r="G1704">
        <v>1512575.32</v>
      </c>
      <c r="H1704">
        <v>2145715325.9100001</v>
      </c>
      <c r="I1704">
        <v>2225031237.6799998</v>
      </c>
      <c r="J1704">
        <v>0.35291299999999998</v>
      </c>
      <c r="K1704">
        <v>0</v>
      </c>
      <c r="M1704" t="s">
        <v>0</v>
      </c>
      <c r="N1704">
        <v>4500</v>
      </c>
      <c r="O1704">
        <v>6</v>
      </c>
      <c r="P1704">
        <v>467</v>
      </c>
      <c r="Q1704">
        <v>0</v>
      </c>
      <c r="R1704">
        <v>15942244218</v>
      </c>
      <c r="S1704">
        <v>21730772.149999999</v>
      </c>
      <c r="T1704">
        <v>15887874763</v>
      </c>
      <c r="U1704">
        <v>15920513445.85</v>
      </c>
      <c r="V1704">
        <v>2.4292999999999999E-2</v>
      </c>
      <c r="W1704">
        <v>0</v>
      </c>
    </row>
    <row r="1705" spans="1:23" x14ac:dyDescent="0.35">
      <c r="A1705" t="s">
        <v>0</v>
      </c>
      <c r="B1705">
        <v>7500</v>
      </c>
      <c r="C1705">
        <v>6</v>
      </c>
      <c r="D1705">
        <v>220</v>
      </c>
      <c r="E1705">
        <v>0</v>
      </c>
      <c r="F1705">
        <v>6853873672</v>
      </c>
      <c r="G1705">
        <v>5365619.97</v>
      </c>
      <c r="H1705">
        <v>6342423096.1700001</v>
      </c>
      <c r="I1705">
        <v>6848508052.0299997</v>
      </c>
      <c r="J1705">
        <v>0.60167599999999999</v>
      </c>
      <c r="K1705">
        <v>0</v>
      </c>
      <c r="M1705" t="s">
        <v>0</v>
      </c>
      <c r="N1705">
        <v>4250</v>
      </c>
      <c r="O1705">
        <v>6</v>
      </c>
      <c r="P1705">
        <v>322</v>
      </c>
      <c r="Q1705">
        <v>0</v>
      </c>
      <c r="R1705">
        <v>10135682503</v>
      </c>
      <c r="S1705">
        <v>14442705.300000001</v>
      </c>
      <c r="T1705">
        <v>10121239797.700001</v>
      </c>
      <c r="U1705">
        <v>10121239797.700001</v>
      </c>
      <c r="V1705">
        <v>0</v>
      </c>
      <c r="W1705">
        <v>0</v>
      </c>
    </row>
    <row r="1706" spans="1:23" x14ac:dyDescent="0.35">
      <c r="A1706" t="s">
        <v>0</v>
      </c>
      <c r="B1706">
        <v>8500</v>
      </c>
      <c r="C1706">
        <v>8</v>
      </c>
      <c r="D1706">
        <v>2</v>
      </c>
      <c r="E1706">
        <v>0</v>
      </c>
      <c r="F1706">
        <v>53142317</v>
      </c>
      <c r="G1706">
        <v>35099.68</v>
      </c>
      <c r="H1706">
        <v>53107217.32</v>
      </c>
      <c r="I1706">
        <v>53107217.32</v>
      </c>
      <c r="J1706">
        <v>0</v>
      </c>
      <c r="K1706">
        <v>0</v>
      </c>
      <c r="M1706" t="s">
        <v>1</v>
      </c>
      <c r="N1706">
        <v>4250</v>
      </c>
      <c r="O1706">
        <v>6</v>
      </c>
      <c r="P1706">
        <v>138</v>
      </c>
      <c r="Q1706">
        <v>0</v>
      </c>
      <c r="R1706">
        <v>4969911617</v>
      </c>
      <c r="S1706">
        <v>7086804.3899999997</v>
      </c>
      <c r="T1706">
        <v>4962824812.6099997</v>
      </c>
      <c r="U1706">
        <v>4962824812.6099997</v>
      </c>
      <c r="V1706">
        <v>0</v>
      </c>
      <c r="W1706">
        <v>0</v>
      </c>
    </row>
    <row r="1707" spans="1:23" x14ac:dyDescent="0.35">
      <c r="A1707" t="s">
        <v>0</v>
      </c>
      <c r="B1707">
        <v>9000</v>
      </c>
      <c r="C1707">
        <v>8</v>
      </c>
      <c r="D1707">
        <v>3</v>
      </c>
      <c r="E1707">
        <v>0</v>
      </c>
      <c r="F1707">
        <v>123706197</v>
      </c>
      <c r="G1707">
        <v>75789.929999999993</v>
      </c>
      <c r="H1707">
        <v>123630407.06999999</v>
      </c>
      <c r="I1707">
        <v>123630407.06999999</v>
      </c>
      <c r="J1707">
        <v>0</v>
      </c>
      <c r="K1707">
        <v>0</v>
      </c>
      <c r="M1707" t="s">
        <v>2</v>
      </c>
      <c r="N1707">
        <v>4250</v>
      </c>
      <c r="O1707">
        <v>6</v>
      </c>
      <c r="P1707">
        <v>10</v>
      </c>
      <c r="Q1707">
        <v>0</v>
      </c>
      <c r="R1707">
        <v>281007690</v>
      </c>
      <c r="S1707">
        <v>403959.47</v>
      </c>
      <c r="T1707">
        <v>280603730.52999997</v>
      </c>
      <c r="U1707">
        <v>280603730.52999997</v>
      </c>
      <c r="V1707">
        <v>0</v>
      </c>
      <c r="W1707">
        <v>0</v>
      </c>
    </row>
    <row r="1708" spans="1:23" x14ac:dyDescent="0.35">
      <c r="A1708" t="s">
        <v>0</v>
      </c>
      <c r="B1708">
        <v>8500</v>
      </c>
      <c r="C1708">
        <v>7</v>
      </c>
      <c r="D1708">
        <v>1</v>
      </c>
      <c r="E1708">
        <v>0</v>
      </c>
      <c r="F1708">
        <v>19125006</v>
      </c>
      <c r="G1708">
        <v>12536</v>
      </c>
      <c r="H1708">
        <v>0</v>
      </c>
      <c r="I1708">
        <v>19112470</v>
      </c>
      <c r="J1708">
        <v>1</v>
      </c>
      <c r="K1708">
        <v>0</v>
      </c>
      <c r="M1708" t="s">
        <v>0</v>
      </c>
      <c r="N1708">
        <v>4000</v>
      </c>
      <c r="O1708">
        <v>5</v>
      </c>
      <c r="P1708">
        <v>12376</v>
      </c>
      <c r="Q1708">
        <v>0</v>
      </c>
      <c r="R1708">
        <v>429374700000</v>
      </c>
      <c r="S1708">
        <v>626231494.32000005</v>
      </c>
      <c r="T1708">
        <v>428698441716.48999</v>
      </c>
      <c r="U1708">
        <v>428748468505.67999</v>
      </c>
      <c r="V1708">
        <v>1.397E-3</v>
      </c>
      <c r="W1708">
        <v>0</v>
      </c>
    </row>
    <row r="1709" spans="1:23" x14ac:dyDescent="0.35">
      <c r="A1709" t="s">
        <v>0</v>
      </c>
      <c r="B1709">
        <v>9000</v>
      </c>
      <c r="C1709">
        <v>7</v>
      </c>
      <c r="D1709">
        <v>2</v>
      </c>
      <c r="E1709">
        <v>0</v>
      </c>
      <c r="F1709">
        <v>72360491</v>
      </c>
      <c r="G1709">
        <v>43984.76</v>
      </c>
      <c r="H1709">
        <v>72316506.239999995</v>
      </c>
      <c r="I1709">
        <v>72316506.239999995</v>
      </c>
      <c r="J1709">
        <v>0</v>
      </c>
      <c r="K1709">
        <v>0</v>
      </c>
      <c r="M1709" t="s">
        <v>2</v>
      </c>
      <c r="N1709">
        <v>7000</v>
      </c>
      <c r="O1709">
        <v>5</v>
      </c>
      <c r="P1709">
        <v>349</v>
      </c>
      <c r="Q1709">
        <v>0</v>
      </c>
      <c r="R1709">
        <v>5460200000</v>
      </c>
      <c r="S1709">
        <v>4603203.4400000004</v>
      </c>
      <c r="T1709">
        <v>5449601880.9300003</v>
      </c>
      <c r="U1709">
        <v>5455596796.5600004</v>
      </c>
      <c r="V1709">
        <v>1.3096E-2</v>
      </c>
      <c r="W1709">
        <v>0</v>
      </c>
    </row>
    <row r="1710" spans="1:23" x14ac:dyDescent="0.35">
      <c r="A1710" t="s">
        <v>0</v>
      </c>
      <c r="B1710">
        <v>9000</v>
      </c>
      <c r="C1710">
        <v>6</v>
      </c>
      <c r="D1710">
        <v>3</v>
      </c>
      <c r="E1710">
        <v>0</v>
      </c>
      <c r="F1710">
        <v>109588449</v>
      </c>
      <c r="G1710">
        <v>66091.91</v>
      </c>
      <c r="H1710">
        <v>109522357.09</v>
      </c>
      <c r="I1710">
        <v>109522357.09</v>
      </c>
      <c r="J1710">
        <v>0</v>
      </c>
      <c r="K1710">
        <v>0</v>
      </c>
      <c r="M1710" t="s">
        <v>2</v>
      </c>
      <c r="N1710">
        <v>7250</v>
      </c>
      <c r="O1710">
        <v>5</v>
      </c>
      <c r="P1710">
        <v>294</v>
      </c>
      <c r="Q1710">
        <v>0</v>
      </c>
      <c r="R1710">
        <v>4188200000</v>
      </c>
      <c r="S1710">
        <v>3420826.22</v>
      </c>
      <c r="T1710">
        <v>4177784823.7199998</v>
      </c>
      <c r="U1710">
        <v>4184779173.7800002</v>
      </c>
      <c r="V1710">
        <v>1.9857E-2</v>
      </c>
      <c r="W1710">
        <v>0</v>
      </c>
    </row>
    <row r="1711" spans="1:23" x14ac:dyDescent="0.35">
      <c r="A1711" t="s">
        <v>0</v>
      </c>
      <c r="B1711">
        <v>8500</v>
      </c>
      <c r="C1711">
        <v>6</v>
      </c>
      <c r="D1711">
        <v>1</v>
      </c>
      <c r="E1711">
        <v>0</v>
      </c>
      <c r="F1711">
        <v>42941216</v>
      </c>
      <c r="G1711">
        <v>27933.71</v>
      </c>
      <c r="H1711">
        <v>42913282.289999999</v>
      </c>
      <c r="I1711">
        <v>42913282.289999999</v>
      </c>
      <c r="J1711">
        <v>0</v>
      </c>
      <c r="K1711">
        <v>0</v>
      </c>
      <c r="M1711" t="s">
        <v>0</v>
      </c>
      <c r="N1711">
        <v>4500</v>
      </c>
      <c r="O1711">
        <v>5</v>
      </c>
      <c r="P1711">
        <v>3081</v>
      </c>
      <c r="Q1711">
        <v>0</v>
      </c>
      <c r="R1711">
        <v>108968400000</v>
      </c>
      <c r="S1711">
        <v>145839345.43000001</v>
      </c>
      <c r="T1711">
        <v>108822560654.57001</v>
      </c>
      <c r="U1711">
        <v>108822560654.57001</v>
      </c>
      <c r="V1711">
        <v>0</v>
      </c>
      <c r="W1711">
        <v>0</v>
      </c>
    </row>
    <row r="1712" spans="1:23" x14ac:dyDescent="0.35">
      <c r="A1712" t="s">
        <v>0</v>
      </c>
      <c r="B1712">
        <v>8500</v>
      </c>
      <c r="C1712">
        <v>9</v>
      </c>
      <c r="D1712">
        <v>4</v>
      </c>
      <c r="E1712">
        <v>0</v>
      </c>
      <c r="F1712">
        <v>172447070</v>
      </c>
      <c r="G1712">
        <v>114255.83</v>
      </c>
      <c r="H1712">
        <v>172332814.16999999</v>
      </c>
      <c r="I1712">
        <v>172332814.16999999</v>
      </c>
      <c r="J1712">
        <v>0</v>
      </c>
      <c r="K1712">
        <v>0</v>
      </c>
      <c r="M1712" t="s">
        <v>2</v>
      </c>
      <c r="N1712">
        <v>7750</v>
      </c>
      <c r="O1712">
        <v>7</v>
      </c>
      <c r="P1712">
        <v>10</v>
      </c>
      <c r="Q1712">
        <v>0</v>
      </c>
      <c r="R1712">
        <v>142594953</v>
      </c>
      <c r="S1712">
        <v>106910.88</v>
      </c>
      <c r="T1712">
        <v>128367109.48</v>
      </c>
      <c r="U1712">
        <v>128367109.48</v>
      </c>
      <c r="V1712">
        <v>0.713889</v>
      </c>
      <c r="W1712">
        <v>0.713889</v>
      </c>
    </row>
    <row r="1713" spans="1:23" x14ac:dyDescent="0.35">
      <c r="A1713" t="s">
        <v>0</v>
      </c>
      <c r="B1713">
        <v>9000</v>
      </c>
      <c r="C1713">
        <v>9</v>
      </c>
      <c r="D1713">
        <v>1</v>
      </c>
      <c r="E1713">
        <v>0</v>
      </c>
      <c r="F1713">
        <v>19532997</v>
      </c>
      <c r="G1713">
        <v>12061.75</v>
      </c>
      <c r="H1713">
        <v>19520935.25</v>
      </c>
      <c r="I1713">
        <v>19520935.25</v>
      </c>
      <c r="J1713">
        <v>0</v>
      </c>
      <c r="K1713">
        <v>0</v>
      </c>
      <c r="M1713" t="s">
        <v>1</v>
      </c>
      <c r="N1713">
        <v>7750</v>
      </c>
      <c r="O1713">
        <v>6</v>
      </c>
      <c r="P1713">
        <v>418</v>
      </c>
      <c r="Q1713">
        <v>0</v>
      </c>
      <c r="R1713">
        <v>12982895682</v>
      </c>
      <c r="S1713">
        <v>9701524.1300000008</v>
      </c>
      <c r="T1713">
        <v>12357775287.540001</v>
      </c>
      <c r="U1713">
        <v>12406046134.549999</v>
      </c>
      <c r="V1713">
        <v>0.44163999999999998</v>
      </c>
      <c r="W1713">
        <v>0.41491899999999998</v>
      </c>
    </row>
    <row r="1714" spans="1:23" x14ac:dyDescent="0.35">
      <c r="A1714" t="s">
        <v>1</v>
      </c>
      <c r="B1714">
        <v>8000</v>
      </c>
      <c r="C1714">
        <v>8</v>
      </c>
      <c r="D1714">
        <v>4</v>
      </c>
      <c r="E1714">
        <v>0</v>
      </c>
      <c r="F1714">
        <v>125803442</v>
      </c>
      <c r="G1714">
        <v>91111.73</v>
      </c>
      <c r="H1714">
        <v>61765660.909999996</v>
      </c>
      <c r="I1714">
        <v>125712330.27</v>
      </c>
      <c r="J1714">
        <v>0.99980000000000002</v>
      </c>
      <c r="K1714">
        <v>0</v>
      </c>
      <c r="M1714" t="s">
        <v>0</v>
      </c>
      <c r="N1714">
        <v>8250</v>
      </c>
      <c r="O1714">
        <v>6</v>
      </c>
      <c r="P1714">
        <v>79</v>
      </c>
      <c r="Q1714">
        <v>0</v>
      </c>
      <c r="R1714">
        <v>2249777016</v>
      </c>
      <c r="S1714">
        <v>1517145.84</v>
      </c>
      <c r="T1714">
        <v>2228721207.7399998</v>
      </c>
      <c r="U1714">
        <v>2248259870.1599998</v>
      </c>
      <c r="V1714">
        <v>9.9379999999999996E-2</v>
      </c>
      <c r="W1714">
        <v>0</v>
      </c>
    </row>
    <row r="1715" spans="1:23" x14ac:dyDescent="0.35">
      <c r="A1715" t="s">
        <v>1</v>
      </c>
      <c r="B1715">
        <v>7750</v>
      </c>
      <c r="C1715">
        <v>5</v>
      </c>
      <c r="D1715">
        <v>658</v>
      </c>
      <c r="E1715">
        <v>0</v>
      </c>
      <c r="F1715">
        <v>19644800000</v>
      </c>
      <c r="G1715">
        <v>14298559.130000001</v>
      </c>
      <c r="H1715">
        <v>19602621415.849998</v>
      </c>
      <c r="I1715">
        <v>19630501440.869999</v>
      </c>
      <c r="J1715">
        <v>1.6898E-2</v>
      </c>
      <c r="K1715">
        <v>0</v>
      </c>
      <c r="M1715" t="s">
        <v>0</v>
      </c>
      <c r="N1715">
        <v>8500</v>
      </c>
      <c r="O1715">
        <v>7</v>
      </c>
      <c r="P1715">
        <v>2</v>
      </c>
      <c r="Q1715">
        <v>0</v>
      </c>
      <c r="R1715">
        <v>53177174</v>
      </c>
      <c r="S1715">
        <v>34856.410000000003</v>
      </c>
      <c r="T1715">
        <v>53142317.590000004</v>
      </c>
      <c r="U1715">
        <v>53142317.590000004</v>
      </c>
      <c r="V1715">
        <v>0</v>
      </c>
      <c r="W1715">
        <v>0</v>
      </c>
    </row>
    <row r="1716" spans="1:23" x14ac:dyDescent="0.35">
      <c r="A1716" t="s">
        <v>1</v>
      </c>
      <c r="B1716">
        <v>7500</v>
      </c>
      <c r="C1716">
        <v>5</v>
      </c>
      <c r="D1716">
        <v>122</v>
      </c>
      <c r="E1716">
        <v>0</v>
      </c>
      <c r="F1716">
        <v>3629800000</v>
      </c>
      <c r="G1716">
        <v>2816982.06</v>
      </c>
      <c r="H1716">
        <v>3626983017.9400001</v>
      </c>
      <c r="I1716">
        <v>3626983017.9400001</v>
      </c>
      <c r="J1716">
        <v>0</v>
      </c>
      <c r="K1716">
        <v>0</v>
      </c>
      <c r="M1716" t="s">
        <v>0</v>
      </c>
      <c r="N1716">
        <v>9000</v>
      </c>
      <c r="O1716">
        <v>7</v>
      </c>
      <c r="P1716">
        <v>3</v>
      </c>
      <c r="Q1716">
        <v>0</v>
      </c>
      <c r="R1716">
        <v>123781439</v>
      </c>
      <c r="S1716">
        <v>75241.3</v>
      </c>
      <c r="T1716">
        <v>123706197.7</v>
      </c>
      <c r="U1716">
        <v>123706197.7</v>
      </c>
      <c r="V1716">
        <v>0</v>
      </c>
      <c r="W1716">
        <v>0</v>
      </c>
    </row>
    <row r="1717" spans="1:23" x14ac:dyDescent="0.35">
      <c r="A1717" t="s">
        <v>1</v>
      </c>
      <c r="B1717">
        <v>7750</v>
      </c>
      <c r="C1717">
        <v>6</v>
      </c>
      <c r="D1717">
        <v>279</v>
      </c>
      <c r="E1717">
        <v>0</v>
      </c>
      <c r="F1717">
        <v>8462149655</v>
      </c>
      <c r="G1717">
        <v>6286534.04</v>
      </c>
      <c r="H1717">
        <v>8386210142</v>
      </c>
      <c r="I1717">
        <v>8425585444.6199999</v>
      </c>
      <c r="J1717">
        <v>9.4422000000000006E-2</v>
      </c>
      <c r="K1717">
        <v>4.2101E-2</v>
      </c>
      <c r="M1717" t="s">
        <v>0</v>
      </c>
      <c r="N1717">
        <v>8500</v>
      </c>
      <c r="O1717">
        <v>6</v>
      </c>
      <c r="P1717">
        <v>1</v>
      </c>
      <c r="Q1717">
        <v>0</v>
      </c>
      <c r="R1717">
        <v>19100000</v>
      </c>
      <c r="S1717">
        <v>12424.75</v>
      </c>
      <c r="T1717">
        <v>19087575.25</v>
      </c>
      <c r="U1717">
        <v>19087575.25</v>
      </c>
      <c r="V1717">
        <v>0</v>
      </c>
      <c r="W1717">
        <v>0</v>
      </c>
    </row>
    <row r="1718" spans="1:23" x14ac:dyDescent="0.35">
      <c r="A1718" t="s">
        <v>2</v>
      </c>
      <c r="B1718">
        <v>7500</v>
      </c>
      <c r="C1718">
        <v>8</v>
      </c>
      <c r="D1718">
        <v>21</v>
      </c>
      <c r="E1718">
        <v>0</v>
      </c>
      <c r="F1718">
        <v>352903121</v>
      </c>
      <c r="G1718">
        <v>281880.40000000002</v>
      </c>
      <c r="H1718">
        <v>352621240.60000002</v>
      </c>
      <c r="I1718">
        <v>352621240.60000002</v>
      </c>
      <c r="J1718">
        <v>0</v>
      </c>
      <c r="K1718">
        <v>0</v>
      </c>
      <c r="M1718" t="s">
        <v>0</v>
      </c>
      <c r="N1718">
        <v>9000</v>
      </c>
      <c r="O1718">
        <v>6</v>
      </c>
      <c r="P1718">
        <v>2</v>
      </c>
      <c r="Q1718">
        <v>0</v>
      </c>
      <c r="R1718">
        <v>72600000</v>
      </c>
      <c r="S1718">
        <v>43784.480000000003</v>
      </c>
      <c r="T1718">
        <v>72556215.519999996</v>
      </c>
      <c r="U1718">
        <v>72556215.519999996</v>
      </c>
      <c r="V1718">
        <v>0</v>
      </c>
      <c r="W1718">
        <v>0</v>
      </c>
    </row>
    <row r="1719" spans="1:23" x14ac:dyDescent="0.35">
      <c r="A1719" t="s">
        <v>3</v>
      </c>
      <c r="B1719">
        <v>7750</v>
      </c>
      <c r="C1719">
        <v>9</v>
      </c>
      <c r="D1719">
        <v>1</v>
      </c>
      <c r="E1719">
        <v>0</v>
      </c>
      <c r="F1719">
        <v>37099734</v>
      </c>
      <c r="G1719">
        <v>28618.13</v>
      </c>
      <c r="H1719">
        <v>37071115.869999997</v>
      </c>
      <c r="I1719">
        <v>37071115.869999997</v>
      </c>
      <c r="J1719">
        <v>0</v>
      </c>
      <c r="K1719">
        <v>0</v>
      </c>
      <c r="M1719" t="s">
        <v>0</v>
      </c>
      <c r="N1719">
        <v>9000</v>
      </c>
      <c r="O1719">
        <v>5</v>
      </c>
      <c r="P1719">
        <v>17</v>
      </c>
      <c r="Q1719">
        <v>0</v>
      </c>
      <c r="R1719">
        <v>610300000</v>
      </c>
      <c r="S1719">
        <v>355954.26</v>
      </c>
      <c r="T1719">
        <v>609944045.74000001</v>
      </c>
      <c r="U1719">
        <v>609944045.74000001</v>
      </c>
      <c r="V1719">
        <v>0</v>
      </c>
      <c r="W1719">
        <v>0</v>
      </c>
    </row>
    <row r="1720" spans="1:23" x14ac:dyDescent="0.35">
      <c r="A1720" t="s">
        <v>0</v>
      </c>
      <c r="B1720">
        <v>4000</v>
      </c>
      <c r="C1720">
        <v>5</v>
      </c>
      <c r="D1720">
        <v>13195</v>
      </c>
      <c r="E1720">
        <v>0</v>
      </c>
      <c r="F1720">
        <v>457476100000</v>
      </c>
      <c r="G1720">
        <v>667194016.41999996</v>
      </c>
      <c r="H1720">
        <v>456778450855.77002</v>
      </c>
      <c r="I1720">
        <v>456778450855.77002</v>
      </c>
      <c r="J1720">
        <v>7.9900000000000001E-4</v>
      </c>
      <c r="K1720">
        <v>7.9900000000000001E-4</v>
      </c>
      <c r="M1720" t="s">
        <v>0</v>
      </c>
      <c r="N1720">
        <v>8500</v>
      </c>
      <c r="O1720">
        <v>5</v>
      </c>
      <c r="P1720">
        <v>6</v>
      </c>
      <c r="Q1720">
        <v>0</v>
      </c>
      <c r="R1720">
        <v>255200000</v>
      </c>
      <c r="S1720">
        <v>161027.93</v>
      </c>
      <c r="T1720">
        <v>255038972.06999999</v>
      </c>
      <c r="U1720">
        <v>255038972.06999999</v>
      </c>
      <c r="V1720">
        <v>0</v>
      </c>
      <c r="W1720">
        <v>0</v>
      </c>
    </row>
    <row r="1721" spans="1:23" x14ac:dyDescent="0.35">
      <c r="A1721" t="s">
        <v>1</v>
      </c>
      <c r="B1721">
        <v>4000</v>
      </c>
      <c r="C1721">
        <v>5</v>
      </c>
      <c r="D1721">
        <v>4726</v>
      </c>
      <c r="E1721">
        <v>0</v>
      </c>
      <c r="F1721">
        <v>177380300000</v>
      </c>
      <c r="G1721">
        <v>258658413.53999999</v>
      </c>
      <c r="H1721">
        <v>177052243836.20001</v>
      </c>
      <c r="I1721">
        <v>177121641586.45999</v>
      </c>
      <c r="J1721">
        <v>4.6849999999999999E-3</v>
      </c>
      <c r="K1721">
        <v>0</v>
      </c>
      <c r="M1721" t="s">
        <v>0</v>
      </c>
      <c r="N1721">
        <v>8500</v>
      </c>
      <c r="O1721">
        <v>8</v>
      </c>
      <c r="P1721">
        <v>4</v>
      </c>
      <c r="Q1721">
        <v>0</v>
      </c>
      <c r="R1721">
        <v>172560532</v>
      </c>
      <c r="S1721">
        <v>113461.86</v>
      </c>
      <c r="T1721">
        <v>172447070.13999999</v>
      </c>
      <c r="U1721">
        <v>172447070.13999999</v>
      </c>
      <c r="V1721">
        <v>0</v>
      </c>
      <c r="W1721">
        <v>0</v>
      </c>
    </row>
    <row r="1722" spans="1:23" x14ac:dyDescent="0.35">
      <c r="A1722" t="s">
        <v>2</v>
      </c>
      <c r="B1722">
        <v>4000</v>
      </c>
      <c r="C1722">
        <v>5</v>
      </c>
      <c r="D1722">
        <v>572</v>
      </c>
      <c r="E1722">
        <v>0</v>
      </c>
      <c r="F1722">
        <v>16415200000</v>
      </c>
      <c r="G1722">
        <v>23914561.260000002</v>
      </c>
      <c r="H1722">
        <v>16391285438.74</v>
      </c>
      <c r="I1722">
        <v>16391285438.74</v>
      </c>
      <c r="J1722">
        <v>0</v>
      </c>
      <c r="K1722">
        <v>0</v>
      </c>
      <c r="M1722" t="s">
        <v>0</v>
      </c>
      <c r="N1722">
        <v>9000</v>
      </c>
      <c r="O1722">
        <v>8</v>
      </c>
      <c r="P1722">
        <v>1</v>
      </c>
      <c r="Q1722">
        <v>0</v>
      </c>
      <c r="R1722">
        <v>19544972</v>
      </c>
      <c r="S1722">
        <v>11974.44</v>
      </c>
      <c r="T1722">
        <v>19532997.559999999</v>
      </c>
      <c r="U1722">
        <v>19532997.559999999</v>
      </c>
      <c r="V1722">
        <v>0</v>
      </c>
      <c r="W1722">
        <v>0</v>
      </c>
    </row>
    <row r="1723" spans="1:23" x14ac:dyDescent="0.35">
      <c r="A1723" t="s">
        <v>3</v>
      </c>
      <c r="B1723">
        <v>7000</v>
      </c>
      <c r="C1723">
        <v>5</v>
      </c>
      <c r="D1723">
        <v>5</v>
      </c>
      <c r="E1723">
        <v>0</v>
      </c>
      <c r="F1723">
        <v>142000000</v>
      </c>
      <c r="G1723">
        <v>119237.59</v>
      </c>
      <c r="H1723">
        <v>141880762.41</v>
      </c>
      <c r="I1723">
        <v>141880762.41</v>
      </c>
      <c r="J1723">
        <v>0</v>
      </c>
      <c r="K1723">
        <v>0</v>
      </c>
      <c r="M1723" t="s">
        <v>1</v>
      </c>
      <c r="N1723">
        <v>8000</v>
      </c>
      <c r="O1723">
        <v>7</v>
      </c>
      <c r="P1723">
        <v>15</v>
      </c>
      <c r="Q1723">
        <v>0</v>
      </c>
      <c r="R1723">
        <v>469808786</v>
      </c>
      <c r="S1723">
        <v>338180.29</v>
      </c>
      <c r="T1723">
        <v>125800350.59</v>
      </c>
      <c r="U1723">
        <v>469470605.70999998</v>
      </c>
      <c r="V1723">
        <v>1</v>
      </c>
      <c r="W1723">
        <v>0</v>
      </c>
    </row>
    <row r="1724" spans="1:23" x14ac:dyDescent="0.35">
      <c r="A1724" t="s">
        <v>3</v>
      </c>
      <c r="B1724">
        <v>6750</v>
      </c>
      <c r="C1724">
        <v>5</v>
      </c>
      <c r="D1724">
        <v>20</v>
      </c>
      <c r="E1724">
        <v>0</v>
      </c>
      <c r="F1724">
        <v>712200000</v>
      </c>
      <c r="G1724">
        <v>632994.32999999996</v>
      </c>
      <c r="H1724">
        <v>711567005.66999996</v>
      </c>
      <c r="I1724">
        <v>711567005.66999996</v>
      </c>
      <c r="J1724">
        <v>0</v>
      </c>
      <c r="K1724">
        <v>0</v>
      </c>
      <c r="M1724" t="s">
        <v>1</v>
      </c>
      <c r="N1724">
        <v>8250</v>
      </c>
      <c r="O1724">
        <v>7</v>
      </c>
      <c r="P1724">
        <v>10</v>
      </c>
      <c r="Q1724">
        <v>0</v>
      </c>
      <c r="R1724">
        <v>332497865</v>
      </c>
      <c r="S1724">
        <v>234549.65</v>
      </c>
      <c r="T1724">
        <v>0</v>
      </c>
      <c r="U1724">
        <v>332263315.35000002</v>
      </c>
      <c r="V1724">
        <v>1</v>
      </c>
      <c r="W1724">
        <v>0</v>
      </c>
    </row>
    <row r="1725" spans="1:23" x14ac:dyDescent="0.35">
      <c r="A1725" t="s">
        <v>2</v>
      </c>
      <c r="B1725">
        <v>7750</v>
      </c>
      <c r="C1725">
        <v>7</v>
      </c>
      <c r="D1725">
        <v>14</v>
      </c>
      <c r="E1725">
        <v>0</v>
      </c>
      <c r="F1725">
        <v>207300610</v>
      </c>
      <c r="G1725">
        <v>155383.04999999999</v>
      </c>
      <c r="H1725">
        <v>207145226.94999999</v>
      </c>
      <c r="I1725">
        <v>207145226.94999999</v>
      </c>
      <c r="J1725">
        <v>0</v>
      </c>
      <c r="K1725">
        <v>0</v>
      </c>
      <c r="M1725" t="s">
        <v>1</v>
      </c>
      <c r="N1725">
        <v>7750</v>
      </c>
      <c r="O1725">
        <v>5</v>
      </c>
      <c r="P1725">
        <v>952</v>
      </c>
      <c r="Q1725">
        <v>0</v>
      </c>
      <c r="R1725">
        <v>28533300000</v>
      </c>
      <c r="S1725">
        <v>20759453.120000001</v>
      </c>
      <c r="T1725">
        <v>27530554963.540001</v>
      </c>
      <c r="U1725">
        <v>27530554963.540001</v>
      </c>
      <c r="V1725">
        <v>0.34312300000000001</v>
      </c>
      <c r="W1725">
        <v>0.34312300000000001</v>
      </c>
    </row>
    <row r="1726" spans="1:23" x14ac:dyDescent="0.35">
      <c r="A1726" t="s">
        <v>1</v>
      </c>
      <c r="B1726">
        <v>4750</v>
      </c>
      <c r="C1726">
        <v>7</v>
      </c>
      <c r="D1726">
        <v>304</v>
      </c>
      <c r="E1726">
        <v>0</v>
      </c>
      <c r="F1726">
        <v>11860878928</v>
      </c>
      <c r="G1726">
        <v>15552072.34</v>
      </c>
      <c r="H1726">
        <v>11845326855.66</v>
      </c>
      <c r="I1726">
        <v>11845326855.66</v>
      </c>
      <c r="J1726">
        <v>0</v>
      </c>
      <c r="K1726">
        <v>0</v>
      </c>
      <c r="M1726" t="s">
        <v>1</v>
      </c>
      <c r="N1726">
        <v>7500</v>
      </c>
      <c r="O1726">
        <v>5</v>
      </c>
      <c r="P1726">
        <v>209</v>
      </c>
      <c r="Q1726">
        <v>0</v>
      </c>
      <c r="R1726">
        <v>6432000000</v>
      </c>
      <c r="S1726">
        <v>4980506.18</v>
      </c>
      <c r="T1726">
        <v>6267444727.3800001</v>
      </c>
      <c r="U1726">
        <v>6309812142.2799997</v>
      </c>
      <c r="V1726">
        <v>0.26027</v>
      </c>
      <c r="W1726">
        <v>0.19803299999999999</v>
      </c>
    </row>
    <row r="1727" spans="1:23" x14ac:dyDescent="0.35">
      <c r="A1727" t="s">
        <v>1</v>
      </c>
      <c r="B1727">
        <v>4000</v>
      </c>
      <c r="C1727">
        <v>10</v>
      </c>
      <c r="D1727">
        <v>629</v>
      </c>
      <c r="E1727">
        <v>0</v>
      </c>
      <c r="F1727">
        <v>23744913337</v>
      </c>
      <c r="G1727">
        <v>35992322.689999998</v>
      </c>
      <c r="H1727">
        <v>23687960601.669998</v>
      </c>
      <c r="I1727">
        <v>23687960601.669998</v>
      </c>
      <c r="J1727">
        <v>1.0541999999999999E-2</v>
      </c>
      <c r="K1727">
        <v>1.0541999999999999E-2</v>
      </c>
      <c r="M1727" t="s">
        <v>2</v>
      </c>
      <c r="N1727">
        <v>7500</v>
      </c>
      <c r="O1727">
        <v>7</v>
      </c>
      <c r="P1727">
        <v>21</v>
      </c>
      <c r="Q1727">
        <v>0</v>
      </c>
      <c r="R1727">
        <v>353117426</v>
      </c>
      <c r="S1727">
        <v>280098.28999999998</v>
      </c>
      <c r="T1727">
        <v>352837327.70999998</v>
      </c>
      <c r="U1727">
        <v>352837327.70999998</v>
      </c>
      <c r="V1727">
        <v>0</v>
      </c>
      <c r="W1727">
        <v>0</v>
      </c>
    </row>
    <row r="1728" spans="1:23" x14ac:dyDescent="0.35">
      <c r="A1728" t="s">
        <v>1</v>
      </c>
      <c r="B1728">
        <v>7500</v>
      </c>
      <c r="C1728">
        <v>7</v>
      </c>
      <c r="D1728">
        <v>132</v>
      </c>
      <c r="E1728">
        <v>0</v>
      </c>
      <c r="F1728">
        <v>4481198992</v>
      </c>
      <c r="G1728">
        <v>3554643.66</v>
      </c>
      <c r="H1728">
        <v>2549477915.6700001</v>
      </c>
      <c r="I1728">
        <v>4477644348.3400002</v>
      </c>
      <c r="J1728">
        <v>0.99883100000000002</v>
      </c>
      <c r="K1728">
        <v>0</v>
      </c>
      <c r="M1728" t="s">
        <v>3</v>
      </c>
      <c r="N1728">
        <v>7750</v>
      </c>
      <c r="O1728">
        <v>8</v>
      </c>
      <c r="P1728">
        <v>1</v>
      </c>
      <c r="Q1728">
        <v>0</v>
      </c>
      <c r="R1728">
        <v>37128171</v>
      </c>
      <c r="S1728">
        <v>28437.43</v>
      </c>
      <c r="T1728">
        <v>37099733.57</v>
      </c>
      <c r="U1728">
        <v>37099733.57</v>
      </c>
      <c r="V1728">
        <v>0</v>
      </c>
      <c r="W1728">
        <v>0</v>
      </c>
    </row>
    <row r="1729" spans="1:23" x14ac:dyDescent="0.35">
      <c r="A1729" t="s">
        <v>3</v>
      </c>
      <c r="B1729">
        <v>5750</v>
      </c>
      <c r="C1729">
        <v>7</v>
      </c>
      <c r="D1729">
        <v>15</v>
      </c>
      <c r="E1729">
        <v>0</v>
      </c>
      <c r="F1729">
        <v>398875465</v>
      </c>
      <c r="G1729">
        <v>436733.22</v>
      </c>
      <c r="H1729">
        <v>398438731.77999997</v>
      </c>
      <c r="I1729">
        <v>398438731.77999997</v>
      </c>
      <c r="J1729">
        <v>0</v>
      </c>
      <c r="K1729">
        <v>0</v>
      </c>
      <c r="M1729" t="s">
        <v>1</v>
      </c>
      <c r="N1729">
        <v>4000</v>
      </c>
      <c r="O1729">
        <v>5</v>
      </c>
      <c r="P1729">
        <v>4468</v>
      </c>
      <c r="Q1729">
        <v>0</v>
      </c>
      <c r="R1729">
        <v>167173500000</v>
      </c>
      <c r="S1729">
        <v>243774633.11000001</v>
      </c>
      <c r="T1729">
        <v>166920638798.07999</v>
      </c>
      <c r="U1729">
        <v>166929725366.89001</v>
      </c>
      <c r="V1729">
        <v>6.5200000000000002E-4</v>
      </c>
      <c r="W1729">
        <v>0</v>
      </c>
    </row>
    <row r="1730" spans="1:23" x14ac:dyDescent="0.35">
      <c r="A1730" t="s">
        <v>3</v>
      </c>
      <c r="B1730">
        <v>6500</v>
      </c>
      <c r="C1730">
        <v>7</v>
      </c>
      <c r="D1730">
        <v>23</v>
      </c>
      <c r="E1730">
        <v>0</v>
      </c>
      <c r="F1730">
        <v>613300178</v>
      </c>
      <c r="G1730">
        <v>583001.71</v>
      </c>
      <c r="H1730">
        <v>612717176.28999996</v>
      </c>
      <c r="I1730">
        <v>612717176.28999996</v>
      </c>
      <c r="J1730">
        <v>0</v>
      </c>
      <c r="K1730">
        <v>0</v>
      </c>
      <c r="M1730" t="s">
        <v>2</v>
      </c>
      <c r="N1730">
        <v>4000</v>
      </c>
      <c r="O1730">
        <v>5</v>
      </c>
      <c r="P1730">
        <v>476</v>
      </c>
      <c r="Q1730">
        <v>0</v>
      </c>
      <c r="R1730">
        <v>13662600000</v>
      </c>
      <c r="S1730">
        <v>19867682.170000002</v>
      </c>
      <c r="T1730">
        <v>13642732317.83</v>
      </c>
      <c r="U1730">
        <v>13642732317.83</v>
      </c>
      <c r="V1730">
        <v>0</v>
      </c>
      <c r="W1730">
        <v>0</v>
      </c>
    </row>
    <row r="1731" spans="1:23" x14ac:dyDescent="0.35">
      <c r="A1731" t="s">
        <v>3</v>
      </c>
      <c r="B1731">
        <v>5250</v>
      </c>
      <c r="C1731">
        <v>5</v>
      </c>
      <c r="D1731">
        <v>36</v>
      </c>
      <c r="E1731">
        <v>0</v>
      </c>
      <c r="F1731">
        <v>1012900000</v>
      </c>
      <c r="G1731">
        <v>1181449.67</v>
      </c>
      <c r="H1731">
        <v>1011718550.33</v>
      </c>
      <c r="I1731">
        <v>1011718550.33</v>
      </c>
      <c r="J1731">
        <v>0</v>
      </c>
      <c r="K1731">
        <v>0</v>
      </c>
      <c r="M1731" t="s">
        <v>3</v>
      </c>
      <c r="N1731">
        <v>7000</v>
      </c>
      <c r="O1731">
        <v>5</v>
      </c>
      <c r="P1731">
        <v>5</v>
      </c>
      <c r="Q1731">
        <v>0</v>
      </c>
      <c r="R1731">
        <v>142000000</v>
      </c>
      <c r="S1731">
        <v>118739.24</v>
      </c>
      <c r="T1731">
        <v>141881260.75999999</v>
      </c>
      <c r="U1731">
        <v>141881260.75999999</v>
      </c>
      <c r="V1731">
        <v>0</v>
      </c>
      <c r="W1731">
        <v>0</v>
      </c>
    </row>
    <row r="1732" spans="1:23" x14ac:dyDescent="0.35">
      <c r="A1732" t="s">
        <v>3</v>
      </c>
      <c r="B1732">
        <v>7750</v>
      </c>
      <c r="C1732">
        <v>10</v>
      </c>
      <c r="D1732">
        <v>1</v>
      </c>
      <c r="E1732">
        <v>0</v>
      </c>
      <c r="F1732">
        <v>34690638</v>
      </c>
      <c r="G1732">
        <v>26950.61</v>
      </c>
      <c r="H1732">
        <v>34663687.390000001</v>
      </c>
      <c r="I1732">
        <v>34663687.390000001</v>
      </c>
      <c r="J1732">
        <v>0</v>
      </c>
      <c r="K1732">
        <v>0</v>
      </c>
      <c r="M1732" t="s">
        <v>3</v>
      </c>
      <c r="N1732">
        <v>6250</v>
      </c>
      <c r="O1732">
        <v>5</v>
      </c>
      <c r="P1732">
        <v>201</v>
      </c>
      <c r="Q1732">
        <v>0</v>
      </c>
      <c r="R1732">
        <v>6215200000</v>
      </c>
      <c r="S1732">
        <v>6049987.5899999999</v>
      </c>
      <c r="T1732">
        <v>6209150012.4099998</v>
      </c>
      <c r="U1732">
        <v>6209150012.4099998</v>
      </c>
      <c r="V1732">
        <v>0</v>
      </c>
      <c r="W1732">
        <v>0</v>
      </c>
    </row>
    <row r="1733" spans="1:23" x14ac:dyDescent="0.35">
      <c r="A1733" t="s">
        <v>3</v>
      </c>
      <c r="B1733">
        <v>7000</v>
      </c>
      <c r="C1733">
        <v>7</v>
      </c>
      <c r="D1733">
        <v>1</v>
      </c>
      <c r="E1733">
        <v>0</v>
      </c>
      <c r="F1733">
        <v>23732091</v>
      </c>
      <c r="G1733">
        <v>20380.37</v>
      </c>
      <c r="H1733">
        <v>23711710.629999999</v>
      </c>
      <c r="I1733">
        <v>23711710.629999999</v>
      </c>
      <c r="J1733">
        <v>0</v>
      </c>
      <c r="K1733">
        <v>0</v>
      </c>
      <c r="M1733" t="s">
        <v>3</v>
      </c>
      <c r="N1733">
        <v>6500</v>
      </c>
      <c r="O1733">
        <v>5</v>
      </c>
      <c r="P1733">
        <v>59</v>
      </c>
      <c r="Q1733">
        <v>0</v>
      </c>
      <c r="R1733">
        <v>1633800000</v>
      </c>
      <c r="S1733">
        <v>1522828.13</v>
      </c>
      <c r="T1733">
        <v>1632277171.8699999</v>
      </c>
      <c r="U1733">
        <v>1632277171.8699999</v>
      </c>
      <c r="V1733">
        <v>0</v>
      </c>
      <c r="W1733">
        <v>0</v>
      </c>
    </row>
    <row r="1734" spans="1:23" x14ac:dyDescent="0.35">
      <c r="A1734" t="s">
        <v>1</v>
      </c>
      <c r="B1734">
        <v>3750</v>
      </c>
      <c r="C1734">
        <v>6</v>
      </c>
      <c r="D1734">
        <v>74</v>
      </c>
      <c r="E1734">
        <v>0</v>
      </c>
      <c r="F1734">
        <v>2945832491</v>
      </c>
      <c r="G1734">
        <v>4568198.96</v>
      </c>
      <c r="H1734">
        <v>2941264292.04</v>
      </c>
      <c r="I1734">
        <v>2941264292.04</v>
      </c>
      <c r="J1734">
        <v>0</v>
      </c>
      <c r="K1734">
        <v>0</v>
      </c>
      <c r="M1734" t="s">
        <v>3</v>
      </c>
      <c r="N1734">
        <v>6750</v>
      </c>
      <c r="O1734">
        <v>5</v>
      </c>
      <c r="P1734">
        <v>22</v>
      </c>
      <c r="Q1734">
        <v>0</v>
      </c>
      <c r="R1734">
        <v>745700000</v>
      </c>
      <c r="S1734">
        <v>659597.03</v>
      </c>
      <c r="T1734">
        <v>745040402.97000003</v>
      </c>
      <c r="U1734">
        <v>745040402.97000003</v>
      </c>
      <c r="V1734">
        <v>0</v>
      </c>
      <c r="W1734">
        <v>0</v>
      </c>
    </row>
    <row r="1735" spans="1:23" x14ac:dyDescent="0.35">
      <c r="A1735" t="s">
        <v>3</v>
      </c>
      <c r="B1735">
        <v>6500</v>
      </c>
      <c r="C1735">
        <v>6</v>
      </c>
      <c r="D1735">
        <v>6</v>
      </c>
      <c r="E1735">
        <v>0</v>
      </c>
      <c r="F1735">
        <v>172556507</v>
      </c>
      <c r="G1735">
        <v>164898.59</v>
      </c>
      <c r="H1735">
        <v>172391608.41</v>
      </c>
      <c r="I1735">
        <v>172391608.41</v>
      </c>
      <c r="J1735">
        <v>0</v>
      </c>
      <c r="K1735">
        <v>0</v>
      </c>
      <c r="M1735" t="s">
        <v>2</v>
      </c>
      <c r="N1735">
        <v>7750</v>
      </c>
      <c r="O1735">
        <v>6</v>
      </c>
      <c r="P1735">
        <v>14</v>
      </c>
      <c r="Q1735">
        <v>0</v>
      </c>
      <c r="R1735">
        <v>207441013</v>
      </c>
      <c r="S1735">
        <v>154381.70000000001</v>
      </c>
      <c r="T1735">
        <v>207286631.30000001</v>
      </c>
      <c r="U1735">
        <v>207286631.30000001</v>
      </c>
      <c r="V1735">
        <v>0</v>
      </c>
      <c r="W1735">
        <v>0</v>
      </c>
    </row>
    <row r="1736" spans="1:23" x14ac:dyDescent="0.35">
      <c r="A1736" t="s">
        <v>3</v>
      </c>
      <c r="B1736">
        <v>7000</v>
      </c>
      <c r="C1736">
        <v>8</v>
      </c>
      <c r="D1736">
        <v>3</v>
      </c>
      <c r="E1736">
        <v>0</v>
      </c>
      <c r="F1736">
        <v>80870112</v>
      </c>
      <c r="G1736">
        <v>70464.62</v>
      </c>
      <c r="H1736">
        <v>80799647.379999995</v>
      </c>
      <c r="I1736">
        <v>80799647.379999995</v>
      </c>
      <c r="J1736">
        <v>0</v>
      </c>
      <c r="K1736">
        <v>0</v>
      </c>
      <c r="M1736" t="s">
        <v>1</v>
      </c>
      <c r="N1736">
        <v>4750</v>
      </c>
      <c r="O1736">
        <v>6</v>
      </c>
      <c r="P1736">
        <v>305</v>
      </c>
      <c r="Q1736">
        <v>0</v>
      </c>
      <c r="R1736">
        <v>11931848700</v>
      </c>
      <c r="S1736">
        <v>15564158.199999999</v>
      </c>
      <c r="T1736">
        <v>11916284541.799999</v>
      </c>
      <c r="U1736">
        <v>11916284541.799999</v>
      </c>
      <c r="V1736">
        <v>0</v>
      </c>
      <c r="W1736">
        <v>0</v>
      </c>
    </row>
    <row r="1737" spans="1:23" x14ac:dyDescent="0.35">
      <c r="A1737" t="s">
        <v>0</v>
      </c>
      <c r="B1737">
        <v>4000</v>
      </c>
      <c r="C1737">
        <v>7</v>
      </c>
      <c r="D1737">
        <v>2669</v>
      </c>
      <c r="E1737">
        <v>0</v>
      </c>
      <c r="F1737">
        <v>92520075412</v>
      </c>
      <c r="G1737">
        <v>138187219.06999999</v>
      </c>
      <c r="H1737">
        <v>92381888192.929993</v>
      </c>
      <c r="I1737">
        <v>92381888192.929993</v>
      </c>
      <c r="J1737">
        <v>0</v>
      </c>
      <c r="K1737">
        <v>0</v>
      </c>
      <c r="M1737" t="s">
        <v>1</v>
      </c>
      <c r="N1737">
        <v>4000</v>
      </c>
      <c r="O1737">
        <v>9</v>
      </c>
      <c r="P1737">
        <v>630</v>
      </c>
      <c r="Q1737">
        <v>0</v>
      </c>
      <c r="R1737">
        <v>23845742574</v>
      </c>
      <c r="S1737">
        <v>35971025.520000003</v>
      </c>
      <c r="T1737">
        <v>23747963641.639999</v>
      </c>
      <c r="U1737">
        <v>23809771548.48</v>
      </c>
      <c r="V1737">
        <v>3.0664E-2</v>
      </c>
      <c r="W1737">
        <v>0</v>
      </c>
    </row>
    <row r="1738" spans="1:23" x14ac:dyDescent="0.35">
      <c r="A1738" t="s">
        <v>0</v>
      </c>
      <c r="B1738">
        <v>4000</v>
      </c>
      <c r="C1738">
        <v>8</v>
      </c>
      <c r="D1738">
        <v>1809</v>
      </c>
      <c r="E1738">
        <v>0</v>
      </c>
      <c r="F1738">
        <v>61688326389</v>
      </c>
      <c r="G1738">
        <v>92581459.209999993</v>
      </c>
      <c r="H1738">
        <v>61595744929.790001</v>
      </c>
      <c r="I1738">
        <v>61595744929.790001</v>
      </c>
      <c r="J1738">
        <v>0</v>
      </c>
      <c r="K1738">
        <v>0</v>
      </c>
      <c r="M1738" t="s">
        <v>1</v>
      </c>
      <c r="N1738">
        <v>7500</v>
      </c>
      <c r="O1738">
        <v>6</v>
      </c>
      <c r="P1738">
        <v>135</v>
      </c>
      <c r="Q1738">
        <v>0</v>
      </c>
      <c r="R1738">
        <v>4593343137</v>
      </c>
      <c r="S1738">
        <v>3622395.04</v>
      </c>
      <c r="T1738">
        <v>4489798232.6800003</v>
      </c>
      <c r="U1738">
        <v>4532570616.8800001</v>
      </c>
      <c r="V1738">
        <v>0.23197000000000001</v>
      </c>
      <c r="W1738">
        <v>0.13949900000000001</v>
      </c>
    </row>
    <row r="1739" spans="1:23" x14ac:dyDescent="0.35">
      <c r="A1739" t="s">
        <v>0</v>
      </c>
      <c r="B1739">
        <v>4000</v>
      </c>
      <c r="C1739">
        <v>10</v>
      </c>
      <c r="D1739">
        <v>1725</v>
      </c>
      <c r="E1739">
        <v>0</v>
      </c>
      <c r="F1739">
        <v>62215648620</v>
      </c>
      <c r="G1739">
        <v>94235202.060000002</v>
      </c>
      <c r="H1739">
        <v>62082566392.970001</v>
      </c>
      <c r="I1739">
        <v>62082566392.970001</v>
      </c>
      <c r="J1739">
        <v>7.4669999999999997E-3</v>
      </c>
      <c r="K1739">
        <v>7.4669999999999997E-3</v>
      </c>
      <c r="M1739" t="s">
        <v>3</v>
      </c>
      <c r="N1739">
        <v>5750</v>
      </c>
      <c r="O1739">
        <v>6</v>
      </c>
      <c r="P1739">
        <v>15</v>
      </c>
      <c r="Q1739">
        <v>0</v>
      </c>
      <c r="R1739">
        <v>399896737</v>
      </c>
      <c r="S1739">
        <v>435299.15</v>
      </c>
      <c r="T1739">
        <v>399461437.85000002</v>
      </c>
      <c r="U1739">
        <v>399461437.85000002</v>
      </c>
      <c r="V1739">
        <v>0</v>
      </c>
      <c r="W1739">
        <v>0</v>
      </c>
    </row>
    <row r="1740" spans="1:23" x14ac:dyDescent="0.35">
      <c r="A1740" t="s">
        <v>0</v>
      </c>
      <c r="B1740">
        <v>4000</v>
      </c>
      <c r="C1740">
        <v>9</v>
      </c>
      <c r="D1740">
        <v>1429</v>
      </c>
      <c r="E1740">
        <v>0</v>
      </c>
      <c r="F1740">
        <v>49285163638</v>
      </c>
      <c r="G1740">
        <v>74295919.519999996</v>
      </c>
      <c r="H1740">
        <v>49210867718.480003</v>
      </c>
      <c r="I1740">
        <v>49210867718.480003</v>
      </c>
      <c r="J1740">
        <v>0</v>
      </c>
      <c r="K1740">
        <v>0</v>
      </c>
      <c r="M1740" t="s">
        <v>3</v>
      </c>
      <c r="N1740">
        <v>6500</v>
      </c>
      <c r="O1740">
        <v>6</v>
      </c>
      <c r="P1740">
        <v>23</v>
      </c>
      <c r="Q1740">
        <v>0</v>
      </c>
      <c r="R1740">
        <v>614250212</v>
      </c>
      <c r="S1740">
        <v>580223.71</v>
      </c>
      <c r="T1740">
        <v>613669988.28999996</v>
      </c>
      <c r="U1740">
        <v>613669988.28999996</v>
      </c>
      <c r="V1740">
        <v>0</v>
      </c>
      <c r="W1740">
        <v>0</v>
      </c>
    </row>
    <row r="1741" spans="1:23" x14ac:dyDescent="0.35">
      <c r="A1741" t="s">
        <v>0</v>
      </c>
      <c r="B1741">
        <v>4500</v>
      </c>
      <c r="C1741">
        <v>14</v>
      </c>
      <c r="D1741">
        <v>1997</v>
      </c>
      <c r="E1741">
        <v>0</v>
      </c>
      <c r="F1741">
        <v>64484213106</v>
      </c>
      <c r="G1741">
        <v>91221213.150000006</v>
      </c>
      <c r="H1741">
        <v>64359885645.050003</v>
      </c>
      <c r="I1741">
        <v>64359885645.050003</v>
      </c>
      <c r="J1741">
        <v>6.143E-3</v>
      </c>
      <c r="K1741">
        <v>6.143E-3</v>
      </c>
      <c r="M1741" t="s">
        <v>3</v>
      </c>
      <c r="N1741">
        <v>5250</v>
      </c>
      <c r="O1741">
        <v>5</v>
      </c>
      <c r="P1741">
        <v>30</v>
      </c>
      <c r="Q1741">
        <v>0</v>
      </c>
      <c r="R1741">
        <v>878700000</v>
      </c>
      <c r="S1741">
        <v>1022057.18</v>
      </c>
      <c r="T1741">
        <v>877677942.82000005</v>
      </c>
      <c r="U1741">
        <v>877677942.82000005</v>
      </c>
      <c r="V1741">
        <v>0</v>
      </c>
      <c r="W1741">
        <v>0</v>
      </c>
    </row>
    <row r="1742" spans="1:23" x14ac:dyDescent="0.35">
      <c r="A1742" t="s">
        <v>3</v>
      </c>
      <c r="B1742">
        <v>6250</v>
      </c>
      <c r="C1742">
        <v>6</v>
      </c>
      <c r="D1742">
        <v>9</v>
      </c>
      <c r="E1742">
        <v>0</v>
      </c>
      <c r="F1742">
        <v>297815667</v>
      </c>
      <c r="G1742">
        <v>295264.90000000002</v>
      </c>
      <c r="H1742">
        <v>297520402.10000002</v>
      </c>
      <c r="I1742">
        <v>297520402.10000002</v>
      </c>
      <c r="J1742">
        <v>0</v>
      </c>
      <c r="K1742">
        <v>0</v>
      </c>
      <c r="M1742" t="s">
        <v>3</v>
      </c>
      <c r="N1742">
        <v>7750</v>
      </c>
      <c r="O1742">
        <v>9</v>
      </c>
      <c r="P1742">
        <v>1</v>
      </c>
      <c r="Q1742">
        <v>0</v>
      </c>
      <c r="R1742">
        <v>34717229</v>
      </c>
      <c r="S1742">
        <v>26780.3</v>
      </c>
      <c r="T1742">
        <v>34690448.700000003</v>
      </c>
      <c r="U1742">
        <v>34690448.700000003</v>
      </c>
      <c r="V1742">
        <v>0</v>
      </c>
      <c r="W1742">
        <v>0</v>
      </c>
    </row>
    <row r="1743" spans="1:23" x14ac:dyDescent="0.35">
      <c r="A1743" t="s">
        <v>2</v>
      </c>
      <c r="B1743">
        <v>3750</v>
      </c>
      <c r="C1743">
        <v>6</v>
      </c>
      <c r="D1743">
        <v>3</v>
      </c>
      <c r="E1743">
        <v>0</v>
      </c>
      <c r="F1743">
        <v>85707702</v>
      </c>
      <c r="G1743">
        <v>131525.66</v>
      </c>
      <c r="H1743">
        <v>85576176.340000004</v>
      </c>
      <c r="I1743">
        <v>85576176.340000004</v>
      </c>
      <c r="J1743">
        <v>0</v>
      </c>
      <c r="K1743">
        <v>0</v>
      </c>
      <c r="M1743" t="s">
        <v>3</v>
      </c>
      <c r="N1743">
        <v>7000</v>
      </c>
      <c r="O1743">
        <v>6</v>
      </c>
      <c r="P1743">
        <v>1</v>
      </c>
      <c r="Q1743">
        <v>0</v>
      </c>
      <c r="R1743">
        <v>23752489</v>
      </c>
      <c r="S1743">
        <v>20262.29</v>
      </c>
      <c r="T1743">
        <v>23732226.710000001</v>
      </c>
      <c r="U1743">
        <v>23732226.710000001</v>
      </c>
      <c r="V1743">
        <v>0</v>
      </c>
      <c r="W1743">
        <v>0</v>
      </c>
    </row>
    <row r="1744" spans="1:23" x14ac:dyDescent="0.35">
      <c r="A1744" t="s">
        <v>3</v>
      </c>
      <c r="B1744">
        <v>5750</v>
      </c>
      <c r="C1744">
        <v>6</v>
      </c>
      <c r="D1744">
        <v>4</v>
      </c>
      <c r="E1744">
        <v>0</v>
      </c>
      <c r="F1744">
        <v>93432100</v>
      </c>
      <c r="G1744">
        <v>101773.53</v>
      </c>
      <c r="H1744">
        <v>93330326.469999999</v>
      </c>
      <c r="I1744">
        <v>93330326.469999999</v>
      </c>
      <c r="J1744">
        <v>0</v>
      </c>
      <c r="K1744">
        <v>0</v>
      </c>
      <c r="M1744" t="s">
        <v>1</v>
      </c>
      <c r="N1744">
        <v>3750</v>
      </c>
      <c r="O1744">
        <v>5</v>
      </c>
      <c r="P1744">
        <v>347</v>
      </c>
      <c r="Q1744">
        <v>0</v>
      </c>
      <c r="R1744">
        <v>14679700000</v>
      </c>
      <c r="S1744">
        <v>22396016.670000002</v>
      </c>
      <c r="T1744">
        <v>14657303983.33</v>
      </c>
      <c r="U1744">
        <v>14657303983.33</v>
      </c>
      <c r="V1744">
        <v>0</v>
      </c>
      <c r="W1744">
        <v>0</v>
      </c>
    </row>
    <row r="1745" spans="1:23" x14ac:dyDescent="0.35">
      <c r="A1745" t="s">
        <v>2</v>
      </c>
      <c r="B1745">
        <v>7500</v>
      </c>
      <c r="C1745">
        <v>7</v>
      </c>
      <c r="D1745">
        <v>3</v>
      </c>
      <c r="E1745">
        <v>0</v>
      </c>
      <c r="F1745">
        <v>47445781</v>
      </c>
      <c r="G1745">
        <v>37518.29</v>
      </c>
      <c r="H1745">
        <v>47408262.710000001</v>
      </c>
      <c r="I1745">
        <v>47408262.710000001</v>
      </c>
      <c r="J1745">
        <v>0</v>
      </c>
      <c r="K1745">
        <v>0</v>
      </c>
      <c r="M1745" t="s">
        <v>3</v>
      </c>
      <c r="N1745">
        <v>7000</v>
      </c>
      <c r="O1745">
        <v>7</v>
      </c>
      <c r="P1745">
        <v>3</v>
      </c>
      <c r="Q1745">
        <v>0</v>
      </c>
      <c r="R1745">
        <v>80977130</v>
      </c>
      <c r="S1745">
        <v>70090.100000000006</v>
      </c>
      <c r="T1745">
        <v>80907039.900000006</v>
      </c>
      <c r="U1745">
        <v>80907039.900000006</v>
      </c>
      <c r="V1745">
        <v>0</v>
      </c>
      <c r="W1745">
        <v>0</v>
      </c>
    </row>
    <row r="1746" spans="1:23" x14ac:dyDescent="0.35">
      <c r="A1746" t="s">
        <v>2</v>
      </c>
      <c r="B1746">
        <v>5000</v>
      </c>
      <c r="C1746">
        <v>7</v>
      </c>
      <c r="D1746">
        <v>60</v>
      </c>
      <c r="E1746">
        <v>0</v>
      </c>
      <c r="F1746">
        <v>1728616956</v>
      </c>
      <c r="G1746">
        <v>2171884.15</v>
      </c>
      <c r="H1746">
        <v>1726445071.8499999</v>
      </c>
      <c r="I1746">
        <v>1726445071.8499999</v>
      </c>
      <c r="J1746">
        <v>0</v>
      </c>
      <c r="K1746">
        <v>0</v>
      </c>
      <c r="M1746" t="s">
        <v>0</v>
      </c>
      <c r="N1746">
        <v>4000</v>
      </c>
      <c r="O1746">
        <v>6</v>
      </c>
      <c r="P1746">
        <v>2669</v>
      </c>
      <c r="Q1746">
        <v>0</v>
      </c>
      <c r="R1746">
        <v>92782308686</v>
      </c>
      <c r="S1746">
        <v>137914756.09999999</v>
      </c>
      <c r="T1746">
        <v>92644393929.899994</v>
      </c>
      <c r="U1746">
        <v>92644393929.899994</v>
      </c>
      <c r="V1746">
        <v>0</v>
      </c>
      <c r="W1746">
        <v>0</v>
      </c>
    </row>
    <row r="1747" spans="1:23" x14ac:dyDescent="0.35">
      <c r="A1747" t="s">
        <v>1</v>
      </c>
      <c r="B1747">
        <v>7500</v>
      </c>
      <c r="C1747">
        <v>6</v>
      </c>
      <c r="D1747">
        <v>92</v>
      </c>
      <c r="E1747">
        <v>0</v>
      </c>
      <c r="F1747">
        <v>3013714563</v>
      </c>
      <c r="G1747">
        <v>2356683.66</v>
      </c>
      <c r="H1747">
        <v>2975946323.0799999</v>
      </c>
      <c r="I1747">
        <v>2975946323.0799999</v>
      </c>
      <c r="J1747">
        <v>0.13223699999999999</v>
      </c>
      <c r="K1747">
        <v>0.13223699999999999</v>
      </c>
      <c r="M1747" t="s">
        <v>0</v>
      </c>
      <c r="N1747">
        <v>4000</v>
      </c>
      <c r="O1747">
        <v>7</v>
      </c>
      <c r="P1747">
        <v>1809</v>
      </c>
      <c r="Q1747">
        <v>0</v>
      </c>
      <c r="R1747">
        <v>61792433479</v>
      </c>
      <c r="S1747">
        <v>92292611.629999995</v>
      </c>
      <c r="T1747">
        <v>61700140867.370003</v>
      </c>
      <c r="U1747">
        <v>61700140867.370003</v>
      </c>
      <c r="V1747">
        <v>0</v>
      </c>
      <c r="W1747">
        <v>0</v>
      </c>
    </row>
    <row r="1748" spans="1:23" x14ac:dyDescent="0.35">
      <c r="A1748" t="s">
        <v>1</v>
      </c>
      <c r="B1748">
        <v>8250</v>
      </c>
      <c r="C1748">
        <v>7</v>
      </c>
      <c r="D1748">
        <v>6</v>
      </c>
      <c r="E1748">
        <v>0</v>
      </c>
      <c r="F1748">
        <v>242971739</v>
      </c>
      <c r="G1748">
        <v>167407.17000000001</v>
      </c>
      <c r="H1748">
        <v>35106248.170000002</v>
      </c>
      <c r="I1748">
        <v>242804331.83000001</v>
      </c>
      <c r="J1748">
        <v>1</v>
      </c>
      <c r="K1748">
        <v>0</v>
      </c>
      <c r="M1748" t="s">
        <v>0</v>
      </c>
      <c r="N1748">
        <v>4000</v>
      </c>
      <c r="O1748">
        <v>9</v>
      </c>
      <c r="P1748">
        <v>1727</v>
      </c>
      <c r="Q1748">
        <v>0</v>
      </c>
      <c r="R1748">
        <v>62382973842</v>
      </c>
      <c r="S1748">
        <v>94033630.299999997</v>
      </c>
      <c r="T1748">
        <v>62223175631.580002</v>
      </c>
      <c r="U1748">
        <v>62246676083.919998</v>
      </c>
      <c r="V1748">
        <v>1.2577E-2</v>
      </c>
      <c r="W1748">
        <v>8.0999999999999996E-3</v>
      </c>
    </row>
    <row r="1749" spans="1:23" x14ac:dyDescent="0.35">
      <c r="A1749" t="s">
        <v>1</v>
      </c>
      <c r="B1749">
        <v>8000</v>
      </c>
      <c r="C1749">
        <v>7</v>
      </c>
      <c r="D1749">
        <v>8</v>
      </c>
      <c r="E1749">
        <v>0</v>
      </c>
      <c r="F1749">
        <v>259189044</v>
      </c>
      <c r="G1749">
        <v>186397.52</v>
      </c>
      <c r="H1749">
        <v>17891983.690000001</v>
      </c>
      <c r="I1749">
        <v>259002646.47999999</v>
      </c>
      <c r="J1749">
        <v>1</v>
      </c>
      <c r="K1749">
        <v>0</v>
      </c>
      <c r="M1749" t="s">
        <v>0</v>
      </c>
      <c r="N1749">
        <v>4000</v>
      </c>
      <c r="O1749">
        <v>8</v>
      </c>
      <c r="P1749">
        <v>1429</v>
      </c>
      <c r="Q1749">
        <v>0</v>
      </c>
      <c r="R1749">
        <v>49347423816</v>
      </c>
      <c r="S1749">
        <v>74032135.260000005</v>
      </c>
      <c r="T1749">
        <v>49250126295.510002</v>
      </c>
      <c r="U1749">
        <v>49250126295.510002</v>
      </c>
      <c r="V1749">
        <v>5.6429999999999996E-3</v>
      </c>
      <c r="W1749">
        <v>5.6429999999999996E-3</v>
      </c>
    </row>
    <row r="1750" spans="1:23" x14ac:dyDescent="0.35">
      <c r="A1750" t="s">
        <v>1</v>
      </c>
      <c r="B1750">
        <v>4250</v>
      </c>
      <c r="C1750">
        <v>6</v>
      </c>
      <c r="D1750">
        <v>136</v>
      </c>
      <c r="E1750">
        <v>0</v>
      </c>
      <c r="F1750">
        <v>4817206552</v>
      </c>
      <c r="G1750">
        <v>6862895.9500000002</v>
      </c>
      <c r="H1750">
        <v>4810343656.0500002</v>
      </c>
      <c r="I1750">
        <v>4810343656.0500002</v>
      </c>
      <c r="J1750">
        <v>0</v>
      </c>
      <c r="K1750">
        <v>0</v>
      </c>
      <c r="M1750" t="s">
        <v>0</v>
      </c>
      <c r="N1750">
        <v>4500</v>
      </c>
      <c r="O1750">
        <v>12</v>
      </c>
      <c r="P1750">
        <v>1876</v>
      </c>
      <c r="Q1750">
        <v>0</v>
      </c>
      <c r="R1750">
        <v>62431886483</v>
      </c>
      <c r="S1750">
        <v>87408950.909999996</v>
      </c>
      <c r="T1750">
        <v>62219244973.169998</v>
      </c>
      <c r="U1750">
        <v>62296113482.440002</v>
      </c>
      <c r="V1750">
        <v>2.3806999999999998E-2</v>
      </c>
      <c r="W1750">
        <v>9.2569999999999996E-3</v>
      </c>
    </row>
    <row r="1751" spans="1:23" x14ac:dyDescent="0.35">
      <c r="A1751" t="s">
        <v>0</v>
      </c>
      <c r="B1751">
        <v>8500</v>
      </c>
      <c r="C1751">
        <v>5</v>
      </c>
      <c r="D1751">
        <v>6</v>
      </c>
      <c r="E1751">
        <v>0</v>
      </c>
      <c r="F1751">
        <v>233900000</v>
      </c>
      <c r="G1751">
        <v>147651.75</v>
      </c>
      <c r="H1751">
        <v>233752348.25</v>
      </c>
      <c r="I1751">
        <v>233752348.25</v>
      </c>
      <c r="J1751">
        <v>0</v>
      </c>
      <c r="K1751">
        <v>0</v>
      </c>
      <c r="M1751" t="s">
        <v>2</v>
      </c>
      <c r="N1751">
        <v>3750</v>
      </c>
      <c r="O1751">
        <v>5</v>
      </c>
      <c r="P1751">
        <v>30</v>
      </c>
      <c r="Q1751">
        <v>0</v>
      </c>
      <c r="R1751">
        <v>904000000</v>
      </c>
      <c r="S1751">
        <v>1391065.83</v>
      </c>
      <c r="T1751">
        <v>902608934.16999996</v>
      </c>
      <c r="U1751">
        <v>902608934.16999996</v>
      </c>
      <c r="V1751">
        <v>0</v>
      </c>
      <c r="W1751">
        <v>0</v>
      </c>
    </row>
    <row r="1752" spans="1:23" x14ac:dyDescent="0.35">
      <c r="A1752" t="s">
        <v>0</v>
      </c>
      <c r="B1752">
        <v>9000</v>
      </c>
      <c r="C1752">
        <v>5</v>
      </c>
      <c r="D1752">
        <v>16</v>
      </c>
      <c r="E1752">
        <v>0</v>
      </c>
      <c r="F1752">
        <v>593200000</v>
      </c>
      <c r="G1752">
        <v>345582.13</v>
      </c>
      <c r="H1752">
        <v>592854417.87</v>
      </c>
      <c r="I1752">
        <v>592854417.87</v>
      </c>
      <c r="J1752">
        <v>0</v>
      </c>
      <c r="K1752">
        <v>0</v>
      </c>
      <c r="M1752" t="s">
        <v>2</v>
      </c>
      <c r="N1752">
        <v>7500</v>
      </c>
      <c r="O1752">
        <v>6</v>
      </c>
      <c r="P1752">
        <v>3</v>
      </c>
      <c r="Q1752">
        <v>0</v>
      </c>
      <c r="R1752">
        <v>47562777</v>
      </c>
      <c r="S1752">
        <v>37348.04</v>
      </c>
      <c r="T1752">
        <v>47525428.960000001</v>
      </c>
      <c r="U1752">
        <v>47525428.960000001</v>
      </c>
      <c r="V1752">
        <v>0</v>
      </c>
      <c r="W1752">
        <v>0</v>
      </c>
    </row>
    <row r="1753" spans="1:23" x14ac:dyDescent="0.35">
      <c r="A1753" t="s">
        <v>2</v>
      </c>
      <c r="B1753">
        <v>3000</v>
      </c>
      <c r="C1753">
        <v>7</v>
      </c>
      <c r="D1753">
        <v>1</v>
      </c>
      <c r="E1753">
        <v>0</v>
      </c>
      <c r="F1753">
        <v>12600000</v>
      </c>
      <c r="G1753">
        <v>21351.38</v>
      </c>
      <c r="H1753">
        <v>12578648.619999999</v>
      </c>
      <c r="I1753">
        <v>12578648.619999999</v>
      </c>
      <c r="J1753">
        <v>0</v>
      </c>
      <c r="K1753">
        <v>0</v>
      </c>
      <c r="M1753" t="s">
        <v>2</v>
      </c>
      <c r="N1753">
        <v>5000</v>
      </c>
      <c r="O1753">
        <v>6</v>
      </c>
      <c r="P1753">
        <v>60</v>
      </c>
      <c r="Q1753">
        <v>0</v>
      </c>
      <c r="R1753">
        <v>1733240264</v>
      </c>
      <c r="S1753">
        <v>2166015.3199999998</v>
      </c>
      <c r="T1753">
        <v>1731074248.6800001</v>
      </c>
      <c r="U1753">
        <v>1731074248.6800001</v>
      </c>
      <c r="V1753">
        <v>0</v>
      </c>
      <c r="W1753">
        <v>0</v>
      </c>
    </row>
    <row r="1754" spans="1:23" x14ac:dyDescent="0.35">
      <c r="A1754" t="s">
        <v>3</v>
      </c>
      <c r="B1754">
        <v>5250</v>
      </c>
      <c r="C1754">
        <v>6</v>
      </c>
      <c r="D1754">
        <v>1</v>
      </c>
      <c r="E1754">
        <v>0</v>
      </c>
      <c r="F1754">
        <v>17800000</v>
      </c>
      <c r="G1754">
        <v>21592.84</v>
      </c>
      <c r="H1754">
        <v>17778407.16</v>
      </c>
      <c r="I1754">
        <v>17778407.16</v>
      </c>
      <c r="J1754">
        <v>0</v>
      </c>
      <c r="K1754">
        <v>0</v>
      </c>
      <c r="M1754" t="s">
        <v>1</v>
      </c>
      <c r="N1754">
        <v>8250</v>
      </c>
      <c r="O1754">
        <v>6</v>
      </c>
      <c r="P1754">
        <v>6</v>
      </c>
      <c r="Q1754">
        <v>0</v>
      </c>
      <c r="R1754">
        <v>243188558</v>
      </c>
      <c r="S1754">
        <v>166315.87</v>
      </c>
      <c r="T1754">
        <v>243022242.13</v>
      </c>
      <c r="U1754">
        <v>243022242.13</v>
      </c>
      <c r="V1754">
        <v>0</v>
      </c>
      <c r="W1754">
        <v>0</v>
      </c>
    </row>
    <row r="1755" spans="1:23" x14ac:dyDescent="0.35">
      <c r="A1755" t="s">
        <v>3</v>
      </c>
      <c r="B1755">
        <v>7250</v>
      </c>
      <c r="C1755">
        <v>7</v>
      </c>
      <c r="D1755">
        <v>2</v>
      </c>
      <c r="E1755">
        <v>0</v>
      </c>
      <c r="F1755">
        <v>33249636</v>
      </c>
      <c r="G1755">
        <v>27636.79</v>
      </c>
      <c r="H1755">
        <v>33221999.210000001</v>
      </c>
      <c r="I1755">
        <v>33221999.210000001</v>
      </c>
      <c r="J1755">
        <v>0</v>
      </c>
      <c r="K1755">
        <v>0</v>
      </c>
      <c r="M1755" t="s">
        <v>1</v>
      </c>
      <c r="N1755">
        <v>8000</v>
      </c>
      <c r="O1755">
        <v>6</v>
      </c>
      <c r="P1755">
        <v>8</v>
      </c>
      <c r="Q1755">
        <v>0</v>
      </c>
      <c r="R1755">
        <v>259205049</v>
      </c>
      <c r="S1755">
        <v>185056.52</v>
      </c>
      <c r="T1755">
        <v>259019992.47999999</v>
      </c>
      <c r="U1755">
        <v>259019992.47999999</v>
      </c>
      <c r="V1755">
        <v>0</v>
      </c>
      <c r="W1755">
        <v>0</v>
      </c>
    </row>
    <row r="1756" spans="1:23" x14ac:dyDescent="0.35">
      <c r="A1756" t="s">
        <v>0</v>
      </c>
      <c r="B1756">
        <v>4250</v>
      </c>
      <c r="C1756">
        <v>6</v>
      </c>
      <c r="D1756">
        <v>317</v>
      </c>
      <c r="E1756">
        <v>0</v>
      </c>
      <c r="F1756">
        <v>10642645753</v>
      </c>
      <c r="G1756">
        <v>15155499.91</v>
      </c>
      <c r="H1756">
        <v>10627490253.09</v>
      </c>
      <c r="I1756">
        <v>10627490253.09</v>
      </c>
      <c r="J1756">
        <v>0</v>
      </c>
      <c r="K1756">
        <v>0</v>
      </c>
      <c r="M1756" t="s">
        <v>2</v>
      </c>
      <c r="N1756">
        <v>3000</v>
      </c>
      <c r="O1756">
        <v>6</v>
      </c>
      <c r="P1756">
        <v>1</v>
      </c>
      <c r="Q1756">
        <v>0</v>
      </c>
      <c r="R1756">
        <v>12600000</v>
      </c>
      <c r="S1756">
        <v>21262.19</v>
      </c>
      <c r="T1756">
        <v>12578737.810000001</v>
      </c>
      <c r="U1756">
        <v>12578737.810000001</v>
      </c>
      <c r="V1756">
        <v>0</v>
      </c>
      <c r="W1756">
        <v>0</v>
      </c>
    </row>
    <row r="1757" spans="1:23" x14ac:dyDescent="0.35">
      <c r="A1757" t="s">
        <v>1</v>
      </c>
      <c r="B1757">
        <v>4500</v>
      </c>
      <c r="C1757">
        <v>6</v>
      </c>
      <c r="D1757">
        <v>248</v>
      </c>
      <c r="E1757">
        <v>0</v>
      </c>
      <c r="F1757">
        <v>9498412053</v>
      </c>
      <c r="G1757">
        <v>12977639.51</v>
      </c>
      <c r="H1757">
        <v>9485434413.4899998</v>
      </c>
      <c r="I1757">
        <v>9485434413.4899998</v>
      </c>
      <c r="J1757">
        <v>0</v>
      </c>
      <c r="K1757">
        <v>0</v>
      </c>
      <c r="M1757" t="s">
        <v>3</v>
      </c>
      <c r="N1757">
        <v>7250</v>
      </c>
      <c r="O1757">
        <v>6</v>
      </c>
      <c r="P1757">
        <v>2</v>
      </c>
      <c r="Q1757">
        <v>0</v>
      </c>
      <c r="R1757">
        <v>33400000</v>
      </c>
      <c r="S1757">
        <v>27574.82</v>
      </c>
      <c r="T1757">
        <v>33372425.18</v>
      </c>
      <c r="U1757">
        <v>33372425.18</v>
      </c>
      <c r="V1757">
        <v>0</v>
      </c>
      <c r="W1757">
        <v>0</v>
      </c>
    </row>
    <row r="1758" spans="1:23" x14ac:dyDescent="0.35">
      <c r="A1758" t="s">
        <v>0</v>
      </c>
      <c r="B1758">
        <v>4500</v>
      </c>
      <c r="C1758">
        <v>6</v>
      </c>
      <c r="D1758">
        <v>469</v>
      </c>
      <c r="E1758">
        <v>0</v>
      </c>
      <c r="F1758">
        <v>15716615781</v>
      </c>
      <c r="G1758">
        <v>21439434.609999999</v>
      </c>
      <c r="H1758">
        <v>15695176346.389999</v>
      </c>
      <c r="I1758">
        <v>15695176346.389999</v>
      </c>
      <c r="J1758">
        <v>0</v>
      </c>
      <c r="K1758">
        <v>0</v>
      </c>
      <c r="M1758" t="s">
        <v>2</v>
      </c>
      <c r="N1758">
        <v>3000</v>
      </c>
      <c r="O1758">
        <v>5</v>
      </c>
      <c r="P1758">
        <v>7</v>
      </c>
      <c r="Q1758">
        <v>0</v>
      </c>
      <c r="R1758">
        <v>133900000</v>
      </c>
      <c r="S1758">
        <v>224832.2</v>
      </c>
      <c r="T1758">
        <v>133675167.8</v>
      </c>
      <c r="U1758">
        <v>133675167.8</v>
      </c>
      <c r="V1758">
        <v>0</v>
      </c>
      <c r="W1758">
        <v>0</v>
      </c>
    </row>
    <row r="1759" spans="1:23" x14ac:dyDescent="0.35">
      <c r="A1759" t="s">
        <v>2</v>
      </c>
      <c r="B1759">
        <v>3000</v>
      </c>
      <c r="C1759">
        <v>5</v>
      </c>
      <c r="D1759">
        <v>6</v>
      </c>
      <c r="E1759">
        <v>0</v>
      </c>
      <c r="F1759">
        <v>115800000</v>
      </c>
      <c r="G1759">
        <v>193724.73</v>
      </c>
      <c r="H1759">
        <v>115606275.27</v>
      </c>
      <c r="I1759">
        <v>115606275.27</v>
      </c>
      <c r="J1759">
        <v>0</v>
      </c>
      <c r="K1759">
        <v>0</v>
      </c>
      <c r="M1759" t="s">
        <v>3</v>
      </c>
      <c r="N1759">
        <v>7250</v>
      </c>
      <c r="O1759">
        <v>5</v>
      </c>
      <c r="P1759">
        <v>3</v>
      </c>
      <c r="Q1759">
        <v>0</v>
      </c>
      <c r="R1759">
        <v>53800000</v>
      </c>
      <c r="S1759">
        <v>43033.73</v>
      </c>
      <c r="T1759">
        <v>53756966.270000003</v>
      </c>
      <c r="U1759">
        <v>53756966.270000003</v>
      </c>
      <c r="V1759">
        <v>0</v>
      </c>
      <c r="W1759">
        <v>0</v>
      </c>
    </row>
    <row r="1760" spans="1:23" x14ac:dyDescent="0.35">
      <c r="A1760" t="s">
        <v>3</v>
      </c>
      <c r="B1760">
        <v>7250</v>
      </c>
      <c r="C1760">
        <v>5</v>
      </c>
      <c r="D1760">
        <v>3</v>
      </c>
      <c r="E1760">
        <v>0</v>
      </c>
      <c r="F1760">
        <v>53800000</v>
      </c>
      <c r="G1760">
        <v>43326.05</v>
      </c>
      <c r="H1760">
        <v>53756673.950000003</v>
      </c>
      <c r="I1760">
        <v>53756673.950000003</v>
      </c>
      <c r="J1760">
        <v>0</v>
      </c>
      <c r="K1760">
        <v>0</v>
      </c>
      <c r="M1760" t="s">
        <v>2</v>
      </c>
      <c r="N1760">
        <v>3250</v>
      </c>
      <c r="O1760">
        <v>5</v>
      </c>
      <c r="P1760">
        <v>24</v>
      </c>
      <c r="Q1760">
        <v>0</v>
      </c>
      <c r="R1760">
        <v>726400000</v>
      </c>
      <c r="S1760">
        <v>1218693.04</v>
      </c>
      <c r="T1760">
        <v>725181306.96000004</v>
      </c>
      <c r="U1760">
        <v>725181306.96000004</v>
      </c>
      <c r="V1760">
        <v>0</v>
      </c>
      <c r="W1760">
        <v>0</v>
      </c>
    </row>
    <row r="1761" spans="1:23" x14ac:dyDescent="0.35">
      <c r="A1761" t="s">
        <v>2</v>
      </c>
      <c r="B1761">
        <v>3250</v>
      </c>
      <c r="C1761">
        <v>5</v>
      </c>
      <c r="D1761">
        <v>27</v>
      </c>
      <c r="E1761">
        <v>0</v>
      </c>
      <c r="F1761">
        <v>827400000</v>
      </c>
      <c r="G1761">
        <v>1384731</v>
      </c>
      <c r="H1761">
        <v>826015269</v>
      </c>
      <c r="I1761">
        <v>826015269</v>
      </c>
      <c r="J1761">
        <v>0</v>
      </c>
      <c r="K1761">
        <v>0</v>
      </c>
      <c r="M1761" t="s">
        <v>0</v>
      </c>
      <c r="N1761">
        <v>3750</v>
      </c>
      <c r="O1761">
        <v>5</v>
      </c>
      <c r="P1761">
        <v>810</v>
      </c>
      <c r="Q1761">
        <v>0</v>
      </c>
      <c r="R1761">
        <v>31663700000</v>
      </c>
      <c r="S1761">
        <v>48348819.719999999</v>
      </c>
      <c r="T1761">
        <v>31615351180.279999</v>
      </c>
      <c r="U1761">
        <v>31615351180.279999</v>
      </c>
      <c r="V1761">
        <v>0</v>
      </c>
      <c r="W1761">
        <v>0</v>
      </c>
    </row>
    <row r="1762" spans="1:23" x14ac:dyDescent="0.35">
      <c r="A1762" t="s">
        <v>0</v>
      </c>
      <c r="B1762">
        <v>3750</v>
      </c>
      <c r="C1762">
        <v>5</v>
      </c>
      <c r="D1762">
        <v>798</v>
      </c>
      <c r="E1762">
        <v>0</v>
      </c>
      <c r="F1762">
        <v>31320000000</v>
      </c>
      <c r="G1762">
        <v>47832247.520000003</v>
      </c>
      <c r="H1762">
        <v>31272167752.48</v>
      </c>
      <c r="I1762">
        <v>31272167752.48</v>
      </c>
      <c r="J1762">
        <v>0</v>
      </c>
      <c r="K1762">
        <v>0</v>
      </c>
      <c r="M1762" t="s">
        <v>1</v>
      </c>
      <c r="N1762">
        <v>4000</v>
      </c>
      <c r="O1762">
        <v>6</v>
      </c>
      <c r="P1762">
        <v>933</v>
      </c>
      <c r="Q1762">
        <v>0</v>
      </c>
      <c r="R1762">
        <v>34283622359</v>
      </c>
      <c r="S1762">
        <v>50948890.659999996</v>
      </c>
      <c r="T1762">
        <v>34199020540.66</v>
      </c>
      <c r="U1762">
        <v>34232673468.34</v>
      </c>
      <c r="V1762">
        <v>1.1716000000000001E-2</v>
      </c>
      <c r="W1762">
        <v>0</v>
      </c>
    </row>
    <row r="1763" spans="1:23" x14ac:dyDescent="0.35">
      <c r="A1763" t="s">
        <v>3</v>
      </c>
      <c r="B1763">
        <v>6000</v>
      </c>
      <c r="C1763">
        <v>6</v>
      </c>
      <c r="D1763">
        <v>2</v>
      </c>
      <c r="E1763">
        <v>0</v>
      </c>
      <c r="F1763">
        <v>70184143</v>
      </c>
      <c r="G1763">
        <v>72939.490000000005</v>
      </c>
      <c r="H1763">
        <v>70111203.510000005</v>
      </c>
      <c r="I1763">
        <v>70111203.510000005</v>
      </c>
      <c r="J1763">
        <v>0</v>
      </c>
      <c r="K1763">
        <v>0</v>
      </c>
      <c r="M1763" t="s">
        <v>3</v>
      </c>
      <c r="N1763">
        <v>5000</v>
      </c>
      <c r="O1763">
        <v>5</v>
      </c>
      <c r="P1763">
        <v>5</v>
      </c>
      <c r="Q1763">
        <v>0</v>
      </c>
      <c r="R1763">
        <v>145600000</v>
      </c>
      <c r="S1763">
        <v>177785.83</v>
      </c>
      <c r="T1763">
        <v>145422214.16999999</v>
      </c>
      <c r="U1763">
        <v>145422214.16999999</v>
      </c>
      <c r="V1763">
        <v>0</v>
      </c>
      <c r="W1763">
        <v>0</v>
      </c>
    </row>
    <row r="1764" spans="1:23" x14ac:dyDescent="0.35">
      <c r="A1764" t="s">
        <v>1</v>
      </c>
      <c r="B1764">
        <v>3750</v>
      </c>
      <c r="C1764">
        <v>5</v>
      </c>
      <c r="D1764">
        <v>337</v>
      </c>
      <c r="E1764">
        <v>0</v>
      </c>
      <c r="F1764">
        <v>14280400000</v>
      </c>
      <c r="G1764">
        <v>21781579.359999999</v>
      </c>
      <c r="H1764">
        <v>14258618420.639999</v>
      </c>
      <c r="I1764">
        <v>14258618420.639999</v>
      </c>
      <c r="J1764">
        <v>0</v>
      </c>
      <c r="K1764">
        <v>0</v>
      </c>
      <c r="M1764" t="s">
        <v>2</v>
      </c>
      <c r="N1764">
        <v>3500</v>
      </c>
      <c r="O1764">
        <v>5</v>
      </c>
      <c r="P1764">
        <v>80</v>
      </c>
      <c r="Q1764">
        <v>0</v>
      </c>
      <c r="R1764">
        <v>2469300000</v>
      </c>
      <c r="S1764">
        <v>3939889.99</v>
      </c>
      <c r="T1764">
        <v>2465360110.0100002</v>
      </c>
      <c r="U1764">
        <v>2465360110.0100002</v>
      </c>
      <c r="V1764">
        <v>0</v>
      </c>
      <c r="W1764">
        <v>0</v>
      </c>
    </row>
    <row r="1765" spans="1:23" x14ac:dyDescent="0.35">
      <c r="A1765" t="s">
        <v>1</v>
      </c>
      <c r="B1765">
        <v>4000</v>
      </c>
      <c r="C1765">
        <v>7</v>
      </c>
      <c r="D1765">
        <v>931</v>
      </c>
      <c r="E1765">
        <v>0</v>
      </c>
      <c r="F1765">
        <v>34123783131</v>
      </c>
      <c r="G1765">
        <v>50955660.75</v>
      </c>
      <c r="H1765">
        <v>34043223182.27</v>
      </c>
      <c r="I1765">
        <v>34072827470.25</v>
      </c>
      <c r="J1765">
        <v>1.0361E-2</v>
      </c>
      <c r="K1765">
        <v>0</v>
      </c>
      <c r="M1765" t="s">
        <v>0</v>
      </c>
      <c r="N1765">
        <v>6500</v>
      </c>
      <c r="O1765">
        <v>168</v>
      </c>
      <c r="P1765">
        <v>107</v>
      </c>
      <c r="Q1765">
        <v>0</v>
      </c>
      <c r="R1765">
        <v>781240163</v>
      </c>
      <c r="S1765">
        <v>2153408.67</v>
      </c>
      <c r="T1765">
        <v>767117795.69000006</v>
      </c>
      <c r="U1765">
        <v>771343359.72000003</v>
      </c>
      <c r="V1765">
        <v>0.16911899999999999</v>
      </c>
      <c r="W1765">
        <v>0.112666</v>
      </c>
    </row>
    <row r="1766" spans="1:23" x14ac:dyDescent="0.35">
      <c r="A1766" t="s">
        <v>3</v>
      </c>
      <c r="B1766">
        <v>5000</v>
      </c>
      <c r="C1766">
        <v>5</v>
      </c>
      <c r="D1766">
        <v>8</v>
      </c>
      <c r="E1766">
        <v>0</v>
      </c>
      <c r="F1766">
        <v>205400000</v>
      </c>
      <c r="G1766">
        <v>251343.51</v>
      </c>
      <c r="H1766">
        <v>205148656.49000001</v>
      </c>
      <c r="I1766">
        <v>205148656.49000001</v>
      </c>
      <c r="J1766">
        <v>0</v>
      </c>
      <c r="K1766">
        <v>0</v>
      </c>
      <c r="M1766" t="s">
        <v>1</v>
      </c>
      <c r="N1766">
        <v>3000</v>
      </c>
      <c r="O1766">
        <v>216</v>
      </c>
      <c r="P1766">
        <v>1</v>
      </c>
      <c r="Q1766">
        <v>0</v>
      </c>
      <c r="R1766">
        <v>8488218</v>
      </c>
      <c r="S1766">
        <v>42247.49</v>
      </c>
      <c r="T1766">
        <v>8445970.5099999998</v>
      </c>
      <c r="U1766">
        <v>8445970.5099999998</v>
      </c>
      <c r="V1766">
        <v>0</v>
      </c>
      <c r="W1766">
        <v>0</v>
      </c>
    </row>
    <row r="1767" spans="1:23" x14ac:dyDescent="0.35">
      <c r="A1767" t="s">
        <v>2</v>
      </c>
      <c r="B1767">
        <v>3500</v>
      </c>
      <c r="C1767">
        <v>5</v>
      </c>
      <c r="D1767">
        <v>82</v>
      </c>
      <c r="E1767">
        <v>0</v>
      </c>
      <c r="F1767">
        <v>2555500000</v>
      </c>
      <c r="G1767">
        <v>4084467.81</v>
      </c>
      <c r="H1767">
        <v>2551415532.1900001</v>
      </c>
      <c r="I1767">
        <v>2551415532.1900001</v>
      </c>
      <c r="J1767">
        <v>0</v>
      </c>
      <c r="K1767">
        <v>0</v>
      </c>
      <c r="M1767" t="s">
        <v>3</v>
      </c>
      <c r="N1767">
        <v>2750</v>
      </c>
      <c r="O1767">
        <v>168</v>
      </c>
      <c r="P1767">
        <v>1</v>
      </c>
      <c r="Q1767">
        <v>0</v>
      </c>
      <c r="R1767">
        <v>21345759</v>
      </c>
      <c r="S1767">
        <v>83212.639999999999</v>
      </c>
      <c r="T1767">
        <v>21262546.359999999</v>
      </c>
      <c r="U1767">
        <v>21262546.359999999</v>
      </c>
      <c r="V1767">
        <v>0</v>
      </c>
      <c r="W1767">
        <v>0</v>
      </c>
    </row>
    <row r="1768" spans="1:23" x14ac:dyDescent="0.35">
      <c r="A1768" t="s">
        <v>1</v>
      </c>
      <c r="B1768">
        <v>8250</v>
      </c>
      <c r="C1768">
        <v>5</v>
      </c>
      <c r="D1768">
        <v>9</v>
      </c>
      <c r="E1768">
        <v>0</v>
      </c>
      <c r="F1768">
        <v>319000000</v>
      </c>
      <c r="G1768">
        <v>205008.8</v>
      </c>
      <c r="H1768">
        <v>279620365.06999999</v>
      </c>
      <c r="I1768">
        <v>318794991.19999999</v>
      </c>
      <c r="J1768">
        <v>0.79243399999999997</v>
      </c>
      <c r="K1768">
        <v>0</v>
      </c>
      <c r="M1768" t="s">
        <v>1</v>
      </c>
      <c r="N1768">
        <v>5750</v>
      </c>
      <c r="O1768">
        <v>168</v>
      </c>
      <c r="P1768">
        <v>4</v>
      </c>
      <c r="Q1768">
        <v>0</v>
      </c>
      <c r="R1768">
        <v>37174682</v>
      </c>
      <c r="S1768">
        <v>103052.83</v>
      </c>
      <c r="T1768">
        <v>37071629.170000002</v>
      </c>
      <c r="U1768">
        <v>37071629.170000002</v>
      </c>
      <c r="V1768">
        <v>0</v>
      </c>
      <c r="W1768">
        <v>0</v>
      </c>
    </row>
    <row r="1769" spans="1:23" x14ac:dyDescent="0.35">
      <c r="A1769" t="s">
        <v>0</v>
      </c>
      <c r="B1769">
        <v>6500</v>
      </c>
      <c r="C1769">
        <v>168</v>
      </c>
      <c r="D1769">
        <v>102</v>
      </c>
      <c r="E1769">
        <v>0</v>
      </c>
      <c r="F1769">
        <v>747719111</v>
      </c>
      <c r="G1769">
        <v>2073998.75</v>
      </c>
      <c r="H1769">
        <v>745645112.25</v>
      </c>
      <c r="I1769">
        <v>745645112.25</v>
      </c>
      <c r="J1769">
        <v>0</v>
      </c>
      <c r="K1769">
        <v>0</v>
      </c>
      <c r="M1769" t="s">
        <v>3</v>
      </c>
      <c r="N1769">
        <v>5250</v>
      </c>
      <c r="O1769">
        <v>168</v>
      </c>
      <c r="P1769">
        <v>8</v>
      </c>
      <c r="Q1769">
        <v>0</v>
      </c>
      <c r="R1769">
        <v>65242990</v>
      </c>
      <c r="S1769">
        <v>190292.34</v>
      </c>
      <c r="T1769">
        <v>65052697.659999996</v>
      </c>
      <c r="U1769">
        <v>65052697.659999996</v>
      </c>
      <c r="V1769">
        <v>0</v>
      </c>
      <c r="W1769">
        <v>0</v>
      </c>
    </row>
    <row r="1770" spans="1:23" x14ac:dyDescent="0.35">
      <c r="A1770" t="s">
        <v>1</v>
      </c>
      <c r="B1770">
        <v>3000</v>
      </c>
      <c r="C1770">
        <v>216</v>
      </c>
      <c r="D1770">
        <v>1</v>
      </c>
      <c r="E1770">
        <v>0</v>
      </c>
      <c r="F1770">
        <v>8371989</v>
      </c>
      <c r="G1770">
        <v>41982.12</v>
      </c>
      <c r="H1770">
        <v>8330006.8799999999</v>
      </c>
      <c r="I1770">
        <v>8330006.8799999999</v>
      </c>
      <c r="J1770">
        <v>0</v>
      </c>
      <c r="K1770">
        <v>0</v>
      </c>
      <c r="M1770" t="s">
        <v>0</v>
      </c>
      <c r="N1770">
        <v>6750</v>
      </c>
      <c r="O1770">
        <v>168</v>
      </c>
      <c r="P1770">
        <v>4</v>
      </c>
      <c r="Q1770">
        <v>0</v>
      </c>
      <c r="R1770">
        <v>22139107</v>
      </c>
      <c r="S1770">
        <v>55122.93</v>
      </c>
      <c r="T1770">
        <v>22083984.07</v>
      </c>
      <c r="U1770">
        <v>22083984.07</v>
      </c>
      <c r="V1770">
        <v>0</v>
      </c>
      <c r="W1770">
        <v>0</v>
      </c>
    </row>
    <row r="1771" spans="1:23" x14ac:dyDescent="0.35">
      <c r="A1771" t="s">
        <v>3</v>
      </c>
      <c r="B1771">
        <v>2750</v>
      </c>
      <c r="C1771">
        <v>168</v>
      </c>
      <c r="D1771">
        <v>1</v>
      </c>
      <c r="E1771">
        <v>0</v>
      </c>
      <c r="F1771">
        <v>21261495</v>
      </c>
      <c r="G1771">
        <v>83399.210000000006</v>
      </c>
      <c r="H1771">
        <v>21178095.789999999</v>
      </c>
      <c r="I1771">
        <v>21178095.789999999</v>
      </c>
      <c r="J1771">
        <v>0</v>
      </c>
      <c r="K1771">
        <v>0</v>
      </c>
      <c r="M1771" t="s">
        <v>0</v>
      </c>
      <c r="N1771">
        <v>6250</v>
      </c>
      <c r="O1771">
        <v>168</v>
      </c>
      <c r="P1771">
        <v>1</v>
      </c>
      <c r="Q1771">
        <v>0</v>
      </c>
      <c r="R1771">
        <v>3722814</v>
      </c>
      <c r="S1771">
        <v>9631.7900000000009</v>
      </c>
      <c r="T1771">
        <v>3713182.21</v>
      </c>
      <c r="U1771">
        <v>3713182.21</v>
      </c>
      <c r="V1771">
        <v>0</v>
      </c>
      <c r="W1771">
        <v>0</v>
      </c>
    </row>
    <row r="1772" spans="1:23" x14ac:dyDescent="0.35">
      <c r="A1772" t="s">
        <v>1</v>
      </c>
      <c r="B1772">
        <v>5750</v>
      </c>
      <c r="C1772">
        <v>168</v>
      </c>
      <c r="D1772">
        <v>4</v>
      </c>
      <c r="E1772">
        <v>0</v>
      </c>
      <c r="F1772">
        <v>37092199</v>
      </c>
      <c r="G1772">
        <v>103605.27</v>
      </c>
      <c r="H1772">
        <v>36988593.729999997</v>
      </c>
      <c r="I1772">
        <v>36988593.729999997</v>
      </c>
      <c r="J1772">
        <v>0</v>
      </c>
      <c r="K1772">
        <v>0</v>
      </c>
      <c r="M1772" t="s">
        <v>3</v>
      </c>
      <c r="N1772">
        <v>5500</v>
      </c>
      <c r="O1772">
        <v>168</v>
      </c>
      <c r="P1772">
        <v>1</v>
      </c>
      <c r="Q1772">
        <v>0</v>
      </c>
      <c r="R1772">
        <v>8238806</v>
      </c>
      <c r="S1772">
        <v>22572.25</v>
      </c>
      <c r="T1772">
        <v>8216233.75</v>
      </c>
      <c r="U1772">
        <v>8216233.75</v>
      </c>
      <c r="V1772">
        <v>0</v>
      </c>
      <c r="W1772">
        <v>0</v>
      </c>
    </row>
    <row r="1773" spans="1:23" x14ac:dyDescent="0.35">
      <c r="A1773" t="s">
        <v>0</v>
      </c>
      <c r="B1773">
        <v>6750</v>
      </c>
      <c r="C1773">
        <v>168</v>
      </c>
      <c r="D1773">
        <v>7</v>
      </c>
      <c r="E1773">
        <v>0</v>
      </c>
      <c r="F1773">
        <v>42540778</v>
      </c>
      <c r="G1773">
        <v>104600.65</v>
      </c>
      <c r="H1773">
        <v>42436177.350000001</v>
      </c>
      <c r="I1773">
        <v>42436177.350000001</v>
      </c>
      <c r="J1773">
        <v>0</v>
      </c>
      <c r="K1773">
        <v>0</v>
      </c>
      <c r="M1773" t="s">
        <v>2</v>
      </c>
      <c r="N1773">
        <v>5500</v>
      </c>
      <c r="O1773">
        <v>168</v>
      </c>
      <c r="P1773">
        <v>3</v>
      </c>
      <c r="Q1773">
        <v>0</v>
      </c>
      <c r="R1773">
        <v>22340969</v>
      </c>
      <c r="S1773">
        <v>85521.57</v>
      </c>
      <c r="T1773">
        <v>22255447.43</v>
      </c>
      <c r="U1773">
        <v>22255447.43</v>
      </c>
      <c r="V1773">
        <v>0</v>
      </c>
      <c r="W1773">
        <v>0</v>
      </c>
    </row>
    <row r="1774" spans="1:23" x14ac:dyDescent="0.35">
      <c r="A1774" t="s">
        <v>0</v>
      </c>
      <c r="B1774">
        <v>6250</v>
      </c>
      <c r="C1774">
        <v>168</v>
      </c>
      <c r="D1774">
        <v>1</v>
      </c>
      <c r="E1774">
        <v>0</v>
      </c>
      <c r="F1774">
        <v>3713179</v>
      </c>
      <c r="G1774">
        <v>9680.9500000000007</v>
      </c>
      <c r="H1774">
        <v>3703498.05</v>
      </c>
      <c r="I1774">
        <v>3703498.05</v>
      </c>
      <c r="J1774">
        <v>0</v>
      </c>
      <c r="K1774">
        <v>0</v>
      </c>
      <c r="M1774" t="s">
        <v>0</v>
      </c>
      <c r="N1774">
        <v>6750</v>
      </c>
      <c r="O1774">
        <v>144</v>
      </c>
      <c r="P1774">
        <v>10</v>
      </c>
      <c r="Q1774">
        <v>0</v>
      </c>
      <c r="R1774">
        <v>97892436</v>
      </c>
      <c r="S1774">
        <v>222176.58</v>
      </c>
      <c r="T1774">
        <v>97670259.420000002</v>
      </c>
      <c r="U1774">
        <v>97670259.420000002</v>
      </c>
      <c r="V1774">
        <v>0</v>
      </c>
      <c r="W1774">
        <v>0</v>
      </c>
    </row>
    <row r="1775" spans="1:23" x14ac:dyDescent="0.35">
      <c r="A1775" t="s">
        <v>3</v>
      </c>
      <c r="B1775">
        <v>5500</v>
      </c>
      <c r="C1775">
        <v>168</v>
      </c>
      <c r="D1775">
        <v>1</v>
      </c>
      <c r="E1775">
        <v>0</v>
      </c>
      <c r="F1775">
        <v>8182430</v>
      </c>
      <c r="G1775">
        <v>22582.41</v>
      </c>
      <c r="H1775">
        <v>8159847.5899999999</v>
      </c>
      <c r="I1775">
        <v>8159847.5899999999</v>
      </c>
      <c r="J1775">
        <v>0</v>
      </c>
      <c r="K1775">
        <v>0</v>
      </c>
      <c r="M1775" t="s">
        <v>1</v>
      </c>
      <c r="N1775">
        <v>5750</v>
      </c>
      <c r="O1775">
        <v>144</v>
      </c>
      <c r="P1775">
        <v>9</v>
      </c>
      <c r="Q1775">
        <v>0</v>
      </c>
      <c r="R1775">
        <v>55257973</v>
      </c>
      <c r="S1775">
        <v>137337.21</v>
      </c>
      <c r="T1775">
        <v>55120635.789999999</v>
      </c>
      <c r="U1775">
        <v>55120635.789999999</v>
      </c>
      <c r="V1775">
        <v>0</v>
      </c>
      <c r="W1775">
        <v>0</v>
      </c>
    </row>
    <row r="1776" spans="1:23" x14ac:dyDescent="0.35">
      <c r="A1776" t="s">
        <v>2</v>
      </c>
      <c r="B1776">
        <v>5500</v>
      </c>
      <c r="C1776">
        <v>168</v>
      </c>
      <c r="D1776">
        <v>3</v>
      </c>
      <c r="E1776">
        <v>0</v>
      </c>
      <c r="F1776">
        <v>22226361</v>
      </c>
      <c r="G1776">
        <v>85784.76</v>
      </c>
      <c r="H1776">
        <v>22140576.239999998</v>
      </c>
      <c r="I1776">
        <v>22140576.239999998</v>
      </c>
      <c r="J1776">
        <v>0</v>
      </c>
      <c r="K1776">
        <v>0</v>
      </c>
      <c r="M1776" t="s">
        <v>1</v>
      </c>
      <c r="N1776">
        <v>6000</v>
      </c>
      <c r="O1776">
        <v>168</v>
      </c>
      <c r="P1776">
        <v>1</v>
      </c>
      <c r="Q1776">
        <v>0</v>
      </c>
      <c r="R1776">
        <v>10662056</v>
      </c>
      <c r="S1776">
        <v>28310.44</v>
      </c>
      <c r="T1776">
        <v>10633745.560000001</v>
      </c>
      <c r="U1776">
        <v>10633745.560000001</v>
      </c>
      <c r="V1776">
        <v>0</v>
      </c>
      <c r="W1776">
        <v>0</v>
      </c>
    </row>
    <row r="1777" spans="1:23" x14ac:dyDescent="0.35">
      <c r="A1777" t="s">
        <v>1</v>
      </c>
      <c r="B1777">
        <v>5750</v>
      </c>
      <c r="C1777">
        <v>144</v>
      </c>
      <c r="D1777">
        <v>9</v>
      </c>
      <c r="E1777">
        <v>0</v>
      </c>
      <c r="F1777">
        <v>55136076</v>
      </c>
      <c r="G1777">
        <v>138016.48000000001</v>
      </c>
      <c r="H1777">
        <v>54998059.520000003</v>
      </c>
      <c r="I1777">
        <v>54998059.520000003</v>
      </c>
      <c r="J1777">
        <v>0</v>
      </c>
      <c r="K1777">
        <v>0</v>
      </c>
      <c r="M1777" t="s">
        <v>1</v>
      </c>
      <c r="N1777">
        <v>6000</v>
      </c>
      <c r="O1777">
        <v>144</v>
      </c>
      <c r="P1777">
        <v>1</v>
      </c>
      <c r="Q1777">
        <v>0</v>
      </c>
      <c r="R1777">
        <v>7314734</v>
      </c>
      <c r="S1777">
        <v>18433.669999999998</v>
      </c>
      <c r="T1777">
        <v>7296300.3300000001</v>
      </c>
      <c r="U1777">
        <v>7296300.3300000001</v>
      </c>
      <c r="V1777">
        <v>0</v>
      </c>
      <c r="W1777">
        <v>0</v>
      </c>
    </row>
    <row r="1778" spans="1:23" x14ac:dyDescent="0.35">
      <c r="A1778" t="s">
        <v>0</v>
      </c>
      <c r="B1778">
        <v>6750</v>
      </c>
      <c r="C1778">
        <v>144</v>
      </c>
      <c r="D1778">
        <v>7</v>
      </c>
      <c r="E1778">
        <v>0</v>
      </c>
      <c r="F1778">
        <v>77097077</v>
      </c>
      <c r="G1778">
        <v>173974.45</v>
      </c>
      <c r="H1778">
        <v>76923102.549999997</v>
      </c>
      <c r="I1778">
        <v>76923102.549999997</v>
      </c>
      <c r="J1778">
        <v>0</v>
      </c>
      <c r="K1778">
        <v>0</v>
      </c>
      <c r="M1778" t="s">
        <v>0</v>
      </c>
      <c r="N1778">
        <v>2500</v>
      </c>
      <c r="O1778">
        <v>144</v>
      </c>
      <c r="P1778">
        <v>19</v>
      </c>
      <c r="Q1778">
        <v>0</v>
      </c>
      <c r="R1778">
        <v>168279011</v>
      </c>
      <c r="S1778">
        <v>580113.67000000004</v>
      </c>
      <c r="T1778">
        <v>167698897.33000001</v>
      </c>
      <c r="U1778">
        <v>167698897.33000001</v>
      </c>
      <c r="V1778">
        <v>0</v>
      </c>
      <c r="W1778">
        <v>0</v>
      </c>
    </row>
    <row r="1779" spans="1:23" x14ac:dyDescent="0.35">
      <c r="A1779" t="s">
        <v>1</v>
      </c>
      <c r="B1779">
        <v>6000</v>
      </c>
      <c r="C1779">
        <v>168</v>
      </c>
      <c r="D1779">
        <v>1</v>
      </c>
      <c r="E1779">
        <v>0</v>
      </c>
      <c r="F1779">
        <v>10633531</v>
      </c>
      <c r="G1779">
        <v>28448.46</v>
      </c>
      <c r="H1779">
        <v>10605082.539999999</v>
      </c>
      <c r="I1779">
        <v>10605082.539999999</v>
      </c>
      <c r="J1779">
        <v>0</v>
      </c>
      <c r="K1779">
        <v>0</v>
      </c>
      <c r="M1779" t="s">
        <v>3</v>
      </c>
      <c r="N1779">
        <v>3250</v>
      </c>
      <c r="O1779">
        <v>144</v>
      </c>
      <c r="P1779">
        <v>23</v>
      </c>
      <c r="Q1779">
        <v>0</v>
      </c>
      <c r="R1779">
        <v>331993873</v>
      </c>
      <c r="S1779">
        <v>1053140.8400000001</v>
      </c>
      <c r="T1779">
        <v>330940732.16000003</v>
      </c>
      <c r="U1779">
        <v>330940732.16000003</v>
      </c>
      <c r="V1779">
        <v>0</v>
      </c>
      <c r="W1779">
        <v>0</v>
      </c>
    </row>
    <row r="1780" spans="1:23" x14ac:dyDescent="0.35">
      <c r="A1780" t="s">
        <v>1</v>
      </c>
      <c r="B1780">
        <v>6000</v>
      </c>
      <c r="C1780">
        <v>144</v>
      </c>
      <c r="D1780">
        <v>1</v>
      </c>
      <c r="E1780">
        <v>0</v>
      </c>
      <c r="F1780">
        <v>7296163</v>
      </c>
      <c r="G1780">
        <v>18523.57</v>
      </c>
      <c r="H1780">
        <v>7277639.4299999997</v>
      </c>
      <c r="I1780">
        <v>7277639.4299999997</v>
      </c>
      <c r="J1780">
        <v>0</v>
      </c>
      <c r="K1780">
        <v>0</v>
      </c>
      <c r="M1780" t="s">
        <v>0</v>
      </c>
      <c r="N1780">
        <v>7000</v>
      </c>
      <c r="O1780">
        <v>144</v>
      </c>
      <c r="P1780">
        <v>1</v>
      </c>
      <c r="Q1780">
        <v>0</v>
      </c>
      <c r="R1780">
        <v>15989340</v>
      </c>
      <c r="S1780">
        <v>36244.870000000003</v>
      </c>
      <c r="T1780">
        <v>15953095.130000001</v>
      </c>
      <c r="U1780">
        <v>15953095.130000001</v>
      </c>
      <c r="V1780">
        <v>0</v>
      </c>
      <c r="W1780">
        <v>0</v>
      </c>
    </row>
    <row r="1781" spans="1:23" x14ac:dyDescent="0.35">
      <c r="A1781" t="s">
        <v>3</v>
      </c>
      <c r="B1781">
        <v>3250</v>
      </c>
      <c r="C1781">
        <v>144</v>
      </c>
      <c r="D1781">
        <v>34</v>
      </c>
      <c r="E1781">
        <v>0</v>
      </c>
      <c r="F1781">
        <v>503233221</v>
      </c>
      <c r="G1781">
        <v>1569412.74</v>
      </c>
      <c r="H1781">
        <v>501663808.25999999</v>
      </c>
      <c r="I1781">
        <v>501663808.25999999</v>
      </c>
      <c r="J1781">
        <v>0</v>
      </c>
      <c r="K1781">
        <v>0</v>
      </c>
      <c r="M1781" t="s">
        <v>2</v>
      </c>
      <c r="N1781">
        <v>7250</v>
      </c>
      <c r="O1781">
        <v>144</v>
      </c>
      <c r="P1781">
        <v>1</v>
      </c>
      <c r="Q1781">
        <v>0</v>
      </c>
      <c r="R1781">
        <v>6159865</v>
      </c>
      <c r="S1781">
        <v>13251.52</v>
      </c>
      <c r="T1781">
        <v>6146613.4800000004</v>
      </c>
      <c r="U1781">
        <v>6146613.4800000004</v>
      </c>
      <c r="V1781">
        <v>0</v>
      </c>
      <c r="W1781">
        <v>0</v>
      </c>
    </row>
    <row r="1782" spans="1:23" x14ac:dyDescent="0.35">
      <c r="A1782" t="s">
        <v>0</v>
      </c>
      <c r="B1782">
        <v>7000</v>
      </c>
      <c r="C1782">
        <v>144</v>
      </c>
      <c r="D1782">
        <v>1</v>
      </c>
      <c r="E1782">
        <v>0</v>
      </c>
      <c r="F1782">
        <v>15952334</v>
      </c>
      <c r="G1782">
        <v>36450.03</v>
      </c>
      <c r="H1782">
        <v>15915883.970000001</v>
      </c>
      <c r="I1782">
        <v>15915883.970000001</v>
      </c>
      <c r="J1782">
        <v>0</v>
      </c>
      <c r="K1782">
        <v>0</v>
      </c>
      <c r="M1782" t="s">
        <v>0</v>
      </c>
      <c r="N1782">
        <v>2500</v>
      </c>
      <c r="O1782">
        <v>192</v>
      </c>
      <c r="P1782">
        <v>2</v>
      </c>
      <c r="Q1782">
        <v>0</v>
      </c>
      <c r="R1782">
        <v>17385887</v>
      </c>
      <c r="S1782">
        <v>77579.88</v>
      </c>
      <c r="T1782">
        <v>17308307.120000001</v>
      </c>
      <c r="U1782">
        <v>17308307.120000001</v>
      </c>
      <c r="V1782">
        <v>0</v>
      </c>
      <c r="W1782">
        <v>0</v>
      </c>
    </row>
    <row r="1783" spans="1:23" x14ac:dyDescent="0.35">
      <c r="A1783" t="s">
        <v>2</v>
      </c>
      <c r="B1783">
        <v>7250</v>
      </c>
      <c r="C1783">
        <v>144</v>
      </c>
      <c r="D1783">
        <v>1</v>
      </c>
      <c r="E1783">
        <v>0</v>
      </c>
      <c r="F1783">
        <v>6159865</v>
      </c>
      <c r="G1783">
        <v>13360.33</v>
      </c>
      <c r="H1783">
        <v>6146504.6699999999</v>
      </c>
      <c r="I1783">
        <v>6146504.6699999999</v>
      </c>
      <c r="J1783">
        <v>0</v>
      </c>
      <c r="K1783">
        <v>0</v>
      </c>
      <c r="M1783" t="s">
        <v>0</v>
      </c>
      <c r="N1783">
        <v>6500</v>
      </c>
      <c r="O1783">
        <v>144</v>
      </c>
      <c r="P1783">
        <v>3</v>
      </c>
      <c r="Q1783">
        <v>0</v>
      </c>
      <c r="R1783">
        <v>17751394</v>
      </c>
      <c r="S1783">
        <v>38744.85</v>
      </c>
      <c r="T1783">
        <v>17712649.149999999</v>
      </c>
      <c r="U1783">
        <v>17712649.149999999</v>
      </c>
      <c r="V1783">
        <v>0</v>
      </c>
      <c r="W1783">
        <v>0</v>
      </c>
    </row>
    <row r="1784" spans="1:23" x14ac:dyDescent="0.35">
      <c r="A1784" t="s">
        <v>0</v>
      </c>
      <c r="B1784">
        <v>2500</v>
      </c>
      <c r="C1784">
        <v>192</v>
      </c>
      <c r="D1784">
        <v>2</v>
      </c>
      <c r="E1784">
        <v>0</v>
      </c>
      <c r="F1784">
        <v>17250253</v>
      </c>
      <c r="G1784">
        <v>77467.53</v>
      </c>
      <c r="H1784">
        <v>17172785.469999999</v>
      </c>
      <c r="I1784">
        <v>17172785.469999999</v>
      </c>
      <c r="J1784">
        <v>0</v>
      </c>
      <c r="K1784">
        <v>0</v>
      </c>
      <c r="M1784" t="s">
        <v>2</v>
      </c>
      <c r="N1784">
        <v>4250</v>
      </c>
      <c r="O1784">
        <v>240</v>
      </c>
      <c r="P1784">
        <v>1</v>
      </c>
      <c r="Q1784">
        <v>0</v>
      </c>
      <c r="R1784">
        <v>7969059</v>
      </c>
      <c r="S1784">
        <v>51296.27</v>
      </c>
      <c r="T1784">
        <v>7917762.7300000004</v>
      </c>
      <c r="U1784">
        <v>7917762.7300000004</v>
      </c>
      <c r="V1784">
        <v>0</v>
      </c>
      <c r="W1784">
        <v>0</v>
      </c>
    </row>
    <row r="1785" spans="1:23" x14ac:dyDescent="0.35">
      <c r="A1785" t="s">
        <v>0</v>
      </c>
      <c r="B1785">
        <v>6500</v>
      </c>
      <c r="C1785">
        <v>144</v>
      </c>
      <c r="D1785">
        <v>3</v>
      </c>
      <c r="E1785">
        <v>0</v>
      </c>
      <c r="F1785">
        <v>17689972</v>
      </c>
      <c r="G1785">
        <v>38904.1</v>
      </c>
      <c r="H1785">
        <v>17651067.899999999</v>
      </c>
      <c r="I1785">
        <v>17651067.899999999</v>
      </c>
      <c r="J1785">
        <v>0</v>
      </c>
      <c r="K1785">
        <v>0</v>
      </c>
      <c r="M1785" t="s">
        <v>0</v>
      </c>
      <c r="N1785">
        <v>5750</v>
      </c>
      <c r="O1785">
        <v>120</v>
      </c>
      <c r="P1785">
        <v>32</v>
      </c>
      <c r="Q1785">
        <v>0</v>
      </c>
      <c r="R1785">
        <v>298094615</v>
      </c>
      <c r="S1785">
        <v>637735.56000000006</v>
      </c>
      <c r="T1785">
        <v>281003461.06999999</v>
      </c>
      <c r="U1785">
        <v>297456879.44</v>
      </c>
      <c r="V1785">
        <v>0.49405300000000002</v>
      </c>
      <c r="W1785">
        <v>0</v>
      </c>
    </row>
    <row r="1786" spans="1:23" x14ac:dyDescent="0.35">
      <c r="A1786" t="s">
        <v>2</v>
      </c>
      <c r="B1786">
        <v>4250</v>
      </c>
      <c r="C1786">
        <v>240</v>
      </c>
      <c r="D1786">
        <v>1</v>
      </c>
      <c r="E1786">
        <v>0</v>
      </c>
      <c r="F1786">
        <v>7917719</v>
      </c>
      <c r="G1786">
        <v>51477.66</v>
      </c>
      <c r="H1786">
        <v>7866241.3399999999</v>
      </c>
      <c r="I1786">
        <v>7866241.3399999999</v>
      </c>
      <c r="J1786">
        <v>0</v>
      </c>
      <c r="K1786">
        <v>0</v>
      </c>
      <c r="M1786" t="s">
        <v>0</v>
      </c>
      <c r="N1786">
        <v>6000</v>
      </c>
      <c r="O1786">
        <v>120</v>
      </c>
      <c r="P1786">
        <v>14</v>
      </c>
      <c r="Q1786">
        <v>0</v>
      </c>
      <c r="R1786">
        <v>95719553</v>
      </c>
      <c r="S1786">
        <v>205177.3</v>
      </c>
      <c r="T1786">
        <v>95514375.700000003</v>
      </c>
      <c r="U1786">
        <v>95514375.700000003</v>
      </c>
      <c r="V1786">
        <v>0</v>
      </c>
      <c r="W1786">
        <v>0</v>
      </c>
    </row>
    <row r="1787" spans="1:23" x14ac:dyDescent="0.35">
      <c r="A1787" t="s">
        <v>0</v>
      </c>
      <c r="B1787">
        <v>6250</v>
      </c>
      <c r="C1787">
        <v>120</v>
      </c>
      <c r="D1787">
        <v>11</v>
      </c>
      <c r="E1787">
        <v>0</v>
      </c>
      <c r="F1787">
        <v>116464744</v>
      </c>
      <c r="G1787">
        <v>229739.85</v>
      </c>
      <c r="H1787">
        <v>116235004.15000001</v>
      </c>
      <c r="I1787">
        <v>116235004.15000001</v>
      </c>
      <c r="J1787">
        <v>0</v>
      </c>
      <c r="K1787">
        <v>0</v>
      </c>
      <c r="M1787" t="s">
        <v>0</v>
      </c>
      <c r="N1787">
        <v>6250</v>
      </c>
      <c r="O1787">
        <v>120</v>
      </c>
      <c r="P1787">
        <v>7</v>
      </c>
      <c r="Q1787">
        <v>0</v>
      </c>
      <c r="R1787">
        <v>77512932</v>
      </c>
      <c r="S1787">
        <v>153059.4</v>
      </c>
      <c r="T1787">
        <v>77359872.599999994</v>
      </c>
      <c r="U1787">
        <v>77359872.599999994</v>
      </c>
      <c r="V1787">
        <v>0</v>
      </c>
      <c r="W1787">
        <v>0</v>
      </c>
    </row>
    <row r="1788" spans="1:23" x14ac:dyDescent="0.35">
      <c r="A1788" t="s">
        <v>0</v>
      </c>
      <c r="B1788">
        <v>6000</v>
      </c>
      <c r="C1788">
        <v>120</v>
      </c>
      <c r="D1788">
        <v>14</v>
      </c>
      <c r="E1788">
        <v>0</v>
      </c>
      <c r="F1788">
        <v>87390313</v>
      </c>
      <c r="G1788">
        <v>186243</v>
      </c>
      <c r="H1788">
        <v>87204070</v>
      </c>
      <c r="I1788">
        <v>87204070</v>
      </c>
      <c r="J1788">
        <v>0</v>
      </c>
      <c r="K1788">
        <v>0</v>
      </c>
      <c r="M1788" t="s">
        <v>1</v>
      </c>
      <c r="N1788">
        <v>6250</v>
      </c>
      <c r="O1788">
        <v>120</v>
      </c>
      <c r="P1788">
        <v>1</v>
      </c>
      <c r="Q1788">
        <v>0</v>
      </c>
      <c r="R1788">
        <v>7952330</v>
      </c>
      <c r="S1788">
        <v>16586.2</v>
      </c>
      <c r="T1788">
        <v>7935743.7999999998</v>
      </c>
      <c r="U1788">
        <v>7935743.7999999998</v>
      </c>
      <c r="V1788">
        <v>0</v>
      </c>
      <c r="W1788">
        <v>0</v>
      </c>
    </row>
    <row r="1789" spans="1:23" x14ac:dyDescent="0.35">
      <c r="A1789" t="s">
        <v>1</v>
      </c>
      <c r="B1789">
        <v>6250</v>
      </c>
      <c r="C1789">
        <v>120</v>
      </c>
      <c r="D1789">
        <v>1</v>
      </c>
      <c r="E1789">
        <v>0</v>
      </c>
      <c r="F1789">
        <v>7935199</v>
      </c>
      <c r="G1789">
        <v>16671.45</v>
      </c>
      <c r="H1789">
        <v>7918527.5499999998</v>
      </c>
      <c r="I1789">
        <v>7918527.5499999998</v>
      </c>
      <c r="J1789">
        <v>0</v>
      </c>
      <c r="K1789">
        <v>0</v>
      </c>
      <c r="M1789" t="s">
        <v>3</v>
      </c>
      <c r="N1789">
        <v>3000</v>
      </c>
      <c r="O1789">
        <v>120</v>
      </c>
      <c r="P1789">
        <v>5</v>
      </c>
      <c r="Q1789">
        <v>0</v>
      </c>
      <c r="R1789">
        <v>85631219</v>
      </c>
      <c r="S1789">
        <v>251101.66</v>
      </c>
      <c r="T1789">
        <v>85380117.340000004</v>
      </c>
      <c r="U1789">
        <v>85380117.340000004</v>
      </c>
      <c r="V1789">
        <v>0</v>
      </c>
      <c r="W1789">
        <v>0</v>
      </c>
    </row>
    <row r="1790" spans="1:23" x14ac:dyDescent="0.35">
      <c r="A1790" t="s">
        <v>3</v>
      </c>
      <c r="B1790">
        <v>3000</v>
      </c>
      <c r="C1790">
        <v>120</v>
      </c>
      <c r="D1790">
        <v>5</v>
      </c>
      <c r="E1790">
        <v>0</v>
      </c>
      <c r="F1790">
        <v>85370245</v>
      </c>
      <c r="G1790">
        <v>251700.01</v>
      </c>
      <c r="H1790">
        <v>85118544.989999995</v>
      </c>
      <c r="I1790">
        <v>85118544.989999995</v>
      </c>
      <c r="J1790">
        <v>0</v>
      </c>
      <c r="K1790">
        <v>0</v>
      </c>
      <c r="M1790" t="s">
        <v>0</v>
      </c>
      <c r="N1790">
        <v>2250</v>
      </c>
      <c r="O1790">
        <v>120</v>
      </c>
      <c r="P1790">
        <v>6</v>
      </c>
      <c r="Q1790">
        <v>0</v>
      </c>
      <c r="R1790">
        <v>46485945</v>
      </c>
      <c r="S1790">
        <v>149606.16</v>
      </c>
      <c r="T1790">
        <v>46336338.840000004</v>
      </c>
      <c r="U1790">
        <v>46336338.840000004</v>
      </c>
      <c r="V1790">
        <v>0</v>
      </c>
      <c r="W1790">
        <v>0</v>
      </c>
    </row>
    <row r="1791" spans="1:23" x14ac:dyDescent="0.35">
      <c r="A1791" t="s">
        <v>0</v>
      </c>
      <c r="B1791">
        <v>2250</v>
      </c>
      <c r="C1791">
        <v>120</v>
      </c>
      <c r="D1791">
        <v>6</v>
      </c>
      <c r="E1791">
        <v>0</v>
      </c>
      <c r="F1791">
        <v>50954591</v>
      </c>
      <c r="G1791">
        <v>163194.35999999999</v>
      </c>
      <c r="H1791">
        <v>50791396.640000001</v>
      </c>
      <c r="I1791">
        <v>50791396.640000001</v>
      </c>
      <c r="J1791">
        <v>0</v>
      </c>
      <c r="K1791">
        <v>0</v>
      </c>
      <c r="M1791" t="s">
        <v>0</v>
      </c>
      <c r="N1791">
        <v>2250</v>
      </c>
      <c r="O1791">
        <v>144</v>
      </c>
      <c r="P1791">
        <v>11</v>
      </c>
      <c r="Q1791">
        <v>0</v>
      </c>
      <c r="R1791">
        <v>100732338</v>
      </c>
      <c r="S1791">
        <v>354668.01</v>
      </c>
      <c r="T1791">
        <v>100377669.98999999</v>
      </c>
      <c r="U1791">
        <v>100377669.98999999</v>
      </c>
      <c r="V1791">
        <v>0</v>
      </c>
      <c r="W1791">
        <v>0</v>
      </c>
    </row>
    <row r="1792" spans="1:23" x14ac:dyDescent="0.35">
      <c r="A1792" t="s">
        <v>0</v>
      </c>
      <c r="B1792">
        <v>2250</v>
      </c>
      <c r="C1792">
        <v>144</v>
      </c>
      <c r="D1792">
        <v>11</v>
      </c>
      <c r="E1792">
        <v>0</v>
      </c>
      <c r="F1792">
        <v>103050953</v>
      </c>
      <c r="G1792">
        <v>363496.56</v>
      </c>
      <c r="H1792">
        <v>102687456.44</v>
      </c>
      <c r="I1792">
        <v>102687456.44</v>
      </c>
      <c r="J1792">
        <v>0</v>
      </c>
      <c r="K1792">
        <v>0</v>
      </c>
      <c r="M1792" t="s">
        <v>1</v>
      </c>
      <c r="N1792">
        <v>2500</v>
      </c>
      <c r="O1792">
        <v>144</v>
      </c>
      <c r="P1792">
        <v>7</v>
      </c>
      <c r="Q1792">
        <v>0</v>
      </c>
      <c r="R1792">
        <v>78925842</v>
      </c>
      <c r="S1792">
        <v>289371.71000000002</v>
      </c>
      <c r="T1792">
        <v>78636470.290000007</v>
      </c>
      <c r="U1792">
        <v>78636470.290000007</v>
      </c>
      <c r="V1792">
        <v>0</v>
      </c>
      <c r="W1792">
        <v>0</v>
      </c>
    </row>
    <row r="1793" spans="1:23" x14ac:dyDescent="0.35">
      <c r="A1793" t="s">
        <v>1</v>
      </c>
      <c r="B1793">
        <v>2500</v>
      </c>
      <c r="C1793">
        <v>144</v>
      </c>
      <c r="D1793">
        <v>6</v>
      </c>
      <c r="E1793">
        <v>0</v>
      </c>
      <c r="F1793">
        <v>68832304</v>
      </c>
      <c r="G1793">
        <v>252064.26</v>
      </c>
      <c r="H1793">
        <v>68580239.739999995</v>
      </c>
      <c r="I1793">
        <v>68580239.739999995</v>
      </c>
      <c r="J1793">
        <v>0</v>
      </c>
      <c r="K1793">
        <v>0</v>
      </c>
      <c r="M1793" t="s">
        <v>2</v>
      </c>
      <c r="N1793">
        <v>2250</v>
      </c>
      <c r="O1793">
        <v>120</v>
      </c>
      <c r="P1793">
        <v>1</v>
      </c>
      <c r="Q1793">
        <v>0</v>
      </c>
      <c r="R1793">
        <v>4310314</v>
      </c>
      <c r="S1793">
        <v>13598.81</v>
      </c>
      <c r="T1793">
        <v>4296715.1900000004</v>
      </c>
      <c r="U1793">
        <v>4296715.1900000004</v>
      </c>
      <c r="V1793">
        <v>0</v>
      </c>
      <c r="W1793">
        <v>0</v>
      </c>
    </row>
    <row r="1794" spans="1:23" x14ac:dyDescent="0.35">
      <c r="A1794" t="s">
        <v>2</v>
      </c>
      <c r="B1794">
        <v>2250</v>
      </c>
      <c r="C1794">
        <v>120</v>
      </c>
      <c r="D1794">
        <v>1</v>
      </c>
      <c r="E1794">
        <v>0</v>
      </c>
      <c r="F1794">
        <v>4296646</v>
      </c>
      <c r="G1794">
        <v>13624.09</v>
      </c>
      <c r="H1794">
        <v>4283021.91</v>
      </c>
      <c r="I1794">
        <v>4283021.91</v>
      </c>
      <c r="J1794">
        <v>0</v>
      </c>
      <c r="K1794">
        <v>0</v>
      </c>
      <c r="M1794" t="s">
        <v>2</v>
      </c>
      <c r="N1794">
        <v>5500</v>
      </c>
      <c r="O1794">
        <v>120</v>
      </c>
      <c r="P1794">
        <v>1</v>
      </c>
      <c r="Q1794">
        <v>0</v>
      </c>
      <c r="R1794">
        <v>19666256</v>
      </c>
      <c r="S1794">
        <v>43118.6</v>
      </c>
      <c r="T1794">
        <v>19623137.399999999</v>
      </c>
      <c r="U1794">
        <v>19623137.399999999</v>
      </c>
      <c r="V1794">
        <v>0</v>
      </c>
      <c r="W1794">
        <v>0</v>
      </c>
    </row>
    <row r="1795" spans="1:23" x14ac:dyDescent="0.35">
      <c r="A1795" t="s">
        <v>2</v>
      </c>
      <c r="B1795">
        <v>5500</v>
      </c>
      <c r="C1795">
        <v>120</v>
      </c>
      <c r="D1795">
        <v>1</v>
      </c>
      <c r="E1795">
        <v>0</v>
      </c>
      <c r="F1795">
        <v>19623136</v>
      </c>
      <c r="G1795">
        <v>43311.73</v>
      </c>
      <c r="H1795">
        <v>19579824.27</v>
      </c>
      <c r="I1795">
        <v>19579824.27</v>
      </c>
      <c r="J1795">
        <v>0</v>
      </c>
      <c r="K1795">
        <v>0</v>
      </c>
      <c r="M1795" t="s">
        <v>1</v>
      </c>
      <c r="N1795">
        <v>2750</v>
      </c>
      <c r="O1795">
        <v>108</v>
      </c>
      <c r="P1795">
        <v>20</v>
      </c>
      <c r="Q1795">
        <v>0</v>
      </c>
      <c r="R1795">
        <v>385224069</v>
      </c>
      <c r="S1795">
        <v>1106383.27</v>
      </c>
      <c r="T1795">
        <v>366514405.35000002</v>
      </c>
      <c r="U1795">
        <v>384117685.73000002</v>
      </c>
      <c r="V1795">
        <v>0.42952099999999999</v>
      </c>
      <c r="W1795">
        <v>0</v>
      </c>
    </row>
    <row r="1796" spans="1:23" x14ac:dyDescent="0.35">
      <c r="A1796" t="s">
        <v>1</v>
      </c>
      <c r="B1796">
        <v>5750</v>
      </c>
      <c r="C1796">
        <v>120</v>
      </c>
      <c r="D1796">
        <v>1</v>
      </c>
      <c r="E1796">
        <v>0</v>
      </c>
      <c r="F1796">
        <v>4612834</v>
      </c>
      <c r="G1796">
        <v>9677.58</v>
      </c>
      <c r="H1796">
        <v>4603156.42</v>
      </c>
      <c r="I1796">
        <v>4603156.42</v>
      </c>
      <c r="J1796">
        <v>0</v>
      </c>
      <c r="K1796">
        <v>0</v>
      </c>
      <c r="M1796" t="s">
        <v>0</v>
      </c>
      <c r="N1796">
        <v>6500</v>
      </c>
      <c r="O1796">
        <v>120</v>
      </c>
      <c r="P1796">
        <v>1</v>
      </c>
      <c r="Q1796">
        <v>0</v>
      </c>
      <c r="R1796">
        <v>8037818</v>
      </c>
      <c r="S1796">
        <v>15115.81</v>
      </c>
      <c r="T1796">
        <v>8022702.1900000004</v>
      </c>
      <c r="U1796">
        <v>8022702.1900000004</v>
      </c>
      <c r="V1796">
        <v>0</v>
      </c>
      <c r="W1796">
        <v>0</v>
      </c>
    </row>
    <row r="1797" spans="1:23" x14ac:dyDescent="0.35">
      <c r="A1797" t="s">
        <v>0</v>
      </c>
      <c r="B1797">
        <v>6500</v>
      </c>
      <c r="C1797">
        <v>120</v>
      </c>
      <c r="D1797">
        <v>1</v>
      </c>
      <c r="E1797">
        <v>0</v>
      </c>
      <c r="F1797">
        <v>8037818</v>
      </c>
      <c r="G1797">
        <v>15226.32</v>
      </c>
      <c r="H1797">
        <v>8022591.6799999997</v>
      </c>
      <c r="I1797">
        <v>8022591.6799999997</v>
      </c>
      <c r="J1797">
        <v>0</v>
      </c>
      <c r="K1797">
        <v>0</v>
      </c>
      <c r="M1797" t="s">
        <v>3</v>
      </c>
      <c r="N1797">
        <v>3500</v>
      </c>
      <c r="O1797">
        <v>108</v>
      </c>
      <c r="P1797">
        <v>12</v>
      </c>
      <c r="Q1797">
        <v>0</v>
      </c>
      <c r="R1797">
        <v>154668371</v>
      </c>
      <c r="S1797">
        <v>401995.28</v>
      </c>
      <c r="T1797">
        <v>154266375.72</v>
      </c>
      <c r="U1797">
        <v>154266375.72</v>
      </c>
      <c r="V1797">
        <v>0</v>
      </c>
      <c r="W1797">
        <v>0</v>
      </c>
    </row>
    <row r="1798" spans="1:23" x14ac:dyDescent="0.35">
      <c r="A1798" t="s">
        <v>1</v>
      </c>
      <c r="B1798">
        <v>2750</v>
      </c>
      <c r="C1798">
        <v>108</v>
      </c>
      <c r="D1798">
        <v>17</v>
      </c>
      <c r="E1798">
        <v>0</v>
      </c>
      <c r="F1798">
        <v>326403228</v>
      </c>
      <c r="G1798">
        <v>938555.14</v>
      </c>
      <c r="H1798">
        <v>325464672.86000001</v>
      </c>
      <c r="I1798">
        <v>325464672.86000001</v>
      </c>
      <c r="J1798">
        <v>0</v>
      </c>
      <c r="K1798">
        <v>0</v>
      </c>
      <c r="M1798" t="s">
        <v>1</v>
      </c>
      <c r="N1798">
        <v>2000</v>
      </c>
      <c r="O1798">
        <v>108</v>
      </c>
      <c r="P1798">
        <v>6</v>
      </c>
      <c r="Q1798">
        <v>0</v>
      </c>
      <c r="R1798">
        <v>78121851</v>
      </c>
      <c r="S1798">
        <v>278585.49</v>
      </c>
      <c r="T1798">
        <v>77843265.510000005</v>
      </c>
      <c r="U1798">
        <v>77843265.510000005</v>
      </c>
      <c r="V1798">
        <v>0</v>
      </c>
      <c r="W1798">
        <v>0</v>
      </c>
    </row>
    <row r="1799" spans="1:23" x14ac:dyDescent="0.35">
      <c r="A1799" t="s">
        <v>3</v>
      </c>
      <c r="B1799">
        <v>3500</v>
      </c>
      <c r="C1799">
        <v>108</v>
      </c>
      <c r="D1799">
        <v>10</v>
      </c>
      <c r="E1799">
        <v>0</v>
      </c>
      <c r="F1799">
        <v>138561744</v>
      </c>
      <c r="G1799">
        <v>360646.17</v>
      </c>
      <c r="H1799">
        <v>138201097.83000001</v>
      </c>
      <c r="I1799">
        <v>138201097.83000001</v>
      </c>
      <c r="J1799">
        <v>0</v>
      </c>
      <c r="K1799">
        <v>0</v>
      </c>
      <c r="M1799" t="s">
        <v>3</v>
      </c>
      <c r="N1799">
        <v>3250</v>
      </c>
      <c r="O1799">
        <v>108</v>
      </c>
      <c r="P1799">
        <v>1</v>
      </c>
      <c r="Q1799">
        <v>0</v>
      </c>
      <c r="R1799">
        <v>16202523</v>
      </c>
      <c r="S1799">
        <v>43947.82</v>
      </c>
      <c r="T1799">
        <v>16158575.18</v>
      </c>
      <c r="U1799">
        <v>16158575.18</v>
      </c>
      <c r="V1799">
        <v>0</v>
      </c>
      <c r="W1799">
        <v>0</v>
      </c>
    </row>
    <row r="1800" spans="1:23" x14ac:dyDescent="0.35">
      <c r="A1800" t="s">
        <v>1</v>
      </c>
      <c r="B1800">
        <v>2000</v>
      </c>
      <c r="C1800">
        <v>108</v>
      </c>
      <c r="D1800">
        <v>6</v>
      </c>
      <c r="E1800">
        <v>0</v>
      </c>
      <c r="F1800">
        <v>77774647</v>
      </c>
      <c r="G1800">
        <v>278826.88</v>
      </c>
      <c r="H1800">
        <v>77495820.120000005</v>
      </c>
      <c r="I1800">
        <v>77495820.120000005</v>
      </c>
      <c r="J1800">
        <v>0</v>
      </c>
      <c r="K1800">
        <v>0</v>
      </c>
      <c r="M1800" t="s">
        <v>2</v>
      </c>
      <c r="N1800">
        <v>5500</v>
      </c>
      <c r="O1800">
        <v>108</v>
      </c>
      <c r="P1800">
        <v>1</v>
      </c>
      <c r="Q1800">
        <v>0</v>
      </c>
      <c r="R1800">
        <v>6975829</v>
      </c>
      <c r="S1800">
        <v>14796.59</v>
      </c>
      <c r="T1800">
        <v>6961032.4100000001</v>
      </c>
      <c r="U1800">
        <v>6961032.4100000001</v>
      </c>
      <c r="V1800">
        <v>0</v>
      </c>
      <c r="W1800">
        <v>0</v>
      </c>
    </row>
    <row r="1801" spans="1:23" x14ac:dyDescent="0.35">
      <c r="A1801" t="s">
        <v>3</v>
      </c>
      <c r="B1801">
        <v>3250</v>
      </c>
      <c r="C1801">
        <v>108</v>
      </c>
      <c r="D1801">
        <v>1</v>
      </c>
      <c r="E1801">
        <v>0</v>
      </c>
      <c r="F1801">
        <v>16158037</v>
      </c>
      <c r="G1801">
        <v>44065.38</v>
      </c>
      <c r="H1801">
        <v>16113971.619999999</v>
      </c>
      <c r="I1801">
        <v>16113971.619999999</v>
      </c>
      <c r="J1801">
        <v>0</v>
      </c>
      <c r="K1801">
        <v>0</v>
      </c>
      <c r="M1801" t="s">
        <v>0</v>
      </c>
      <c r="N1801">
        <v>6500</v>
      </c>
      <c r="O1801">
        <v>108</v>
      </c>
      <c r="P1801">
        <v>1</v>
      </c>
      <c r="Q1801">
        <v>0</v>
      </c>
      <c r="R1801">
        <v>5221877</v>
      </c>
      <c r="S1801">
        <v>9488.8799999999992</v>
      </c>
      <c r="T1801">
        <v>5212388.12</v>
      </c>
      <c r="U1801">
        <v>5212388.12</v>
      </c>
      <c r="V1801">
        <v>0</v>
      </c>
      <c r="W1801">
        <v>0</v>
      </c>
    </row>
    <row r="1802" spans="1:23" x14ac:dyDescent="0.35">
      <c r="A1802" t="s">
        <v>0</v>
      </c>
      <c r="B1802">
        <v>6500</v>
      </c>
      <c r="C1802">
        <v>108</v>
      </c>
      <c r="D1802">
        <v>1</v>
      </c>
      <c r="E1802">
        <v>0</v>
      </c>
      <c r="F1802">
        <v>5212388</v>
      </c>
      <c r="G1802">
        <v>9539.2900000000009</v>
      </c>
      <c r="H1802">
        <v>5202848.71</v>
      </c>
      <c r="I1802">
        <v>5202848.71</v>
      </c>
      <c r="J1802">
        <v>0</v>
      </c>
      <c r="K1802">
        <v>0</v>
      </c>
      <c r="M1802" t="s">
        <v>1</v>
      </c>
      <c r="N1802">
        <v>6250</v>
      </c>
      <c r="O1802">
        <v>108</v>
      </c>
      <c r="P1802">
        <v>2</v>
      </c>
      <c r="Q1802">
        <v>0</v>
      </c>
      <c r="R1802">
        <v>10221042</v>
      </c>
      <c r="S1802">
        <v>18342.77</v>
      </c>
      <c r="T1802">
        <v>10202699.23</v>
      </c>
      <c r="U1802">
        <v>10202699.23</v>
      </c>
      <c r="V1802">
        <v>0</v>
      </c>
      <c r="W1802">
        <v>0</v>
      </c>
    </row>
    <row r="1803" spans="1:23" x14ac:dyDescent="0.35">
      <c r="A1803" t="s">
        <v>1</v>
      </c>
      <c r="B1803">
        <v>6250</v>
      </c>
      <c r="C1803">
        <v>108</v>
      </c>
      <c r="D1803">
        <v>2</v>
      </c>
      <c r="E1803">
        <v>0</v>
      </c>
      <c r="F1803">
        <v>10210938</v>
      </c>
      <c r="G1803">
        <v>18453.310000000001</v>
      </c>
      <c r="H1803">
        <v>10192484.689999999</v>
      </c>
      <c r="I1803">
        <v>10192484.689999999</v>
      </c>
      <c r="J1803">
        <v>0</v>
      </c>
      <c r="K1803">
        <v>0</v>
      </c>
      <c r="M1803" t="s">
        <v>0</v>
      </c>
      <c r="N1803">
        <v>6750</v>
      </c>
      <c r="O1803">
        <v>108</v>
      </c>
      <c r="P1803">
        <v>1</v>
      </c>
      <c r="Q1803">
        <v>0</v>
      </c>
      <c r="R1803">
        <v>26196553</v>
      </c>
      <c r="S1803">
        <v>43699.24</v>
      </c>
      <c r="T1803">
        <v>26152853.760000002</v>
      </c>
      <c r="U1803">
        <v>26152853.760000002</v>
      </c>
      <c r="V1803">
        <v>0</v>
      </c>
      <c r="W1803">
        <v>0</v>
      </c>
    </row>
    <row r="1804" spans="1:23" x14ac:dyDescent="0.35">
      <c r="A1804" t="s">
        <v>0</v>
      </c>
      <c r="B1804">
        <v>6750</v>
      </c>
      <c r="C1804">
        <v>108</v>
      </c>
      <c r="D1804">
        <v>1</v>
      </c>
      <c r="E1804">
        <v>0</v>
      </c>
      <c r="F1804">
        <v>26152854</v>
      </c>
      <c r="G1804">
        <v>43945.05</v>
      </c>
      <c r="H1804">
        <v>26108908.949999999</v>
      </c>
      <c r="I1804">
        <v>26108908.949999999</v>
      </c>
      <c r="J1804">
        <v>0</v>
      </c>
      <c r="K1804">
        <v>0</v>
      </c>
      <c r="M1804" t="s">
        <v>1</v>
      </c>
      <c r="N1804">
        <v>3000</v>
      </c>
      <c r="O1804">
        <v>96</v>
      </c>
      <c r="P1804">
        <v>9</v>
      </c>
      <c r="Q1804">
        <v>0</v>
      </c>
      <c r="R1804">
        <v>184961741</v>
      </c>
      <c r="S1804">
        <v>490087.25</v>
      </c>
      <c r="T1804">
        <v>184471653.75</v>
      </c>
      <c r="U1804">
        <v>184471653.75</v>
      </c>
      <c r="V1804">
        <v>0</v>
      </c>
      <c r="W1804">
        <v>0</v>
      </c>
    </row>
    <row r="1805" spans="1:23" x14ac:dyDescent="0.35">
      <c r="A1805" t="s">
        <v>1</v>
      </c>
      <c r="B1805">
        <v>6000</v>
      </c>
      <c r="C1805">
        <v>108</v>
      </c>
      <c r="D1805">
        <v>1</v>
      </c>
      <c r="E1805">
        <v>0</v>
      </c>
      <c r="F1805">
        <v>23883248</v>
      </c>
      <c r="G1805">
        <v>44753.42</v>
      </c>
      <c r="H1805">
        <v>0</v>
      </c>
      <c r="I1805">
        <v>23838494.579999998</v>
      </c>
      <c r="J1805">
        <v>1</v>
      </c>
      <c r="K1805">
        <v>0</v>
      </c>
      <c r="M1805" t="s">
        <v>0</v>
      </c>
      <c r="N1805">
        <v>3000</v>
      </c>
      <c r="O1805">
        <v>96</v>
      </c>
      <c r="P1805">
        <v>29</v>
      </c>
      <c r="Q1805">
        <v>0</v>
      </c>
      <c r="R1805">
        <v>319933014</v>
      </c>
      <c r="S1805">
        <v>844141.74</v>
      </c>
      <c r="T1805">
        <v>319088872.25999999</v>
      </c>
      <c r="U1805">
        <v>319088872.25999999</v>
      </c>
      <c r="V1805">
        <v>0</v>
      </c>
      <c r="W1805">
        <v>0</v>
      </c>
    </row>
    <row r="1806" spans="1:23" x14ac:dyDescent="0.35">
      <c r="A1806" t="s">
        <v>3</v>
      </c>
      <c r="B1806">
        <v>3750</v>
      </c>
      <c r="C1806">
        <v>96</v>
      </c>
      <c r="D1806">
        <v>5</v>
      </c>
      <c r="E1806">
        <v>0</v>
      </c>
      <c r="F1806">
        <v>72975908</v>
      </c>
      <c r="G1806">
        <v>175523.95</v>
      </c>
      <c r="H1806">
        <v>72800384.049999997</v>
      </c>
      <c r="I1806">
        <v>72800384.049999997</v>
      </c>
      <c r="J1806">
        <v>0</v>
      </c>
      <c r="K1806">
        <v>0</v>
      </c>
      <c r="M1806" t="s">
        <v>3</v>
      </c>
      <c r="N1806">
        <v>3750</v>
      </c>
      <c r="O1806">
        <v>96</v>
      </c>
      <c r="P1806">
        <v>14</v>
      </c>
      <c r="Q1806">
        <v>0</v>
      </c>
      <c r="R1806">
        <v>242288755</v>
      </c>
      <c r="S1806">
        <v>593412.38</v>
      </c>
      <c r="T1806">
        <v>241695342.62</v>
      </c>
      <c r="U1806">
        <v>241695342.62</v>
      </c>
      <c r="V1806">
        <v>0</v>
      </c>
      <c r="W1806">
        <v>0</v>
      </c>
    </row>
    <row r="1807" spans="1:23" x14ac:dyDescent="0.35">
      <c r="A1807" t="s">
        <v>3</v>
      </c>
      <c r="B1807">
        <v>4000</v>
      </c>
      <c r="C1807">
        <v>96</v>
      </c>
      <c r="D1807">
        <v>15</v>
      </c>
      <c r="E1807">
        <v>0</v>
      </c>
      <c r="F1807">
        <v>215677676</v>
      </c>
      <c r="G1807">
        <v>502516.25</v>
      </c>
      <c r="H1807">
        <v>215175159.75</v>
      </c>
      <c r="I1807">
        <v>215175159.75</v>
      </c>
      <c r="J1807">
        <v>0</v>
      </c>
      <c r="K1807">
        <v>0</v>
      </c>
      <c r="M1807" t="s">
        <v>3</v>
      </c>
      <c r="N1807">
        <v>4000</v>
      </c>
      <c r="O1807">
        <v>96</v>
      </c>
      <c r="P1807">
        <v>22</v>
      </c>
      <c r="Q1807">
        <v>0</v>
      </c>
      <c r="R1807">
        <v>322630541</v>
      </c>
      <c r="S1807">
        <v>762941.39</v>
      </c>
      <c r="T1807">
        <v>302952847.04000002</v>
      </c>
      <c r="U1807">
        <v>321867599.61000001</v>
      </c>
      <c r="V1807">
        <v>0.51566900000000004</v>
      </c>
      <c r="W1807">
        <v>0</v>
      </c>
    </row>
    <row r="1808" spans="1:23" x14ac:dyDescent="0.35">
      <c r="A1808" t="s">
        <v>0</v>
      </c>
      <c r="B1808">
        <v>7000</v>
      </c>
      <c r="C1808">
        <v>96</v>
      </c>
      <c r="D1808">
        <v>16</v>
      </c>
      <c r="E1808">
        <v>0</v>
      </c>
      <c r="F1808">
        <v>175638657</v>
      </c>
      <c r="G1808">
        <v>275644.90999999997</v>
      </c>
      <c r="H1808">
        <v>175363012.09</v>
      </c>
      <c r="I1808">
        <v>175363012.09</v>
      </c>
      <c r="J1808">
        <v>0</v>
      </c>
      <c r="K1808">
        <v>0</v>
      </c>
      <c r="M1808" t="s">
        <v>0</v>
      </c>
      <c r="N1808">
        <v>7000</v>
      </c>
      <c r="O1808">
        <v>96</v>
      </c>
      <c r="P1808">
        <v>14</v>
      </c>
      <c r="Q1808">
        <v>0</v>
      </c>
      <c r="R1808">
        <v>156697459</v>
      </c>
      <c r="S1808">
        <v>245396.67</v>
      </c>
      <c r="T1808">
        <v>156452062.33000001</v>
      </c>
      <c r="U1808">
        <v>156452062.33000001</v>
      </c>
      <c r="V1808">
        <v>0</v>
      </c>
      <c r="W1808">
        <v>0</v>
      </c>
    </row>
    <row r="1809" spans="1:23" x14ac:dyDescent="0.35">
      <c r="A1809" t="s">
        <v>0</v>
      </c>
      <c r="B1809">
        <v>7250</v>
      </c>
      <c r="C1809">
        <v>96</v>
      </c>
      <c r="D1809">
        <v>17</v>
      </c>
      <c r="E1809">
        <v>0</v>
      </c>
      <c r="F1809">
        <v>225995500</v>
      </c>
      <c r="G1809">
        <v>342245.31</v>
      </c>
      <c r="H1809">
        <v>225653254.69</v>
      </c>
      <c r="I1809">
        <v>225653254.69</v>
      </c>
      <c r="J1809">
        <v>0</v>
      </c>
      <c r="K1809">
        <v>0</v>
      </c>
      <c r="M1809" t="s">
        <v>0</v>
      </c>
      <c r="N1809">
        <v>7250</v>
      </c>
      <c r="O1809">
        <v>96</v>
      </c>
      <c r="P1809">
        <v>17</v>
      </c>
      <c r="Q1809">
        <v>0</v>
      </c>
      <c r="R1809">
        <v>232759561</v>
      </c>
      <c r="S1809">
        <v>351023.31</v>
      </c>
      <c r="T1809">
        <v>216948533.53</v>
      </c>
      <c r="U1809">
        <v>232408537.69</v>
      </c>
      <c r="V1809">
        <v>0.56165500000000002</v>
      </c>
      <c r="W1809">
        <v>0</v>
      </c>
    </row>
    <row r="1810" spans="1:23" x14ac:dyDescent="0.35">
      <c r="A1810" t="s">
        <v>1</v>
      </c>
      <c r="B1810">
        <v>3000</v>
      </c>
      <c r="C1810">
        <v>96</v>
      </c>
      <c r="D1810">
        <v>8</v>
      </c>
      <c r="E1810">
        <v>0</v>
      </c>
      <c r="F1810">
        <v>158824984</v>
      </c>
      <c r="G1810">
        <v>418439.05</v>
      </c>
      <c r="H1810">
        <v>158406544.94999999</v>
      </c>
      <c r="I1810">
        <v>158406544.94999999</v>
      </c>
      <c r="J1810">
        <v>0</v>
      </c>
      <c r="K1810">
        <v>0</v>
      </c>
      <c r="M1810" t="s">
        <v>1</v>
      </c>
      <c r="N1810">
        <v>2750</v>
      </c>
      <c r="O1810">
        <v>96</v>
      </c>
      <c r="P1810">
        <v>2</v>
      </c>
      <c r="Q1810">
        <v>0</v>
      </c>
      <c r="R1810">
        <v>39334216</v>
      </c>
      <c r="S1810">
        <v>107298.19</v>
      </c>
      <c r="T1810">
        <v>39226917.810000002</v>
      </c>
      <c r="U1810">
        <v>39226917.810000002</v>
      </c>
      <c r="V1810">
        <v>0</v>
      </c>
      <c r="W1810">
        <v>0</v>
      </c>
    </row>
    <row r="1811" spans="1:23" x14ac:dyDescent="0.35">
      <c r="A1811" t="s">
        <v>1</v>
      </c>
      <c r="B1811">
        <v>2750</v>
      </c>
      <c r="C1811">
        <v>96</v>
      </c>
      <c r="D1811">
        <v>3</v>
      </c>
      <c r="E1811">
        <v>0</v>
      </c>
      <c r="F1811">
        <v>67243187</v>
      </c>
      <c r="G1811">
        <v>180782.07</v>
      </c>
      <c r="H1811">
        <v>67062404.93</v>
      </c>
      <c r="I1811">
        <v>67062404.93</v>
      </c>
      <c r="J1811">
        <v>0</v>
      </c>
      <c r="K1811">
        <v>0</v>
      </c>
      <c r="M1811" t="s">
        <v>2</v>
      </c>
      <c r="N1811">
        <v>6000</v>
      </c>
      <c r="O1811">
        <v>96</v>
      </c>
      <c r="P1811">
        <v>1</v>
      </c>
      <c r="Q1811">
        <v>0</v>
      </c>
      <c r="R1811">
        <v>4767653</v>
      </c>
      <c r="S1811">
        <v>8755.15</v>
      </c>
      <c r="T1811">
        <v>4758897.8499999996</v>
      </c>
      <c r="U1811">
        <v>4758897.8499999996</v>
      </c>
      <c r="V1811">
        <v>0</v>
      </c>
      <c r="W1811">
        <v>0</v>
      </c>
    </row>
    <row r="1812" spans="1:23" x14ac:dyDescent="0.35">
      <c r="A1812" t="s">
        <v>2</v>
      </c>
      <c r="B1812">
        <v>6000</v>
      </c>
      <c r="C1812">
        <v>96</v>
      </c>
      <c r="D1812">
        <v>1</v>
      </c>
      <c r="E1812">
        <v>0</v>
      </c>
      <c r="F1812">
        <v>4740625</v>
      </c>
      <c r="G1812">
        <v>8764.23</v>
      </c>
      <c r="H1812">
        <v>4731860.7699999996</v>
      </c>
      <c r="I1812">
        <v>4731860.7699999996</v>
      </c>
      <c r="J1812">
        <v>0</v>
      </c>
      <c r="K1812">
        <v>0</v>
      </c>
      <c r="M1812" t="s">
        <v>3</v>
      </c>
      <c r="N1812">
        <v>6250</v>
      </c>
      <c r="O1812">
        <v>96</v>
      </c>
      <c r="P1812">
        <v>4</v>
      </c>
      <c r="Q1812">
        <v>0</v>
      </c>
      <c r="R1812">
        <v>41378299</v>
      </c>
      <c r="S1812">
        <v>70208.33</v>
      </c>
      <c r="T1812">
        <v>41308090.670000002</v>
      </c>
      <c r="U1812">
        <v>41308090.670000002</v>
      </c>
      <c r="V1812">
        <v>0</v>
      </c>
      <c r="W1812">
        <v>0</v>
      </c>
    </row>
    <row r="1813" spans="1:23" x14ac:dyDescent="0.35">
      <c r="A1813" t="s">
        <v>0</v>
      </c>
      <c r="B1813">
        <v>3000</v>
      </c>
      <c r="C1813">
        <v>96</v>
      </c>
      <c r="D1813">
        <v>29</v>
      </c>
      <c r="E1813">
        <v>0</v>
      </c>
      <c r="F1813">
        <v>359785427</v>
      </c>
      <c r="G1813">
        <v>946275.1</v>
      </c>
      <c r="H1813">
        <v>358839151.89999998</v>
      </c>
      <c r="I1813">
        <v>358839151.89999998</v>
      </c>
      <c r="J1813">
        <v>0</v>
      </c>
      <c r="K1813">
        <v>0</v>
      </c>
      <c r="M1813" t="s">
        <v>0</v>
      </c>
      <c r="N1813">
        <v>2250</v>
      </c>
      <c r="O1813">
        <v>96</v>
      </c>
      <c r="P1813">
        <v>4</v>
      </c>
      <c r="Q1813">
        <v>0</v>
      </c>
      <c r="R1813">
        <v>39670560</v>
      </c>
      <c r="S1813">
        <v>112955.17</v>
      </c>
      <c r="T1813">
        <v>39557604.829999998</v>
      </c>
      <c r="U1813">
        <v>39557604.829999998</v>
      </c>
      <c r="V1813">
        <v>0</v>
      </c>
      <c r="W1813">
        <v>0</v>
      </c>
    </row>
    <row r="1814" spans="1:23" x14ac:dyDescent="0.35">
      <c r="A1814" t="s">
        <v>3</v>
      </c>
      <c r="B1814">
        <v>6250</v>
      </c>
      <c r="C1814">
        <v>96</v>
      </c>
      <c r="D1814">
        <v>4</v>
      </c>
      <c r="E1814">
        <v>0</v>
      </c>
      <c r="F1814">
        <v>41311348</v>
      </c>
      <c r="G1814">
        <v>70572.31</v>
      </c>
      <c r="H1814">
        <v>41240775.689999998</v>
      </c>
      <c r="I1814">
        <v>41240775.689999998</v>
      </c>
      <c r="J1814">
        <v>0</v>
      </c>
      <c r="K1814">
        <v>0</v>
      </c>
      <c r="M1814" t="s">
        <v>0</v>
      </c>
      <c r="N1814">
        <v>7000</v>
      </c>
      <c r="O1814">
        <v>84</v>
      </c>
      <c r="P1814">
        <v>4</v>
      </c>
      <c r="Q1814">
        <v>0</v>
      </c>
      <c r="R1814">
        <v>32116715</v>
      </c>
      <c r="S1814">
        <v>47111.59</v>
      </c>
      <c r="T1814">
        <v>32069603.41</v>
      </c>
      <c r="U1814">
        <v>32069603.41</v>
      </c>
      <c r="V1814">
        <v>0</v>
      </c>
      <c r="W1814">
        <v>0</v>
      </c>
    </row>
    <row r="1815" spans="1:23" x14ac:dyDescent="0.35">
      <c r="A1815" t="s">
        <v>0</v>
      </c>
      <c r="B1815">
        <v>2250</v>
      </c>
      <c r="C1815">
        <v>96</v>
      </c>
      <c r="D1815">
        <v>4</v>
      </c>
      <c r="E1815">
        <v>0</v>
      </c>
      <c r="F1815">
        <v>39429525</v>
      </c>
      <c r="G1815">
        <v>112786.06</v>
      </c>
      <c r="H1815">
        <v>39316738.939999998</v>
      </c>
      <c r="I1815">
        <v>39316738.939999998</v>
      </c>
      <c r="J1815">
        <v>0</v>
      </c>
      <c r="K1815">
        <v>0</v>
      </c>
      <c r="M1815" t="s">
        <v>0</v>
      </c>
      <c r="N1815">
        <v>7250</v>
      </c>
      <c r="O1815">
        <v>84</v>
      </c>
      <c r="P1815">
        <v>2</v>
      </c>
      <c r="Q1815">
        <v>0</v>
      </c>
      <c r="R1815">
        <v>21770792</v>
      </c>
      <c r="S1815">
        <v>31213.01</v>
      </c>
      <c r="T1815">
        <v>21739578.989999998</v>
      </c>
      <c r="U1815">
        <v>21739578.989999998</v>
      </c>
      <c r="V1815">
        <v>0</v>
      </c>
      <c r="W1815">
        <v>0</v>
      </c>
    </row>
    <row r="1816" spans="1:23" x14ac:dyDescent="0.35">
      <c r="A1816" t="s">
        <v>0</v>
      </c>
      <c r="B1816">
        <v>7000</v>
      </c>
      <c r="C1816">
        <v>84</v>
      </c>
      <c r="D1816">
        <v>2</v>
      </c>
      <c r="E1816">
        <v>0</v>
      </c>
      <c r="F1816">
        <v>12894315</v>
      </c>
      <c r="G1816">
        <v>18560</v>
      </c>
      <c r="H1816">
        <v>12875755</v>
      </c>
      <c r="I1816">
        <v>12875755</v>
      </c>
      <c r="J1816">
        <v>0</v>
      </c>
      <c r="K1816">
        <v>0</v>
      </c>
      <c r="M1816" t="s">
        <v>1</v>
      </c>
      <c r="N1816">
        <v>2250</v>
      </c>
      <c r="O1816">
        <v>96</v>
      </c>
      <c r="P1816">
        <v>1</v>
      </c>
      <c r="Q1816">
        <v>0</v>
      </c>
      <c r="R1816">
        <v>19258146</v>
      </c>
      <c r="S1816">
        <v>53584.04</v>
      </c>
      <c r="T1816">
        <v>19204561.960000001</v>
      </c>
      <c r="U1816">
        <v>19204561.960000001</v>
      </c>
      <c r="V1816">
        <v>0</v>
      </c>
      <c r="W1816">
        <v>0</v>
      </c>
    </row>
    <row r="1817" spans="1:23" x14ac:dyDescent="0.35">
      <c r="A1817" t="s">
        <v>0</v>
      </c>
      <c r="B1817">
        <v>7250</v>
      </c>
      <c r="C1817">
        <v>84</v>
      </c>
      <c r="D1817">
        <v>1</v>
      </c>
      <c r="E1817">
        <v>0</v>
      </c>
      <c r="F1817">
        <v>12553652</v>
      </c>
      <c r="G1817">
        <v>18074.73</v>
      </c>
      <c r="H1817">
        <v>12535577.27</v>
      </c>
      <c r="I1817">
        <v>12535577.27</v>
      </c>
      <c r="J1817">
        <v>0</v>
      </c>
      <c r="K1817">
        <v>0</v>
      </c>
      <c r="M1817" t="s">
        <v>3</v>
      </c>
      <c r="N1817">
        <v>6000</v>
      </c>
      <c r="O1817">
        <v>84</v>
      </c>
      <c r="P1817">
        <v>1</v>
      </c>
      <c r="Q1817">
        <v>0</v>
      </c>
      <c r="R1817">
        <v>10142726</v>
      </c>
      <c r="S1817">
        <v>17085.7</v>
      </c>
      <c r="T1817">
        <v>10125640.300000001</v>
      </c>
      <c r="U1817">
        <v>10125640.300000001</v>
      </c>
      <c r="V1817">
        <v>0</v>
      </c>
      <c r="W1817">
        <v>0</v>
      </c>
    </row>
    <row r="1818" spans="1:23" x14ac:dyDescent="0.35">
      <c r="A1818" t="s">
        <v>1</v>
      </c>
      <c r="B1818">
        <v>2250</v>
      </c>
      <c r="C1818">
        <v>96</v>
      </c>
      <c r="D1818">
        <v>1</v>
      </c>
      <c r="E1818">
        <v>0</v>
      </c>
      <c r="F1818">
        <v>19204254</v>
      </c>
      <c r="G1818">
        <v>53683.65</v>
      </c>
      <c r="H1818">
        <v>19150570.350000001</v>
      </c>
      <c r="I1818">
        <v>19150570.350000001</v>
      </c>
      <c r="J1818">
        <v>0</v>
      </c>
      <c r="K1818">
        <v>0</v>
      </c>
      <c r="M1818" t="s">
        <v>1</v>
      </c>
      <c r="N1818">
        <v>6500</v>
      </c>
      <c r="O1818">
        <v>84</v>
      </c>
      <c r="P1818">
        <v>2</v>
      </c>
      <c r="Q1818">
        <v>0</v>
      </c>
      <c r="R1818">
        <v>33663199</v>
      </c>
      <c r="S1818">
        <v>52233.9</v>
      </c>
      <c r="T1818">
        <v>33610965.100000001</v>
      </c>
      <c r="U1818">
        <v>33610965.100000001</v>
      </c>
      <c r="V1818">
        <v>0</v>
      </c>
      <c r="W1818">
        <v>0</v>
      </c>
    </row>
    <row r="1819" spans="1:23" x14ac:dyDescent="0.35">
      <c r="A1819" t="s">
        <v>0</v>
      </c>
      <c r="B1819">
        <v>6750</v>
      </c>
      <c r="C1819">
        <v>84</v>
      </c>
      <c r="D1819">
        <v>3</v>
      </c>
      <c r="E1819">
        <v>0</v>
      </c>
      <c r="F1819">
        <v>25484087</v>
      </c>
      <c r="G1819">
        <v>37938.400000000001</v>
      </c>
      <c r="H1819">
        <v>25446148.600000001</v>
      </c>
      <c r="I1819">
        <v>25446148.600000001</v>
      </c>
      <c r="J1819">
        <v>0</v>
      </c>
      <c r="K1819">
        <v>0</v>
      </c>
      <c r="M1819" t="s">
        <v>1</v>
      </c>
      <c r="N1819">
        <v>2000</v>
      </c>
      <c r="O1819">
        <v>96</v>
      </c>
      <c r="P1819">
        <v>2</v>
      </c>
      <c r="Q1819">
        <v>0</v>
      </c>
      <c r="R1819">
        <v>28252100</v>
      </c>
      <c r="S1819">
        <v>97964.51</v>
      </c>
      <c r="T1819">
        <v>28154135.489999998</v>
      </c>
      <c r="U1819">
        <v>28154135.489999998</v>
      </c>
      <c r="V1819">
        <v>0</v>
      </c>
      <c r="W1819">
        <v>0</v>
      </c>
    </row>
    <row r="1820" spans="1:23" x14ac:dyDescent="0.35">
      <c r="A1820" t="s">
        <v>3</v>
      </c>
      <c r="B1820">
        <v>6000</v>
      </c>
      <c r="C1820">
        <v>84</v>
      </c>
      <c r="D1820">
        <v>1</v>
      </c>
      <c r="E1820">
        <v>0</v>
      </c>
      <c r="F1820">
        <v>10124890</v>
      </c>
      <c r="G1820">
        <v>17168.07</v>
      </c>
      <c r="H1820">
        <v>10107721.93</v>
      </c>
      <c r="I1820">
        <v>10107721.93</v>
      </c>
      <c r="J1820">
        <v>0</v>
      </c>
      <c r="K1820">
        <v>0</v>
      </c>
      <c r="M1820" t="s">
        <v>0</v>
      </c>
      <c r="N1820">
        <v>2000</v>
      </c>
      <c r="O1820">
        <v>84</v>
      </c>
      <c r="P1820">
        <v>8</v>
      </c>
      <c r="Q1820">
        <v>0</v>
      </c>
      <c r="R1820">
        <v>94909314</v>
      </c>
      <c r="S1820">
        <v>266932.08</v>
      </c>
      <c r="T1820">
        <v>94642381.920000002</v>
      </c>
      <c r="U1820">
        <v>94642381.920000002</v>
      </c>
      <c r="V1820">
        <v>0</v>
      </c>
      <c r="W1820">
        <v>0</v>
      </c>
    </row>
    <row r="1821" spans="1:23" x14ac:dyDescent="0.35">
      <c r="A1821" t="s">
        <v>1</v>
      </c>
      <c r="B1821">
        <v>6500</v>
      </c>
      <c r="C1821">
        <v>84</v>
      </c>
      <c r="D1821">
        <v>2</v>
      </c>
      <c r="E1821">
        <v>0</v>
      </c>
      <c r="F1821">
        <v>33605137</v>
      </c>
      <c r="G1821">
        <v>52502.25</v>
      </c>
      <c r="H1821">
        <v>33552634.75</v>
      </c>
      <c r="I1821">
        <v>33552634.75</v>
      </c>
      <c r="J1821">
        <v>0</v>
      </c>
      <c r="K1821">
        <v>0</v>
      </c>
      <c r="M1821" t="s">
        <v>1</v>
      </c>
      <c r="N1821">
        <v>2250</v>
      </c>
      <c r="O1821">
        <v>84</v>
      </c>
      <c r="P1821">
        <v>1</v>
      </c>
      <c r="Q1821">
        <v>0</v>
      </c>
      <c r="R1821">
        <v>15069481</v>
      </c>
      <c r="S1821">
        <v>41350.61</v>
      </c>
      <c r="T1821">
        <v>15028130.390000001</v>
      </c>
      <c r="U1821">
        <v>15028130.390000001</v>
      </c>
      <c r="V1821">
        <v>0</v>
      </c>
      <c r="W1821">
        <v>0</v>
      </c>
    </row>
    <row r="1822" spans="1:23" x14ac:dyDescent="0.35">
      <c r="A1822" t="s">
        <v>1</v>
      </c>
      <c r="B1822">
        <v>2000</v>
      </c>
      <c r="C1822">
        <v>96</v>
      </c>
      <c r="D1822">
        <v>2</v>
      </c>
      <c r="E1822">
        <v>0</v>
      </c>
      <c r="F1822">
        <v>28153207</v>
      </c>
      <c r="G1822">
        <v>98124.58</v>
      </c>
      <c r="H1822">
        <v>28055082.420000002</v>
      </c>
      <c r="I1822">
        <v>28055082.420000002</v>
      </c>
      <c r="J1822">
        <v>0</v>
      </c>
      <c r="K1822">
        <v>0</v>
      </c>
      <c r="M1822" t="s">
        <v>3</v>
      </c>
      <c r="N1822">
        <v>3000</v>
      </c>
      <c r="O1822">
        <v>84</v>
      </c>
      <c r="P1822">
        <v>3</v>
      </c>
      <c r="Q1822">
        <v>0</v>
      </c>
      <c r="R1822">
        <v>59803308</v>
      </c>
      <c r="S1822">
        <v>144292.13</v>
      </c>
      <c r="T1822">
        <v>59659015.869999997</v>
      </c>
      <c r="U1822">
        <v>59659015.869999997</v>
      </c>
      <c r="V1822">
        <v>0</v>
      </c>
      <c r="W1822">
        <v>0</v>
      </c>
    </row>
    <row r="1823" spans="1:23" x14ac:dyDescent="0.35">
      <c r="A1823" t="s">
        <v>0</v>
      </c>
      <c r="B1823">
        <v>2000</v>
      </c>
      <c r="C1823">
        <v>84</v>
      </c>
      <c r="D1823">
        <v>8</v>
      </c>
      <c r="E1823">
        <v>0</v>
      </c>
      <c r="F1823">
        <v>94640673</v>
      </c>
      <c r="G1823">
        <v>267355.49</v>
      </c>
      <c r="H1823">
        <v>94373317.510000005</v>
      </c>
      <c r="I1823">
        <v>94373317.510000005</v>
      </c>
      <c r="J1823">
        <v>0</v>
      </c>
      <c r="K1823">
        <v>0</v>
      </c>
      <c r="M1823" t="s">
        <v>2</v>
      </c>
      <c r="N1823">
        <v>3000</v>
      </c>
      <c r="O1823">
        <v>96</v>
      </c>
      <c r="P1823">
        <v>2</v>
      </c>
      <c r="Q1823">
        <v>0</v>
      </c>
      <c r="R1823">
        <v>11720260</v>
      </c>
      <c r="S1823">
        <v>32360.05</v>
      </c>
      <c r="T1823">
        <v>11687899.949999999</v>
      </c>
      <c r="U1823">
        <v>11687899.949999999</v>
      </c>
      <c r="V1823">
        <v>0</v>
      </c>
      <c r="W1823">
        <v>0</v>
      </c>
    </row>
    <row r="1824" spans="1:23" x14ac:dyDescent="0.35">
      <c r="A1824" t="s">
        <v>3</v>
      </c>
      <c r="B1824">
        <v>3000</v>
      </c>
      <c r="C1824">
        <v>84</v>
      </c>
      <c r="D1824">
        <v>19</v>
      </c>
      <c r="E1824">
        <v>0</v>
      </c>
      <c r="F1824">
        <v>430933684</v>
      </c>
      <c r="G1824">
        <v>1036589.56</v>
      </c>
      <c r="H1824">
        <v>429897094.44</v>
      </c>
      <c r="I1824">
        <v>429897094.44</v>
      </c>
      <c r="J1824">
        <v>0</v>
      </c>
      <c r="K1824">
        <v>0</v>
      </c>
      <c r="M1824" t="s">
        <v>3</v>
      </c>
      <c r="N1824">
        <v>5250</v>
      </c>
      <c r="O1824">
        <v>72</v>
      </c>
      <c r="P1824">
        <v>1</v>
      </c>
      <c r="Q1824">
        <v>0</v>
      </c>
      <c r="R1824">
        <v>8917302</v>
      </c>
      <c r="S1824">
        <v>15787.68</v>
      </c>
      <c r="T1824">
        <v>8901514.3200000003</v>
      </c>
      <c r="U1824">
        <v>8901514.3200000003</v>
      </c>
      <c r="V1824">
        <v>0</v>
      </c>
      <c r="W1824">
        <v>0</v>
      </c>
    </row>
    <row r="1825" spans="1:23" x14ac:dyDescent="0.35">
      <c r="A1825" t="s">
        <v>2</v>
      </c>
      <c r="B1825">
        <v>3000</v>
      </c>
      <c r="C1825">
        <v>96</v>
      </c>
      <c r="D1825">
        <v>1</v>
      </c>
      <c r="E1825">
        <v>0</v>
      </c>
      <c r="F1825">
        <v>6022056</v>
      </c>
      <c r="G1825">
        <v>17183.580000000002</v>
      </c>
      <c r="H1825">
        <v>6004872.4199999999</v>
      </c>
      <c r="I1825">
        <v>6004872.4199999999</v>
      </c>
      <c r="J1825">
        <v>0</v>
      </c>
      <c r="K1825">
        <v>0</v>
      </c>
      <c r="M1825" t="s">
        <v>1</v>
      </c>
      <c r="N1825">
        <v>5750</v>
      </c>
      <c r="O1825">
        <v>72</v>
      </c>
      <c r="P1825">
        <v>13</v>
      </c>
      <c r="Q1825">
        <v>0</v>
      </c>
      <c r="R1825">
        <v>175330025</v>
      </c>
      <c r="S1825">
        <v>281252.87</v>
      </c>
      <c r="T1825">
        <v>175048772.13</v>
      </c>
      <c r="U1825">
        <v>175048772.13</v>
      </c>
      <c r="V1825">
        <v>0</v>
      </c>
      <c r="W1825">
        <v>0</v>
      </c>
    </row>
    <row r="1826" spans="1:23" x14ac:dyDescent="0.35">
      <c r="A1826" t="s">
        <v>3</v>
      </c>
      <c r="B1826">
        <v>2750</v>
      </c>
      <c r="C1826">
        <v>84</v>
      </c>
      <c r="D1826">
        <v>1</v>
      </c>
      <c r="E1826">
        <v>0</v>
      </c>
      <c r="F1826">
        <v>26306265</v>
      </c>
      <c r="G1826">
        <v>64898.74</v>
      </c>
      <c r="H1826">
        <v>26241366.260000002</v>
      </c>
      <c r="I1826">
        <v>26241366.260000002</v>
      </c>
      <c r="J1826">
        <v>0</v>
      </c>
      <c r="K1826">
        <v>0</v>
      </c>
      <c r="M1826" t="s">
        <v>0</v>
      </c>
      <c r="N1826">
        <v>2500</v>
      </c>
      <c r="O1826">
        <v>96</v>
      </c>
      <c r="P1826">
        <v>3</v>
      </c>
      <c r="Q1826">
        <v>0</v>
      </c>
      <c r="R1826">
        <v>30318225</v>
      </c>
      <c r="S1826">
        <v>84452.33</v>
      </c>
      <c r="T1826">
        <v>30233772.670000002</v>
      </c>
      <c r="U1826">
        <v>30233772.670000002</v>
      </c>
      <c r="V1826">
        <v>0</v>
      </c>
      <c r="W1826">
        <v>0</v>
      </c>
    </row>
    <row r="1827" spans="1:23" x14ac:dyDescent="0.35">
      <c r="A1827" t="s">
        <v>0</v>
      </c>
      <c r="B1827">
        <v>2500</v>
      </c>
      <c r="C1827">
        <v>96</v>
      </c>
      <c r="D1827">
        <v>3</v>
      </c>
      <c r="E1827">
        <v>0</v>
      </c>
      <c r="F1827">
        <v>30232965</v>
      </c>
      <c r="G1827">
        <v>84620.33</v>
      </c>
      <c r="H1827">
        <v>30148344.670000002</v>
      </c>
      <c r="I1827">
        <v>30148344.670000002</v>
      </c>
      <c r="J1827">
        <v>0</v>
      </c>
      <c r="K1827">
        <v>0</v>
      </c>
      <c r="M1827" t="s">
        <v>0</v>
      </c>
      <c r="N1827">
        <v>2500</v>
      </c>
      <c r="O1827">
        <v>108</v>
      </c>
      <c r="P1827">
        <v>3</v>
      </c>
      <c r="Q1827">
        <v>0</v>
      </c>
      <c r="R1827">
        <v>5935378</v>
      </c>
      <c r="S1827">
        <v>17860.46</v>
      </c>
      <c r="T1827">
        <v>5917517.54</v>
      </c>
      <c r="U1827">
        <v>5917517.54</v>
      </c>
      <c r="V1827">
        <v>0</v>
      </c>
      <c r="W1827">
        <v>0</v>
      </c>
    </row>
    <row r="1828" spans="1:23" x14ac:dyDescent="0.35">
      <c r="A1828" t="s">
        <v>0</v>
      </c>
      <c r="B1828">
        <v>2500</v>
      </c>
      <c r="C1828">
        <v>108</v>
      </c>
      <c r="D1828">
        <v>2</v>
      </c>
      <c r="E1828">
        <v>0</v>
      </c>
      <c r="F1828">
        <v>3315694</v>
      </c>
      <c r="G1828">
        <v>9884.2000000000007</v>
      </c>
      <c r="H1828">
        <v>3305809.8</v>
      </c>
      <c r="I1828">
        <v>3305809.8</v>
      </c>
      <c r="J1828">
        <v>0</v>
      </c>
      <c r="K1828">
        <v>0</v>
      </c>
      <c r="M1828" t="s">
        <v>1</v>
      </c>
      <c r="N1828">
        <v>6000</v>
      </c>
      <c r="O1828">
        <v>72</v>
      </c>
      <c r="P1828">
        <v>1</v>
      </c>
      <c r="Q1828">
        <v>0</v>
      </c>
      <c r="R1828">
        <v>22833816</v>
      </c>
      <c r="S1828">
        <v>35383.64</v>
      </c>
      <c r="T1828">
        <v>22798432.359999999</v>
      </c>
      <c r="U1828">
        <v>22798432.359999999</v>
      </c>
      <c r="V1828">
        <v>0</v>
      </c>
      <c r="W1828">
        <v>0</v>
      </c>
    </row>
    <row r="1829" spans="1:23" x14ac:dyDescent="0.35">
      <c r="A1829" t="s">
        <v>1</v>
      </c>
      <c r="B1829">
        <v>6000</v>
      </c>
      <c r="C1829">
        <v>72</v>
      </c>
      <c r="D1829">
        <v>1</v>
      </c>
      <c r="E1829">
        <v>0</v>
      </c>
      <c r="F1829">
        <v>22833816</v>
      </c>
      <c r="G1829">
        <v>35615.74</v>
      </c>
      <c r="H1829">
        <v>22798200.260000002</v>
      </c>
      <c r="I1829">
        <v>22798200.260000002</v>
      </c>
      <c r="J1829">
        <v>0</v>
      </c>
      <c r="K1829">
        <v>0</v>
      </c>
      <c r="M1829" t="s">
        <v>0</v>
      </c>
      <c r="N1829">
        <v>2250</v>
      </c>
      <c r="O1829">
        <v>108</v>
      </c>
      <c r="P1829">
        <v>1</v>
      </c>
      <c r="Q1829">
        <v>0</v>
      </c>
      <c r="R1829">
        <v>9305057</v>
      </c>
      <c r="S1829">
        <v>28919.74</v>
      </c>
      <c r="T1829">
        <v>9276137.2599999998</v>
      </c>
      <c r="U1829">
        <v>9276137.2599999998</v>
      </c>
      <c r="V1829">
        <v>0</v>
      </c>
      <c r="W1829">
        <v>0</v>
      </c>
    </row>
    <row r="1830" spans="1:23" x14ac:dyDescent="0.35">
      <c r="A1830" t="s">
        <v>1</v>
      </c>
      <c r="B1830">
        <v>5750</v>
      </c>
      <c r="C1830">
        <v>72</v>
      </c>
      <c r="D1830">
        <v>9</v>
      </c>
      <c r="E1830">
        <v>0</v>
      </c>
      <c r="F1830">
        <v>149631323</v>
      </c>
      <c r="G1830">
        <v>240946.68</v>
      </c>
      <c r="H1830">
        <v>139057948.19999999</v>
      </c>
      <c r="I1830">
        <v>139057948.19999999</v>
      </c>
      <c r="J1830">
        <v>0.57625800000000005</v>
      </c>
      <c r="K1830">
        <v>0.57625800000000005</v>
      </c>
      <c r="M1830" t="s">
        <v>0</v>
      </c>
      <c r="N1830">
        <v>6500</v>
      </c>
      <c r="O1830">
        <v>72</v>
      </c>
      <c r="P1830">
        <v>1</v>
      </c>
      <c r="Q1830">
        <v>0</v>
      </c>
      <c r="R1830">
        <v>15318416</v>
      </c>
      <c r="S1830">
        <v>22455.919999999998</v>
      </c>
      <c r="T1830">
        <v>15295960.08</v>
      </c>
      <c r="U1830">
        <v>15295960.08</v>
      </c>
      <c r="V1830">
        <v>0</v>
      </c>
      <c r="W1830">
        <v>0</v>
      </c>
    </row>
    <row r="1831" spans="1:23" x14ac:dyDescent="0.35">
      <c r="A1831" t="s">
        <v>0</v>
      </c>
      <c r="B1831">
        <v>6500</v>
      </c>
      <c r="C1831">
        <v>72</v>
      </c>
      <c r="D1831">
        <v>1</v>
      </c>
      <c r="E1831">
        <v>0</v>
      </c>
      <c r="F1831">
        <v>15318416</v>
      </c>
      <c r="G1831">
        <v>22608.36</v>
      </c>
      <c r="H1831">
        <v>15295807.640000001</v>
      </c>
      <c r="I1831">
        <v>15295807.640000001</v>
      </c>
      <c r="J1831">
        <v>0</v>
      </c>
      <c r="K1831">
        <v>0</v>
      </c>
      <c r="M1831" t="s">
        <v>2</v>
      </c>
      <c r="N1831">
        <v>6000</v>
      </c>
      <c r="O1831">
        <v>72</v>
      </c>
      <c r="P1831">
        <v>4</v>
      </c>
      <c r="Q1831">
        <v>0</v>
      </c>
      <c r="R1831">
        <v>35421793</v>
      </c>
      <c r="S1831">
        <v>57530.93</v>
      </c>
      <c r="T1831">
        <v>35364262.07</v>
      </c>
      <c r="U1831">
        <v>35364262.07</v>
      </c>
      <c r="V1831">
        <v>0</v>
      </c>
      <c r="W1831">
        <v>0</v>
      </c>
    </row>
    <row r="1832" spans="1:23" x14ac:dyDescent="0.35">
      <c r="A1832" t="s">
        <v>2</v>
      </c>
      <c r="B1832">
        <v>6000</v>
      </c>
      <c r="C1832">
        <v>72</v>
      </c>
      <c r="D1832">
        <v>4</v>
      </c>
      <c r="E1832">
        <v>0</v>
      </c>
      <c r="F1832">
        <v>35404566</v>
      </c>
      <c r="G1832">
        <v>57883.19</v>
      </c>
      <c r="H1832">
        <v>35346682.810000002</v>
      </c>
      <c r="I1832">
        <v>35346682.810000002</v>
      </c>
      <c r="J1832">
        <v>0</v>
      </c>
      <c r="K1832">
        <v>0</v>
      </c>
      <c r="M1832" t="s">
        <v>2</v>
      </c>
      <c r="N1832">
        <v>2500</v>
      </c>
      <c r="O1832">
        <v>144</v>
      </c>
      <c r="P1832">
        <v>1</v>
      </c>
      <c r="Q1832">
        <v>0</v>
      </c>
      <c r="R1832">
        <v>8501233</v>
      </c>
      <c r="S1832">
        <v>27777.119999999999</v>
      </c>
      <c r="T1832">
        <v>8473455.8800000008</v>
      </c>
      <c r="U1832">
        <v>8473455.8800000008</v>
      </c>
      <c r="V1832">
        <v>0</v>
      </c>
      <c r="W1832">
        <v>0</v>
      </c>
    </row>
    <row r="1833" spans="1:23" x14ac:dyDescent="0.35">
      <c r="A1833" t="s">
        <v>2</v>
      </c>
      <c r="B1833">
        <v>2500</v>
      </c>
      <c r="C1833">
        <v>144</v>
      </c>
      <c r="D1833">
        <v>1</v>
      </c>
      <c r="E1833">
        <v>0</v>
      </c>
      <c r="F1833">
        <v>8470455</v>
      </c>
      <c r="G1833">
        <v>27825.13</v>
      </c>
      <c r="H1833">
        <v>8442629.8699999992</v>
      </c>
      <c r="I1833">
        <v>8442629.8699999992</v>
      </c>
      <c r="J1833">
        <v>0</v>
      </c>
      <c r="K1833">
        <v>0</v>
      </c>
      <c r="M1833" t="s">
        <v>2</v>
      </c>
      <c r="N1833">
        <v>2750</v>
      </c>
      <c r="O1833">
        <v>108</v>
      </c>
      <c r="P1833">
        <v>1</v>
      </c>
      <c r="Q1833">
        <v>0</v>
      </c>
      <c r="R1833">
        <v>9006194</v>
      </c>
      <c r="S1833">
        <v>27008.47</v>
      </c>
      <c r="T1833">
        <v>8979185.5299999993</v>
      </c>
      <c r="U1833">
        <v>8979185.5299999993</v>
      </c>
      <c r="V1833">
        <v>0</v>
      </c>
      <c r="W1833">
        <v>0</v>
      </c>
    </row>
    <row r="1834" spans="1:23" x14ac:dyDescent="0.35">
      <c r="A1834" t="s">
        <v>2</v>
      </c>
      <c r="B1834">
        <v>2750</v>
      </c>
      <c r="C1834">
        <v>108</v>
      </c>
      <c r="D1834">
        <v>1</v>
      </c>
      <c r="E1834">
        <v>0</v>
      </c>
      <c r="F1834">
        <v>8979027</v>
      </c>
      <c r="G1834">
        <v>27069.89</v>
      </c>
      <c r="H1834">
        <v>8951957.1099999994</v>
      </c>
      <c r="I1834">
        <v>8951957.1099999994</v>
      </c>
      <c r="J1834">
        <v>0</v>
      </c>
      <c r="K1834">
        <v>0</v>
      </c>
      <c r="M1834" t="s">
        <v>1</v>
      </c>
      <c r="N1834">
        <v>6250</v>
      </c>
      <c r="O1834">
        <v>72</v>
      </c>
      <c r="P1834">
        <v>2</v>
      </c>
      <c r="Q1834">
        <v>0</v>
      </c>
      <c r="R1834">
        <v>23482332</v>
      </c>
      <c r="S1834">
        <v>33240.69</v>
      </c>
      <c r="T1834">
        <v>23449091.309999999</v>
      </c>
      <c r="U1834">
        <v>23449091.309999999</v>
      </c>
      <c r="V1834">
        <v>0</v>
      </c>
      <c r="W1834">
        <v>0</v>
      </c>
    </row>
    <row r="1835" spans="1:23" x14ac:dyDescent="0.35">
      <c r="A1835" t="s">
        <v>1</v>
      </c>
      <c r="B1835">
        <v>6250</v>
      </c>
      <c r="C1835">
        <v>72</v>
      </c>
      <c r="D1835">
        <v>2</v>
      </c>
      <c r="E1835">
        <v>0</v>
      </c>
      <c r="F1835">
        <v>23437628</v>
      </c>
      <c r="G1835">
        <v>33397.17</v>
      </c>
      <c r="H1835">
        <v>23404230.829999998</v>
      </c>
      <c r="I1835">
        <v>23404230.829999998</v>
      </c>
      <c r="J1835">
        <v>0</v>
      </c>
      <c r="K1835">
        <v>0</v>
      </c>
      <c r="M1835" t="s">
        <v>2</v>
      </c>
      <c r="N1835">
        <v>2000</v>
      </c>
      <c r="O1835">
        <v>144</v>
      </c>
      <c r="P1835">
        <v>2</v>
      </c>
      <c r="Q1835">
        <v>0</v>
      </c>
      <c r="R1835">
        <v>14839630</v>
      </c>
      <c r="S1835">
        <v>58974.63</v>
      </c>
      <c r="T1835">
        <v>14780655.369999999</v>
      </c>
      <c r="U1835">
        <v>14780655.369999999</v>
      </c>
      <c r="V1835">
        <v>0</v>
      </c>
      <c r="W1835">
        <v>0</v>
      </c>
    </row>
    <row r="1836" spans="1:23" x14ac:dyDescent="0.35">
      <c r="A1836" t="s">
        <v>2</v>
      </c>
      <c r="B1836">
        <v>2000</v>
      </c>
      <c r="C1836">
        <v>144</v>
      </c>
      <c r="D1836">
        <v>2</v>
      </c>
      <c r="E1836">
        <v>0</v>
      </c>
      <c r="F1836">
        <v>14780686</v>
      </c>
      <c r="G1836">
        <v>59073.05</v>
      </c>
      <c r="H1836">
        <v>14721612.949999999</v>
      </c>
      <c r="I1836">
        <v>14721612.949999999</v>
      </c>
      <c r="J1836">
        <v>0</v>
      </c>
      <c r="K1836">
        <v>0</v>
      </c>
      <c r="M1836" t="s">
        <v>1</v>
      </c>
      <c r="N1836">
        <v>2000</v>
      </c>
      <c r="O1836">
        <v>72</v>
      </c>
      <c r="P1836">
        <v>4805</v>
      </c>
      <c r="Q1836">
        <v>0</v>
      </c>
      <c r="R1836">
        <v>135487893087</v>
      </c>
      <c r="S1836">
        <v>357484011.25</v>
      </c>
      <c r="T1836">
        <v>134485448037.81</v>
      </c>
      <c r="U1836">
        <v>135130409075.75</v>
      </c>
      <c r="V1836">
        <v>5.5650999999999999E-2</v>
      </c>
      <c r="W1836">
        <v>0</v>
      </c>
    </row>
    <row r="1837" spans="1:23" x14ac:dyDescent="0.35">
      <c r="A1837" t="s">
        <v>0</v>
      </c>
      <c r="B1837">
        <v>2000</v>
      </c>
      <c r="C1837">
        <v>72</v>
      </c>
      <c r="D1837">
        <v>324</v>
      </c>
      <c r="E1837">
        <v>0</v>
      </c>
      <c r="F1837">
        <v>8047802411</v>
      </c>
      <c r="G1837">
        <v>21150141.469999999</v>
      </c>
      <c r="H1837">
        <v>7903285527</v>
      </c>
      <c r="I1837">
        <v>7999065180.8999996</v>
      </c>
      <c r="J1837">
        <v>0.169208</v>
      </c>
      <c r="K1837">
        <v>4.0368000000000001E-2</v>
      </c>
      <c r="M1837" t="s">
        <v>0</v>
      </c>
      <c r="N1837">
        <v>2000</v>
      </c>
      <c r="O1837">
        <v>72</v>
      </c>
      <c r="P1837">
        <v>260</v>
      </c>
      <c r="Q1837">
        <v>0</v>
      </c>
      <c r="R1837">
        <v>6433700997</v>
      </c>
      <c r="S1837">
        <v>16861848.670000002</v>
      </c>
      <c r="T1837">
        <v>6416839148.3299999</v>
      </c>
      <c r="U1837">
        <v>6416839148.3299999</v>
      </c>
      <c r="V1837">
        <v>0</v>
      </c>
      <c r="W1837">
        <v>0</v>
      </c>
    </row>
    <row r="1838" spans="1:23" x14ac:dyDescent="0.35">
      <c r="A1838" t="s">
        <v>0</v>
      </c>
      <c r="B1838">
        <v>2000</v>
      </c>
      <c r="C1838">
        <v>120</v>
      </c>
      <c r="D1838">
        <v>3</v>
      </c>
      <c r="E1838">
        <v>0</v>
      </c>
      <c r="F1838">
        <v>28909946</v>
      </c>
      <c r="G1838">
        <v>97730.66</v>
      </c>
      <c r="H1838">
        <v>28812215.34</v>
      </c>
      <c r="I1838">
        <v>28812215.34</v>
      </c>
      <c r="J1838">
        <v>0</v>
      </c>
      <c r="K1838">
        <v>0</v>
      </c>
      <c r="M1838" t="s">
        <v>0</v>
      </c>
      <c r="N1838">
        <v>2000</v>
      </c>
      <c r="O1838">
        <v>120</v>
      </c>
      <c r="P1838">
        <v>4</v>
      </c>
      <c r="Q1838">
        <v>0</v>
      </c>
      <c r="R1838">
        <v>45275634</v>
      </c>
      <c r="S1838">
        <v>152758.95000000001</v>
      </c>
      <c r="T1838">
        <v>45122875.049999997</v>
      </c>
      <c r="U1838">
        <v>45122875.049999997</v>
      </c>
      <c r="V1838">
        <v>0</v>
      </c>
      <c r="W1838">
        <v>0</v>
      </c>
    </row>
    <row r="1839" spans="1:23" x14ac:dyDescent="0.35">
      <c r="A1839" t="s">
        <v>2</v>
      </c>
      <c r="B1839">
        <v>2000</v>
      </c>
      <c r="C1839">
        <v>84</v>
      </c>
      <c r="D1839">
        <v>1</v>
      </c>
      <c r="E1839">
        <v>0</v>
      </c>
      <c r="F1839">
        <v>6668735</v>
      </c>
      <c r="G1839">
        <v>18299.23</v>
      </c>
      <c r="H1839">
        <v>6650435.7699999996</v>
      </c>
      <c r="I1839">
        <v>6650435.7699999996</v>
      </c>
      <c r="J1839">
        <v>0</v>
      </c>
      <c r="K1839">
        <v>0</v>
      </c>
      <c r="M1839" t="s">
        <v>2</v>
      </c>
      <c r="N1839">
        <v>2000</v>
      </c>
      <c r="O1839">
        <v>84</v>
      </c>
      <c r="P1839">
        <v>1</v>
      </c>
      <c r="Q1839">
        <v>0</v>
      </c>
      <c r="R1839">
        <v>6687084</v>
      </c>
      <c r="S1839">
        <v>18269</v>
      </c>
      <c r="T1839">
        <v>6668815</v>
      </c>
      <c r="U1839">
        <v>6668815</v>
      </c>
      <c r="V1839">
        <v>0</v>
      </c>
      <c r="W1839">
        <v>0</v>
      </c>
    </row>
    <row r="1840" spans="1:23" x14ac:dyDescent="0.35">
      <c r="A1840" t="s">
        <v>2</v>
      </c>
      <c r="B1840">
        <v>2000</v>
      </c>
      <c r="C1840">
        <v>72</v>
      </c>
      <c r="D1840">
        <v>67</v>
      </c>
      <c r="E1840">
        <v>0</v>
      </c>
      <c r="F1840">
        <v>1127785584</v>
      </c>
      <c r="G1840">
        <v>2958670.76</v>
      </c>
      <c r="H1840">
        <v>1097550828.04</v>
      </c>
      <c r="I1840">
        <v>1124826913.24</v>
      </c>
      <c r="J1840">
        <v>0.25457000000000002</v>
      </c>
      <c r="K1840">
        <v>0</v>
      </c>
      <c r="M1840" t="s">
        <v>2</v>
      </c>
      <c r="N1840">
        <v>2000</v>
      </c>
      <c r="O1840">
        <v>72</v>
      </c>
      <c r="P1840">
        <v>49</v>
      </c>
      <c r="Q1840">
        <v>0</v>
      </c>
      <c r="R1840">
        <v>826639507</v>
      </c>
      <c r="S1840">
        <v>2168204.71</v>
      </c>
      <c r="T1840">
        <v>824471302.28999996</v>
      </c>
      <c r="U1840">
        <v>824471302.28999996</v>
      </c>
      <c r="V1840">
        <v>0</v>
      </c>
      <c r="W1840">
        <v>0</v>
      </c>
    </row>
    <row r="1841" spans="1:23" x14ac:dyDescent="0.35">
      <c r="A1841" t="s">
        <v>1</v>
      </c>
      <c r="B1841">
        <v>2250</v>
      </c>
      <c r="C1841">
        <v>144</v>
      </c>
      <c r="D1841">
        <v>1</v>
      </c>
      <c r="E1841">
        <v>0</v>
      </c>
      <c r="F1841">
        <v>16386458</v>
      </c>
      <c r="G1841">
        <v>59911.01</v>
      </c>
      <c r="H1841">
        <v>16326546.99</v>
      </c>
      <c r="I1841">
        <v>16326546.99</v>
      </c>
      <c r="J1841">
        <v>0</v>
      </c>
      <c r="K1841">
        <v>0</v>
      </c>
      <c r="M1841" t="s">
        <v>1</v>
      </c>
      <c r="N1841">
        <v>2250</v>
      </c>
      <c r="O1841">
        <v>144</v>
      </c>
      <c r="P1841">
        <v>1</v>
      </c>
      <c r="Q1841">
        <v>0</v>
      </c>
      <c r="R1841">
        <v>16446590</v>
      </c>
      <c r="S1841">
        <v>59800.09</v>
      </c>
      <c r="T1841">
        <v>16386789.91</v>
      </c>
      <c r="U1841">
        <v>16386789.91</v>
      </c>
      <c r="V1841">
        <v>0</v>
      </c>
      <c r="W1841">
        <v>0</v>
      </c>
    </row>
    <row r="1842" spans="1:23" x14ac:dyDescent="0.35">
      <c r="A1842" t="s">
        <v>2</v>
      </c>
      <c r="B1842">
        <v>2000</v>
      </c>
      <c r="C1842">
        <v>120</v>
      </c>
      <c r="D1842">
        <v>2</v>
      </c>
      <c r="E1842">
        <v>0</v>
      </c>
      <c r="F1842">
        <v>19915512</v>
      </c>
      <c r="G1842">
        <v>64815.34</v>
      </c>
      <c r="H1842">
        <v>19850696.66</v>
      </c>
      <c r="I1842">
        <v>19850696.66</v>
      </c>
      <c r="J1842">
        <v>0</v>
      </c>
      <c r="K1842">
        <v>0</v>
      </c>
      <c r="M1842" t="s">
        <v>2</v>
      </c>
      <c r="N1842">
        <v>2000</v>
      </c>
      <c r="O1842">
        <v>120</v>
      </c>
      <c r="P1842">
        <v>2</v>
      </c>
      <c r="Q1842">
        <v>0</v>
      </c>
      <c r="R1842">
        <v>20002783</v>
      </c>
      <c r="S1842">
        <v>64781.04</v>
      </c>
      <c r="T1842">
        <v>19938001.960000001</v>
      </c>
      <c r="U1842">
        <v>19938001.960000001</v>
      </c>
      <c r="V1842">
        <v>0</v>
      </c>
      <c r="W1842">
        <v>0</v>
      </c>
    </row>
    <row r="1843" spans="1:23" x14ac:dyDescent="0.35">
      <c r="A1843" t="s">
        <v>2</v>
      </c>
      <c r="B1843">
        <v>2250</v>
      </c>
      <c r="C1843">
        <v>144</v>
      </c>
      <c r="D1843">
        <v>1</v>
      </c>
      <c r="E1843">
        <v>0</v>
      </c>
      <c r="F1843">
        <v>18607673</v>
      </c>
      <c r="G1843">
        <v>63417.51</v>
      </c>
      <c r="H1843">
        <v>18544255.489999998</v>
      </c>
      <c r="I1843">
        <v>18544255.489999998</v>
      </c>
      <c r="J1843">
        <v>0</v>
      </c>
      <c r="K1843">
        <v>0</v>
      </c>
      <c r="M1843" t="s">
        <v>2</v>
      </c>
      <c r="N1843">
        <v>2250</v>
      </c>
      <c r="O1843">
        <v>144</v>
      </c>
      <c r="P1843">
        <v>1</v>
      </c>
      <c r="Q1843">
        <v>0</v>
      </c>
      <c r="R1843">
        <v>18670865</v>
      </c>
      <c r="S1843">
        <v>63303.71</v>
      </c>
      <c r="T1843">
        <v>18607561.289999999</v>
      </c>
      <c r="U1843">
        <v>18607561.289999999</v>
      </c>
      <c r="V1843">
        <v>0</v>
      </c>
      <c r="W1843">
        <v>0</v>
      </c>
    </row>
    <row r="1844" spans="1:23" x14ac:dyDescent="0.35">
      <c r="A1844" t="s">
        <v>0</v>
      </c>
      <c r="B1844">
        <v>2000</v>
      </c>
      <c r="C1844">
        <v>96</v>
      </c>
      <c r="D1844">
        <v>1</v>
      </c>
      <c r="E1844">
        <v>0</v>
      </c>
      <c r="F1844">
        <v>15084454</v>
      </c>
      <c r="G1844">
        <v>43679.26</v>
      </c>
      <c r="H1844">
        <v>15040774.74</v>
      </c>
      <c r="I1844">
        <v>15040774.74</v>
      </c>
      <c r="J1844">
        <v>0</v>
      </c>
      <c r="K1844">
        <v>0</v>
      </c>
      <c r="M1844" t="s">
        <v>0</v>
      </c>
      <c r="N1844">
        <v>2000</v>
      </c>
      <c r="O1844">
        <v>96</v>
      </c>
      <c r="P1844">
        <v>1</v>
      </c>
      <c r="Q1844">
        <v>0</v>
      </c>
      <c r="R1844">
        <v>15084454</v>
      </c>
      <c r="S1844">
        <v>43480.89</v>
      </c>
      <c r="T1844">
        <v>15040973.109999999</v>
      </c>
      <c r="U1844">
        <v>15040973.109999999</v>
      </c>
      <c r="V1844">
        <v>0</v>
      </c>
      <c r="W1844">
        <v>0</v>
      </c>
    </row>
    <row r="1845" spans="1:23" x14ac:dyDescent="0.35">
      <c r="A1845" t="s">
        <v>1</v>
      </c>
      <c r="B1845">
        <v>2000</v>
      </c>
      <c r="C1845">
        <v>120</v>
      </c>
      <c r="D1845">
        <v>4</v>
      </c>
      <c r="E1845">
        <v>0</v>
      </c>
      <c r="F1845">
        <v>54024507</v>
      </c>
      <c r="G1845">
        <v>189480.72</v>
      </c>
      <c r="H1845">
        <v>53835026.280000001</v>
      </c>
      <c r="I1845">
        <v>53835026.280000001</v>
      </c>
      <c r="J1845">
        <v>0</v>
      </c>
      <c r="K1845">
        <v>0</v>
      </c>
      <c r="M1845" t="s">
        <v>0</v>
      </c>
      <c r="N1845">
        <v>2000</v>
      </c>
      <c r="O1845">
        <v>108</v>
      </c>
      <c r="P1845">
        <v>2</v>
      </c>
      <c r="Q1845">
        <v>0</v>
      </c>
      <c r="R1845">
        <v>16289061</v>
      </c>
      <c r="S1845">
        <v>51141.54</v>
      </c>
      <c r="T1845">
        <v>16237919.460000001</v>
      </c>
      <c r="U1845">
        <v>16237919.460000001</v>
      </c>
      <c r="V1845">
        <v>0</v>
      </c>
      <c r="W1845">
        <v>0</v>
      </c>
    </row>
    <row r="1846" spans="1:23" x14ac:dyDescent="0.35">
      <c r="A1846" t="s">
        <v>0</v>
      </c>
      <c r="B1846">
        <v>2000</v>
      </c>
      <c r="C1846">
        <v>108</v>
      </c>
      <c r="D1846">
        <v>2</v>
      </c>
      <c r="E1846">
        <v>0</v>
      </c>
      <c r="F1846">
        <v>16254936</v>
      </c>
      <c r="G1846">
        <v>51279.1</v>
      </c>
      <c r="H1846">
        <v>16203656.9</v>
      </c>
      <c r="I1846">
        <v>16203656.9</v>
      </c>
      <c r="J1846">
        <v>0</v>
      </c>
      <c r="K1846">
        <v>0</v>
      </c>
      <c r="M1846" t="s">
        <v>1</v>
      </c>
      <c r="N1846">
        <v>2500</v>
      </c>
      <c r="O1846">
        <v>192</v>
      </c>
      <c r="P1846">
        <v>2</v>
      </c>
      <c r="Q1846">
        <v>0</v>
      </c>
      <c r="R1846">
        <v>15652670</v>
      </c>
      <c r="S1846">
        <v>71584.28</v>
      </c>
      <c r="T1846">
        <v>15581085.720000001</v>
      </c>
      <c r="U1846">
        <v>15581085.720000001</v>
      </c>
      <c r="V1846">
        <v>0</v>
      </c>
      <c r="W1846">
        <v>0</v>
      </c>
    </row>
    <row r="1847" spans="1:23" x14ac:dyDescent="0.35">
      <c r="A1847" t="s">
        <v>1</v>
      </c>
      <c r="B1847">
        <v>2500</v>
      </c>
      <c r="C1847">
        <v>192</v>
      </c>
      <c r="D1847">
        <v>2</v>
      </c>
      <c r="E1847">
        <v>0</v>
      </c>
      <c r="F1847">
        <v>15580345</v>
      </c>
      <c r="G1847">
        <v>71730.02</v>
      </c>
      <c r="H1847">
        <v>15508614.98</v>
      </c>
      <c r="I1847">
        <v>15508614.98</v>
      </c>
      <c r="J1847">
        <v>0</v>
      </c>
      <c r="K1847">
        <v>0</v>
      </c>
      <c r="M1847" t="s">
        <v>2</v>
      </c>
      <c r="N1847">
        <v>6250</v>
      </c>
      <c r="O1847">
        <v>72</v>
      </c>
      <c r="P1847">
        <v>1</v>
      </c>
      <c r="Q1847">
        <v>0</v>
      </c>
      <c r="R1847">
        <v>14937401</v>
      </c>
      <c r="S1847">
        <v>21293.11</v>
      </c>
      <c r="T1847">
        <v>14916107.890000001</v>
      </c>
      <c r="U1847">
        <v>14916107.890000001</v>
      </c>
      <c r="V1847">
        <v>0</v>
      </c>
      <c r="W1847">
        <v>0</v>
      </c>
    </row>
    <row r="1848" spans="1:23" x14ac:dyDescent="0.35">
      <c r="A1848" t="s">
        <v>2</v>
      </c>
      <c r="B1848">
        <v>6250</v>
      </c>
      <c r="C1848">
        <v>72</v>
      </c>
      <c r="D1848">
        <v>1</v>
      </c>
      <c r="E1848">
        <v>0</v>
      </c>
      <c r="F1848">
        <v>14915561</v>
      </c>
      <c r="G1848">
        <v>21403.23</v>
      </c>
      <c r="H1848">
        <v>14894157.77</v>
      </c>
      <c r="I1848">
        <v>14894157.77</v>
      </c>
      <c r="J1848">
        <v>0</v>
      </c>
      <c r="K1848">
        <v>0</v>
      </c>
      <c r="M1848" t="s">
        <v>2</v>
      </c>
      <c r="N1848">
        <v>2000</v>
      </c>
      <c r="O1848">
        <v>192</v>
      </c>
      <c r="P1848">
        <v>3</v>
      </c>
      <c r="Q1848">
        <v>0</v>
      </c>
      <c r="R1848">
        <v>25272642</v>
      </c>
      <c r="S1848">
        <v>149355.1</v>
      </c>
      <c r="T1848">
        <v>25123286.899999999</v>
      </c>
      <c r="U1848">
        <v>25123286.899999999</v>
      </c>
      <c r="V1848">
        <v>0</v>
      </c>
      <c r="W1848">
        <v>0</v>
      </c>
    </row>
    <row r="1849" spans="1:23" x14ac:dyDescent="0.35">
      <c r="A1849" t="s">
        <v>3</v>
      </c>
      <c r="B1849">
        <v>5000</v>
      </c>
      <c r="C1849">
        <v>72</v>
      </c>
      <c r="D1849">
        <v>1</v>
      </c>
      <c r="E1849">
        <v>0</v>
      </c>
      <c r="F1849">
        <v>14026601</v>
      </c>
      <c r="G1849">
        <v>24111.94</v>
      </c>
      <c r="H1849">
        <v>14002489.060000001</v>
      </c>
      <c r="I1849">
        <v>14002489.060000001</v>
      </c>
      <c r="J1849">
        <v>0</v>
      </c>
      <c r="K1849">
        <v>0</v>
      </c>
      <c r="M1849" t="s">
        <v>1</v>
      </c>
      <c r="N1849">
        <v>2750</v>
      </c>
      <c r="O1849">
        <v>192</v>
      </c>
      <c r="P1849">
        <v>2</v>
      </c>
      <c r="Q1849">
        <v>0</v>
      </c>
      <c r="R1849">
        <v>22889506</v>
      </c>
      <c r="S1849">
        <v>95655.14</v>
      </c>
      <c r="T1849">
        <v>22793850.859999999</v>
      </c>
      <c r="U1849">
        <v>22793850.859999999</v>
      </c>
      <c r="V1849">
        <v>0</v>
      </c>
      <c r="W1849">
        <v>0</v>
      </c>
    </row>
    <row r="1850" spans="1:23" x14ac:dyDescent="0.35">
      <c r="A1850" t="s">
        <v>2</v>
      </c>
      <c r="B1850">
        <v>2000</v>
      </c>
      <c r="C1850">
        <v>192</v>
      </c>
      <c r="D1850">
        <v>3</v>
      </c>
      <c r="E1850">
        <v>0</v>
      </c>
      <c r="F1850">
        <v>25069361</v>
      </c>
      <c r="G1850">
        <v>149282.51999999999</v>
      </c>
      <c r="H1850">
        <v>24920078.48</v>
      </c>
      <c r="I1850">
        <v>24920078.48</v>
      </c>
      <c r="J1850">
        <v>0</v>
      </c>
      <c r="K1850">
        <v>0</v>
      </c>
      <c r="M1850" t="s">
        <v>0</v>
      </c>
      <c r="N1850">
        <v>5750</v>
      </c>
      <c r="O1850">
        <v>60</v>
      </c>
      <c r="P1850">
        <v>20</v>
      </c>
      <c r="Q1850">
        <v>0</v>
      </c>
      <c r="R1850">
        <v>293374831</v>
      </c>
      <c r="S1850">
        <v>437316.28</v>
      </c>
      <c r="T1850">
        <v>273678440.01999998</v>
      </c>
      <c r="U1850">
        <v>292937514.72000003</v>
      </c>
      <c r="V1850">
        <v>0.55727499999999996</v>
      </c>
      <c r="W1850">
        <v>0</v>
      </c>
    </row>
    <row r="1851" spans="1:23" x14ac:dyDescent="0.35">
      <c r="A1851" t="s">
        <v>1</v>
      </c>
      <c r="B1851">
        <v>2750</v>
      </c>
      <c r="C1851">
        <v>192</v>
      </c>
      <c r="D1851">
        <v>2</v>
      </c>
      <c r="E1851">
        <v>0</v>
      </c>
      <c r="F1851">
        <v>22708939</v>
      </c>
      <c r="G1851">
        <v>95517.2</v>
      </c>
      <c r="H1851">
        <v>22613421.800000001</v>
      </c>
      <c r="I1851">
        <v>22613421.800000001</v>
      </c>
      <c r="J1851">
        <v>0</v>
      </c>
      <c r="K1851">
        <v>0</v>
      </c>
      <c r="M1851" t="s">
        <v>3</v>
      </c>
      <c r="N1851">
        <v>4500</v>
      </c>
      <c r="O1851">
        <v>60</v>
      </c>
      <c r="P1851">
        <v>1</v>
      </c>
      <c r="Q1851">
        <v>0</v>
      </c>
      <c r="R1851">
        <v>30854441</v>
      </c>
      <c r="S1851">
        <v>55486.44</v>
      </c>
      <c r="T1851">
        <v>30798954.559999999</v>
      </c>
      <c r="U1851">
        <v>30798954.559999999</v>
      </c>
      <c r="V1851">
        <v>0</v>
      </c>
      <c r="W1851">
        <v>0</v>
      </c>
    </row>
    <row r="1852" spans="1:23" x14ac:dyDescent="0.35">
      <c r="A1852" t="s">
        <v>3</v>
      </c>
      <c r="B1852">
        <v>4500</v>
      </c>
      <c r="C1852">
        <v>60</v>
      </c>
      <c r="D1852">
        <v>1</v>
      </c>
      <c r="E1852">
        <v>0</v>
      </c>
      <c r="F1852">
        <v>30799526</v>
      </c>
      <c r="G1852">
        <v>55695.55</v>
      </c>
      <c r="H1852">
        <v>30743830.449999999</v>
      </c>
      <c r="I1852">
        <v>30743830.449999999</v>
      </c>
      <c r="J1852">
        <v>0</v>
      </c>
      <c r="K1852">
        <v>0</v>
      </c>
      <c r="M1852" t="s">
        <v>0</v>
      </c>
      <c r="N1852">
        <v>5500</v>
      </c>
      <c r="O1852">
        <v>60</v>
      </c>
      <c r="P1852">
        <v>11</v>
      </c>
      <c r="Q1852">
        <v>0</v>
      </c>
      <c r="R1852">
        <v>193764070</v>
      </c>
      <c r="S1852">
        <v>300036.46000000002</v>
      </c>
      <c r="T1852">
        <v>193464033.53999999</v>
      </c>
      <c r="U1852">
        <v>193464033.53999999</v>
      </c>
      <c r="V1852">
        <v>0</v>
      </c>
      <c r="W1852">
        <v>0</v>
      </c>
    </row>
    <row r="1853" spans="1:23" x14ac:dyDescent="0.35">
      <c r="A1853" t="s">
        <v>1</v>
      </c>
      <c r="B1853">
        <v>2000</v>
      </c>
      <c r="C1853">
        <v>84</v>
      </c>
      <c r="D1853">
        <v>1</v>
      </c>
      <c r="E1853">
        <v>0</v>
      </c>
      <c r="F1853">
        <v>25045639</v>
      </c>
      <c r="G1853">
        <v>71220.37</v>
      </c>
      <c r="H1853">
        <v>24974418.629999999</v>
      </c>
      <c r="I1853">
        <v>24974418.629999999</v>
      </c>
      <c r="J1853">
        <v>0</v>
      </c>
      <c r="K1853">
        <v>0</v>
      </c>
      <c r="M1853" t="s">
        <v>2</v>
      </c>
      <c r="N1853">
        <v>5500</v>
      </c>
      <c r="O1853">
        <v>60</v>
      </c>
      <c r="P1853">
        <v>15</v>
      </c>
      <c r="Q1853">
        <v>0</v>
      </c>
      <c r="R1853">
        <v>171919480</v>
      </c>
      <c r="S1853">
        <v>296115.61</v>
      </c>
      <c r="T1853">
        <v>171623364.38999999</v>
      </c>
      <c r="U1853">
        <v>171623364.38999999</v>
      </c>
      <c r="V1853">
        <v>0</v>
      </c>
      <c r="W1853">
        <v>0</v>
      </c>
    </row>
    <row r="1854" spans="1:23" x14ac:dyDescent="0.35">
      <c r="A1854" t="s">
        <v>2</v>
      </c>
      <c r="B1854">
        <v>5750</v>
      </c>
      <c r="C1854">
        <v>60</v>
      </c>
      <c r="D1854">
        <v>6</v>
      </c>
      <c r="E1854">
        <v>0</v>
      </c>
      <c r="F1854">
        <v>62617426</v>
      </c>
      <c r="G1854">
        <v>97901.03</v>
      </c>
      <c r="H1854">
        <v>62519524.969999999</v>
      </c>
      <c r="I1854">
        <v>62519524.969999999</v>
      </c>
      <c r="J1854">
        <v>0</v>
      </c>
      <c r="K1854">
        <v>0</v>
      </c>
      <c r="M1854" t="s">
        <v>1</v>
      </c>
      <c r="N1854">
        <v>2000</v>
      </c>
      <c r="O1854">
        <v>84</v>
      </c>
      <c r="P1854">
        <v>1</v>
      </c>
      <c r="Q1854">
        <v>0</v>
      </c>
      <c r="R1854">
        <v>25116741</v>
      </c>
      <c r="S1854">
        <v>71101.86</v>
      </c>
      <c r="T1854">
        <v>25045639.140000001</v>
      </c>
      <c r="U1854">
        <v>25045639.140000001</v>
      </c>
      <c r="V1854">
        <v>0</v>
      </c>
      <c r="W1854">
        <v>0</v>
      </c>
    </row>
    <row r="1855" spans="1:23" x14ac:dyDescent="0.35">
      <c r="A1855" t="s">
        <v>0</v>
      </c>
      <c r="B1855">
        <v>6250</v>
      </c>
      <c r="C1855">
        <v>60</v>
      </c>
      <c r="D1855">
        <v>9</v>
      </c>
      <c r="E1855">
        <v>0</v>
      </c>
      <c r="F1855">
        <v>167722118</v>
      </c>
      <c r="G1855">
        <v>227407.24</v>
      </c>
      <c r="H1855">
        <v>147278280.38999999</v>
      </c>
      <c r="I1855">
        <v>147278280.38999999</v>
      </c>
      <c r="J1855">
        <v>0.78589799999999999</v>
      </c>
      <c r="K1855">
        <v>0.78589799999999999</v>
      </c>
      <c r="M1855" t="s">
        <v>2</v>
      </c>
      <c r="N1855">
        <v>5750</v>
      </c>
      <c r="O1855">
        <v>60</v>
      </c>
      <c r="P1855">
        <v>6</v>
      </c>
      <c r="Q1855">
        <v>0</v>
      </c>
      <c r="R1855">
        <v>60660367</v>
      </c>
      <c r="S1855">
        <v>94850.14</v>
      </c>
      <c r="T1855">
        <v>60565516.859999999</v>
      </c>
      <c r="U1855">
        <v>60565516.859999999</v>
      </c>
      <c r="V1855">
        <v>0</v>
      </c>
      <c r="W1855">
        <v>0</v>
      </c>
    </row>
    <row r="1856" spans="1:23" x14ac:dyDescent="0.35">
      <c r="A1856" t="s">
        <v>0</v>
      </c>
      <c r="B1856">
        <v>3000</v>
      </c>
      <c r="C1856">
        <v>216</v>
      </c>
      <c r="D1856">
        <v>1</v>
      </c>
      <c r="E1856">
        <v>0</v>
      </c>
      <c r="F1856">
        <v>8007602</v>
      </c>
      <c r="G1856">
        <v>42692.78</v>
      </c>
      <c r="H1856">
        <v>7964909.2199999997</v>
      </c>
      <c r="I1856">
        <v>7964909.2199999997</v>
      </c>
      <c r="J1856">
        <v>0</v>
      </c>
      <c r="K1856">
        <v>0</v>
      </c>
      <c r="M1856" t="s">
        <v>0</v>
      </c>
      <c r="N1856">
        <v>6250</v>
      </c>
      <c r="O1856">
        <v>60</v>
      </c>
      <c r="P1856">
        <v>6</v>
      </c>
      <c r="Q1856">
        <v>0</v>
      </c>
      <c r="R1856">
        <v>131724555</v>
      </c>
      <c r="S1856">
        <v>177876.22</v>
      </c>
      <c r="T1856">
        <v>131546678.78</v>
      </c>
      <c r="U1856">
        <v>131546678.78</v>
      </c>
      <c r="V1856">
        <v>0</v>
      </c>
      <c r="W1856">
        <v>0</v>
      </c>
    </row>
    <row r="1857" spans="1:23" x14ac:dyDescent="0.35">
      <c r="A1857" t="s">
        <v>3</v>
      </c>
      <c r="B1857">
        <v>4750</v>
      </c>
      <c r="C1857">
        <v>60</v>
      </c>
      <c r="D1857">
        <v>1</v>
      </c>
      <c r="E1857">
        <v>0</v>
      </c>
      <c r="F1857">
        <v>7373705</v>
      </c>
      <c r="G1857">
        <v>12872.64</v>
      </c>
      <c r="H1857">
        <v>7360832.3600000003</v>
      </c>
      <c r="I1857">
        <v>7360832.3600000003</v>
      </c>
      <c r="J1857">
        <v>0</v>
      </c>
      <c r="K1857">
        <v>0</v>
      </c>
      <c r="M1857" t="s">
        <v>3</v>
      </c>
      <c r="N1857">
        <v>4750</v>
      </c>
      <c r="O1857">
        <v>60</v>
      </c>
      <c r="P1857">
        <v>2</v>
      </c>
      <c r="Q1857">
        <v>0</v>
      </c>
      <c r="R1857">
        <v>11664055</v>
      </c>
      <c r="S1857">
        <v>20416.78</v>
      </c>
      <c r="T1857">
        <v>11643638.220000001</v>
      </c>
      <c r="U1857">
        <v>11643638.220000001</v>
      </c>
      <c r="V1857">
        <v>0</v>
      </c>
      <c r="W1857">
        <v>0</v>
      </c>
    </row>
    <row r="1858" spans="1:23" x14ac:dyDescent="0.35">
      <c r="A1858" t="s">
        <v>1</v>
      </c>
      <c r="B1858">
        <v>2250</v>
      </c>
      <c r="C1858">
        <v>120</v>
      </c>
      <c r="D1858">
        <v>1</v>
      </c>
      <c r="E1858">
        <v>0</v>
      </c>
      <c r="F1858">
        <v>9533005</v>
      </c>
      <c r="G1858">
        <v>34662.18</v>
      </c>
      <c r="H1858">
        <v>9498342.8200000003</v>
      </c>
      <c r="I1858">
        <v>9498342.8200000003</v>
      </c>
      <c r="J1858">
        <v>0</v>
      </c>
      <c r="K1858">
        <v>0</v>
      </c>
      <c r="M1858" t="s">
        <v>0</v>
      </c>
      <c r="N1858">
        <v>3000</v>
      </c>
      <c r="O1858">
        <v>216</v>
      </c>
      <c r="P1858">
        <v>1</v>
      </c>
      <c r="Q1858">
        <v>0</v>
      </c>
      <c r="R1858">
        <v>8050119</v>
      </c>
      <c r="S1858">
        <v>42585.95</v>
      </c>
      <c r="T1858">
        <v>8007533.0499999998</v>
      </c>
      <c r="U1858">
        <v>8007533.0499999998</v>
      </c>
      <c r="V1858">
        <v>0</v>
      </c>
      <c r="W1858">
        <v>0</v>
      </c>
    </row>
    <row r="1859" spans="1:23" x14ac:dyDescent="0.35">
      <c r="A1859" t="s">
        <v>1</v>
      </c>
      <c r="B1859">
        <v>5750</v>
      </c>
      <c r="C1859">
        <v>60</v>
      </c>
      <c r="D1859">
        <v>2</v>
      </c>
      <c r="E1859">
        <v>0</v>
      </c>
      <c r="F1859">
        <v>37513462</v>
      </c>
      <c r="G1859">
        <v>56135.11</v>
      </c>
      <c r="H1859">
        <v>37457326.890000001</v>
      </c>
      <c r="I1859">
        <v>37457326.890000001</v>
      </c>
      <c r="J1859">
        <v>0</v>
      </c>
      <c r="K1859">
        <v>0</v>
      </c>
      <c r="M1859" t="s">
        <v>1</v>
      </c>
      <c r="N1859">
        <v>2250</v>
      </c>
      <c r="O1859">
        <v>120</v>
      </c>
      <c r="P1859">
        <v>1</v>
      </c>
      <c r="Q1859">
        <v>0</v>
      </c>
      <c r="R1859">
        <v>9533005</v>
      </c>
      <c r="S1859">
        <v>34472.199999999997</v>
      </c>
      <c r="T1859">
        <v>9498532.8000000007</v>
      </c>
      <c r="U1859">
        <v>9498532.8000000007</v>
      </c>
      <c r="V1859">
        <v>0</v>
      </c>
      <c r="W1859">
        <v>0</v>
      </c>
    </row>
    <row r="1860" spans="1:23" x14ac:dyDescent="0.35">
      <c r="A1860" t="s">
        <v>0</v>
      </c>
      <c r="B1860">
        <v>6000</v>
      </c>
      <c r="C1860">
        <v>60</v>
      </c>
      <c r="D1860">
        <v>1</v>
      </c>
      <c r="E1860">
        <v>0</v>
      </c>
      <c r="F1860">
        <v>13037918</v>
      </c>
      <c r="G1860">
        <v>18817.43</v>
      </c>
      <c r="H1860">
        <v>13019100.57</v>
      </c>
      <c r="I1860">
        <v>13019100.57</v>
      </c>
      <c r="J1860">
        <v>0</v>
      </c>
      <c r="K1860">
        <v>0</v>
      </c>
      <c r="M1860" t="s">
        <v>1</v>
      </c>
      <c r="N1860">
        <v>5750</v>
      </c>
      <c r="O1860">
        <v>60</v>
      </c>
      <c r="P1860">
        <v>2</v>
      </c>
      <c r="Q1860">
        <v>0</v>
      </c>
      <c r="R1860">
        <v>37557790</v>
      </c>
      <c r="S1860">
        <v>55852.05</v>
      </c>
      <c r="T1860">
        <v>37501937.950000003</v>
      </c>
      <c r="U1860">
        <v>37501937.950000003</v>
      </c>
      <c r="V1860">
        <v>0</v>
      </c>
      <c r="W1860">
        <v>0</v>
      </c>
    </row>
    <row r="1861" spans="1:23" x14ac:dyDescent="0.35">
      <c r="A1861" t="s">
        <v>0</v>
      </c>
      <c r="B1861">
        <v>2000</v>
      </c>
      <c r="C1861">
        <v>54</v>
      </c>
      <c r="D1861">
        <v>94</v>
      </c>
      <c r="E1861">
        <v>0</v>
      </c>
      <c r="F1861">
        <v>2431338988</v>
      </c>
      <c r="G1861">
        <v>6141557.0999999996</v>
      </c>
      <c r="H1861">
        <v>2407341474.3099999</v>
      </c>
      <c r="I1861">
        <v>2425197430.9000001</v>
      </c>
      <c r="J1861">
        <v>8.4654999999999994E-2</v>
      </c>
      <c r="K1861">
        <v>0</v>
      </c>
      <c r="M1861" t="s">
        <v>0</v>
      </c>
      <c r="N1861">
        <v>6000</v>
      </c>
      <c r="O1861">
        <v>60</v>
      </c>
      <c r="P1861">
        <v>1</v>
      </c>
      <c r="Q1861">
        <v>0</v>
      </c>
      <c r="R1861">
        <v>13056763</v>
      </c>
      <c r="S1861">
        <v>18725.919999999998</v>
      </c>
      <c r="T1861">
        <v>13038037.08</v>
      </c>
      <c r="U1861">
        <v>13038037.08</v>
      </c>
      <c r="V1861">
        <v>0</v>
      </c>
      <c r="W1861">
        <v>0</v>
      </c>
    </row>
    <row r="1862" spans="1:23" x14ac:dyDescent="0.35">
      <c r="A1862" t="s">
        <v>3</v>
      </c>
      <c r="B1862">
        <v>2250</v>
      </c>
      <c r="C1862">
        <v>54</v>
      </c>
      <c r="D1862">
        <v>11</v>
      </c>
      <c r="E1862">
        <v>0</v>
      </c>
      <c r="F1862">
        <v>311644680</v>
      </c>
      <c r="G1862">
        <v>759359.77</v>
      </c>
      <c r="H1862">
        <v>310885320.23000002</v>
      </c>
      <c r="I1862">
        <v>310885320.23000002</v>
      </c>
      <c r="J1862">
        <v>0</v>
      </c>
      <c r="K1862">
        <v>0</v>
      </c>
      <c r="M1862" t="s">
        <v>0</v>
      </c>
      <c r="N1862">
        <v>2000</v>
      </c>
      <c r="O1862">
        <v>54</v>
      </c>
      <c r="P1862">
        <v>138</v>
      </c>
      <c r="Q1862">
        <v>0</v>
      </c>
      <c r="R1862">
        <v>3723275285</v>
      </c>
      <c r="S1862">
        <v>9393860.3399999999</v>
      </c>
      <c r="T1862">
        <v>3713881424.6599998</v>
      </c>
      <c r="U1862">
        <v>3713881424.6599998</v>
      </c>
      <c r="V1862">
        <v>0</v>
      </c>
      <c r="W1862">
        <v>0</v>
      </c>
    </row>
    <row r="1863" spans="1:23" x14ac:dyDescent="0.35">
      <c r="A1863" t="s">
        <v>3</v>
      </c>
      <c r="B1863">
        <v>2500</v>
      </c>
      <c r="C1863">
        <v>54</v>
      </c>
      <c r="D1863">
        <v>21</v>
      </c>
      <c r="E1863">
        <v>0</v>
      </c>
      <c r="F1863">
        <v>415794360</v>
      </c>
      <c r="G1863">
        <v>973047.86</v>
      </c>
      <c r="H1863">
        <v>414821312.13999999</v>
      </c>
      <c r="I1863">
        <v>414821312.13999999</v>
      </c>
      <c r="J1863">
        <v>0</v>
      </c>
      <c r="K1863">
        <v>0</v>
      </c>
      <c r="M1863" t="s">
        <v>2</v>
      </c>
      <c r="N1863">
        <v>2000</v>
      </c>
      <c r="O1863">
        <v>54</v>
      </c>
      <c r="P1863">
        <v>2</v>
      </c>
      <c r="Q1863">
        <v>0</v>
      </c>
      <c r="R1863">
        <v>33164990</v>
      </c>
      <c r="S1863">
        <v>84386.92</v>
      </c>
      <c r="T1863">
        <v>33080603.079999998</v>
      </c>
      <c r="U1863">
        <v>33080603.079999998</v>
      </c>
      <c r="V1863">
        <v>0</v>
      </c>
      <c r="W1863">
        <v>0</v>
      </c>
    </row>
    <row r="1864" spans="1:23" x14ac:dyDescent="0.35">
      <c r="A1864" t="s">
        <v>2</v>
      </c>
      <c r="B1864">
        <v>7000</v>
      </c>
      <c r="C1864">
        <v>72</v>
      </c>
      <c r="D1864">
        <v>1</v>
      </c>
      <c r="E1864">
        <v>0</v>
      </c>
      <c r="F1864">
        <v>7226727</v>
      </c>
      <c r="G1864">
        <v>10593.36</v>
      </c>
      <c r="H1864">
        <v>7216133.6399999997</v>
      </c>
      <c r="I1864">
        <v>7216133.6399999997</v>
      </c>
      <c r="J1864">
        <v>0</v>
      </c>
      <c r="K1864">
        <v>0</v>
      </c>
      <c r="M1864" t="s">
        <v>3</v>
      </c>
      <c r="N1864">
        <v>2250</v>
      </c>
      <c r="O1864">
        <v>54</v>
      </c>
      <c r="P1864">
        <v>13</v>
      </c>
      <c r="Q1864">
        <v>0</v>
      </c>
      <c r="R1864">
        <v>349887165</v>
      </c>
      <c r="S1864">
        <v>850644.43</v>
      </c>
      <c r="T1864">
        <v>349036520.56999999</v>
      </c>
      <c r="U1864">
        <v>349036520.56999999</v>
      </c>
      <c r="V1864">
        <v>0</v>
      </c>
      <c r="W1864">
        <v>0</v>
      </c>
    </row>
    <row r="1865" spans="1:23" x14ac:dyDescent="0.35">
      <c r="A1865" t="s">
        <v>3</v>
      </c>
      <c r="B1865">
        <v>7750</v>
      </c>
      <c r="C1865">
        <v>240</v>
      </c>
      <c r="D1865">
        <v>1</v>
      </c>
      <c r="E1865">
        <v>0</v>
      </c>
      <c r="F1865">
        <v>2475333</v>
      </c>
      <c r="G1865">
        <v>11766.29</v>
      </c>
      <c r="H1865">
        <v>2463566.71</v>
      </c>
      <c r="I1865">
        <v>2463566.71</v>
      </c>
      <c r="J1865">
        <v>0</v>
      </c>
      <c r="K1865">
        <v>0</v>
      </c>
      <c r="M1865" t="s">
        <v>0</v>
      </c>
      <c r="N1865">
        <v>6250</v>
      </c>
      <c r="O1865">
        <v>54</v>
      </c>
      <c r="P1865">
        <v>49</v>
      </c>
      <c r="Q1865">
        <v>0</v>
      </c>
      <c r="R1865">
        <v>958434034</v>
      </c>
      <c r="S1865">
        <v>1255275.6499999999</v>
      </c>
      <c r="T1865">
        <v>957178758.35000002</v>
      </c>
      <c r="U1865">
        <v>957178758.35000002</v>
      </c>
      <c r="V1865">
        <v>0</v>
      </c>
      <c r="W1865">
        <v>0</v>
      </c>
    </row>
    <row r="1866" spans="1:23" x14ac:dyDescent="0.35">
      <c r="A1866" t="s">
        <v>2</v>
      </c>
      <c r="B1866">
        <v>6250</v>
      </c>
      <c r="C1866">
        <v>54</v>
      </c>
      <c r="D1866">
        <v>2</v>
      </c>
      <c r="E1866">
        <v>0</v>
      </c>
      <c r="F1866">
        <v>28481220</v>
      </c>
      <c r="G1866">
        <v>37282.080000000002</v>
      </c>
      <c r="H1866">
        <v>28443937.920000002</v>
      </c>
      <c r="I1866">
        <v>28443937.920000002</v>
      </c>
      <c r="J1866">
        <v>0</v>
      </c>
      <c r="K1866">
        <v>0</v>
      </c>
      <c r="M1866" t="s">
        <v>1</v>
      </c>
      <c r="N1866">
        <v>5500</v>
      </c>
      <c r="O1866">
        <v>54</v>
      </c>
      <c r="P1866">
        <v>13</v>
      </c>
      <c r="Q1866">
        <v>0</v>
      </c>
      <c r="R1866">
        <v>418426377</v>
      </c>
      <c r="S1866">
        <v>647425.15</v>
      </c>
      <c r="T1866">
        <v>417778951.85000002</v>
      </c>
      <c r="U1866">
        <v>417778951.85000002</v>
      </c>
      <c r="V1866">
        <v>0</v>
      </c>
      <c r="W1866">
        <v>0</v>
      </c>
    </row>
    <row r="1867" spans="1:23" x14ac:dyDescent="0.35">
      <c r="A1867" t="s">
        <v>2</v>
      </c>
      <c r="B1867">
        <v>6000</v>
      </c>
      <c r="C1867">
        <v>54</v>
      </c>
      <c r="D1867">
        <v>4</v>
      </c>
      <c r="E1867">
        <v>0</v>
      </c>
      <c r="F1867">
        <v>42063763</v>
      </c>
      <c r="G1867">
        <v>63339.3</v>
      </c>
      <c r="H1867">
        <v>42000423.700000003</v>
      </c>
      <c r="I1867">
        <v>42000423.700000003</v>
      </c>
      <c r="J1867">
        <v>0</v>
      </c>
      <c r="K1867">
        <v>0</v>
      </c>
      <c r="M1867" t="s">
        <v>2</v>
      </c>
      <c r="N1867">
        <v>7000</v>
      </c>
      <c r="O1867">
        <v>72</v>
      </c>
      <c r="P1867">
        <v>1</v>
      </c>
      <c r="Q1867">
        <v>0</v>
      </c>
      <c r="R1867">
        <v>7242153</v>
      </c>
      <c r="S1867">
        <v>10539.05</v>
      </c>
      <c r="T1867">
        <v>7231613.9500000002</v>
      </c>
      <c r="U1867">
        <v>7231613.9500000002</v>
      </c>
      <c r="V1867">
        <v>0</v>
      </c>
      <c r="W1867">
        <v>0</v>
      </c>
    </row>
    <row r="1868" spans="1:23" x14ac:dyDescent="0.35">
      <c r="A1868" t="s">
        <v>2</v>
      </c>
      <c r="B1868">
        <v>7000</v>
      </c>
      <c r="C1868">
        <v>60</v>
      </c>
      <c r="D1868">
        <v>1</v>
      </c>
      <c r="E1868">
        <v>0</v>
      </c>
      <c r="F1868">
        <v>13226372</v>
      </c>
      <c r="G1868">
        <v>18246.12</v>
      </c>
      <c r="H1868">
        <v>13208125.880000001</v>
      </c>
      <c r="I1868">
        <v>13208125.880000001</v>
      </c>
      <c r="J1868">
        <v>0</v>
      </c>
      <c r="K1868">
        <v>0</v>
      </c>
      <c r="M1868" t="s">
        <v>3</v>
      </c>
      <c r="N1868">
        <v>7750</v>
      </c>
      <c r="O1868">
        <v>240</v>
      </c>
      <c r="P1868">
        <v>1</v>
      </c>
      <c r="Q1868">
        <v>0</v>
      </c>
      <c r="R1868">
        <v>2494230</v>
      </c>
      <c r="S1868">
        <v>11725.86</v>
      </c>
      <c r="T1868">
        <v>2482504.14</v>
      </c>
      <c r="U1868">
        <v>2482504.14</v>
      </c>
      <c r="V1868">
        <v>0</v>
      </c>
      <c r="W1868">
        <v>0</v>
      </c>
    </row>
    <row r="1869" spans="1:23" x14ac:dyDescent="0.35">
      <c r="A1869" t="s">
        <v>0</v>
      </c>
      <c r="B1869">
        <v>2000</v>
      </c>
      <c r="C1869">
        <v>216</v>
      </c>
      <c r="D1869">
        <v>1</v>
      </c>
      <c r="E1869">
        <v>0</v>
      </c>
      <c r="F1869">
        <v>21212249</v>
      </c>
      <c r="G1869">
        <v>124591.09</v>
      </c>
      <c r="H1869">
        <v>21087657.91</v>
      </c>
      <c r="I1869">
        <v>21087657.91</v>
      </c>
      <c r="J1869">
        <v>0</v>
      </c>
      <c r="K1869">
        <v>0</v>
      </c>
      <c r="M1869" t="s">
        <v>2</v>
      </c>
      <c r="N1869">
        <v>6250</v>
      </c>
      <c r="O1869">
        <v>54</v>
      </c>
      <c r="P1869">
        <v>2</v>
      </c>
      <c r="Q1869">
        <v>0</v>
      </c>
      <c r="R1869">
        <v>28501175</v>
      </c>
      <c r="S1869">
        <v>37066.620000000003</v>
      </c>
      <c r="T1869">
        <v>28464108.379999999</v>
      </c>
      <c r="U1869">
        <v>28464108.379999999</v>
      </c>
      <c r="V1869">
        <v>0</v>
      </c>
      <c r="W1869">
        <v>0</v>
      </c>
    </row>
    <row r="1870" spans="1:23" x14ac:dyDescent="0.35">
      <c r="A1870" t="s">
        <v>3</v>
      </c>
      <c r="B1870">
        <v>4000</v>
      </c>
      <c r="C1870">
        <v>48</v>
      </c>
      <c r="D1870">
        <v>19</v>
      </c>
      <c r="E1870">
        <v>0</v>
      </c>
      <c r="F1870">
        <v>482789105</v>
      </c>
      <c r="G1870">
        <v>893926.40000000002</v>
      </c>
      <c r="H1870">
        <v>481895178.60000002</v>
      </c>
      <c r="I1870">
        <v>481895178.60000002</v>
      </c>
      <c r="J1870">
        <v>0</v>
      </c>
      <c r="K1870">
        <v>0</v>
      </c>
      <c r="M1870" t="s">
        <v>2</v>
      </c>
      <c r="N1870">
        <v>6000</v>
      </c>
      <c r="O1870">
        <v>54</v>
      </c>
      <c r="P1870">
        <v>4</v>
      </c>
      <c r="Q1870">
        <v>0</v>
      </c>
      <c r="R1870">
        <v>42139741</v>
      </c>
      <c r="S1870">
        <v>63045.18</v>
      </c>
      <c r="T1870">
        <v>42076695.82</v>
      </c>
      <c r="U1870">
        <v>42076695.82</v>
      </c>
      <c r="V1870">
        <v>0</v>
      </c>
      <c r="W1870">
        <v>0</v>
      </c>
    </row>
    <row r="1871" spans="1:23" x14ac:dyDescent="0.35">
      <c r="A1871" t="s">
        <v>0</v>
      </c>
      <c r="B1871">
        <v>2250</v>
      </c>
      <c r="C1871">
        <v>48</v>
      </c>
      <c r="D1871">
        <v>63</v>
      </c>
      <c r="E1871">
        <v>0</v>
      </c>
      <c r="F1871">
        <v>1575370492</v>
      </c>
      <c r="G1871">
        <v>3719194.17</v>
      </c>
      <c r="H1871">
        <v>1571651297.8299999</v>
      </c>
      <c r="I1871">
        <v>1571651297.8299999</v>
      </c>
      <c r="J1871">
        <v>0</v>
      </c>
      <c r="K1871">
        <v>0</v>
      </c>
      <c r="M1871" t="s">
        <v>1</v>
      </c>
      <c r="N1871">
        <v>6250</v>
      </c>
      <c r="O1871">
        <v>54</v>
      </c>
      <c r="P1871">
        <v>1</v>
      </c>
      <c r="Q1871">
        <v>0</v>
      </c>
      <c r="R1871">
        <v>32563580</v>
      </c>
      <c r="S1871">
        <v>43467</v>
      </c>
      <c r="T1871">
        <v>0</v>
      </c>
      <c r="U1871">
        <v>0</v>
      </c>
      <c r="V1871">
        <v>1</v>
      </c>
      <c r="W1871">
        <v>1</v>
      </c>
    </row>
    <row r="1872" spans="1:23" x14ac:dyDescent="0.35">
      <c r="A1872" t="s">
        <v>2</v>
      </c>
      <c r="B1872">
        <v>2500</v>
      </c>
      <c r="C1872">
        <v>48</v>
      </c>
      <c r="D1872">
        <v>14</v>
      </c>
      <c r="E1872">
        <v>0</v>
      </c>
      <c r="F1872">
        <v>247826299</v>
      </c>
      <c r="G1872">
        <v>575665.04</v>
      </c>
      <c r="H1872">
        <v>224922179.25999999</v>
      </c>
      <c r="I1872">
        <v>247250633.96000001</v>
      </c>
      <c r="J1872">
        <v>0.67793800000000004</v>
      </c>
      <c r="K1872">
        <v>0</v>
      </c>
      <c r="M1872" t="s">
        <v>2</v>
      </c>
      <c r="N1872">
        <v>7000</v>
      </c>
      <c r="O1872">
        <v>54</v>
      </c>
      <c r="P1872">
        <v>1</v>
      </c>
      <c r="Q1872">
        <v>0</v>
      </c>
      <c r="R1872">
        <v>13278946</v>
      </c>
      <c r="S1872">
        <v>18189.34</v>
      </c>
      <c r="T1872">
        <v>13260756.66</v>
      </c>
      <c r="U1872">
        <v>13260756.66</v>
      </c>
      <c r="V1872">
        <v>0</v>
      </c>
      <c r="W1872">
        <v>0</v>
      </c>
    </row>
    <row r="1873" spans="1:23" x14ac:dyDescent="0.35">
      <c r="A1873" t="s">
        <v>2</v>
      </c>
      <c r="B1873">
        <v>2250</v>
      </c>
      <c r="C1873">
        <v>48</v>
      </c>
      <c r="D1873">
        <v>4</v>
      </c>
      <c r="E1873">
        <v>0</v>
      </c>
      <c r="F1873">
        <v>84593274</v>
      </c>
      <c r="G1873">
        <v>203203.65</v>
      </c>
      <c r="H1873">
        <v>84390070.349999994</v>
      </c>
      <c r="I1873">
        <v>84390070.349999994</v>
      </c>
      <c r="J1873">
        <v>0</v>
      </c>
      <c r="K1873">
        <v>0</v>
      </c>
      <c r="M1873" t="s">
        <v>0</v>
      </c>
      <c r="N1873">
        <v>2250</v>
      </c>
      <c r="O1873">
        <v>48</v>
      </c>
      <c r="P1873">
        <v>185</v>
      </c>
      <c r="Q1873">
        <v>0</v>
      </c>
      <c r="R1873">
        <v>4726597749</v>
      </c>
      <c r="S1873">
        <v>11152906.869999999</v>
      </c>
      <c r="T1873">
        <v>4681039535.3999996</v>
      </c>
      <c r="U1873">
        <v>4715444842.1300001</v>
      </c>
      <c r="V1873">
        <v>8.3934999999999996E-2</v>
      </c>
      <c r="W1873">
        <v>0</v>
      </c>
    </row>
    <row r="1874" spans="1:23" x14ac:dyDescent="0.35">
      <c r="A1874" t="s">
        <v>3</v>
      </c>
      <c r="B1874">
        <v>3000</v>
      </c>
      <c r="C1874">
        <v>48</v>
      </c>
      <c r="D1874">
        <v>3</v>
      </c>
      <c r="E1874">
        <v>0</v>
      </c>
      <c r="F1874">
        <v>47650254</v>
      </c>
      <c r="G1874">
        <v>101009.58</v>
      </c>
      <c r="H1874">
        <v>47549244.420000002</v>
      </c>
      <c r="I1874">
        <v>47549244.420000002</v>
      </c>
      <c r="J1874">
        <v>0</v>
      </c>
      <c r="K1874">
        <v>0</v>
      </c>
      <c r="M1874" t="s">
        <v>1</v>
      </c>
      <c r="N1874">
        <v>2000</v>
      </c>
      <c r="O1874">
        <v>48</v>
      </c>
      <c r="P1874">
        <v>6</v>
      </c>
      <c r="Q1874">
        <v>0</v>
      </c>
      <c r="R1874">
        <v>203980789</v>
      </c>
      <c r="S1874">
        <v>517091.23</v>
      </c>
      <c r="T1874">
        <v>203463697.77000001</v>
      </c>
      <c r="U1874">
        <v>203463697.77000001</v>
      </c>
      <c r="V1874">
        <v>0</v>
      </c>
      <c r="W1874">
        <v>0</v>
      </c>
    </row>
    <row r="1875" spans="1:23" x14ac:dyDescent="0.35">
      <c r="A1875" t="s">
        <v>3</v>
      </c>
      <c r="B1875">
        <v>3750</v>
      </c>
      <c r="C1875">
        <v>48</v>
      </c>
      <c r="D1875">
        <v>29</v>
      </c>
      <c r="E1875">
        <v>0</v>
      </c>
      <c r="F1875">
        <v>667038765</v>
      </c>
      <c r="G1875">
        <v>1264494.21</v>
      </c>
      <c r="H1875">
        <v>665774270.78999996</v>
      </c>
      <c r="I1875">
        <v>665774270.78999996</v>
      </c>
      <c r="J1875">
        <v>0</v>
      </c>
      <c r="K1875">
        <v>0</v>
      </c>
      <c r="M1875" t="s">
        <v>0</v>
      </c>
      <c r="N1875">
        <v>2000</v>
      </c>
      <c r="O1875">
        <v>216</v>
      </c>
      <c r="P1875">
        <v>1</v>
      </c>
      <c r="Q1875">
        <v>0</v>
      </c>
      <c r="R1875">
        <v>21336699</v>
      </c>
      <c r="S1875">
        <v>124384.17</v>
      </c>
      <c r="T1875">
        <v>21212314.829999998</v>
      </c>
      <c r="U1875">
        <v>21212314.829999998</v>
      </c>
      <c r="V1875">
        <v>0</v>
      </c>
      <c r="W1875">
        <v>0</v>
      </c>
    </row>
    <row r="1876" spans="1:23" x14ac:dyDescent="0.35">
      <c r="A1876" t="s">
        <v>3</v>
      </c>
      <c r="B1876">
        <v>3500</v>
      </c>
      <c r="C1876">
        <v>48</v>
      </c>
      <c r="D1876">
        <v>11</v>
      </c>
      <c r="E1876">
        <v>0</v>
      </c>
      <c r="F1876">
        <v>266677383</v>
      </c>
      <c r="G1876">
        <v>527198.03</v>
      </c>
      <c r="H1876">
        <v>266150184.97</v>
      </c>
      <c r="I1876">
        <v>266150184.97</v>
      </c>
      <c r="J1876">
        <v>0</v>
      </c>
      <c r="K1876">
        <v>0</v>
      </c>
      <c r="M1876" t="s">
        <v>2</v>
      </c>
      <c r="N1876">
        <v>2500</v>
      </c>
      <c r="O1876">
        <v>48</v>
      </c>
      <c r="P1876">
        <v>56</v>
      </c>
      <c r="Q1876">
        <v>0</v>
      </c>
      <c r="R1876">
        <v>1063660955</v>
      </c>
      <c r="S1876">
        <v>2455261.39</v>
      </c>
      <c r="T1876">
        <v>1043257669.98</v>
      </c>
      <c r="U1876">
        <v>1061205693.61</v>
      </c>
      <c r="V1876">
        <v>0.18471199999999999</v>
      </c>
      <c r="W1876">
        <v>0</v>
      </c>
    </row>
    <row r="1877" spans="1:23" x14ac:dyDescent="0.35">
      <c r="A1877" t="s">
        <v>3</v>
      </c>
      <c r="B1877">
        <v>5250</v>
      </c>
      <c r="C1877">
        <v>54</v>
      </c>
      <c r="D1877">
        <v>1</v>
      </c>
      <c r="E1877">
        <v>0</v>
      </c>
      <c r="F1877">
        <v>9257845</v>
      </c>
      <c r="G1877">
        <v>14306.47</v>
      </c>
      <c r="H1877">
        <v>9243538.5299999993</v>
      </c>
      <c r="I1877">
        <v>9243538.5299999993</v>
      </c>
      <c r="J1877">
        <v>0</v>
      </c>
      <c r="K1877">
        <v>0</v>
      </c>
      <c r="M1877" t="s">
        <v>2</v>
      </c>
      <c r="N1877">
        <v>2250</v>
      </c>
      <c r="O1877">
        <v>48</v>
      </c>
      <c r="P1877">
        <v>11</v>
      </c>
      <c r="Q1877">
        <v>0</v>
      </c>
      <c r="R1877">
        <v>244696235</v>
      </c>
      <c r="S1877">
        <v>585489.43999999994</v>
      </c>
      <c r="T1877">
        <v>232098454.91999999</v>
      </c>
      <c r="U1877">
        <v>244110745.56</v>
      </c>
      <c r="V1877">
        <v>0.45340000000000003</v>
      </c>
      <c r="W1877">
        <v>0</v>
      </c>
    </row>
    <row r="1878" spans="1:23" x14ac:dyDescent="0.35">
      <c r="A1878" t="s">
        <v>2</v>
      </c>
      <c r="B1878">
        <v>6500</v>
      </c>
      <c r="C1878">
        <v>54</v>
      </c>
      <c r="D1878">
        <v>4</v>
      </c>
      <c r="E1878">
        <v>0</v>
      </c>
      <c r="F1878">
        <v>33826170</v>
      </c>
      <c r="G1878">
        <v>49062.28</v>
      </c>
      <c r="H1878">
        <v>33777107.719999999</v>
      </c>
      <c r="I1878">
        <v>33777107.719999999</v>
      </c>
      <c r="J1878">
        <v>0</v>
      </c>
      <c r="K1878">
        <v>0</v>
      </c>
      <c r="M1878" t="s">
        <v>3</v>
      </c>
      <c r="N1878">
        <v>2250</v>
      </c>
      <c r="O1878">
        <v>48</v>
      </c>
      <c r="P1878">
        <v>1</v>
      </c>
      <c r="Q1878">
        <v>0</v>
      </c>
      <c r="R1878">
        <v>30984381</v>
      </c>
      <c r="S1878">
        <v>73167.66</v>
      </c>
      <c r="T1878">
        <v>30911213.34</v>
      </c>
      <c r="U1878">
        <v>30911213.34</v>
      </c>
      <c r="V1878">
        <v>0</v>
      </c>
      <c r="W1878">
        <v>0</v>
      </c>
    </row>
    <row r="1879" spans="1:23" x14ac:dyDescent="0.35">
      <c r="A1879" t="s">
        <v>3</v>
      </c>
      <c r="B1879">
        <v>3250</v>
      </c>
      <c r="C1879">
        <v>48</v>
      </c>
      <c r="D1879">
        <v>4</v>
      </c>
      <c r="E1879">
        <v>0</v>
      </c>
      <c r="F1879">
        <v>89786164</v>
      </c>
      <c r="G1879">
        <v>185196.6</v>
      </c>
      <c r="H1879">
        <v>89600967.400000006</v>
      </c>
      <c r="I1879">
        <v>89600967.400000006</v>
      </c>
      <c r="J1879">
        <v>0</v>
      </c>
      <c r="K1879">
        <v>0</v>
      </c>
      <c r="M1879" t="s">
        <v>3</v>
      </c>
      <c r="N1879">
        <v>2500</v>
      </c>
      <c r="O1879">
        <v>48</v>
      </c>
      <c r="P1879">
        <v>1</v>
      </c>
      <c r="Q1879">
        <v>0</v>
      </c>
      <c r="R1879">
        <v>13247088</v>
      </c>
      <c r="S1879">
        <v>30730.86</v>
      </c>
      <c r="T1879">
        <v>13216357.140000001</v>
      </c>
      <c r="U1879">
        <v>13216357.140000001</v>
      </c>
      <c r="V1879">
        <v>0</v>
      </c>
      <c r="W1879">
        <v>0</v>
      </c>
    </row>
    <row r="1880" spans="1:23" x14ac:dyDescent="0.35">
      <c r="A1880" t="s">
        <v>2</v>
      </c>
      <c r="B1880">
        <v>6750</v>
      </c>
      <c r="C1880">
        <v>54</v>
      </c>
      <c r="D1880">
        <v>2</v>
      </c>
      <c r="E1880">
        <v>0</v>
      </c>
      <c r="F1880">
        <v>13582061</v>
      </c>
      <c r="G1880">
        <v>19916.900000000001</v>
      </c>
      <c r="H1880">
        <v>13562144.1</v>
      </c>
      <c r="I1880">
        <v>13562144.1</v>
      </c>
      <c r="J1880">
        <v>0</v>
      </c>
      <c r="K1880">
        <v>0</v>
      </c>
      <c r="M1880" t="s">
        <v>3</v>
      </c>
      <c r="N1880">
        <v>3250</v>
      </c>
      <c r="O1880">
        <v>48</v>
      </c>
      <c r="P1880">
        <v>19</v>
      </c>
      <c r="Q1880">
        <v>0</v>
      </c>
      <c r="R1880">
        <v>443603293</v>
      </c>
      <c r="S1880">
        <v>911684.42</v>
      </c>
      <c r="T1880">
        <v>442691608.57999998</v>
      </c>
      <c r="U1880">
        <v>442691608.57999998</v>
      </c>
      <c r="V1880">
        <v>0</v>
      </c>
      <c r="W1880">
        <v>0</v>
      </c>
    </row>
    <row r="1881" spans="1:23" x14ac:dyDescent="0.35">
      <c r="A1881" t="s">
        <v>1</v>
      </c>
      <c r="B1881">
        <v>2000</v>
      </c>
      <c r="C1881">
        <v>48</v>
      </c>
      <c r="D1881">
        <v>1</v>
      </c>
      <c r="E1881">
        <v>0</v>
      </c>
      <c r="F1881">
        <v>24134516</v>
      </c>
      <c r="G1881">
        <v>64718.99</v>
      </c>
      <c r="H1881">
        <v>24069797.010000002</v>
      </c>
      <c r="I1881">
        <v>24069797.010000002</v>
      </c>
      <c r="J1881">
        <v>0</v>
      </c>
      <c r="K1881">
        <v>0</v>
      </c>
      <c r="M1881" t="s">
        <v>3</v>
      </c>
      <c r="N1881">
        <v>2750</v>
      </c>
      <c r="O1881">
        <v>48</v>
      </c>
      <c r="P1881">
        <v>2</v>
      </c>
      <c r="Q1881">
        <v>0</v>
      </c>
      <c r="R1881">
        <v>38199122</v>
      </c>
      <c r="S1881">
        <v>83969.67</v>
      </c>
      <c r="T1881">
        <v>38115152.329999998</v>
      </c>
      <c r="U1881">
        <v>38115152.329999998</v>
      </c>
      <c r="V1881">
        <v>0</v>
      </c>
      <c r="W1881">
        <v>0</v>
      </c>
    </row>
    <row r="1882" spans="1:23" x14ac:dyDescent="0.35">
      <c r="A1882" t="s">
        <v>1</v>
      </c>
      <c r="B1882">
        <v>2750</v>
      </c>
      <c r="C1882">
        <v>42</v>
      </c>
      <c r="D1882">
        <v>76</v>
      </c>
      <c r="E1882">
        <v>0</v>
      </c>
      <c r="F1882">
        <v>2571824912</v>
      </c>
      <c r="G1882">
        <v>5720228.1399999997</v>
      </c>
      <c r="H1882">
        <v>2566104683.8600001</v>
      </c>
      <c r="I1882">
        <v>2566104683.8600001</v>
      </c>
      <c r="J1882">
        <v>0</v>
      </c>
      <c r="K1882">
        <v>0</v>
      </c>
      <c r="M1882" t="s">
        <v>3</v>
      </c>
      <c r="N1882">
        <v>3000</v>
      </c>
      <c r="O1882">
        <v>48</v>
      </c>
      <c r="P1882">
        <v>6</v>
      </c>
      <c r="Q1882">
        <v>0</v>
      </c>
      <c r="R1882">
        <v>144798169</v>
      </c>
      <c r="S1882">
        <v>307147.8</v>
      </c>
      <c r="T1882">
        <v>144491021.19999999</v>
      </c>
      <c r="U1882">
        <v>144491021.19999999</v>
      </c>
      <c r="V1882">
        <v>0</v>
      </c>
      <c r="W1882">
        <v>0</v>
      </c>
    </row>
    <row r="1883" spans="1:23" x14ac:dyDescent="0.35">
      <c r="A1883" t="s">
        <v>1</v>
      </c>
      <c r="B1883">
        <v>2500</v>
      </c>
      <c r="C1883">
        <v>42</v>
      </c>
      <c r="D1883">
        <v>20</v>
      </c>
      <c r="E1883">
        <v>0</v>
      </c>
      <c r="F1883">
        <v>790443000</v>
      </c>
      <c r="G1883">
        <v>1825234.99</v>
      </c>
      <c r="H1883">
        <v>788617765.00999999</v>
      </c>
      <c r="I1883">
        <v>788617765.00999999</v>
      </c>
      <c r="J1883">
        <v>0</v>
      </c>
      <c r="K1883">
        <v>0</v>
      </c>
      <c r="M1883" t="s">
        <v>2</v>
      </c>
      <c r="N1883">
        <v>6750</v>
      </c>
      <c r="O1883">
        <v>54</v>
      </c>
      <c r="P1883">
        <v>2</v>
      </c>
      <c r="Q1883">
        <v>0</v>
      </c>
      <c r="R1883">
        <v>13619652</v>
      </c>
      <c r="S1883">
        <v>19831.52</v>
      </c>
      <c r="T1883">
        <v>13599820.48</v>
      </c>
      <c r="U1883">
        <v>13599820.48</v>
      </c>
      <c r="V1883">
        <v>0</v>
      </c>
      <c r="W1883">
        <v>0</v>
      </c>
    </row>
    <row r="1884" spans="1:23" x14ac:dyDescent="0.35">
      <c r="A1884" t="s">
        <v>0</v>
      </c>
      <c r="B1884">
        <v>2750</v>
      </c>
      <c r="C1884">
        <v>42</v>
      </c>
      <c r="D1884">
        <v>16</v>
      </c>
      <c r="E1884">
        <v>0</v>
      </c>
      <c r="F1884">
        <v>356814847</v>
      </c>
      <c r="G1884">
        <v>759484.28</v>
      </c>
      <c r="H1884">
        <v>356055362.72000003</v>
      </c>
      <c r="I1884">
        <v>356055362.72000003</v>
      </c>
      <c r="J1884">
        <v>0</v>
      </c>
      <c r="K1884">
        <v>0</v>
      </c>
      <c r="M1884" t="s">
        <v>2</v>
      </c>
      <c r="N1884">
        <v>6500</v>
      </c>
      <c r="O1884">
        <v>54</v>
      </c>
      <c r="P1884">
        <v>3</v>
      </c>
      <c r="Q1884">
        <v>0</v>
      </c>
      <c r="R1884">
        <v>26208879</v>
      </c>
      <c r="S1884">
        <v>38834.480000000003</v>
      </c>
      <c r="T1884">
        <v>26170044.52</v>
      </c>
      <c r="U1884">
        <v>26170044.52</v>
      </c>
      <c r="V1884">
        <v>0</v>
      </c>
      <c r="W1884">
        <v>0</v>
      </c>
    </row>
    <row r="1885" spans="1:23" x14ac:dyDescent="0.35">
      <c r="A1885" t="s">
        <v>2</v>
      </c>
      <c r="B1885">
        <v>2750</v>
      </c>
      <c r="C1885">
        <v>42</v>
      </c>
      <c r="D1885">
        <v>42</v>
      </c>
      <c r="E1885">
        <v>0</v>
      </c>
      <c r="F1885">
        <v>840202703</v>
      </c>
      <c r="G1885">
        <v>1847982.66</v>
      </c>
      <c r="H1885">
        <v>838354720.34000003</v>
      </c>
      <c r="I1885">
        <v>838354720.34000003</v>
      </c>
      <c r="J1885">
        <v>0</v>
      </c>
      <c r="K1885">
        <v>0</v>
      </c>
      <c r="M1885" t="s">
        <v>1</v>
      </c>
      <c r="N1885">
        <v>2750</v>
      </c>
      <c r="O1885">
        <v>42</v>
      </c>
      <c r="P1885">
        <v>105</v>
      </c>
      <c r="Q1885">
        <v>0</v>
      </c>
      <c r="R1885">
        <v>3431254407</v>
      </c>
      <c r="S1885">
        <v>7611236.6600000001</v>
      </c>
      <c r="T1885">
        <v>3410636418.8499999</v>
      </c>
      <c r="U1885">
        <v>3410636418.8499999</v>
      </c>
      <c r="V1885">
        <v>4.4552000000000001E-2</v>
      </c>
      <c r="W1885">
        <v>4.4552000000000001E-2</v>
      </c>
    </row>
    <row r="1886" spans="1:23" x14ac:dyDescent="0.35">
      <c r="A1886" t="s">
        <v>2</v>
      </c>
      <c r="B1886">
        <v>3000</v>
      </c>
      <c r="C1886">
        <v>42</v>
      </c>
      <c r="D1886">
        <v>38</v>
      </c>
      <c r="E1886">
        <v>0</v>
      </c>
      <c r="F1886">
        <v>684558409</v>
      </c>
      <c r="G1886">
        <v>1479428.53</v>
      </c>
      <c r="H1886">
        <v>683078980.47000003</v>
      </c>
      <c r="I1886">
        <v>683078980.47000003</v>
      </c>
      <c r="J1886">
        <v>0</v>
      </c>
      <c r="K1886">
        <v>0</v>
      </c>
      <c r="M1886" t="s">
        <v>1</v>
      </c>
      <c r="N1886">
        <v>2500</v>
      </c>
      <c r="O1886">
        <v>42</v>
      </c>
      <c r="P1886">
        <v>39</v>
      </c>
      <c r="Q1886">
        <v>0</v>
      </c>
      <c r="R1886">
        <v>1376878501</v>
      </c>
      <c r="S1886">
        <v>3182110.25</v>
      </c>
      <c r="T1886">
        <v>1373696390.75</v>
      </c>
      <c r="U1886">
        <v>1373696390.75</v>
      </c>
      <c r="V1886">
        <v>0</v>
      </c>
      <c r="W1886">
        <v>0</v>
      </c>
    </row>
    <row r="1887" spans="1:23" x14ac:dyDescent="0.35">
      <c r="A1887" t="s">
        <v>2</v>
      </c>
      <c r="B1887">
        <v>4000</v>
      </c>
      <c r="C1887">
        <v>42</v>
      </c>
      <c r="D1887">
        <v>68</v>
      </c>
      <c r="E1887">
        <v>0</v>
      </c>
      <c r="F1887">
        <v>1398767482</v>
      </c>
      <c r="G1887">
        <v>2549863.13</v>
      </c>
      <c r="H1887">
        <v>1384321793.99</v>
      </c>
      <c r="I1887">
        <v>1396217618.8699999</v>
      </c>
      <c r="J1887">
        <v>9.7413E-2</v>
      </c>
      <c r="K1887">
        <v>0</v>
      </c>
      <c r="M1887" t="s">
        <v>2</v>
      </c>
      <c r="N1887">
        <v>3000</v>
      </c>
      <c r="O1887">
        <v>42</v>
      </c>
      <c r="P1887">
        <v>34</v>
      </c>
      <c r="Q1887">
        <v>0</v>
      </c>
      <c r="R1887">
        <v>628644346</v>
      </c>
      <c r="S1887">
        <v>1358279.39</v>
      </c>
      <c r="T1887">
        <v>627286066.61000001</v>
      </c>
      <c r="U1887">
        <v>627286066.61000001</v>
      </c>
      <c r="V1887">
        <v>0</v>
      </c>
      <c r="W1887">
        <v>0</v>
      </c>
    </row>
    <row r="1888" spans="1:23" x14ac:dyDescent="0.35">
      <c r="A1888" t="s">
        <v>2</v>
      </c>
      <c r="B1888">
        <v>3750</v>
      </c>
      <c r="C1888">
        <v>42</v>
      </c>
      <c r="D1888">
        <v>55</v>
      </c>
      <c r="E1888">
        <v>0</v>
      </c>
      <c r="F1888">
        <v>779482220</v>
      </c>
      <c r="G1888">
        <v>1504457.95</v>
      </c>
      <c r="H1888">
        <v>763218155.75999999</v>
      </c>
      <c r="I1888">
        <v>763218155.75999999</v>
      </c>
      <c r="J1888">
        <v>0.20499000000000001</v>
      </c>
      <c r="K1888">
        <v>0.20499000000000001</v>
      </c>
      <c r="M1888" t="s">
        <v>0</v>
      </c>
      <c r="N1888">
        <v>2750</v>
      </c>
      <c r="O1888">
        <v>42</v>
      </c>
      <c r="P1888">
        <v>24</v>
      </c>
      <c r="Q1888">
        <v>0</v>
      </c>
      <c r="R1888">
        <v>525657655</v>
      </c>
      <c r="S1888">
        <v>1119643.99</v>
      </c>
      <c r="T1888">
        <v>524538011.00999999</v>
      </c>
      <c r="U1888">
        <v>524538011.00999999</v>
      </c>
      <c r="V1888">
        <v>0</v>
      </c>
      <c r="W1888">
        <v>0</v>
      </c>
    </row>
    <row r="1889" spans="1:23" x14ac:dyDescent="0.35">
      <c r="A1889" t="s">
        <v>3</v>
      </c>
      <c r="B1889">
        <v>4750</v>
      </c>
      <c r="C1889">
        <v>42</v>
      </c>
      <c r="D1889">
        <v>7</v>
      </c>
      <c r="E1889">
        <v>0</v>
      </c>
      <c r="F1889">
        <v>157783886</v>
      </c>
      <c r="G1889">
        <v>248557.17</v>
      </c>
      <c r="H1889">
        <v>157535328.83000001</v>
      </c>
      <c r="I1889">
        <v>157535328.83000001</v>
      </c>
      <c r="J1889">
        <v>0</v>
      </c>
      <c r="K1889">
        <v>0</v>
      </c>
      <c r="M1889" t="s">
        <v>2</v>
      </c>
      <c r="N1889">
        <v>3750</v>
      </c>
      <c r="O1889">
        <v>42</v>
      </c>
      <c r="P1889">
        <v>61</v>
      </c>
      <c r="Q1889">
        <v>0</v>
      </c>
      <c r="R1889">
        <v>956030935</v>
      </c>
      <c r="S1889">
        <v>1839269.88</v>
      </c>
      <c r="T1889">
        <v>951322931.34000003</v>
      </c>
      <c r="U1889">
        <v>951322931.34000003</v>
      </c>
      <c r="V1889">
        <v>3.542E-2</v>
      </c>
      <c r="W1889">
        <v>3.542E-2</v>
      </c>
    </row>
    <row r="1890" spans="1:23" x14ac:dyDescent="0.35">
      <c r="A1890" t="s">
        <v>2</v>
      </c>
      <c r="B1890">
        <v>2250</v>
      </c>
      <c r="C1890">
        <v>42</v>
      </c>
      <c r="D1890">
        <v>4</v>
      </c>
      <c r="E1890">
        <v>0</v>
      </c>
      <c r="F1890">
        <v>62114977</v>
      </c>
      <c r="G1890">
        <v>150032.42000000001</v>
      </c>
      <c r="H1890">
        <v>61964944.579999998</v>
      </c>
      <c r="I1890">
        <v>61964944.579999998</v>
      </c>
      <c r="J1890">
        <v>0</v>
      </c>
      <c r="K1890">
        <v>0</v>
      </c>
      <c r="M1890" t="s">
        <v>3</v>
      </c>
      <c r="N1890">
        <v>3750</v>
      </c>
      <c r="O1890">
        <v>42</v>
      </c>
      <c r="P1890">
        <v>1</v>
      </c>
      <c r="Q1890">
        <v>0</v>
      </c>
      <c r="R1890">
        <v>34309805</v>
      </c>
      <c r="S1890">
        <v>64393.36</v>
      </c>
      <c r="T1890">
        <v>34245411.640000001</v>
      </c>
      <c r="U1890">
        <v>34245411.640000001</v>
      </c>
      <c r="V1890">
        <v>0</v>
      </c>
      <c r="W1890">
        <v>0</v>
      </c>
    </row>
    <row r="1891" spans="1:23" x14ac:dyDescent="0.35">
      <c r="A1891" t="s">
        <v>1</v>
      </c>
      <c r="B1891">
        <v>2250</v>
      </c>
      <c r="C1891">
        <v>42</v>
      </c>
      <c r="D1891">
        <v>27</v>
      </c>
      <c r="E1891">
        <v>0</v>
      </c>
      <c r="F1891">
        <v>818216808</v>
      </c>
      <c r="G1891">
        <v>1957379.77</v>
      </c>
      <c r="H1891">
        <v>801687715.70000005</v>
      </c>
      <c r="I1891">
        <v>801687715.70000005</v>
      </c>
      <c r="J1891">
        <v>0.193971</v>
      </c>
      <c r="K1891">
        <v>0.193971</v>
      </c>
      <c r="M1891" t="s">
        <v>3</v>
      </c>
      <c r="N1891">
        <v>4500</v>
      </c>
      <c r="O1891">
        <v>42</v>
      </c>
      <c r="P1891">
        <v>3</v>
      </c>
      <c r="Q1891">
        <v>0</v>
      </c>
      <c r="R1891">
        <v>93964350</v>
      </c>
      <c r="S1891">
        <v>154997.76999999999</v>
      </c>
      <c r="T1891">
        <v>93809352.230000004</v>
      </c>
      <c r="U1891">
        <v>93809352.230000004</v>
      </c>
      <c r="V1891">
        <v>0</v>
      </c>
      <c r="W1891">
        <v>0</v>
      </c>
    </row>
    <row r="1892" spans="1:23" x14ac:dyDescent="0.35">
      <c r="A1892" t="s">
        <v>3</v>
      </c>
      <c r="B1892">
        <v>4250</v>
      </c>
      <c r="C1892">
        <v>42</v>
      </c>
      <c r="D1892">
        <v>19</v>
      </c>
      <c r="E1892">
        <v>0</v>
      </c>
      <c r="F1892">
        <v>279540456</v>
      </c>
      <c r="G1892">
        <v>473965.93</v>
      </c>
      <c r="H1892">
        <v>279066490.06999999</v>
      </c>
      <c r="I1892">
        <v>279066490.06999999</v>
      </c>
      <c r="J1892">
        <v>0</v>
      </c>
      <c r="K1892">
        <v>0</v>
      </c>
      <c r="M1892" t="s">
        <v>2</v>
      </c>
      <c r="N1892">
        <v>2750</v>
      </c>
      <c r="O1892">
        <v>42</v>
      </c>
      <c r="P1892">
        <v>44</v>
      </c>
      <c r="Q1892">
        <v>0</v>
      </c>
      <c r="R1892">
        <v>819334935</v>
      </c>
      <c r="S1892">
        <v>1810292.2</v>
      </c>
      <c r="T1892">
        <v>817524642.79999995</v>
      </c>
      <c r="U1892">
        <v>817524642.79999995</v>
      </c>
      <c r="V1892">
        <v>0</v>
      </c>
      <c r="W1892">
        <v>0</v>
      </c>
    </row>
    <row r="1893" spans="1:23" x14ac:dyDescent="0.35">
      <c r="A1893" t="s">
        <v>3</v>
      </c>
      <c r="B1893">
        <v>5000</v>
      </c>
      <c r="C1893">
        <v>42</v>
      </c>
      <c r="D1893">
        <v>1</v>
      </c>
      <c r="E1893">
        <v>0</v>
      </c>
      <c r="F1893">
        <v>28659349</v>
      </c>
      <c r="G1893">
        <v>43149.05</v>
      </c>
      <c r="H1893">
        <v>28616199.949999999</v>
      </c>
      <c r="I1893">
        <v>28616199.949999999</v>
      </c>
      <c r="J1893">
        <v>0</v>
      </c>
      <c r="K1893">
        <v>0</v>
      </c>
      <c r="M1893" t="s">
        <v>1</v>
      </c>
      <c r="N1893">
        <v>2250</v>
      </c>
      <c r="O1893">
        <v>42</v>
      </c>
      <c r="P1893">
        <v>33</v>
      </c>
      <c r="Q1893">
        <v>0</v>
      </c>
      <c r="R1893">
        <v>1011328402</v>
      </c>
      <c r="S1893">
        <v>2422485.4700000002</v>
      </c>
      <c r="T1893">
        <v>1008905916.53</v>
      </c>
      <c r="U1893">
        <v>1008905916.53</v>
      </c>
      <c r="V1893">
        <v>0</v>
      </c>
      <c r="W1893">
        <v>0</v>
      </c>
    </row>
    <row r="1894" spans="1:23" x14ac:dyDescent="0.35">
      <c r="A1894" t="s">
        <v>2</v>
      </c>
      <c r="B1894">
        <v>2500</v>
      </c>
      <c r="C1894">
        <v>42</v>
      </c>
      <c r="D1894">
        <v>7</v>
      </c>
      <c r="E1894">
        <v>0</v>
      </c>
      <c r="F1894">
        <v>126274152</v>
      </c>
      <c r="G1894">
        <v>295101.87</v>
      </c>
      <c r="H1894">
        <v>125979050.13</v>
      </c>
      <c r="I1894">
        <v>125979050.13</v>
      </c>
      <c r="J1894">
        <v>0</v>
      </c>
      <c r="K1894">
        <v>0</v>
      </c>
      <c r="M1894" t="s">
        <v>3</v>
      </c>
      <c r="N1894">
        <v>4250</v>
      </c>
      <c r="O1894">
        <v>42</v>
      </c>
      <c r="P1894">
        <v>20</v>
      </c>
      <c r="Q1894">
        <v>0</v>
      </c>
      <c r="R1894">
        <v>295107908</v>
      </c>
      <c r="S1894">
        <v>498021.58</v>
      </c>
      <c r="T1894">
        <v>294609886.42000002</v>
      </c>
      <c r="U1894">
        <v>294609886.42000002</v>
      </c>
      <c r="V1894">
        <v>0</v>
      </c>
      <c r="W1894">
        <v>0</v>
      </c>
    </row>
    <row r="1895" spans="1:23" x14ac:dyDescent="0.35">
      <c r="A1895" t="s">
        <v>0</v>
      </c>
      <c r="B1895">
        <v>2500</v>
      </c>
      <c r="C1895">
        <v>42</v>
      </c>
      <c r="D1895">
        <v>1</v>
      </c>
      <c r="E1895">
        <v>0</v>
      </c>
      <c r="F1895">
        <v>17207282</v>
      </c>
      <c r="G1895">
        <v>37879.46</v>
      </c>
      <c r="H1895">
        <v>17169402.539999999</v>
      </c>
      <c r="I1895">
        <v>17169402.539999999</v>
      </c>
      <c r="J1895">
        <v>0</v>
      </c>
      <c r="K1895">
        <v>0</v>
      </c>
      <c r="M1895" t="s">
        <v>2</v>
      </c>
      <c r="N1895">
        <v>2250</v>
      </c>
      <c r="O1895">
        <v>42</v>
      </c>
      <c r="P1895">
        <v>3</v>
      </c>
      <c r="Q1895">
        <v>0</v>
      </c>
      <c r="R1895">
        <v>50525947</v>
      </c>
      <c r="S1895">
        <v>121438.39999999999</v>
      </c>
      <c r="T1895">
        <v>50404508.600000001</v>
      </c>
      <c r="U1895">
        <v>50404508.600000001</v>
      </c>
      <c r="V1895">
        <v>0</v>
      </c>
      <c r="W1895">
        <v>0</v>
      </c>
    </row>
    <row r="1896" spans="1:23" x14ac:dyDescent="0.35">
      <c r="A1896" t="s">
        <v>1</v>
      </c>
      <c r="B1896">
        <v>9000</v>
      </c>
      <c r="C1896">
        <v>42</v>
      </c>
      <c r="D1896">
        <v>1</v>
      </c>
      <c r="E1896">
        <v>0</v>
      </c>
      <c r="F1896">
        <v>24291178</v>
      </c>
      <c r="G1896">
        <v>19199.669999999998</v>
      </c>
      <c r="H1896">
        <v>24271978.329999998</v>
      </c>
      <c r="I1896">
        <v>24271978.329999998</v>
      </c>
      <c r="J1896">
        <v>0</v>
      </c>
      <c r="K1896">
        <v>0</v>
      </c>
      <c r="M1896" t="s">
        <v>2</v>
      </c>
      <c r="N1896">
        <v>2500</v>
      </c>
      <c r="O1896">
        <v>42</v>
      </c>
      <c r="P1896">
        <v>5</v>
      </c>
      <c r="Q1896">
        <v>0</v>
      </c>
      <c r="R1896">
        <v>87219433</v>
      </c>
      <c r="S1896">
        <v>206187.37</v>
      </c>
      <c r="T1896">
        <v>87013245.629999995</v>
      </c>
      <c r="U1896">
        <v>87013245.629999995</v>
      </c>
      <c r="V1896">
        <v>0</v>
      </c>
      <c r="W1896">
        <v>0</v>
      </c>
    </row>
    <row r="1897" spans="1:23" x14ac:dyDescent="0.35">
      <c r="A1897" t="s">
        <v>1</v>
      </c>
      <c r="B1897">
        <v>8250</v>
      </c>
      <c r="C1897">
        <v>42</v>
      </c>
      <c r="D1897">
        <v>5</v>
      </c>
      <c r="E1897">
        <v>0</v>
      </c>
      <c r="F1897">
        <v>105022363</v>
      </c>
      <c r="G1897">
        <v>92763.28</v>
      </c>
      <c r="H1897">
        <v>104929599.72</v>
      </c>
      <c r="I1897">
        <v>104929599.72</v>
      </c>
      <c r="J1897">
        <v>0</v>
      </c>
      <c r="K1897">
        <v>0</v>
      </c>
      <c r="M1897" t="s">
        <v>1</v>
      </c>
      <c r="N1897">
        <v>9000</v>
      </c>
      <c r="O1897">
        <v>42</v>
      </c>
      <c r="P1897">
        <v>1</v>
      </c>
      <c r="Q1897">
        <v>0</v>
      </c>
      <c r="R1897">
        <v>24310659</v>
      </c>
      <c r="S1897">
        <v>19061.009999999998</v>
      </c>
      <c r="T1897">
        <v>24291597.989999998</v>
      </c>
      <c r="U1897">
        <v>24291597.989999998</v>
      </c>
      <c r="V1897">
        <v>0</v>
      </c>
      <c r="W1897">
        <v>0</v>
      </c>
    </row>
    <row r="1898" spans="1:23" x14ac:dyDescent="0.35">
      <c r="A1898" t="s">
        <v>3</v>
      </c>
      <c r="B1898">
        <v>4000</v>
      </c>
      <c r="C1898">
        <v>42</v>
      </c>
      <c r="D1898">
        <v>1</v>
      </c>
      <c r="E1898">
        <v>0</v>
      </c>
      <c r="F1898">
        <v>3102999</v>
      </c>
      <c r="G1898">
        <v>5442.35</v>
      </c>
      <c r="H1898">
        <v>3097556.65</v>
      </c>
      <c r="I1898">
        <v>3097556.65</v>
      </c>
      <c r="J1898">
        <v>0</v>
      </c>
      <c r="K1898">
        <v>0</v>
      </c>
      <c r="M1898" t="s">
        <v>1</v>
      </c>
      <c r="N1898">
        <v>8250</v>
      </c>
      <c r="O1898">
        <v>42</v>
      </c>
      <c r="P1898">
        <v>5</v>
      </c>
      <c r="Q1898">
        <v>0</v>
      </c>
      <c r="R1898">
        <v>105043103</v>
      </c>
      <c r="S1898">
        <v>92076.83</v>
      </c>
      <c r="T1898">
        <v>104951026.17</v>
      </c>
      <c r="U1898">
        <v>104951026.17</v>
      </c>
      <c r="V1898">
        <v>0</v>
      </c>
      <c r="W1898">
        <v>0</v>
      </c>
    </row>
    <row r="1899" spans="1:23" x14ac:dyDescent="0.35">
      <c r="A1899" t="s">
        <v>1</v>
      </c>
      <c r="B1899">
        <v>2000</v>
      </c>
      <c r="C1899">
        <v>42</v>
      </c>
      <c r="D1899">
        <v>1</v>
      </c>
      <c r="E1899">
        <v>0</v>
      </c>
      <c r="F1899">
        <v>37732710</v>
      </c>
      <c r="G1899">
        <v>91898.2</v>
      </c>
      <c r="H1899">
        <v>37640811.799999997</v>
      </c>
      <c r="I1899">
        <v>37640811.799999997</v>
      </c>
      <c r="J1899">
        <v>0</v>
      </c>
      <c r="K1899">
        <v>0</v>
      </c>
      <c r="M1899" t="s">
        <v>3</v>
      </c>
      <c r="N1899">
        <v>4000</v>
      </c>
      <c r="O1899">
        <v>42</v>
      </c>
      <c r="P1899">
        <v>1</v>
      </c>
      <c r="Q1899">
        <v>0</v>
      </c>
      <c r="R1899">
        <v>3108478</v>
      </c>
      <c r="S1899">
        <v>5424.36</v>
      </c>
      <c r="T1899">
        <v>3103053.64</v>
      </c>
      <c r="U1899">
        <v>3103053.64</v>
      </c>
      <c r="V1899">
        <v>0</v>
      </c>
      <c r="W1899">
        <v>0</v>
      </c>
    </row>
    <row r="1900" spans="1:23" x14ac:dyDescent="0.35">
      <c r="A1900" t="s">
        <v>1</v>
      </c>
      <c r="B1900">
        <v>4250</v>
      </c>
      <c r="C1900">
        <v>36</v>
      </c>
      <c r="D1900">
        <v>331</v>
      </c>
      <c r="E1900">
        <v>0</v>
      </c>
      <c r="F1900">
        <v>10609877902</v>
      </c>
      <c r="G1900">
        <v>17447431.57</v>
      </c>
      <c r="H1900">
        <v>10346383783.07</v>
      </c>
      <c r="I1900">
        <v>10518720732.950001</v>
      </c>
      <c r="J1900">
        <v>0.245396</v>
      </c>
      <c r="K1900">
        <v>8.0254000000000006E-2</v>
      </c>
      <c r="M1900" t="s">
        <v>1</v>
      </c>
      <c r="N1900">
        <v>2000</v>
      </c>
      <c r="O1900">
        <v>42</v>
      </c>
      <c r="P1900">
        <v>1</v>
      </c>
      <c r="Q1900">
        <v>0</v>
      </c>
      <c r="R1900">
        <v>37824913</v>
      </c>
      <c r="S1900">
        <v>91765.45</v>
      </c>
      <c r="T1900">
        <v>37733147.549999997</v>
      </c>
      <c r="U1900">
        <v>37733147.549999997</v>
      </c>
      <c r="V1900">
        <v>0</v>
      </c>
      <c r="W1900">
        <v>0</v>
      </c>
    </row>
    <row r="1901" spans="1:23" x14ac:dyDescent="0.35">
      <c r="A1901" t="s">
        <v>1</v>
      </c>
      <c r="B1901">
        <v>4500</v>
      </c>
      <c r="C1901">
        <v>36</v>
      </c>
      <c r="D1901">
        <v>485</v>
      </c>
      <c r="E1901">
        <v>0</v>
      </c>
      <c r="F1901">
        <v>16430234579</v>
      </c>
      <c r="G1901">
        <v>26052053.66</v>
      </c>
      <c r="H1901">
        <v>16234776847.209999</v>
      </c>
      <c r="I1901">
        <v>16255107103.57</v>
      </c>
      <c r="J1901">
        <v>0.116947</v>
      </c>
      <c r="K1901">
        <v>0.103607</v>
      </c>
      <c r="M1901" t="s">
        <v>2</v>
      </c>
      <c r="N1901">
        <v>3000</v>
      </c>
      <c r="O1901">
        <v>36</v>
      </c>
      <c r="P1901">
        <v>27</v>
      </c>
      <c r="Q1901">
        <v>0</v>
      </c>
      <c r="R1901">
        <v>495812210</v>
      </c>
      <c r="S1901">
        <v>1042848.83</v>
      </c>
      <c r="T1901">
        <v>494769361.17000002</v>
      </c>
      <c r="U1901">
        <v>494769361.17000002</v>
      </c>
      <c r="V1901">
        <v>0</v>
      </c>
      <c r="W1901">
        <v>0</v>
      </c>
    </row>
    <row r="1902" spans="1:23" x14ac:dyDescent="0.35">
      <c r="A1902" t="s">
        <v>0</v>
      </c>
      <c r="B1902">
        <v>2000</v>
      </c>
      <c r="C1902">
        <v>42</v>
      </c>
      <c r="D1902">
        <v>1</v>
      </c>
      <c r="E1902">
        <v>0</v>
      </c>
      <c r="F1902">
        <v>19402538</v>
      </c>
      <c r="G1902">
        <v>45393.59</v>
      </c>
      <c r="H1902">
        <v>19357144.41</v>
      </c>
      <c r="I1902">
        <v>19357144.41</v>
      </c>
      <c r="J1902">
        <v>0</v>
      </c>
      <c r="K1902">
        <v>0</v>
      </c>
      <c r="M1902" t="s">
        <v>2</v>
      </c>
      <c r="N1902">
        <v>2750</v>
      </c>
      <c r="O1902">
        <v>36</v>
      </c>
      <c r="P1902">
        <v>27</v>
      </c>
      <c r="Q1902">
        <v>0</v>
      </c>
      <c r="R1902">
        <v>611554404</v>
      </c>
      <c r="S1902">
        <v>1325195.8400000001</v>
      </c>
      <c r="T1902">
        <v>591618269.36000001</v>
      </c>
      <c r="U1902">
        <v>610229208.15999997</v>
      </c>
      <c r="V1902">
        <v>0.30985800000000002</v>
      </c>
      <c r="W1902">
        <v>0</v>
      </c>
    </row>
    <row r="1903" spans="1:23" x14ac:dyDescent="0.35">
      <c r="A1903" t="s">
        <v>0</v>
      </c>
      <c r="B1903">
        <v>2750</v>
      </c>
      <c r="C1903">
        <v>36</v>
      </c>
      <c r="D1903">
        <v>7</v>
      </c>
      <c r="E1903">
        <v>0</v>
      </c>
      <c r="F1903">
        <v>224003795</v>
      </c>
      <c r="G1903">
        <v>480652.92</v>
      </c>
      <c r="H1903">
        <v>223523142.08000001</v>
      </c>
      <c r="I1903">
        <v>223523142.08000001</v>
      </c>
      <c r="J1903">
        <v>0</v>
      </c>
      <c r="K1903">
        <v>0</v>
      </c>
      <c r="M1903" t="s">
        <v>1</v>
      </c>
      <c r="N1903">
        <v>3500</v>
      </c>
      <c r="O1903">
        <v>36</v>
      </c>
      <c r="P1903">
        <v>55</v>
      </c>
      <c r="Q1903">
        <v>0</v>
      </c>
      <c r="R1903">
        <v>1547621257</v>
      </c>
      <c r="S1903">
        <v>2988326.35</v>
      </c>
      <c r="T1903">
        <v>1481030456.0799999</v>
      </c>
      <c r="U1903">
        <v>1496358848.5999999</v>
      </c>
      <c r="V1903">
        <v>0.39563900000000002</v>
      </c>
      <c r="W1903">
        <v>0.31632399999999999</v>
      </c>
    </row>
    <row r="1904" spans="1:23" x14ac:dyDescent="0.35">
      <c r="A1904" t="s">
        <v>2</v>
      </c>
      <c r="B1904">
        <v>3000</v>
      </c>
      <c r="C1904">
        <v>36</v>
      </c>
      <c r="D1904">
        <v>21</v>
      </c>
      <c r="E1904">
        <v>0</v>
      </c>
      <c r="F1904">
        <v>351137032</v>
      </c>
      <c r="G1904">
        <v>735092.14</v>
      </c>
      <c r="H1904">
        <v>350401939.86000001</v>
      </c>
      <c r="I1904">
        <v>350401939.86000001</v>
      </c>
      <c r="J1904">
        <v>0</v>
      </c>
      <c r="K1904">
        <v>0</v>
      </c>
      <c r="M1904" t="s">
        <v>1</v>
      </c>
      <c r="N1904">
        <v>3750</v>
      </c>
      <c r="O1904">
        <v>36</v>
      </c>
      <c r="P1904">
        <v>99</v>
      </c>
      <c r="Q1904">
        <v>0</v>
      </c>
      <c r="R1904">
        <v>3355936722</v>
      </c>
      <c r="S1904">
        <v>6149729.2699999996</v>
      </c>
      <c r="T1904">
        <v>3327119700.6700001</v>
      </c>
      <c r="U1904">
        <v>3327119700.6700001</v>
      </c>
      <c r="V1904">
        <v>7.8107999999999997E-2</v>
      </c>
      <c r="W1904">
        <v>7.8107999999999997E-2</v>
      </c>
    </row>
    <row r="1905" spans="1:23" x14ac:dyDescent="0.35">
      <c r="A1905" t="s">
        <v>2</v>
      </c>
      <c r="B1905">
        <v>3250</v>
      </c>
      <c r="C1905">
        <v>36</v>
      </c>
      <c r="D1905">
        <v>30</v>
      </c>
      <c r="E1905">
        <v>0</v>
      </c>
      <c r="F1905">
        <v>551250660</v>
      </c>
      <c r="G1905">
        <v>1095442.05</v>
      </c>
      <c r="H1905">
        <v>532190904.92000002</v>
      </c>
      <c r="I1905">
        <v>550155217.95000005</v>
      </c>
      <c r="J1905">
        <v>0.32805099999999998</v>
      </c>
      <c r="K1905">
        <v>0</v>
      </c>
      <c r="M1905" t="s">
        <v>2</v>
      </c>
      <c r="N1905">
        <v>3500</v>
      </c>
      <c r="O1905">
        <v>36</v>
      </c>
      <c r="P1905">
        <v>26</v>
      </c>
      <c r="Q1905">
        <v>0</v>
      </c>
      <c r="R1905">
        <v>373170658</v>
      </c>
      <c r="S1905">
        <v>731497.77</v>
      </c>
      <c r="T1905">
        <v>372439160.23000002</v>
      </c>
      <c r="U1905">
        <v>372439160.23000002</v>
      </c>
      <c r="V1905">
        <v>0</v>
      </c>
      <c r="W1905">
        <v>0</v>
      </c>
    </row>
    <row r="1906" spans="1:23" x14ac:dyDescent="0.35">
      <c r="A1906" t="s">
        <v>2</v>
      </c>
      <c r="B1906">
        <v>3500</v>
      </c>
      <c r="C1906">
        <v>36</v>
      </c>
      <c r="D1906">
        <v>21</v>
      </c>
      <c r="E1906">
        <v>0</v>
      </c>
      <c r="F1906">
        <v>302830444</v>
      </c>
      <c r="G1906">
        <v>582441.65</v>
      </c>
      <c r="H1906">
        <v>302248002.35000002</v>
      </c>
      <c r="I1906">
        <v>302248002.35000002</v>
      </c>
      <c r="J1906">
        <v>0</v>
      </c>
      <c r="K1906">
        <v>0</v>
      </c>
      <c r="M1906" t="s">
        <v>2</v>
      </c>
      <c r="N1906">
        <v>3250</v>
      </c>
      <c r="O1906">
        <v>36</v>
      </c>
      <c r="P1906">
        <v>30</v>
      </c>
      <c r="Q1906">
        <v>0</v>
      </c>
      <c r="R1906">
        <v>536454071</v>
      </c>
      <c r="S1906">
        <v>1075411.26</v>
      </c>
      <c r="T1906">
        <v>535378659.74000001</v>
      </c>
      <c r="U1906">
        <v>535378659.74000001</v>
      </c>
      <c r="V1906">
        <v>0</v>
      </c>
      <c r="W1906">
        <v>0</v>
      </c>
    </row>
    <row r="1907" spans="1:23" x14ac:dyDescent="0.35">
      <c r="A1907" t="s">
        <v>0</v>
      </c>
      <c r="B1907">
        <v>3500</v>
      </c>
      <c r="C1907">
        <v>36</v>
      </c>
      <c r="D1907">
        <v>26</v>
      </c>
      <c r="E1907">
        <v>0</v>
      </c>
      <c r="F1907">
        <v>677312611</v>
      </c>
      <c r="G1907">
        <v>1260293.28</v>
      </c>
      <c r="H1907">
        <v>658914271.09000003</v>
      </c>
      <c r="I1907">
        <v>658914271.09000003</v>
      </c>
      <c r="J1907">
        <v>0.26474900000000001</v>
      </c>
      <c r="K1907">
        <v>0.26474900000000001</v>
      </c>
      <c r="M1907" t="s">
        <v>2</v>
      </c>
      <c r="N1907">
        <v>3750</v>
      </c>
      <c r="O1907">
        <v>36</v>
      </c>
      <c r="P1907">
        <v>39</v>
      </c>
      <c r="Q1907">
        <v>0</v>
      </c>
      <c r="R1907">
        <v>535428524</v>
      </c>
      <c r="S1907">
        <v>1012134.82</v>
      </c>
      <c r="T1907">
        <v>534416389.18000001</v>
      </c>
      <c r="U1907">
        <v>534416389.18000001</v>
      </c>
      <c r="V1907">
        <v>0</v>
      </c>
      <c r="W1907">
        <v>0</v>
      </c>
    </row>
    <row r="1908" spans="1:23" x14ac:dyDescent="0.35">
      <c r="A1908" t="s">
        <v>0</v>
      </c>
      <c r="B1908">
        <v>3250</v>
      </c>
      <c r="C1908">
        <v>36</v>
      </c>
      <c r="D1908">
        <v>23</v>
      </c>
      <c r="E1908">
        <v>0</v>
      </c>
      <c r="F1908">
        <v>502994544</v>
      </c>
      <c r="G1908">
        <v>972183.25</v>
      </c>
      <c r="H1908">
        <v>502022360.75</v>
      </c>
      <c r="I1908">
        <v>502022360.75</v>
      </c>
      <c r="J1908">
        <v>0</v>
      </c>
      <c r="K1908">
        <v>0</v>
      </c>
      <c r="M1908" t="s">
        <v>2</v>
      </c>
      <c r="N1908">
        <v>4000</v>
      </c>
      <c r="O1908">
        <v>36</v>
      </c>
      <c r="P1908">
        <v>25</v>
      </c>
      <c r="Q1908">
        <v>0</v>
      </c>
      <c r="R1908">
        <v>411665950</v>
      </c>
      <c r="S1908">
        <v>745374.12</v>
      </c>
      <c r="T1908">
        <v>410920575.88</v>
      </c>
      <c r="U1908">
        <v>410920575.88</v>
      </c>
      <c r="V1908">
        <v>0</v>
      </c>
      <c r="W1908">
        <v>0</v>
      </c>
    </row>
    <row r="1909" spans="1:23" x14ac:dyDescent="0.35">
      <c r="A1909" t="s">
        <v>1</v>
      </c>
      <c r="B1909">
        <v>3500</v>
      </c>
      <c r="C1909">
        <v>36</v>
      </c>
      <c r="D1909">
        <v>46</v>
      </c>
      <c r="E1909">
        <v>0</v>
      </c>
      <c r="F1909">
        <v>1334965047</v>
      </c>
      <c r="G1909">
        <v>2578334.7799999998</v>
      </c>
      <c r="H1909">
        <v>1309537594.96</v>
      </c>
      <c r="I1909">
        <v>1309537594.96</v>
      </c>
      <c r="J1909">
        <v>0.18711800000000001</v>
      </c>
      <c r="K1909">
        <v>0.18711800000000001</v>
      </c>
      <c r="M1909" t="s">
        <v>2</v>
      </c>
      <c r="N1909">
        <v>4500</v>
      </c>
      <c r="O1909">
        <v>36</v>
      </c>
      <c r="P1909">
        <v>35</v>
      </c>
      <c r="Q1909">
        <v>0</v>
      </c>
      <c r="R1909">
        <v>683085941</v>
      </c>
      <c r="S1909">
        <v>1094786.9099999999</v>
      </c>
      <c r="T1909">
        <v>681991154.09000003</v>
      </c>
      <c r="U1909">
        <v>681991154.09000003</v>
      </c>
      <c r="V1909">
        <v>0</v>
      </c>
      <c r="W1909">
        <v>0</v>
      </c>
    </row>
    <row r="1910" spans="1:23" x14ac:dyDescent="0.35">
      <c r="A1910" t="s">
        <v>1</v>
      </c>
      <c r="B1910">
        <v>3750</v>
      </c>
      <c r="C1910">
        <v>36</v>
      </c>
      <c r="D1910">
        <v>88</v>
      </c>
      <c r="E1910">
        <v>0</v>
      </c>
      <c r="F1910">
        <v>2987058362</v>
      </c>
      <c r="G1910">
        <v>5496492.9500000002</v>
      </c>
      <c r="H1910">
        <v>2907987844.6399999</v>
      </c>
      <c r="I1910">
        <v>2943324728.4099998</v>
      </c>
      <c r="J1910">
        <v>0.25864199999999998</v>
      </c>
      <c r="K1910">
        <v>0.14324500000000001</v>
      </c>
      <c r="M1910" t="s">
        <v>3</v>
      </c>
      <c r="N1910">
        <v>5500</v>
      </c>
      <c r="O1910">
        <v>36</v>
      </c>
      <c r="P1910">
        <v>10</v>
      </c>
      <c r="Q1910">
        <v>0</v>
      </c>
      <c r="R1910">
        <v>290610814</v>
      </c>
      <c r="S1910">
        <v>387456.03</v>
      </c>
      <c r="T1910">
        <v>290223357.97000003</v>
      </c>
      <c r="U1910">
        <v>290223357.97000003</v>
      </c>
      <c r="V1910">
        <v>0</v>
      </c>
      <c r="W1910">
        <v>0</v>
      </c>
    </row>
    <row r="1911" spans="1:23" x14ac:dyDescent="0.35">
      <c r="A1911" t="s">
        <v>2</v>
      </c>
      <c r="B1911">
        <v>4000</v>
      </c>
      <c r="C1911">
        <v>36</v>
      </c>
      <c r="D1911">
        <v>25</v>
      </c>
      <c r="E1911">
        <v>0</v>
      </c>
      <c r="F1911">
        <v>407127009</v>
      </c>
      <c r="G1911">
        <v>724454.84</v>
      </c>
      <c r="H1911">
        <v>406402554.16000003</v>
      </c>
      <c r="I1911">
        <v>406402554.16000003</v>
      </c>
      <c r="J1911">
        <v>0</v>
      </c>
      <c r="K1911">
        <v>0</v>
      </c>
      <c r="M1911" t="s">
        <v>3</v>
      </c>
      <c r="N1911">
        <v>5250</v>
      </c>
      <c r="O1911">
        <v>36</v>
      </c>
      <c r="P1911">
        <v>4</v>
      </c>
      <c r="Q1911">
        <v>0</v>
      </c>
      <c r="R1911">
        <v>95393373</v>
      </c>
      <c r="S1911">
        <v>133430.15</v>
      </c>
      <c r="T1911">
        <v>95259942.849999994</v>
      </c>
      <c r="U1911">
        <v>95259942.849999994</v>
      </c>
      <c r="V1911">
        <v>0</v>
      </c>
      <c r="W1911">
        <v>0</v>
      </c>
    </row>
    <row r="1912" spans="1:23" x14ac:dyDescent="0.35">
      <c r="A1912" t="s">
        <v>2</v>
      </c>
      <c r="B1912">
        <v>3750</v>
      </c>
      <c r="C1912">
        <v>36</v>
      </c>
      <c r="D1912">
        <v>28</v>
      </c>
      <c r="E1912">
        <v>0</v>
      </c>
      <c r="F1912">
        <v>420512702</v>
      </c>
      <c r="G1912">
        <v>788148.62</v>
      </c>
      <c r="H1912">
        <v>419724553.38</v>
      </c>
      <c r="I1912">
        <v>419724553.38</v>
      </c>
      <c r="J1912">
        <v>0</v>
      </c>
      <c r="K1912">
        <v>0</v>
      </c>
      <c r="M1912" t="s">
        <v>0</v>
      </c>
      <c r="N1912">
        <v>2000</v>
      </c>
      <c r="O1912">
        <v>36</v>
      </c>
      <c r="P1912">
        <v>2</v>
      </c>
      <c r="Q1912">
        <v>0</v>
      </c>
      <c r="R1912">
        <v>71575688</v>
      </c>
      <c r="S1912">
        <v>164871.95000000001</v>
      </c>
      <c r="T1912">
        <v>71410816.049999997</v>
      </c>
      <c r="U1912">
        <v>71410816.049999997</v>
      </c>
      <c r="V1912">
        <v>0</v>
      </c>
      <c r="W1912">
        <v>0</v>
      </c>
    </row>
    <row r="1913" spans="1:23" x14ac:dyDescent="0.35">
      <c r="A1913" t="s">
        <v>2</v>
      </c>
      <c r="B1913">
        <v>4500</v>
      </c>
      <c r="C1913">
        <v>36</v>
      </c>
      <c r="D1913">
        <v>32</v>
      </c>
      <c r="E1913">
        <v>0</v>
      </c>
      <c r="F1913">
        <v>627839595</v>
      </c>
      <c r="G1913">
        <v>1008491.91</v>
      </c>
      <c r="H1913">
        <v>626831103.09000003</v>
      </c>
      <c r="I1913">
        <v>626831103.09000003</v>
      </c>
      <c r="J1913">
        <v>0</v>
      </c>
      <c r="K1913">
        <v>0</v>
      </c>
      <c r="M1913" t="s">
        <v>2</v>
      </c>
      <c r="N1913">
        <v>2500</v>
      </c>
      <c r="O1913">
        <v>36</v>
      </c>
      <c r="P1913">
        <v>6</v>
      </c>
      <c r="Q1913">
        <v>0</v>
      </c>
      <c r="R1913">
        <v>111404598</v>
      </c>
      <c r="S1913">
        <v>250485.73</v>
      </c>
      <c r="T1913">
        <v>111154112.27</v>
      </c>
      <c r="U1913">
        <v>111154112.27</v>
      </c>
      <c r="V1913">
        <v>0</v>
      </c>
      <c r="W1913">
        <v>0</v>
      </c>
    </row>
    <row r="1914" spans="1:23" x14ac:dyDescent="0.35">
      <c r="A1914" t="s">
        <v>3</v>
      </c>
      <c r="B1914">
        <v>5000</v>
      </c>
      <c r="C1914">
        <v>36</v>
      </c>
      <c r="D1914">
        <v>2</v>
      </c>
      <c r="E1914">
        <v>0</v>
      </c>
      <c r="F1914">
        <v>25481882</v>
      </c>
      <c r="G1914">
        <v>37785.51</v>
      </c>
      <c r="H1914">
        <v>25444096.489999998</v>
      </c>
      <c r="I1914">
        <v>25444096.489999998</v>
      </c>
      <c r="J1914">
        <v>0</v>
      </c>
      <c r="K1914">
        <v>0</v>
      </c>
      <c r="M1914" t="s">
        <v>0</v>
      </c>
      <c r="N1914">
        <v>2750</v>
      </c>
      <c r="O1914">
        <v>36</v>
      </c>
      <c r="P1914">
        <v>9</v>
      </c>
      <c r="Q1914">
        <v>0</v>
      </c>
      <c r="R1914">
        <v>262883026</v>
      </c>
      <c r="S1914">
        <v>559567.82999999996</v>
      </c>
      <c r="T1914">
        <v>262323458.16999999</v>
      </c>
      <c r="U1914">
        <v>262323458.16999999</v>
      </c>
      <c r="V1914">
        <v>0</v>
      </c>
      <c r="W1914">
        <v>0</v>
      </c>
    </row>
    <row r="1915" spans="1:23" x14ac:dyDescent="0.35">
      <c r="A1915" t="s">
        <v>3</v>
      </c>
      <c r="B1915">
        <v>5500</v>
      </c>
      <c r="C1915">
        <v>36</v>
      </c>
      <c r="D1915">
        <v>9</v>
      </c>
      <c r="E1915">
        <v>0</v>
      </c>
      <c r="F1915">
        <v>269631762</v>
      </c>
      <c r="G1915">
        <v>361299.3</v>
      </c>
      <c r="H1915">
        <v>269270462.69999999</v>
      </c>
      <c r="I1915">
        <v>269270462.69999999</v>
      </c>
      <c r="J1915">
        <v>0</v>
      </c>
      <c r="K1915">
        <v>0</v>
      </c>
      <c r="M1915" t="s">
        <v>2</v>
      </c>
      <c r="N1915">
        <v>2250</v>
      </c>
      <c r="O1915">
        <v>36</v>
      </c>
      <c r="P1915">
        <v>1</v>
      </c>
      <c r="Q1915">
        <v>0</v>
      </c>
      <c r="R1915">
        <v>11864130</v>
      </c>
      <c r="S1915">
        <v>28619.22</v>
      </c>
      <c r="T1915">
        <v>11835510.779999999</v>
      </c>
      <c r="U1915">
        <v>11835510.779999999</v>
      </c>
      <c r="V1915">
        <v>0</v>
      </c>
      <c r="W1915">
        <v>0</v>
      </c>
    </row>
    <row r="1916" spans="1:23" x14ac:dyDescent="0.35">
      <c r="A1916" t="s">
        <v>2</v>
      </c>
      <c r="B1916">
        <v>7250</v>
      </c>
      <c r="C1916">
        <v>60</v>
      </c>
      <c r="D1916">
        <v>1</v>
      </c>
      <c r="E1916">
        <v>0</v>
      </c>
      <c r="F1916">
        <v>6576130</v>
      </c>
      <c r="G1916">
        <v>7735.5</v>
      </c>
      <c r="H1916">
        <v>6568394.5</v>
      </c>
      <c r="I1916">
        <v>6568394.5</v>
      </c>
      <c r="J1916">
        <v>0</v>
      </c>
      <c r="K1916">
        <v>0</v>
      </c>
      <c r="M1916" t="s">
        <v>0</v>
      </c>
      <c r="N1916">
        <v>3250</v>
      </c>
      <c r="O1916">
        <v>36</v>
      </c>
      <c r="P1916">
        <v>22</v>
      </c>
      <c r="Q1916">
        <v>0</v>
      </c>
      <c r="R1916">
        <v>510403343</v>
      </c>
      <c r="S1916">
        <v>983563.41</v>
      </c>
      <c r="T1916">
        <v>509419779.58999997</v>
      </c>
      <c r="U1916">
        <v>509419779.58999997</v>
      </c>
      <c r="V1916">
        <v>0</v>
      </c>
      <c r="W1916">
        <v>0</v>
      </c>
    </row>
    <row r="1917" spans="1:23" x14ac:dyDescent="0.35">
      <c r="A1917" t="s">
        <v>0</v>
      </c>
      <c r="B1917">
        <v>2500</v>
      </c>
      <c r="C1917">
        <v>36</v>
      </c>
      <c r="D1917">
        <v>2</v>
      </c>
      <c r="E1917">
        <v>0</v>
      </c>
      <c r="F1917">
        <v>60040730</v>
      </c>
      <c r="G1917">
        <v>131512.60999999999</v>
      </c>
      <c r="H1917">
        <v>59909217.390000001</v>
      </c>
      <c r="I1917">
        <v>59909217.390000001</v>
      </c>
      <c r="J1917">
        <v>0</v>
      </c>
      <c r="K1917">
        <v>0</v>
      </c>
      <c r="M1917" t="s">
        <v>3</v>
      </c>
      <c r="N1917">
        <v>5000</v>
      </c>
      <c r="O1917">
        <v>36</v>
      </c>
      <c r="P1917">
        <v>2</v>
      </c>
      <c r="Q1917">
        <v>0</v>
      </c>
      <c r="R1917">
        <v>25519628</v>
      </c>
      <c r="S1917">
        <v>37631.379999999997</v>
      </c>
      <c r="T1917">
        <v>25481996.620000001</v>
      </c>
      <c r="U1917">
        <v>25481996.620000001</v>
      </c>
      <c r="V1917">
        <v>0</v>
      </c>
      <c r="W1917">
        <v>0</v>
      </c>
    </row>
    <row r="1918" spans="1:23" x14ac:dyDescent="0.35">
      <c r="A1918" t="s">
        <v>2</v>
      </c>
      <c r="B1918">
        <v>2750</v>
      </c>
      <c r="C1918">
        <v>36</v>
      </c>
      <c r="D1918">
        <v>21</v>
      </c>
      <c r="E1918">
        <v>0</v>
      </c>
      <c r="F1918">
        <v>459407148</v>
      </c>
      <c r="G1918">
        <v>1006963.65</v>
      </c>
      <c r="H1918">
        <v>458400184.35000002</v>
      </c>
      <c r="I1918">
        <v>458400184.35000002</v>
      </c>
      <c r="J1918">
        <v>0</v>
      </c>
      <c r="K1918">
        <v>0</v>
      </c>
      <c r="M1918" t="s">
        <v>2</v>
      </c>
      <c r="N1918">
        <v>7250</v>
      </c>
      <c r="O1918">
        <v>60</v>
      </c>
      <c r="P1918">
        <v>1</v>
      </c>
      <c r="Q1918">
        <v>0</v>
      </c>
      <c r="R1918">
        <v>6586688</v>
      </c>
      <c r="S1918">
        <v>7693.19</v>
      </c>
      <c r="T1918">
        <v>6578994.8099999996</v>
      </c>
      <c r="U1918">
        <v>6578994.8099999996</v>
      </c>
      <c r="V1918">
        <v>0</v>
      </c>
      <c r="W1918">
        <v>0</v>
      </c>
    </row>
    <row r="1919" spans="1:23" x14ac:dyDescent="0.35">
      <c r="A1919" t="s">
        <v>3</v>
      </c>
      <c r="B1919">
        <v>5250</v>
      </c>
      <c r="C1919">
        <v>36</v>
      </c>
      <c r="D1919">
        <v>3</v>
      </c>
      <c r="E1919">
        <v>0</v>
      </c>
      <c r="F1919">
        <v>61480817</v>
      </c>
      <c r="G1919">
        <v>86278.73</v>
      </c>
      <c r="H1919">
        <v>61394538.270000003</v>
      </c>
      <c r="I1919">
        <v>61394538.270000003</v>
      </c>
      <c r="J1919">
        <v>0</v>
      </c>
      <c r="K1919">
        <v>0</v>
      </c>
      <c r="M1919" t="s">
        <v>2</v>
      </c>
      <c r="N1919">
        <v>2000</v>
      </c>
      <c r="O1919">
        <v>108</v>
      </c>
      <c r="P1919">
        <v>1</v>
      </c>
      <c r="Q1919">
        <v>0</v>
      </c>
      <c r="R1919">
        <v>12035069</v>
      </c>
      <c r="S1919">
        <v>37195.660000000003</v>
      </c>
      <c r="T1919">
        <v>0</v>
      </c>
      <c r="U1919">
        <v>0</v>
      </c>
      <c r="V1919">
        <v>1</v>
      </c>
      <c r="W1919">
        <v>1</v>
      </c>
    </row>
    <row r="1920" spans="1:23" x14ac:dyDescent="0.35">
      <c r="A1920" t="s">
        <v>0</v>
      </c>
      <c r="B1920">
        <v>9000</v>
      </c>
      <c r="C1920">
        <v>42</v>
      </c>
      <c r="D1920">
        <v>1</v>
      </c>
      <c r="E1920">
        <v>0</v>
      </c>
      <c r="F1920">
        <v>19611245</v>
      </c>
      <c r="G1920">
        <v>15640.86</v>
      </c>
      <c r="H1920">
        <v>19595604.140000001</v>
      </c>
      <c r="I1920">
        <v>19595604.140000001</v>
      </c>
      <c r="J1920">
        <v>0</v>
      </c>
      <c r="K1920">
        <v>0</v>
      </c>
      <c r="M1920" t="s">
        <v>0</v>
      </c>
      <c r="N1920">
        <v>2500</v>
      </c>
      <c r="O1920">
        <v>36</v>
      </c>
      <c r="P1920">
        <v>2</v>
      </c>
      <c r="Q1920">
        <v>0</v>
      </c>
      <c r="R1920">
        <v>60172333</v>
      </c>
      <c r="S1920">
        <v>131253.6</v>
      </c>
      <c r="T1920">
        <v>60041079.399999999</v>
      </c>
      <c r="U1920">
        <v>60041079.399999999</v>
      </c>
      <c r="V1920">
        <v>0</v>
      </c>
      <c r="W1920">
        <v>0</v>
      </c>
    </row>
    <row r="1921" spans="1:23" x14ac:dyDescent="0.35">
      <c r="A1921" t="s">
        <v>0</v>
      </c>
      <c r="B1921">
        <v>2000</v>
      </c>
      <c r="C1921">
        <v>36</v>
      </c>
      <c r="D1921">
        <v>1</v>
      </c>
      <c r="E1921">
        <v>0</v>
      </c>
      <c r="F1921">
        <v>52127832</v>
      </c>
      <c r="G1921">
        <v>120028.43</v>
      </c>
      <c r="H1921">
        <v>52007803.57</v>
      </c>
      <c r="I1921">
        <v>52007803.57</v>
      </c>
      <c r="J1921">
        <v>0</v>
      </c>
      <c r="K1921">
        <v>0</v>
      </c>
      <c r="M1921" t="s">
        <v>0</v>
      </c>
      <c r="N1921">
        <v>9000</v>
      </c>
      <c r="O1921">
        <v>42</v>
      </c>
      <c r="P1921">
        <v>1</v>
      </c>
      <c r="Q1921">
        <v>0</v>
      </c>
      <c r="R1921">
        <v>19627179</v>
      </c>
      <c r="S1921">
        <v>15527.44</v>
      </c>
      <c r="T1921">
        <v>19611651.559999999</v>
      </c>
      <c r="U1921">
        <v>19611651.559999999</v>
      </c>
      <c r="V1921">
        <v>0</v>
      </c>
      <c r="W1921">
        <v>0</v>
      </c>
    </row>
    <row r="1922" spans="1:23" x14ac:dyDescent="0.35">
      <c r="A1922" t="s">
        <v>2</v>
      </c>
      <c r="B1922">
        <v>2500</v>
      </c>
      <c r="C1922">
        <v>36</v>
      </c>
      <c r="D1922">
        <v>4</v>
      </c>
      <c r="E1922">
        <v>0</v>
      </c>
      <c r="F1922">
        <v>71900238</v>
      </c>
      <c r="G1922">
        <v>162511.1</v>
      </c>
      <c r="H1922">
        <v>71737726.900000006</v>
      </c>
      <c r="I1922">
        <v>71737726.900000006</v>
      </c>
      <c r="J1922">
        <v>0</v>
      </c>
      <c r="K1922">
        <v>0</v>
      </c>
      <c r="M1922" t="s">
        <v>1</v>
      </c>
      <c r="N1922">
        <v>9000</v>
      </c>
      <c r="O1922">
        <v>36</v>
      </c>
      <c r="P1922">
        <v>1</v>
      </c>
      <c r="Q1922">
        <v>0</v>
      </c>
      <c r="R1922">
        <v>36830523</v>
      </c>
      <c r="S1922">
        <v>27824.560000000001</v>
      </c>
      <c r="T1922">
        <v>36802698.439999998</v>
      </c>
      <c r="U1922">
        <v>36802698.439999998</v>
      </c>
      <c r="V1922">
        <v>0</v>
      </c>
      <c r="W1922">
        <v>0</v>
      </c>
    </row>
    <row r="1923" spans="1:23" x14ac:dyDescent="0.35">
      <c r="A1923" t="s">
        <v>1</v>
      </c>
      <c r="B1923">
        <v>9000</v>
      </c>
      <c r="C1923">
        <v>36</v>
      </c>
      <c r="D1923">
        <v>1</v>
      </c>
      <c r="E1923">
        <v>0</v>
      </c>
      <c r="F1923">
        <v>36830523</v>
      </c>
      <c r="G1923">
        <v>28047.25</v>
      </c>
      <c r="H1923">
        <v>36802475.75</v>
      </c>
      <c r="I1923">
        <v>36802475.75</v>
      </c>
      <c r="J1923">
        <v>0</v>
      </c>
      <c r="K1923">
        <v>0</v>
      </c>
      <c r="M1923" t="s">
        <v>0</v>
      </c>
      <c r="N1923">
        <v>2250</v>
      </c>
      <c r="O1923">
        <v>36</v>
      </c>
      <c r="P1923">
        <v>2</v>
      </c>
      <c r="Q1923">
        <v>0</v>
      </c>
      <c r="R1923">
        <v>44515894</v>
      </c>
      <c r="S1923">
        <v>98063.42</v>
      </c>
      <c r="T1923">
        <v>44417830.579999998</v>
      </c>
      <c r="U1923">
        <v>44417830.579999998</v>
      </c>
      <c r="V1923">
        <v>0</v>
      </c>
      <c r="W1923">
        <v>0</v>
      </c>
    </row>
    <row r="1924" spans="1:23" x14ac:dyDescent="0.35">
      <c r="A1924" t="s">
        <v>0</v>
      </c>
      <c r="B1924">
        <v>2250</v>
      </c>
      <c r="C1924">
        <v>36</v>
      </c>
      <c r="D1924">
        <v>2</v>
      </c>
      <c r="E1924">
        <v>0</v>
      </c>
      <c r="F1924">
        <v>44417710</v>
      </c>
      <c r="G1924">
        <v>98247.02</v>
      </c>
      <c r="H1924">
        <v>44319462.979999997</v>
      </c>
      <c r="I1924">
        <v>44319462.979999997</v>
      </c>
      <c r="J1924">
        <v>0</v>
      </c>
      <c r="K1924">
        <v>0</v>
      </c>
      <c r="M1924" t="s">
        <v>1</v>
      </c>
      <c r="N1924">
        <v>4000</v>
      </c>
      <c r="O1924">
        <v>30</v>
      </c>
      <c r="P1924">
        <v>79</v>
      </c>
      <c r="Q1924">
        <v>0</v>
      </c>
      <c r="R1924">
        <v>2820005348</v>
      </c>
      <c r="S1924">
        <v>4764346.12</v>
      </c>
      <c r="T1924">
        <v>2794871620.8400002</v>
      </c>
      <c r="U1924">
        <v>2794871620.8400002</v>
      </c>
      <c r="V1924">
        <v>8.3316000000000001E-2</v>
      </c>
      <c r="W1924">
        <v>8.3316000000000001E-2</v>
      </c>
    </row>
    <row r="1925" spans="1:23" x14ac:dyDescent="0.35">
      <c r="A1925" t="s">
        <v>1</v>
      </c>
      <c r="B1925">
        <v>2750</v>
      </c>
      <c r="C1925">
        <v>30</v>
      </c>
      <c r="D1925">
        <v>17</v>
      </c>
      <c r="E1925">
        <v>0</v>
      </c>
      <c r="F1925">
        <v>741896173</v>
      </c>
      <c r="G1925">
        <v>1592961.93</v>
      </c>
      <c r="H1925">
        <v>740303211.07000005</v>
      </c>
      <c r="I1925">
        <v>740303211.07000005</v>
      </c>
      <c r="J1925">
        <v>0</v>
      </c>
      <c r="K1925">
        <v>0</v>
      </c>
      <c r="M1925" t="s">
        <v>1</v>
      </c>
      <c r="N1925">
        <v>2250</v>
      </c>
      <c r="O1925">
        <v>30</v>
      </c>
      <c r="P1925">
        <v>25</v>
      </c>
      <c r="Q1925">
        <v>0</v>
      </c>
      <c r="R1925">
        <v>1010380766</v>
      </c>
      <c r="S1925">
        <v>2378582.2000000002</v>
      </c>
      <c r="T1925">
        <v>1008002183.8</v>
      </c>
      <c r="U1925">
        <v>1008002183.8</v>
      </c>
      <c r="V1925">
        <v>0</v>
      </c>
      <c r="W1925">
        <v>0</v>
      </c>
    </row>
    <row r="1926" spans="1:23" x14ac:dyDescent="0.35">
      <c r="A1926" t="s">
        <v>1</v>
      </c>
      <c r="B1926">
        <v>3250</v>
      </c>
      <c r="C1926">
        <v>30</v>
      </c>
      <c r="D1926">
        <v>33</v>
      </c>
      <c r="E1926">
        <v>0</v>
      </c>
      <c r="F1926">
        <v>1162071032</v>
      </c>
      <c r="G1926">
        <v>2259392.9700000002</v>
      </c>
      <c r="H1926">
        <v>1159811639.03</v>
      </c>
      <c r="I1926">
        <v>1159811639.03</v>
      </c>
      <c r="J1926">
        <v>0</v>
      </c>
      <c r="K1926">
        <v>0</v>
      </c>
      <c r="M1926" t="s">
        <v>1</v>
      </c>
      <c r="N1926">
        <v>2750</v>
      </c>
      <c r="O1926">
        <v>30</v>
      </c>
      <c r="P1926">
        <v>15</v>
      </c>
      <c r="Q1926">
        <v>0</v>
      </c>
      <c r="R1926">
        <v>607085006</v>
      </c>
      <c r="S1926">
        <v>1299465.6100000001</v>
      </c>
      <c r="T1926">
        <v>605785540.38999999</v>
      </c>
      <c r="U1926">
        <v>605785540.38999999</v>
      </c>
      <c r="V1926">
        <v>0</v>
      </c>
      <c r="W1926">
        <v>0</v>
      </c>
    </row>
    <row r="1927" spans="1:23" x14ac:dyDescent="0.35">
      <c r="A1927" t="s">
        <v>1</v>
      </c>
      <c r="B1927">
        <v>2250</v>
      </c>
      <c r="C1927">
        <v>30</v>
      </c>
      <c r="D1927">
        <v>24</v>
      </c>
      <c r="E1927">
        <v>0</v>
      </c>
      <c r="F1927">
        <v>990705832</v>
      </c>
      <c r="G1927">
        <v>2347141.0499999998</v>
      </c>
      <c r="H1927">
        <v>988358690.95000005</v>
      </c>
      <c r="I1927">
        <v>988358690.95000005</v>
      </c>
      <c r="J1927">
        <v>0</v>
      </c>
      <c r="K1927">
        <v>0</v>
      </c>
      <c r="M1927" t="s">
        <v>2</v>
      </c>
      <c r="N1927">
        <v>2750</v>
      </c>
      <c r="O1927">
        <v>30</v>
      </c>
      <c r="P1927">
        <v>19</v>
      </c>
      <c r="Q1927">
        <v>0</v>
      </c>
      <c r="R1927">
        <v>334159892</v>
      </c>
      <c r="S1927">
        <v>707651.15</v>
      </c>
      <c r="T1927">
        <v>284140640.07999998</v>
      </c>
      <c r="U1927">
        <v>313635534.49000001</v>
      </c>
      <c r="V1927">
        <v>0.85279899999999997</v>
      </c>
      <c r="W1927">
        <v>0.51982799999999996</v>
      </c>
    </row>
    <row r="1928" spans="1:23" x14ac:dyDescent="0.35">
      <c r="A1928" t="s">
        <v>2</v>
      </c>
      <c r="B1928">
        <v>2750</v>
      </c>
      <c r="C1928">
        <v>30</v>
      </c>
      <c r="D1928">
        <v>17</v>
      </c>
      <c r="E1928">
        <v>0</v>
      </c>
      <c r="F1928">
        <v>267690987</v>
      </c>
      <c r="G1928">
        <v>563191.6</v>
      </c>
      <c r="H1928">
        <v>267127795.40000001</v>
      </c>
      <c r="I1928">
        <v>267127795.40000001</v>
      </c>
      <c r="J1928">
        <v>0</v>
      </c>
      <c r="K1928">
        <v>0</v>
      </c>
      <c r="M1928" t="s">
        <v>1</v>
      </c>
      <c r="N1928">
        <v>3500</v>
      </c>
      <c r="O1928">
        <v>30</v>
      </c>
      <c r="P1928">
        <v>33</v>
      </c>
      <c r="Q1928">
        <v>0</v>
      </c>
      <c r="R1928">
        <v>1040496159</v>
      </c>
      <c r="S1928">
        <v>1975331.22</v>
      </c>
      <c r="T1928">
        <v>1009411343.41</v>
      </c>
      <c r="U1928">
        <v>1009411343.41</v>
      </c>
      <c r="V1928">
        <v>0.28858800000000001</v>
      </c>
      <c r="W1928">
        <v>0.28858800000000001</v>
      </c>
    </row>
    <row r="1929" spans="1:23" x14ac:dyDescent="0.35">
      <c r="A1929" t="s">
        <v>2</v>
      </c>
      <c r="B1929">
        <v>3000</v>
      </c>
      <c r="C1929">
        <v>30</v>
      </c>
      <c r="D1929">
        <v>17</v>
      </c>
      <c r="E1929">
        <v>0</v>
      </c>
      <c r="F1929">
        <v>312039574</v>
      </c>
      <c r="G1929">
        <v>632493.85</v>
      </c>
      <c r="H1929">
        <v>311407080.14999998</v>
      </c>
      <c r="I1929">
        <v>311407080.14999998</v>
      </c>
      <c r="J1929">
        <v>0</v>
      </c>
      <c r="K1929">
        <v>0</v>
      </c>
      <c r="M1929" t="s">
        <v>0</v>
      </c>
      <c r="N1929">
        <v>3250</v>
      </c>
      <c r="O1929">
        <v>30</v>
      </c>
      <c r="P1929">
        <v>7</v>
      </c>
      <c r="Q1929">
        <v>0</v>
      </c>
      <c r="R1929">
        <v>163118020</v>
      </c>
      <c r="S1929">
        <v>302923.86</v>
      </c>
      <c r="T1929">
        <v>162815096.13999999</v>
      </c>
      <c r="U1929">
        <v>162815096.13999999</v>
      </c>
      <c r="V1929">
        <v>0</v>
      </c>
      <c r="W1929">
        <v>0</v>
      </c>
    </row>
    <row r="1930" spans="1:23" x14ac:dyDescent="0.35">
      <c r="A1930" t="s">
        <v>1</v>
      </c>
      <c r="B1930">
        <v>3750</v>
      </c>
      <c r="C1930">
        <v>30</v>
      </c>
      <c r="D1930">
        <v>52</v>
      </c>
      <c r="E1930">
        <v>0</v>
      </c>
      <c r="F1930">
        <v>1761238768</v>
      </c>
      <c r="G1930">
        <v>3122269.11</v>
      </c>
      <c r="H1930">
        <v>1711311111.6900001</v>
      </c>
      <c r="I1930">
        <v>1711311111.6900001</v>
      </c>
      <c r="J1930">
        <v>0.27618300000000001</v>
      </c>
      <c r="K1930">
        <v>0.27618300000000001</v>
      </c>
      <c r="M1930" t="s">
        <v>2</v>
      </c>
      <c r="N1930">
        <v>3250</v>
      </c>
      <c r="O1930">
        <v>30</v>
      </c>
      <c r="P1930">
        <v>28</v>
      </c>
      <c r="Q1930">
        <v>0</v>
      </c>
      <c r="R1930">
        <v>489961422</v>
      </c>
      <c r="S1930">
        <v>966288.4</v>
      </c>
      <c r="T1930">
        <v>488995133.60000002</v>
      </c>
      <c r="U1930">
        <v>488995133.60000002</v>
      </c>
      <c r="V1930">
        <v>0</v>
      </c>
      <c r="W1930">
        <v>0</v>
      </c>
    </row>
    <row r="1931" spans="1:23" x14ac:dyDescent="0.35">
      <c r="A1931" t="s">
        <v>0</v>
      </c>
      <c r="B1931">
        <v>3500</v>
      </c>
      <c r="C1931">
        <v>30</v>
      </c>
      <c r="D1931">
        <v>10</v>
      </c>
      <c r="E1931">
        <v>0</v>
      </c>
      <c r="F1931">
        <v>255168123</v>
      </c>
      <c r="G1931">
        <v>462495.78</v>
      </c>
      <c r="H1931">
        <v>254705627.22</v>
      </c>
      <c r="I1931">
        <v>254705627.22</v>
      </c>
      <c r="J1931">
        <v>0</v>
      </c>
      <c r="K1931">
        <v>0</v>
      </c>
      <c r="M1931" t="s">
        <v>0</v>
      </c>
      <c r="N1931">
        <v>3750</v>
      </c>
      <c r="O1931">
        <v>30</v>
      </c>
      <c r="P1931">
        <v>31</v>
      </c>
      <c r="Q1931">
        <v>0</v>
      </c>
      <c r="R1931">
        <v>1025843999</v>
      </c>
      <c r="S1931">
        <v>1771403.88</v>
      </c>
      <c r="T1931">
        <v>1024072595.12</v>
      </c>
      <c r="U1931">
        <v>1024072595.12</v>
      </c>
      <c r="V1931">
        <v>0</v>
      </c>
      <c r="W1931">
        <v>0</v>
      </c>
    </row>
    <row r="1932" spans="1:23" x14ac:dyDescent="0.35">
      <c r="A1932" t="s">
        <v>0</v>
      </c>
      <c r="B1932">
        <v>4000</v>
      </c>
      <c r="C1932">
        <v>30</v>
      </c>
      <c r="D1932">
        <v>22</v>
      </c>
      <c r="E1932">
        <v>0</v>
      </c>
      <c r="F1932">
        <v>685793220</v>
      </c>
      <c r="G1932">
        <v>1138565.1499999999</v>
      </c>
      <c r="H1932">
        <v>665733488.63</v>
      </c>
      <c r="I1932">
        <v>665733488.63</v>
      </c>
      <c r="J1932">
        <v>0.285188</v>
      </c>
      <c r="K1932">
        <v>0.285188</v>
      </c>
      <c r="M1932" t="s">
        <v>0</v>
      </c>
      <c r="N1932">
        <v>4000</v>
      </c>
      <c r="O1932">
        <v>30</v>
      </c>
      <c r="P1932">
        <v>28</v>
      </c>
      <c r="Q1932">
        <v>0</v>
      </c>
      <c r="R1932">
        <v>910495701</v>
      </c>
      <c r="S1932">
        <v>1513086.77</v>
      </c>
      <c r="T1932">
        <v>908982614.23000002</v>
      </c>
      <c r="U1932">
        <v>908982614.23000002</v>
      </c>
      <c r="V1932">
        <v>0</v>
      </c>
      <c r="W1932">
        <v>0</v>
      </c>
    </row>
    <row r="1933" spans="1:23" x14ac:dyDescent="0.35">
      <c r="A1933" t="s">
        <v>1</v>
      </c>
      <c r="B1933">
        <v>4250</v>
      </c>
      <c r="C1933">
        <v>30</v>
      </c>
      <c r="D1933">
        <v>358</v>
      </c>
      <c r="E1933">
        <v>0</v>
      </c>
      <c r="F1933">
        <v>10602901220</v>
      </c>
      <c r="G1933">
        <v>16935910.379999999</v>
      </c>
      <c r="H1933">
        <v>10585965309.620001</v>
      </c>
      <c r="I1933">
        <v>10585965309.620001</v>
      </c>
      <c r="J1933">
        <v>0</v>
      </c>
      <c r="K1933">
        <v>0</v>
      </c>
      <c r="M1933" t="s">
        <v>2</v>
      </c>
      <c r="N1933">
        <v>4000</v>
      </c>
      <c r="O1933">
        <v>30</v>
      </c>
      <c r="P1933">
        <v>18</v>
      </c>
      <c r="Q1933">
        <v>0</v>
      </c>
      <c r="R1933">
        <v>355760866</v>
      </c>
      <c r="S1933">
        <v>606523.07999999996</v>
      </c>
      <c r="T1933">
        <v>355154342.92000002</v>
      </c>
      <c r="U1933">
        <v>355154342.92000002</v>
      </c>
      <c r="V1933">
        <v>0</v>
      </c>
      <c r="W1933">
        <v>0</v>
      </c>
    </row>
    <row r="1934" spans="1:23" x14ac:dyDescent="0.35">
      <c r="A1934" t="s">
        <v>1</v>
      </c>
      <c r="B1934">
        <v>4000</v>
      </c>
      <c r="C1934">
        <v>30</v>
      </c>
      <c r="D1934">
        <v>75</v>
      </c>
      <c r="E1934">
        <v>0</v>
      </c>
      <c r="F1934">
        <v>2745073752</v>
      </c>
      <c r="G1934">
        <v>4630170.99</v>
      </c>
      <c r="H1934">
        <v>2740443581.0100002</v>
      </c>
      <c r="I1934">
        <v>2740443581.0100002</v>
      </c>
      <c r="J1934">
        <v>0</v>
      </c>
      <c r="K1934">
        <v>0</v>
      </c>
      <c r="M1934" t="s">
        <v>1</v>
      </c>
      <c r="N1934">
        <v>4250</v>
      </c>
      <c r="O1934">
        <v>30</v>
      </c>
      <c r="P1934">
        <v>352</v>
      </c>
      <c r="Q1934">
        <v>0</v>
      </c>
      <c r="R1934">
        <v>10387403774</v>
      </c>
      <c r="S1934">
        <v>16527144.359999999</v>
      </c>
      <c r="T1934">
        <v>10288119737.559999</v>
      </c>
      <c r="U1934">
        <v>10313015107.85</v>
      </c>
      <c r="V1934">
        <v>9.1524999999999995E-2</v>
      </c>
      <c r="W1934">
        <v>6.4834000000000003E-2</v>
      </c>
    </row>
    <row r="1935" spans="1:23" x14ac:dyDescent="0.35">
      <c r="A1935" t="s">
        <v>2</v>
      </c>
      <c r="B1935">
        <v>3750</v>
      </c>
      <c r="C1935">
        <v>30</v>
      </c>
      <c r="D1935">
        <v>30</v>
      </c>
      <c r="E1935">
        <v>0</v>
      </c>
      <c r="F1935">
        <v>496037503</v>
      </c>
      <c r="G1935">
        <v>878444.3</v>
      </c>
      <c r="H1935">
        <v>495159058.69999999</v>
      </c>
      <c r="I1935">
        <v>495159058.69999999</v>
      </c>
      <c r="J1935">
        <v>0</v>
      </c>
      <c r="K1935">
        <v>0</v>
      </c>
      <c r="M1935" t="s">
        <v>1</v>
      </c>
      <c r="N1935">
        <v>4500</v>
      </c>
      <c r="O1935">
        <v>30</v>
      </c>
      <c r="P1935">
        <v>645</v>
      </c>
      <c r="Q1935">
        <v>0</v>
      </c>
      <c r="R1935">
        <v>21638363204</v>
      </c>
      <c r="S1935">
        <v>32967783.989999998</v>
      </c>
      <c r="T1935">
        <v>21526886388.299999</v>
      </c>
      <c r="U1935">
        <v>21526886388.299999</v>
      </c>
      <c r="V1935">
        <v>4.2680000000000003E-2</v>
      </c>
      <c r="W1935">
        <v>4.2680000000000003E-2</v>
      </c>
    </row>
    <row r="1936" spans="1:23" x14ac:dyDescent="0.35">
      <c r="A1936" t="s">
        <v>0</v>
      </c>
      <c r="B1936">
        <v>3750</v>
      </c>
      <c r="C1936">
        <v>30</v>
      </c>
      <c r="D1936">
        <v>25</v>
      </c>
      <c r="E1936">
        <v>0</v>
      </c>
      <c r="F1936">
        <v>860190286</v>
      </c>
      <c r="G1936">
        <v>1477244.01</v>
      </c>
      <c r="H1936">
        <v>858713041.99000001</v>
      </c>
      <c r="I1936">
        <v>858713041.99000001</v>
      </c>
      <c r="J1936">
        <v>0</v>
      </c>
      <c r="K1936">
        <v>0</v>
      </c>
      <c r="M1936" t="s">
        <v>0</v>
      </c>
      <c r="N1936">
        <v>4250</v>
      </c>
      <c r="O1936">
        <v>30</v>
      </c>
      <c r="P1936">
        <v>890</v>
      </c>
      <c r="Q1936">
        <v>0</v>
      </c>
      <c r="R1936">
        <v>24094612481</v>
      </c>
      <c r="S1936">
        <v>38044672.530000001</v>
      </c>
      <c r="T1936">
        <v>23988449157.080002</v>
      </c>
      <c r="U1936">
        <v>24034434503.290001</v>
      </c>
      <c r="V1936">
        <v>3.3403000000000002E-2</v>
      </c>
      <c r="W1936">
        <v>1.0968E-2</v>
      </c>
    </row>
    <row r="1937" spans="1:23" x14ac:dyDescent="0.35">
      <c r="A1937" t="s">
        <v>0</v>
      </c>
      <c r="B1937">
        <v>4250</v>
      </c>
      <c r="C1937">
        <v>30</v>
      </c>
      <c r="D1937">
        <v>865</v>
      </c>
      <c r="E1937">
        <v>0</v>
      </c>
      <c r="F1937">
        <v>23446548756</v>
      </c>
      <c r="G1937">
        <v>37047352.359999999</v>
      </c>
      <c r="H1937">
        <v>23361200650.029999</v>
      </c>
      <c r="I1937">
        <v>23409501403.639999</v>
      </c>
      <c r="J1937">
        <v>2.4441999999999998E-2</v>
      </c>
      <c r="K1937">
        <v>0</v>
      </c>
      <c r="M1937" t="s">
        <v>2</v>
      </c>
      <c r="N1937">
        <v>4500</v>
      </c>
      <c r="O1937">
        <v>30</v>
      </c>
      <c r="P1937">
        <v>48</v>
      </c>
      <c r="Q1937">
        <v>0</v>
      </c>
      <c r="R1937">
        <v>1037608224</v>
      </c>
      <c r="S1937">
        <v>1584442.21</v>
      </c>
      <c r="T1937">
        <v>1036023781.79</v>
      </c>
      <c r="U1937">
        <v>1036023781.79</v>
      </c>
      <c r="V1937">
        <v>0</v>
      </c>
      <c r="W1937">
        <v>0</v>
      </c>
    </row>
    <row r="1938" spans="1:23" x14ac:dyDescent="0.35">
      <c r="A1938" t="s">
        <v>2</v>
      </c>
      <c r="B1938">
        <v>4500</v>
      </c>
      <c r="C1938">
        <v>30</v>
      </c>
      <c r="D1938">
        <v>69</v>
      </c>
      <c r="E1938">
        <v>0</v>
      </c>
      <c r="F1938">
        <v>1649503780</v>
      </c>
      <c r="G1938">
        <v>2505430.2400000002</v>
      </c>
      <c r="H1938">
        <v>1646998349.76</v>
      </c>
      <c r="I1938">
        <v>1646998349.76</v>
      </c>
      <c r="J1938">
        <v>0</v>
      </c>
      <c r="K1938">
        <v>0</v>
      </c>
      <c r="M1938" t="s">
        <v>1</v>
      </c>
      <c r="N1938">
        <v>3250</v>
      </c>
      <c r="O1938">
        <v>30</v>
      </c>
      <c r="P1938">
        <v>36</v>
      </c>
      <c r="Q1938">
        <v>0</v>
      </c>
      <c r="R1938">
        <v>1266854845</v>
      </c>
      <c r="S1938">
        <v>2450143.04</v>
      </c>
      <c r="T1938">
        <v>1213056727.03</v>
      </c>
      <c r="U1938">
        <v>1213056727.03</v>
      </c>
      <c r="V1938">
        <v>0.391351</v>
      </c>
      <c r="W1938">
        <v>0.391351</v>
      </c>
    </row>
    <row r="1939" spans="1:23" x14ac:dyDescent="0.35">
      <c r="A1939" t="s">
        <v>1</v>
      </c>
      <c r="B1939">
        <v>3500</v>
      </c>
      <c r="C1939">
        <v>30</v>
      </c>
      <c r="D1939">
        <v>28</v>
      </c>
      <c r="E1939">
        <v>0</v>
      </c>
      <c r="F1939">
        <v>1071078388</v>
      </c>
      <c r="G1939">
        <v>2046605.46</v>
      </c>
      <c r="H1939">
        <v>1069031782.54</v>
      </c>
      <c r="I1939">
        <v>1069031782.54</v>
      </c>
      <c r="J1939">
        <v>0</v>
      </c>
      <c r="K1939">
        <v>0</v>
      </c>
      <c r="M1939" t="s">
        <v>2</v>
      </c>
      <c r="N1939">
        <v>3000</v>
      </c>
      <c r="O1939">
        <v>30</v>
      </c>
      <c r="P1939">
        <v>14</v>
      </c>
      <c r="Q1939">
        <v>0</v>
      </c>
      <c r="R1939">
        <v>250326416</v>
      </c>
      <c r="S1939">
        <v>511895.17</v>
      </c>
      <c r="T1939">
        <v>249814520.83000001</v>
      </c>
      <c r="U1939">
        <v>249814520.83000001</v>
      </c>
      <c r="V1939">
        <v>0</v>
      </c>
      <c r="W1939">
        <v>0</v>
      </c>
    </row>
    <row r="1940" spans="1:23" x14ac:dyDescent="0.35">
      <c r="A1940" t="s">
        <v>1</v>
      </c>
      <c r="B1940">
        <v>2500</v>
      </c>
      <c r="C1940">
        <v>30</v>
      </c>
      <c r="D1940">
        <v>9</v>
      </c>
      <c r="E1940">
        <v>0</v>
      </c>
      <c r="F1940">
        <v>294962191</v>
      </c>
      <c r="G1940">
        <v>685932.42</v>
      </c>
      <c r="H1940">
        <v>294276258.57999998</v>
      </c>
      <c r="I1940">
        <v>294276258.57999998</v>
      </c>
      <c r="J1940">
        <v>0</v>
      </c>
      <c r="K1940">
        <v>0</v>
      </c>
      <c r="M1940" t="s">
        <v>1</v>
      </c>
      <c r="N1940">
        <v>3750</v>
      </c>
      <c r="O1940">
        <v>30</v>
      </c>
      <c r="P1940">
        <v>51</v>
      </c>
      <c r="Q1940">
        <v>0</v>
      </c>
      <c r="R1940">
        <v>1764980322</v>
      </c>
      <c r="S1940">
        <v>3140488.25</v>
      </c>
      <c r="T1940">
        <v>1696244840.75</v>
      </c>
      <c r="U1940">
        <v>1761839833.75</v>
      </c>
      <c r="V1940">
        <v>0.36521900000000002</v>
      </c>
      <c r="W1940">
        <v>0</v>
      </c>
    </row>
    <row r="1941" spans="1:23" x14ac:dyDescent="0.35">
      <c r="A1941" t="s">
        <v>2</v>
      </c>
      <c r="B1941">
        <v>2250</v>
      </c>
      <c r="C1941">
        <v>30</v>
      </c>
      <c r="D1941">
        <v>3</v>
      </c>
      <c r="E1941">
        <v>0</v>
      </c>
      <c r="F1941">
        <v>63503868</v>
      </c>
      <c r="G1941">
        <v>149858.79999999999</v>
      </c>
      <c r="H1941">
        <v>63354009.200000003</v>
      </c>
      <c r="I1941">
        <v>63354009.200000003</v>
      </c>
      <c r="J1941">
        <v>0</v>
      </c>
      <c r="K1941">
        <v>0</v>
      </c>
      <c r="M1941" t="s">
        <v>2</v>
      </c>
      <c r="N1941">
        <v>3750</v>
      </c>
      <c r="O1941">
        <v>30</v>
      </c>
      <c r="P1941">
        <v>28</v>
      </c>
      <c r="Q1941">
        <v>0</v>
      </c>
      <c r="R1941">
        <v>496705090</v>
      </c>
      <c r="S1941">
        <v>880310.83</v>
      </c>
      <c r="T1941">
        <v>477498134.08999997</v>
      </c>
      <c r="U1941">
        <v>477498134.08999997</v>
      </c>
      <c r="V1941">
        <v>0.363093</v>
      </c>
      <c r="W1941">
        <v>0.363093</v>
      </c>
    </row>
    <row r="1942" spans="1:23" x14ac:dyDescent="0.35">
      <c r="A1942" t="s">
        <v>0</v>
      </c>
      <c r="B1942">
        <v>3000</v>
      </c>
      <c r="C1942">
        <v>30</v>
      </c>
      <c r="D1942">
        <v>5</v>
      </c>
      <c r="E1942">
        <v>0</v>
      </c>
      <c r="F1942">
        <v>167561671</v>
      </c>
      <c r="G1942">
        <v>332138.55</v>
      </c>
      <c r="H1942">
        <v>167229532.44999999</v>
      </c>
      <c r="I1942">
        <v>167229532.44999999</v>
      </c>
      <c r="J1942">
        <v>0</v>
      </c>
      <c r="K1942">
        <v>0</v>
      </c>
      <c r="M1942" t="s">
        <v>0</v>
      </c>
      <c r="N1942">
        <v>3500</v>
      </c>
      <c r="O1942">
        <v>30</v>
      </c>
      <c r="P1942">
        <v>10</v>
      </c>
      <c r="Q1942">
        <v>0</v>
      </c>
      <c r="R1942">
        <v>265251161</v>
      </c>
      <c r="S1942">
        <v>479091.51</v>
      </c>
      <c r="T1942">
        <v>264772069.49000001</v>
      </c>
      <c r="U1942">
        <v>264772069.49000001</v>
      </c>
      <c r="V1942">
        <v>0</v>
      </c>
      <c r="W1942">
        <v>0</v>
      </c>
    </row>
    <row r="1943" spans="1:23" x14ac:dyDescent="0.35">
      <c r="A1943" t="s">
        <v>2</v>
      </c>
      <c r="B1943">
        <v>3500</v>
      </c>
      <c r="C1943">
        <v>30</v>
      </c>
      <c r="D1943">
        <v>31</v>
      </c>
      <c r="E1943">
        <v>0</v>
      </c>
      <c r="F1943">
        <v>440194109</v>
      </c>
      <c r="G1943">
        <v>823826.3</v>
      </c>
      <c r="H1943">
        <v>423160336.44</v>
      </c>
      <c r="I1943">
        <v>423160336.44</v>
      </c>
      <c r="J1943">
        <v>0.36252200000000001</v>
      </c>
      <c r="K1943">
        <v>0.36252200000000001</v>
      </c>
      <c r="M1943" t="s">
        <v>2</v>
      </c>
      <c r="N1943">
        <v>3500</v>
      </c>
      <c r="O1943">
        <v>30</v>
      </c>
      <c r="P1943">
        <v>30</v>
      </c>
      <c r="Q1943">
        <v>0</v>
      </c>
      <c r="R1943">
        <v>398661802</v>
      </c>
      <c r="S1943">
        <v>747306.75</v>
      </c>
      <c r="T1943">
        <v>381864184.35000002</v>
      </c>
      <c r="U1943">
        <v>397914495.25</v>
      </c>
      <c r="V1943">
        <v>0.38928200000000002</v>
      </c>
      <c r="W1943">
        <v>0</v>
      </c>
    </row>
    <row r="1944" spans="1:23" x14ac:dyDescent="0.35">
      <c r="A1944" t="s">
        <v>2</v>
      </c>
      <c r="B1944">
        <v>4000</v>
      </c>
      <c r="C1944">
        <v>30</v>
      </c>
      <c r="D1944">
        <v>16</v>
      </c>
      <c r="E1944">
        <v>0</v>
      </c>
      <c r="F1944">
        <v>303122743</v>
      </c>
      <c r="G1944">
        <v>525238.75</v>
      </c>
      <c r="H1944">
        <v>302597504.25</v>
      </c>
      <c r="I1944">
        <v>302597504.25</v>
      </c>
      <c r="J1944">
        <v>0</v>
      </c>
      <c r="K1944">
        <v>0</v>
      </c>
      <c r="M1944" t="s">
        <v>2</v>
      </c>
      <c r="N1944">
        <v>4250</v>
      </c>
      <c r="O1944">
        <v>30</v>
      </c>
      <c r="P1944">
        <v>30</v>
      </c>
      <c r="Q1944">
        <v>0</v>
      </c>
      <c r="R1944">
        <v>565657075</v>
      </c>
      <c r="S1944">
        <v>911866.91</v>
      </c>
      <c r="T1944">
        <v>564745208.09000003</v>
      </c>
      <c r="U1944">
        <v>564745208.09000003</v>
      </c>
      <c r="V1944">
        <v>0</v>
      </c>
      <c r="W1944">
        <v>0</v>
      </c>
    </row>
    <row r="1945" spans="1:23" x14ac:dyDescent="0.35">
      <c r="A1945" t="s">
        <v>2</v>
      </c>
      <c r="B1945">
        <v>4250</v>
      </c>
      <c r="C1945">
        <v>30</v>
      </c>
      <c r="D1945">
        <v>36</v>
      </c>
      <c r="E1945">
        <v>0</v>
      </c>
      <c r="F1945">
        <v>720886550</v>
      </c>
      <c r="G1945">
        <v>1166152.44</v>
      </c>
      <c r="H1945">
        <v>719720397.55999994</v>
      </c>
      <c r="I1945">
        <v>719720397.55999994</v>
      </c>
      <c r="J1945">
        <v>0</v>
      </c>
      <c r="K1945">
        <v>0</v>
      </c>
      <c r="M1945" t="s">
        <v>2</v>
      </c>
      <c r="N1945">
        <v>2250</v>
      </c>
      <c r="O1945">
        <v>30</v>
      </c>
      <c r="P1945">
        <v>5</v>
      </c>
      <c r="Q1945">
        <v>0</v>
      </c>
      <c r="R1945">
        <v>106411644</v>
      </c>
      <c r="S1945">
        <v>250905.44</v>
      </c>
      <c r="T1945">
        <v>106160738.56</v>
      </c>
      <c r="U1945">
        <v>106160738.56</v>
      </c>
      <c r="V1945">
        <v>0</v>
      </c>
      <c r="W1945">
        <v>0</v>
      </c>
    </row>
    <row r="1946" spans="1:23" x14ac:dyDescent="0.35">
      <c r="A1946" t="s">
        <v>0</v>
      </c>
      <c r="B1946">
        <v>6750</v>
      </c>
      <c r="C1946">
        <v>54</v>
      </c>
      <c r="D1946">
        <v>1</v>
      </c>
      <c r="E1946">
        <v>0</v>
      </c>
      <c r="F1946">
        <v>6558980</v>
      </c>
      <c r="G1946">
        <v>8246.67</v>
      </c>
      <c r="H1946">
        <v>6550733.3300000001</v>
      </c>
      <c r="I1946">
        <v>6550733.3300000001</v>
      </c>
      <c r="J1946">
        <v>0</v>
      </c>
      <c r="K1946">
        <v>0</v>
      </c>
      <c r="M1946" t="s">
        <v>0</v>
      </c>
      <c r="N1946">
        <v>3000</v>
      </c>
      <c r="O1946">
        <v>30</v>
      </c>
      <c r="P1946">
        <v>5</v>
      </c>
      <c r="Q1946">
        <v>0</v>
      </c>
      <c r="R1946">
        <v>167746447</v>
      </c>
      <c r="S1946">
        <v>331054.33</v>
      </c>
      <c r="T1946">
        <v>167415392.66999999</v>
      </c>
      <c r="U1946">
        <v>167415392.66999999</v>
      </c>
      <c r="V1946">
        <v>0</v>
      </c>
      <c r="W1946">
        <v>0</v>
      </c>
    </row>
    <row r="1947" spans="1:23" x14ac:dyDescent="0.35">
      <c r="A1947" t="s">
        <v>0</v>
      </c>
      <c r="B1947">
        <v>2250</v>
      </c>
      <c r="C1947">
        <v>30</v>
      </c>
      <c r="D1947">
        <v>2</v>
      </c>
      <c r="E1947">
        <v>0</v>
      </c>
      <c r="F1947">
        <v>68364102</v>
      </c>
      <c r="G1947">
        <v>149074.35</v>
      </c>
      <c r="H1947">
        <v>68215027.650000006</v>
      </c>
      <c r="I1947">
        <v>68215027.650000006</v>
      </c>
      <c r="J1947">
        <v>0</v>
      </c>
      <c r="K1947">
        <v>0</v>
      </c>
      <c r="M1947" t="s">
        <v>3</v>
      </c>
      <c r="N1947">
        <v>5500</v>
      </c>
      <c r="O1947">
        <v>30</v>
      </c>
      <c r="P1947">
        <v>2</v>
      </c>
      <c r="Q1947">
        <v>0</v>
      </c>
      <c r="R1947">
        <v>76954378</v>
      </c>
      <c r="S1947">
        <v>99241.1</v>
      </c>
      <c r="T1947">
        <v>76855136.900000006</v>
      </c>
      <c r="U1947">
        <v>76855136.900000006</v>
      </c>
      <c r="V1947">
        <v>0</v>
      </c>
      <c r="W1947">
        <v>0</v>
      </c>
    </row>
    <row r="1948" spans="1:23" x14ac:dyDescent="0.35">
      <c r="A1948" t="s">
        <v>0</v>
      </c>
      <c r="B1948">
        <v>2500</v>
      </c>
      <c r="C1948">
        <v>30</v>
      </c>
      <c r="D1948">
        <v>3</v>
      </c>
      <c r="E1948">
        <v>0</v>
      </c>
      <c r="F1948">
        <v>91649640</v>
      </c>
      <c r="G1948">
        <v>195678.84</v>
      </c>
      <c r="H1948">
        <v>91453961.159999996</v>
      </c>
      <c r="I1948">
        <v>91453961.159999996</v>
      </c>
      <c r="J1948">
        <v>0</v>
      </c>
      <c r="K1948">
        <v>0</v>
      </c>
      <c r="M1948" t="s">
        <v>0</v>
      </c>
      <c r="N1948">
        <v>6750</v>
      </c>
      <c r="O1948">
        <v>54</v>
      </c>
      <c r="P1948">
        <v>1</v>
      </c>
      <c r="Q1948">
        <v>0</v>
      </c>
      <c r="R1948">
        <v>6567181</v>
      </c>
      <c r="S1948">
        <v>8201.39</v>
      </c>
      <c r="T1948">
        <v>6558979.6100000003</v>
      </c>
      <c r="U1948">
        <v>6558979.6100000003</v>
      </c>
      <c r="V1948">
        <v>0</v>
      </c>
      <c r="W1948">
        <v>0</v>
      </c>
    </row>
    <row r="1949" spans="1:23" x14ac:dyDescent="0.35">
      <c r="A1949" t="s">
        <v>0</v>
      </c>
      <c r="B1949">
        <v>2750</v>
      </c>
      <c r="C1949">
        <v>30</v>
      </c>
      <c r="D1949">
        <v>3</v>
      </c>
      <c r="E1949">
        <v>0</v>
      </c>
      <c r="F1949">
        <v>80632018</v>
      </c>
      <c r="G1949">
        <v>187765.87</v>
      </c>
      <c r="H1949">
        <v>80444252.129999995</v>
      </c>
      <c r="I1949">
        <v>80444252.129999995</v>
      </c>
      <c r="J1949">
        <v>0</v>
      </c>
      <c r="K1949">
        <v>0</v>
      </c>
      <c r="M1949" t="s">
        <v>0</v>
      </c>
      <c r="N1949">
        <v>2250</v>
      </c>
      <c r="O1949">
        <v>30</v>
      </c>
      <c r="P1949">
        <v>2</v>
      </c>
      <c r="Q1949">
        <v>0</v>
      </c>
      <c r="R1949">
        <v>68513494</v>
      </c>
      <c r="S1949">
        <v>148796.66</v>
      </c>
      <c r="T1949">
        <v>68364697.340000004</v>
      </c>
      <c r="U1949">
        <v>68364697.340000004</v>
      </c>
      <c r="V1949">
        <v>0</v>
      </c>
      <c r="W1949">
        <v>0</v>
      </c>
    </row>
    <row r="1950" spans="1:23" x14ac:dyDescent="0.35">
      <c r="A1950" t="s">
        <v>0</v>
      </c>
      <c r="B1950">
        <v>3250</v>
      </c>
      <c r="C1950">
        <v>30</v>
      </c>
      <c r="D1950">
        <v>6</v>
      </c>
      <c r="E1950">
        <v>0</v>
      </c>
      <c r="F1950">
        <v>181500414</v>
      </c>
      <c r="G1950">
        <v>336583.53</v>
      </c>
      <c r="H1950">
        <v>181163830.47</v>
      </c>
      <c r="I1950">
        <v>181163830.47</v>
      </c>
      <c r="J1950">
        <v>0</v>
      </c>
      <c r="K1950">
        <v>0</v>
      </c>
      <c r="M1950" t="s">
        <v>0</v>
      </c>
      <c r="N1950">
        <v>2500</v>
      </c>
      <c r="O1950">
        <v>30</v>
      </c>
      <c r="P1950">
        <v>3</v>
      </c>
      <c r="Q1950">
        <v>0</v>
      </c>
      <c r="R1950">
        <v>91862143</v>
      </c>
      <c r="S1950">
        <v>195322.92</v>
      </c>
      <c r="T1950">
        <v>91666820.079999998</v>
      </c>
      <c r="U1950">
        <v>91666820.079999998</v>
      </c>
      <c r="V1950">
        <v>0</v>
      </c>
      <c r="W1950">
        <v>0</v>
      </c>
    </row>
    <row r="1951" spans="1:23" x14ac:dyDescent="0.35">
      <c r="A1951" t="s">
        <v>1</v>
      </c>
      <c r="B1951">
        <v>6250</v>
      </c>
      <c r="C1951">
        <v>144</v>
      </c>
      <c r="D1951">
        <v>1</v>
      </c>
      <c r="E1951">
        <v>0</v>
      </c>
      <c r="F1951">
        <v>5888162</v>
      </c>
      <c r="G1951">
        <v>12831.93</v>
      </c>
      <c r="H1951">
        <v>5875330.0700000003</v>
      </c>
      <c r="I1951">
        <v>5875330.0700000003</v>
      </c>
      <c r="J1951">
        <v>0</v>
      </c>
      <c r="K1951">
        <v>0</v>
      </c>
      <c r="M1951" t="s">
        <v>0</v>
      </c>
      <c r="N1951">
        <v>2750</v>
      </c>
      <c r="O1951">
        <v>30</v>
      </c>
      <c r="P1951">
        <v>3</v>
      </c>
      <c r="Q1951">
        <v>0</v>
      </c>
      <c r="R1951">
        <v>81223311</v>
      </c>
      <c r="S1951">
        <v>188138.27</v>
      </c>
      <c r="T1951">
        <v>81035172.730000004</v>
      </c>
      <c r="U1951">
        <v>81035172.730000004</v>
      </c>
      <c r="V1951">
        <v>0</v>
      </c>
      <c r="W1951">
        <v>0</v>
      </c>
    </row>
    <row r="1952" spans="1:23" x14ac:dyDescent="0.35">
      <c r="A1952" t="s">
        <v>2</v>
      </c>
      <c r="B1952">
        <v>2500</v>
      </c>
      <c r="C1952">
        <v>30</v>
      </c>
      <c r="D1952">
        <v>4</v>
      </c>
      <c r="E1952">
        <v>0</v>
      </c>
      <c r="F1952">
        <v>68453816</v>
      </c>
      <c r="G1952">
        <v>143916.24</v>
      </c>
      <c r="H1952">
        <v>68309899.760000005</v>
      </c>
      <c r="I1952">
        <v>68309899.760000005</v>
      </c>
      <c r="J1952">
        <v>0</v>
      </c>
      <c r="K1952">
        <v>0</v>
      </c>
      <c r="M1952" t="s">
        <v>1</v>
      </c>
      <c r="N1952">
        <v>6250</v>
      </c>
      <c r="O1952">
        <v>144</v>
      </c>
      <c r="P1952">
        <v>1</v>
      </c>
      <c r="Q1952">
        <v>0</v>
      </c>
      <c r="R1952">
        <v>5901966</v>
      </c>
      <c r="S1952">
        <v>12769.01</v>
      </c>
      <c r="T1952">
        <v>5889196.9900000002</v>
      </c>
      <c r="U1952">
        <v>5889196.9900000002</v>
      </c>
      <c r="V1952">
        <v>0</v>
      </c>
      <c r="W1952">
        <v>0</v>
      </c>
    </row>
    <row r="1953" spans="1:23" x14ac:dyDescent="0.35">
      <c r="A1953" t="s">
        <v>3</v>
      </c>
      <c r="B1953">
        <v>5250</v>
      </c>
      <c r="C1953">
        <v>30</v>
      </c>
      <c r="D1953">
        <v>5</v>
      </c>
      <c r="E1953">
        <v>0</v>
      </c>
      <c r="F1953">
        <v>133484033</v>
      </c>
      <c r="G1953">
        <v>176880.65</v>
      </c>
      <c r="H1953">
        <v>133307152.34999999</v>
      </c>
      <c r="I1953">
        <v>133307152.34999999</v>
      </c>
      <c r="J1953">
        <v>0</v>
      </c>
      <c r="K1953">
        <v>0</v>
      </c>
      <c r="M1953" t="s">
        <v>2</v>
      </c>
      <c r="N1953">
        <v>2500</v>
      </c>
      <c r="O1953">
        <v>30</v>
      </c>
      <c r="P1953">
        <v>2</v>
      </c>
      <c r="Q1953">
        <v>0</v>
      </c>
      <c r="R1953">
        <v>20152640</v>
      </c>
      <c r="S1953">
        <v>42466.61</v>
      </c>
      <c r="T1953">
        <v>20110173.390000001</v>
      </c>
      <c r="U1953">
        <v>20110173.390000001</v>
      </c>
      <c r="V1953">
        <v>0</v>
      </c>
      <c r="W1953">
        <v>0</v>
      </c>
    </row>
    <row r="1954" spans="1:23" x14ac:dyDescent="0.35">
      <c r="A1954" t="s">
        <v>0</v>
      </c>
      <c r="B1954">
        <v>20000</v>
      </c>
      <c r="C1954">
        <v>30</v>
      </c>
      <c r="D1954">
        <v>1</v>
      </c>
      <c r="E1954">
        <v>0</v>
      </c>
      <c r="F1954">
        <v>18347298</v>
      </c>
      <c r="G1954">
        <v>12173.04</v>
      </c>
      <c r="H1954">
        <v>18335124.960000001</v>
      </c>
      <c r="I1954">
        <v>18335124.960000001</v>
      </c>
      <c r="J1954">
        <v>0</v>
      </c>
      <c r="K1954">
        <v>0</v>
      </c>
      <c r="M1954" t="s">
        <v>3</v>
      </c>
      <c r="N1954">
        <v>5250</v>
      </c>
      <c r="O1954">
        <v>30</v>
      </c>
      <c r="P1954">
        <v>3</v>
      </c>
      <c r="Q1954">
        <v>0</v>
      </c>
      <c r="R1954">
        <v>79301588</v>
      </c>
      <c r="S1954">
        <v>104806.99</v>
      </c>
      <c r="T1954">
        <v>79196781.010000005</v>
      </c>
      <c r="U1954">
        <v>79196781.010000005</v>
      </c>
      <c r="V1954">
        <v>0</v>
      </c>
      <c r="W1954">
        <v>0</v>
      </c>
    </row>
    <row r="1955" spans="1:23" x14ac:dyDescent="0.35">
      <c r="A1955" t="s">
        <v>2</v>
      </c>
      <c r="B1955">
        <v>2250</v>
      </c>
      <c r="C1955">
        <v>36</v>
      </c>
      <c r="D1955">
        <v>2</v>
      </c>
      <c r="E1955">
        <v>0</v>
      </c>
      <c r="F1955">
        <v>42737743</v>
      </c>
      <c r="G1955">
        <v>101697.86</v>
      </c>
      <c r="H1955">
        <v>42636045.140000001</v>
      </c>
      <c r="I1955">
        <v>42636045.140000001</v>
      </c>
      <c r="J1955">
        <v>0</v>
      </c>
      <c r="K1955">
        <v>0</v>
      </c>
      <c r="M1955" t="s">
        <v>0</v>
      </c>
      <c r="N1955">
        <v>20000</v>
      </c>
      <c r="O1955">
        <v>30</v>
      </c>
      <c r="P1955">
        <v>1</v>
      </c>
      <c r="Q1955">
        <v>0</v>
      </c>
      <c r="R1955">
        <v>18359479</v>
      </c>
      <c r="S1955">
        <v>12081.24</v>
      </c>
      <c r="T1955">
        <v>18347397.760000002</v>
      </c>
      <c r="U1955">
        <v>18347397.760000002</v>
      </c>
      <c r="V1955">
        <v>0</v>
      </c>
      <c r="W1955">
        <v>0</v>
      </c>
    </row>
    <row r="1956" spans="1:23" x14ac:dyDescent="0.35">
      <c r="A1956" t="s">
        <v>2</v>
      </c>
      <c r="B1956">
        <v>2750</v>
      </c>
      <c r="C1956">
        <v>24</v>
      </c>
      <c r="D1956">
        <v>11</v>
      </c>
      <c r="E1956">
        <v>0</v>
      </c>
      <c r="F1956">
        <v>255677699</v>
      </c>
      <c r="G1956">
        <v>513400.84</v>
      </c>
      <c r="H1956">
        <v>255164298.16</v>
      </c>
      <c r="I1956">
        <v>255164298.16</v>
      </c>
      <c r="J1956">
        <v>0</v>
      </c>
      <c r="K1956">
        <v>0</v>
      </c>
      <c r="M1956" t="s">
        <v>1</v>
      </c>
      <c r="N1956">
        <v>2750</v>
      </c>
      <c r="O1956">
        <v>24</v>
      </c>
      <c r="P1956">
        <v>13</v>
      </c>
      <c r="Q1956">
        <v>0</v>
      </c>
      <c r="R1956">
        <v>634663232</v>
      </c>
      <c r="S1956">
        <v>1370635.97</v>
      </c>
      <c r="T1956">
        <v>633292596.02999997</v>
      </c>
      <c r="U1956">
        <v>633292596.02999997</v>
      </c>
      <c r="V1956">
        <v>0</v>
      </c>
      <c r="W1956">
        <v>0</v>
      </c>
    </row>
    <row r="1957" spans="1:23" x14ac:dyDescent="0.35">
      <c r="A1957" t="s">
        <v>2</v>
      </c>
      <c r="B1957">
        <v>3000</v>
      </c>
      <c r="C1957">
        <v>24</v>
      </c>
      <c r="D1957">
        <v>11</v>
      </c>
      <c r="E1957">
        <v>0</v>
      </c>
      <c r="F1957">
        <v>175705947</v>
      </c>
      <c r="G1957">
        <v>345699.63</v>
      </c>
      <c r="H1957">
        <v>175360247.37</v>
      </c>
      <c r="I1957">
        <v>175360247.37</v>
      </c>
      <c r="J1957">
        <v>0</v>
      </c>
      <c r="K1957">
        <v>0</v>
      </c>
      <c r="M1957" t="s">
        <v>1</v>
      </c>
      <c r="N1957">
        <v>3250</v>
      </c>
      <c r="O1957">
        <v>24</v>
      </c>
      <c r="P1957">
        <v>23</v>
      </c>
      <c r="Q1957">
        <v>0</v>
      </c>
      <c r="R1957">
        <v>750786834</v>
      </c>
      <c r="S1957">
        <v>1477577.75</v>
      </c>
      <c r="T1957">
        <v>730962112.33000004</v>
      </c>
      <c r="U1957">
        <v>730962112.33000004</v>
      </c>
      <c r="V1957">
        <v>0.25687399999999999</v>
      </c>
      <c r="W1957">
        <v>0.25687399999999999</v>
      </c>
    </row>
    <row r="1958" spans="1:23" x14ac:dyDescent="0.35">
      <c r="A1958" t="s">
        <v>1</v>
      </c>
      <c r="B1958">
        <v>3250</v>
      </c>
      <c r="C1958">
        <v>24</v>
      </c>
      <c r="D1958">
        <v>21</v>
      </c>
      <c r="E1958">
        <v>0</v>
      </c>
      <c r="F1958">
        <v>660695085</v>
      </c>
      <c r="G1958">
        <v>1301277.3600000001</v>
      </c>
      <c r="H1958">
        <v>659393807.63999999</v>
      </c>
      <c r="I1958">
        <v>659393807.63999999</v>
      </c>
      <c r="J1958">
        <v>0</v>
      </c>
      <c r="K1958">
        <v>0</v>
      </c>
      <c r="M1958" t="s">
        <v>1</v>
      </c>
      <c r="N1958">
        <v>2250</v>
      </c>
      <c r="O1958">
        <v>24</v>
      </c>
      <c r="P1958">
        <v>15</v>
      </c>
      <c r="Q1958">
        <v>0</v>
      </c>
      <c r="R1958">
        <v>502324046</v>
      </c>
      <c r="S1958">
        <v>1191217.73</v>
      </c>
      <c r="T1958">
        <v>501132828.26999998</v>
      </c>
      <c r="U1958">
        <v>501132828.26999998</v>
      </c>
      <c r="V1958">
        <v>0</v>
      </c>
      <c r="W1958">
        <v>0</v>
      </c>
    </row>
    <row r="1959" spans="1:23" x14ac:dyDescent="0.35">
      <c r="A1959" t="s">
        <v>1</v>
      </c>
      <c r="B1959">
        <v>4000</v>
      </c>
      <c r="C1959">
        <v>24</v>
      </c>
      <c r="D1959">
        <v>60</v>
      </c>
      <c r="E1959">
        <v>0</v>
      </c>
      <c r="F1959">
        <v>2284261852</v>
      </c>
      <c r="G1959">
        <v>3812613.01</v>
      </c>
      <c r="H1959">
        <v>2189113362.21</v>
      </c>
      <c r="I1959">
        <v>2189113362.21</v>
      </c>
      <c r="J1959">
        <v>0.38717400000000002</v>
      </c>
      <c r="K1959">
        <v>0.38717400000000002</v>
      </c>
      <c r="M1959" t="s">
        <v>1</v>
      </c>
      <c r="N1959">
        <v>3750</v>
      </c>
      <c r="O1959">
        <v>24</v>
      </c>
      <c r="P1959">
        <v>41</v>
      </c>
      <c r="Q1959">
        <v>0</v>
      </c>
      <c r="R1959">
        <v>1261543648</v>
      </c>
      <c r="S1959">
        <v>2200456.7599999998</v>
      </c>
      <c r="T1959">
        <v>1259343191.24</v>
      </c>
      <c r="U1959">
        <v>1259343191.24</v>
      </c>
      <c r="V1959">
        <v>0</v>
      </c>
      <c r="W1959">
        <v>0</v>
      </c>
    </row>
    <row r="1960" spans="1:23" x14ac:dyDescent="0.35">
      <c r="A1960" t="s">
        <v>0</v>
      </c>
      <c r="B1960">
        <v>4000</v>
      </c>
      <c r="C1960">
        <v>24</v>
      </c>
      <c r="D1960">
        <v>19</v>
      </c>
      <c r="E1960">
        <v>0</v>
      </c>
      <c r="F1960">
        <v>659811629</v>
      </c>
      <c r="G1960">
        <v>1064957.75</v>
      </c>
      <c r="H1960">
        <v>658746671.25</v>
      </c>
      <c r="I1960">
        <v>658746671.25</v>
      </c>
      <c r="J1960">
        <v>0</v>
      </c>
      <c r="K1960">
        <v>0</v>
      </c>
      <c r="M1960" t="s">
        <v>0</v>
      </c>
      <c r="N1960">
        <v>3250</v>
      </c>
      <c r="O1960">
        <v>24</v>
      </c>
      <c r="P1960">
        <v>2</v>
      </c>
      <c r="Q1960">
        <v>0</v>
      </c>
      <c r="R1960">
        <v>56093505</v>
      </c>
      <c r="S1960">
        <v>102800.86</v>
      </c>
      <c r="T1960">
        <v>55990704.140000001</v>
      </c>
      <c r="U1960">
        <v>55990704.140000001</v>
      </c>
      <c r="V1960">
        <v>0</v>
      </c>
      <c r="W1960">
        <v>0</v>
      </c>
    </row>
    <row r="1961" spans="1:23" x14ac:dyDescent="0.35">
      <c r="A1961" t="s">
        <v>1</v>
      </c>
      <c r="B1961">
        <v>4250</v>
      </c>
      <c r="C1961">
        <v>24</v>
      </c>
      <c r="D1961">
        <v>229</v>
      </c>
      <c r="E1961">
        <v>0</v>
      </c>
      <c r="F1961">
        <v>7566240474</v>
      </c>
      <c r="G1961">
        <v>11795564.189999999</v>
      </c>
      <c r="H1961">
        <v>7484762759.6199999</v>
      </c>
      <c r="I1961">
        <v>7508207330</v>
      </c>
      <c r="J1961">
        <v>0.105086</v>
      </c>
      <c r="K1961">
        <v>7.0916999999999994E-2</v>
      </c>
      <c r="M1961" t="s">
        <v>1</v>
      </c>
      <c r="N1961">
        <v>3500</v>
      </c>
      <c r="O1961">
        <v>24</v>
      </c>
      <c r="P1961">
        <v>26</v>
      </c>
      <c r="Q1961">
        <v>0</v>
      </c>
      <c r="R1961">
        <v>1010447474</v>
      </c>
      <c r="S1961">
        <v>1892796.7</v>
      </c>
      <c r="T1961">
        <v>1008554677.3</v>
      </c>
      <c r="U1961">
        <v>1008554677.3</v>
      </c>
      <c r="V1961">
        <v>0</v>
      </c>
      <c r="W1961">
        <v>0</v>
      </c>
    </row>
    <row r="1962" spans="1:23" x14ac:dyDescent="0.35">
      <c r="A1962" t="s">
        <v>2</v>
      </c>
      <c r="B1962">
        <v>3750</v>
      </c>
      <c r="C1962">
        <v>24</v>
      </c>
      <c r="D1962">
        <v>15</v>
      </c>
      <c r="E1962">
        <v>0</v>
      </c>
      <c r="F1962">
        <v>231780428</v>
      </c>
      <c r="G1962">
        <v>400491.58</v>
      </c>
      <c r="H1962">
        <v>231379936.41999999</v>
      </c>
      <c r="I1962">
        <v>231379936.41999999</v>
      </c>
      <c r="J1962">
        <v>0</v>
      </c>
      <c r="K1962">
        <v>0</v>
      </c>
      <c r="M1962" t="s">
        <v>1</v>
      </c>
      <c r="N1962">
        <v>4000</v>
      </c>
      <c r="O1962">
        <v>24</v>
      </c>
      <c r="P1962">
        <v>62</v>
      </c>
      <c r="Q1962">
        <v>0</v>
      </c>
      <c r="R1962">
        <v>2485478338</v>
      </c>
      <c r="S1962">
        <v>4116930.88</v>
      </c>
      <c r="T1962">
        <v>2481361407.1199999</v>
      </c>
      <c r="U1962">
        <v>2481361407.1199999</v>
      </c>
      <c r="V1962">
        <v>0</v>
      </c>
      <c r="W1962">
        <v>0</v>
      </c>
    </row>
    <row r="1963" spans="1:23" x14ac:dyDescent="0.35">
      <c r="A1963" t="s">
        <v>0</v>
      </c>
      <c r="B1963">
        <v>3750</v>
      </c>
      <c r="C1963">
        <v>24</v>
      </c>
      <c r="D1963">
        <v>19</v>
      </c>
      <c r="E1963">
        <v>0</v>
      </c>
      <c r="F1963">
        <v>689962141</v>
      </c>
      <c r="G1963">
        <v>1156773.6200000001</v>
      </c>
      <c r="H1963">
        <v>688805367.38</v>
      </c>
      <c r="I1963">
        <v>688805367.38</v>
      </c>
      <c r="J1963">
        <v>0</v>
      </c>
      <c r="K1963">
        <v>0</v>
      </c>
      <c r="M1963" t="s">
        <v>0</v>
      </c>
      <c r="N1963">
        <v>4250</v>
      </c>
      <c r="O1963">
        <v>24</v>
      </c>
      <c r="P1963">
        <v>364</v>
      </c>
      <c r="Q1963">
        <v>0</v>
      </c>
      <c r="R1963">
        <v>10700301720</v>
      </c>
      <c r="S1963">
        <v>16519939.390000001</v>
      </c>
      <c r="T1963">
        <v>10656977211.35</v>
      </c>
      <c r="U1963">
        <v>10683781780.610001</v>
      </c>
      <c r="V1963">
        <v>2.9649999999999999E-2</v>
      </c>
      <c r="W1963">
        <v>0</v>
      </c>
    </row>
    <row r="1964" spans="1:23" x14ac:dyDescent="0.35">
      <c r="A1964" t="s">
        <v>1</v>
      </c>
      <c r="B1964">
        <v>3750</v>
      </c>
      <c r="C1964">
        <v>24</v>
      </c>
      <c r="D1964">
        <v>42</v>
      </c>
      <c r="E1964">
        <v>0</v>
      </c>
      <c r="F1964">
        <v>1376002319</v>
      </c>
      <c r="G1964">
        <v>2413140.96</v>
      </c>
      <c r="H1964">
        <v>1373589178.04</v>
      </c>
      <c r="I1964">
        <v>1373589178.04</v>
      </c>
      <c r="J1964">
        <v>0</v>
      </c>
      <c r="K1964">
        <v>0</v>
      </c>
      <c r="M1964" t="s">
        <v>0</v>
      </c>
      <c r="N1964">
        <v>4000</v>
      </c>
      <c r="O1964">
        <v>24</v>
      </c>
      <c r="P1964">
        <v>19</v>
      </c>
      <c r="Q1964">
        <v>0</v>
      </c>
      <c r="R1964">
        <v>643085737</v>
      </c>
      <c r="S1964">
        <v>1038305.84</v>
      </c>
      <c r="T1964">
        <v>642047431.15999997</v>
      </c>
      <c r="U1964">
        <v>642047431.15999997</v>
      </c>
      <c r="V1964">
        <v>0</v>
      </c>
      <c r="W1964">
        <v>0</v>
      </c>
    </row>
    <row r="1965" spans="1:23" x14ac:dyDescent="0.35">
      <c r="A1965" t="s">
        <v>0</v>
      </c>
      <c r="B1965">
        <v>4250</v>
      </c>
      <c r="C1965">
        <v>24</v>
      </c>
      <c r="D1965">
        <v>435</v>
      </c>
      <c r="E1965">
        <v>0</v>
      </c>
      <c r="F1965">
        <v>12826128367</v>
      </c>
      <c r="G1965">
        <v>19756929.199999999</v>
      </c>
      <c r="H1965">
        <v>12806371437.799999</v>
      </c>
      <c r="I1965">
        <v>12806371437.799999</v>
      </c>
      <c r="J1965">
        <v>0</v>
      </c>
      <c r="K1965">
        <v>0</v>
      </c>
      <c r="M1965" t="s">
        <v>0</v>
      </c>
      <c r="N1965">
        <v>3750</v>
      </c>
      <c r="O1965">
        <v>24</v>
      </c>
      <c r="P1965">
        <v>18</v>
      </c>
      <c r="Q1965">
        <v>0</v>
      </c>
      <c r="R1965">
        <v>657493174</v>
      </c>
      <c r="S1965">
        <v>1103341.75</v>
      </c>
      <c r="T1965">
        <v>656389832.25</v>
      </c>
      <c r="U1965">
        <v>656389832.25</v>
      </c>
      <c r="V1965">
        <v>0</v>
      </c>
      <c r="W1965">
        <v>0</v>
      </c>
    </row>
    <row r="1966" spans="1:23" x14ac:dyDescent="0.35">
      <c r="A1966" t="s">
        <v>1</v>
      </c>
      <c r="B1966">
        <v>4500</v>
      </c>
      <c r="C1966">
        <v>24</v>
      </c>
      <c r="D1966">
        <v>452</v>
      </c>
      <c r="E1966">
        <v>0</v>
      </c>
      <c r="F1966">
        <v>14834361099</v>
      </c>
      <c r="G1966">
        <v>22066527.579999998</v>
      </c>
      <c r="H1966">
        <v>14767075875.700001</v>
      </c>
      <c r="I1966">
        <v>14767075875.700001</v>
      </c>
      <c r="J1966">
        <v>3.5971999999999997E-2</v>
      </c>
      <c r="K1966">
        <v>3.5971999999999997E-2</v>
      </c>
      <c r="M1966" t="s">
        <v>2</v>
      </c>
      <c r="N1966">
        <v>4250</v>
      </c>
      <c r="O1966">
        <v>24</v>
      </c>
      <c r="P1966">
        <v>14</v>
      </c>
      <c r="Q1966">
        <v>0</v>
      </c>
      <c r="R1966">
        <v>292157978</v>
      </c>
      <c r="S1966">
        <v>467327.49</v>
      </c>
      <c r="T1966">
        <v>291690650.50999999</v>
      </c>
      <c r="U1966">
        <v>291690650.50999999</v>
      </c>
      <c r="V1966">
        <v>0</v>
      </c>
      <c r="W1966">
        <v>0</v>
      </c>
    </row>
    <row r="1967" spans="1:23" x14ac:dyDescent="0.35">
      <c r="A1967" t="s">
        <v>1</v>
      </c>
      <c r="B1967">
        <v>4750</v>
      </c>
      <c r="C1967">
        <v>24</v>
      </c>
      <c r="D1967">
        <v>649</v>
      </c>
      <c r="E1967">
        <v>0</v>
      </c>
      <c r="F1967">
        <v>22883141961</v>
      </c>
      <c r="G1967">
        <v>32601381.850000001</v>
      </c>
      <c r="H1967">
        <v>22824179098.849998</v>
      </c>
      <c r="I1967">
        <v>22824179098.849998</v>
      </c>
      <c r="J1967">
        <v>1.3736999999999999E-2</v>
      </c>
      <c r="K1967">
        <v>1.3736999999999999E-2</v>
      </c>
      <c r="M1967" t="s">
        <v>2</v>
      </c>
      <c r="N1967">
        <v>4000</v>
      </c>
      <c r="O1967">
        <v>24</v>
      </c>
      <c r="P1967">
        <v>15</v>
      </c>
      <c r="Q1967">
        <v>0</v>
      </c>
      <c r="R1967">
        <v>229977991</v>
      </c>
      <c r="S1967">
        <v>390634.31</v>
      </c>
      <c r="T1967">
        <v>229587356.69</v>
      </c>
      <c r="U1967">
        <v>229587356.69</v>
      </c>
      <c r="V1967">
        <v>0</v>
      </c>
      <c r="W1967">
        <v>0</v>
      </c>
    </row>
    <row r="1968" spans="1:23" x14ac:dyDescent="0.35">
      <c r="A1968" t="s">
        <v>2</v>
      </c>
      <c r="B1968">
        <v>4500</v>
      </c>
      <c r="C1968">
        <v>24</v>
      </c>
      <c r="D1968">
        <v>50</v>
      </c>
      <c r="E1968">
        <v>0</v>
      </c>
      <c r="F1968">
        <v>1295361842</v>
      </c>
      <c r="G1968">
        <v>1922402.57</v>
      </c>
      <c r="H1968">
        <v>1293439439.4300001</v>
      </c>
      <c r="I1968">
        <v>1293439439.4300001</v>
      </c>
      <c r="J1968">
        <v>0</v>
      </c>
      <c r="K1968">
        <v>0</v>
      </c>
      <c r="M1968" t="s">
        <v>1</v>
      </c>
      <c r="N1968">
        <v>4250</v>
      </c>
      <c r="O1968">
        <v>24</v>
      </c>
      <c r="P1968">
        <v>202</v>
      </c>
      <c r="Q1968">
        <v>0</v>
      </c>
      <c r="R1968">
        <v>6613340772</v>
      </c>
      <c r="S1968">
        <v>10352459.9</v>
      </c>
      <c r="T1968">
        <v>6602988312.1000004</v>
      </c>
      <c r="U1968">
        <v>6602988312.1000004</v>
      </c>
      <c r="V1968">
        <v>0</v>
      </c>
      <c r="W1968">
        <v>0</v>
      </c>
    </row>
    <row r="1969" spans="1:23" x14ac:dyDescent="0.35">
      <c r="A1969" t="s">
        <v>3</v>
      </c>
      <c r="B1969">
        <v>5250</v>
      </c>
      <c r="C1969">
        <v>24</v>
      </c>
      <c r="D1969">
        <v>3</v>
      </c>
      <c r="E1969">
        <v>0</v>
      </c>
      <c r="F1969">
        <v>95356916</v>
      </c>
      <c r="G1969">
        <v>123507.53</v>
      </c>
      <c r="H1969">
        <v>95233408.469999999</v>
      </c>
      <c r="I1969">
        <v>95233408.469999999</v>
      </c>
      <c r="J1969">
        <v>0</v>
      </c>
      <c r="K1969">
        <v>0</v>
      </c>
      <c r="M1969" t="s">
        <v>2</v>
      </c>
      <c r="N1969">
        <v>4500</v>
      </c>
      <c r="O1969">
        <v>24</v>
      </c>
      <c r="P1969">
        <v>58</v>
      </c>
      <c r="Q1969">
        <v>0</v>
      </c>
      <c r="R1969">
        <v>1519788997</v>
      </c>
      <c r="S1969">
        <v>2264992.7599999998</v>
      </c>
      <c r="T1969">
        <v>1517524004.24</v>
      </c>
      <c r="U1969">
        <v>1517524004.24</v>
      </c>
      <c r="V1969">
        <v>0</v>
      </c>
      <c r="W1969">
        <v>0</v>
      </c>
    </row>
    <row r="1970" spans="1:23" x14ac:dyDescent="0.35">
      <c r="A1970" t="s">
        <v>1</v>
      </c>
      <c r="B1970">
        <v>9000</v>
      </c>
      <c r="C1970">
        <v>24</v>
      </c>
      <c r="D1970">
        <v>11</v>
      </c>
      <c r="E1970">
        <v>0</v>
      </c>
      <c r="F1970">
        <v>290119663</v>
      </c>
      <c r="G1970">
        <v>199197.8</v>
      </c>
      <c r="H1970">
        <v>289920465.19999999</v>
      </c>
      <c r="I1970">
        <v>289920465.19999999</v>
      </c>
      <c r="J1970">
        <v>0</v>
      </c>
      <c r="K1970">
        <v>0</v>
      </c>
      <c r="M1970" t="s">
        <v>1</v>
      </c>
      <c r="N1970">
        <v>4750</v>
      </c>
      <c r="O1970">
        <v>24</v>
      </c>
      <c r="P1970">
        <v>722</v>
      </c>
      <c r="Q1970">
        <v>0</v>
      </c>
      <c r="R1970">
        <v>26024108349</v>
      </c>
      <c r="S1970">
        <v>37129900.990000002</v>
      </c>
      <c r="T1970">
        <v>25769232943.459999</v>
      </c>
      <c r="U1970">
        <v>25902983472.18</v>
      </c>
      <c r="V1970">
        <v>9.5910999999999996E-2</v>
      </c>
      <c r="W1970">
        <v>3.8051000000000001E-2</v>
      </c>
    </row>
    <row r="1971" spans="1:23" x14ac:dyDescent="0.35">
      <c r="A1971" t="s">
        <v>2</v>
      </c>
      <c r="B1971">
        <v>2250</v>
      </c>
      <c r="C1971">
        <v>24</v>
      </c>
      <c r="D1971">
        <v>1</v>
      </c>
      <c r="E1971">
        <v>0</v>
      </c>
      <c r="F1971">
        <v>16749270</v>
      </c>
      <c r="G1971">
        <v>35686.480000000003</v>
      </c>
      <c r="H1971">
        <v>16713583.52</v>
      </c>
      <c r="I1971">
        <v>16713583.52</v>
      </c>
      <c r="J1971">
        <v>0</v>
      </c>
      <c r="K1971">
        <v>0</v>
      </c>
      <c r="M1971" t="s">
        <v>2</v>
      </c>
      <c r="N1971">
        <v>4750</v>
      </c>
      <c r="O1971">
        <v>24</v>
      </c>
      <c r="P1971">
        <v>57</v>
      </c>
      <c r="Q1971">
        <v>0</v>
      </c>
      <c r="R1971">
        <v>1457855617</v>
      </c>
      <c r="S1971">
        <v>2084227.55</v>
      </c>
      <c r="T1971">
        <v>1455771389.45</v>
      </c>
      <c r="U1971">
        <v>1455771389.45</v>
      </c>
      <c r="V1971">
        <v>0</v>
      </c>
      <c r="W1971">
        <v>0</v>
      </c>
    </row>
    <row r="1972" spans="1:23" x14ac:dyDescent="0.35">
      <c r="A1972" t="s">
        <v>2</v>
      </c>
      <c r="B1972">
        <v>3250</v>
      </c>
      <c r="C1972">
        <v>24</v>
      </c>
      <c r="D1972">
        <v>18</v>
      </c>
      <c r="E1972">
        <v>0</v>
      </c>
      <c r="F1972">
        <v>327335315</v>
      </c>
      <c r="G1972">
        <v>606930.02</v>
      </c>
      <c r="H1972">
        <v>326728384.98000002</v>
      </c>
      <c r="I1972">
        <v>326728384.98000002</v>
      </c>
      <c r="J1972">
        <v>0</v>
      </c>
      <c r="K1972">
        <v>0</v>
      </c>
      <c r="M1972" t="s">
        <v>3</v>
      </c>
      <c r="N1972">
        <v>5250</v>
      </c>
      <c r="O1972">
        <v>24</v>
      </c>
      <c r="P1972">
        <v>3</v>
      </c>
      <c r="Q1972">
        <v>0</v>
      </c>
      <c r="R1972">
        <v>78512071</v>
      </c>
      <c r="S1972">
        <v>102807.03999999999</v>
      </c>
      <c r="T1972">
        <v>78409263.959999993</v>
      </c>
      <c r="U1972">
        <v>78409263.959999993</v>
      </c>
      <c r="V1972">
        <v>0</v>
      </c>
      <c r="W1972">
        <v>0</v>
      </c>
    </row>
    <row r="1973" spans="1:23" x14ac:dyDescent="0.35">
      <c r="A1973" t="s">
        <v>0</v>
      </c>
      <c r="B1973">
        <v>3250</v>
      </c>
      <c r="C1973">
        <v>24</v>
      </c>
      <c r="D1973">
        <v>2</v>
      </c>
      <c r="E1973">
        <v>0</v>
      </c>
      <c r="F1973">
        <v>39893792</v>
      </c>
      <c r="G1973">
        <v>72476.25</v>
      </c>
      <c r="H1973">
        <v>39821315.75</v>
      </c>
      <c r="I1973">
        <v>39821315.75</v>
      </c>
      <c r="J1973">
        <v>0</v>
      </c>
      <c r="K1973">
        <v>0</v>
      </c>
      <c r="M1973" t="s">
        <v>1</v>
      </c>
      <c r="N1973">
        <v>9000</v>
      </c>
      <c r="O1973">
        <v>24</v>
      </c>
      <c r="P1973">
        <v>12</v>
      </c>
      <c r="Q1973">
        <v>0</v>
      </c>
      <c r="R1973">
        <v>311562161</v>
      </c>
      <c r="S1973">
        <v>212959.43</v>
      </c>
      <c r="T1973">
        <v>294223318.76999998</v>
      </c>
      <c r="U1973">
        <v>294223318.76999998</v>
      </c>
      <c r="V1973">
        <v>0.49258999999999997</v>
      </c>
      <c r="W1973">
        <v>0.49258999999999997</v>
      </c>
    </row>
    <row r="1974" spans="1:23" x14ac:dyDescent="0.35">
      <c r="A1974" t="s">
        <v>1</v>
      </c>
      <c r="B1974">
        <v>3500</v>
      </c>
      <c r="C1974">
        <v>24</v>
      </c>
      <c r="D1974">
        <v>23</v>
      </c>
      <c r="E1974">
        <v>0</v>
      </c>
      <c r="F1974">
        <v>746236909</v>
      </c>
      <c r="G1974">
        <v>1406764.35</v>
      </c>
      <c r="H1974">
        <v>744830144.64999998</v>
      </c>
      <c r="I1974">
        <v>744830144.64999998</v>
      </c>
      <c r="J1974">
        <v>0</v>
      </c>
      <c r="K1974">
        <v>0</v>
      </c>
      <c r="M1974" t="s">
        <v>2</v>
      </c>
      <c r="N1974">
        <v>2750</v>
      </c>
      <c r="O1974">
        <v>24</v>
      </c>
      <c r="P1974">
        <v>12</v>
      </c>
      <c r="Q1974">
        <v>0</v>
      </c>
      <c r="R1974">
        <v>275277562</v>
      </c>
      <c r="S1974">
        <v>551625.4</v>
      </c>
      <c r="T1974">
        <v>274725936.60000002</v>
      </c>
      <c r="U1974">
        <v>274725936.60000002</v>
      </c>
      <c r="V1974">
        <v>0</v>
      </c>
      <c r="W1974">
        <v>0</v>
      </c>
    </row>
    <row r="1975" spans="1:23" x14ac:dyDescent="0.35">
      <c r="A1975" t="s">
        <v>2</v>
      </c>
      <c r="B1975">
        <v>3500</v>
      </c>
      <c r="C1975">
        <v>24</v>
      </c>
      <c r="D1975">
        <v>9</v>
      </c>
      <c r="E1975">
        <v>0</v>
      </c>
      <c r="F1975">
        <v>184978040</v>
      </c>
      <c r="G1975">
        <v>332123.56</v>
      </c>
      <c r="H1975">
        <v>184645916.44</v>
      </c>
      <c r="I1975">
        <v>184645916.44</v>
      </c>
      <c r="J1975">
        <v>0</v>
      </c>
      <c r="K1975">
        <v>0</v>
      </c>
      <c r="M1975" t="s">
        <v>2</v>
      </c>
      <c r="N1975">
        <v>2500</v>
      </c>
      <c r="O1975">
        <v>24</v>
      </c>
      <c r="P1975">
        <v>2</v>
      </c>
      <c r="Q1975">
        <v>0</v>
      </c>
      <c r="R1975">
        <v>48340551</v>
      </c>
      <c r="S1975">
        <v>100939.21</v>
      </c>
      <c r="T1975">
        <v>48239611.789999999</v>
      </c>
      <c r="U1975">
        <v>48239611.789999999</v>
      </c>
      <c r="V1975">
        <v>0</v>
      </c>
      <c r="W1975">
        <v>0</v>
      </c>
    </row>
    <row r="1976" spans="1:23" x14ac:dyDescent="0.35">
      <c r="A1976" t="s">
        <v>2</v>
      </c>
      <c r="B1976">
        <v>4250</v>
      </c>
      <c r="C1976">
        <v>24</v>
      </c>
      <c r="D1976">
        <v>12</v>
      </c>
      <c r="E1976">
        <v>0</v>
      </c>
      <c r="F1976">
        <v>231709090</v>
      </c>
      <c r="G1976">
        <v>357556.11</v>
      </c>
      <c r="H1976">
        <v>231351533.88999999</v>
      </c>
      <c r="I1976">
        <v>231351533.88999999</v>
      </c>
      <c r="J1976">
        <v>0</v>
      </c>
      <c r="K1976">
        <v>0</v>
      </c>
      <c r="M1976" t="s">
        <v>2</v>
      </c>
      <c r="N1976">
        <v>3000</v>
      </c>
      <c r="O1976">
        <v>24</v>
      </c>
      <c r="P1976">
        <v>15</v>
      </c>
      <c r="Q1976">
        <v>0</v>
      </c>
      <c r="R1976">
        <v>240569164</v>
      </c>
      <c r="S1976">
        <v>469875.39</v>
      </c>
      <c r="T1976">
        <v>240099288.61000001</v>
      </c>
      <c r="U1976">
        <v>240099288.61000001</v>
      </c>
      <c r="V1976">
        <v>0</v>
      </c>
      <c r="W1976">
        <v>0</v>
      </c>
    </row>
    <row r="1977" spans="1:23" x14ac:dyDescent="0.35">
      <c r="A1977" t="s">
        <v>1</v>
      </c>
      <c r="B1977">
        <v>8500</v>
      </c>
      <c r="C1977">
        <v>24</v>
      </c>
      <c r="D1977">
        <v>41</v>
      </c>
      <c r="E1977">
        <v>0</v>
      </c>
      <c r="F1977">
        <v>1020263020</v>
      </c>
      <c r="G1977">
        <v>733338.42</v>
      </c>
      <c r="H1977">
        <v>983903092.48000002</v>
      </c>
      <c r="I1977">
        <v>983903092.48000002</v>
      </c>
      <c r="J1977">
        <v>0.347223</v>
      </c>
      <c r="K1977">
        <v>0.347223</v>
      </c>
      <c r="M1977" t="s">
        <v>1</v>
      </c>
      <c r="N1977">
        <v>3000</v>
      </c>
      <c r="O1977">
        <v>24</v>
      </c>
      <c r="P1977">
        <v>5</v>
      </c>
      <c r="Q1977">
        <v>0</v>
      </c>
      <c r="R1977">
        <v>118764431</v>
      </c>
      <c r="S1977">
        <v>252074.39</v>
      </c>
      <c r="T1977">
        <v>118512356.61</v>
      </c>
      <c r="U1977">
        <v>118512356.61</v>
      </c>
      <c r="V1977">
        <v>0</v>
      </c>
      <c r="W1977">
        <v>0</v>
      </c>
    </row>
    <row r="1978" spans="1:23" x14ac:dyDescent="0.35">
      <c r="A1978" t="s">
        <v>1</v>
      </c>
      <c r="B1978">
        <v>2250</v>
      </c>
      <c r="C1978">
        <v>24</v>
      </c>
      <c r="D1978">
        <v>12</v>
      </c>
      <c r="E1978">
        <v>0</v>
      </c>
      <c r="F1978">
        <v>404516204</v>
      </c>
      <c r="G1978">
        <v>969499.64</v>
      </c>
      <c r="H1978">
        <v>403546704.36000001</v>
      </c>
      <c r="I1978">
        <v>403546704.36000001</v>
      </c>
      <c r="J1978">
        <v>0</v>
      </c>
      <c r="K1978">
        <v>0</v>
      </c>
      <c r="M1978" t="s">
        <v>2</v>
      </c>
      <c r="N1978">
        <v>3500</v>
      </c>
      <c r="O1978">
        <v>24</v>
      </c>
      <c r="P1978">
        <v>11</v>
      </c>
      <c r="Q1978">
        <v>0</v>
      </c>
      <c r="R1978">
        <v>199842305</v>
      </c>
      <c r="S1978">
        <v>363909.76</v>
      </c>
      <c r="T1978">
        <v>199478395.24000001</v>
      </c>
      <c r="U1978">
        <v>199478395.24000001</v>
      </c>
      <c r="V1978">
        <v>0</v>
      </c>
      <c r="W1978">
        <v>0</v>
      </c>
    </row>
    <row r="1979" spans="1:23" x14ac:dyDescent="0.35">
      <c r="A1979" t="s">
        <v>0</v>
      </c>
      <c r="B1979">
        <v>3000</v>
      </c>
      <c r="C1979">
        <v>24</v>
      </c>
      <c r="D1979">
        <v>1</v>
      </c>
      <c r="E1979">
        <v>0</v>
      </c>
      <c r="F1979">
        <v>14809180</v>
      </c>
      <c r="G1979">
        <v>28177.05</v>
      </c>
      <c r="H1979">
        <v>14781002.949999999</v>
      </c>
      <c r="I1979">
        <v>14781002.949999999</v>
      </c>
      <c r="J1979">
        <v>0</v>
      </c>
      <c r="K1979">
        <v>0</v>
      </c>
      <c r="M1979" t="s">
        <v>2</v>
      </c>
      <c r="N1979">
        <v>3750</v>
      </c>
      <c r="O1979">
        <v>24</v>
      </c>
      <c r="P1979">
        <v>20</v>
      </c>
      <c r="Q1979">
        <v>0</v>
      </c>
      <c r="R1979">
        <v>271095652</v>
      </c>
      <c r="S1979">
        <v>465707.26</v>
      </c>
      <c r="T1979">
        <v>270629944.74000001</v>
      </c>
      <c r="U1979">
        <v>270629944.74000001</v>
      </c>
      <c r="V1979">
        <v>0</v>
      </c>
      <c r="W1979">
        <v>0</v>
      </c>
    </row>
    <row r="1980" spans="1:23" x14ac:dyDescent="0.35">
      <c r="A1980" t="s">
        <v>0</v>
      </c>
      <c r="B1980">
        <v>2750</v>
      </c>
      <c r="C1980">
        <v>24</v>
      </c>
      <c r="D1980">
        <v>1</v>
      </c>
      <c r="E1980">
        <v>0</v>
      </c>
      <c r="F1980">
        <v>30520919</v>
      </c>
      <c r="G1980">
        <v>60150.67</v>
      </c>
      <c r="H1980">
        <v>30460768.329999998</v>
      </c>
      <c r="I1980">
        <v>30460768.329999998</v>
      </c>
      <c r="J1980">
        <v>0</v>
      </c>
      <c r="K1980">
        <v>0</v>
      </c>
      <c r="M1980" t="s">
        <v>2</v>
      </c>
      <c r="N1980">
        <v>2250</v>
      </c>
      <c r="O1980">
        <v>24</v>
      </c>
      <c r="P1980">
        <v>1</v>
      </c>
      <c r="Q1980">
        <v>0</v>
      </c>
      <c r="R1980">
        <v>16785033</v>
      </c>
      <c r="S1980">
        <v>35620</v>
      </c>
      <c r="T1980">
        <v>16749413</v>
      </c>
      <c r="U1980">
        <v>16749413</v>
      </c>
      <c r="V1980">
        <v>0</v>
      </c>
      <c r="W1980">
        <v>0</v>
      </c>
    </row>
    <row r="1981" spans="1:23" x14ac:dyDescent="0.35">
      <c r="A1981" t="s">
        <v>2</v>
      </c>
      <c r="B1981">
        <v>4000</v>
      </c>
      <c r="C1981">
        <v>24</v>
      </c>
      <c r="D1981">
        <v>10</v>
      </c>
      <c r="E1981">
        <v>0</v>
      </c>
      <c r="F1981">
        <v>130218138</v>
      </c>
      <c r="G1981">
        <v>216583.31</v>
      </c>
      <c r="H1981">
        <v>130001554.69</v>
      </c>
      <c r="I1981">
        <v>130001554.69</v>
      </c>
      <c r="J1981">
        <v>0</v>
      </c>
      <c r="K1981">
        <v>0</v>
      </c>
      <c r="M1981" t="s">
        <v>0</v>
      </c>
      <c r="N1981">
        <v>3500</v>
      </c>
      <c r="O1981">
        <v>24</v>
      </c>
      <c r="P1981">
        <v>3</v>
      </c>
      <c r="Q1981">
        <v>0</v>
      </c>
      <c r="R1981">
        <v>59534981</v>
      </c>
      <c r="S1981">
        <v>104419.53</v>
      </c>
      <c r="T1981">
        <v>59430561.469999999</v>
      </c>
      <c r="U1981">
        <v>59430561.469999999</v>
      </c>
      <c r="V1981">
        <v>0</v>
      </c>
      <c r="W1981">
        <v>0</v>
      </c>
    </row>
    <row r="1982" spans="1:23" x14ac:dyDescent="0.35">
      <c r="A1982" t="s">
        <v>3</v>
      </c>
      <c r="B1982">
        <v>5500</v>
      </c>
      <c r="C1982">
        <v>24</v>
      </c>
      <c r="D1982">
        <v>1</v>
      </c>
      <c r="E1982">
        <v>0</v>
      </c>
      <c r="F1982">
        <v>36908254</v>
      </c>
      <c r="G1982">
        <v>45832.24</v>
      </c>
      <c r="H1982">
        <v>36862421.759999998</v>
      </c>
      <c r="I1982">
        <v>36862421.759999998</v>
      </c>
      <c r="J1982">
        <v>0</v>
      </c>
      <c r="K1982">
        <v>0</v>
      </c>
      <c r="M1982" t="s">
        <v>0</v>
      </c>
      <c r="N1982">
        <v>3000</v>
      </c>
      <c r="O1982">
        <v>24</v>
      </c>
      <c r="P1982">
        <v>1</v>
      </c>
      <c r="Q1982">
        <v>0</v>
      </c>
      <c r="R1982">
        <v>14837287</v>
      </c>
      <c r="S1982">
        <v>28106.78</v>
      </c>
      <c r="T1982">
        <v>14809180.220000001</v>
      </c>
      <c r="U1982">
        <v>14809180.220000001</v>
      </c>
      <c r="V1982">
        <v>0</v>
      </c>
      <c r="W1982">
        <v>0</v>
      </c>
    </row>
    <row r="1983" spans="1:23" x14ac:dyDescent="0.35">
      <c r="A1983" t="s">
        <v>1</v>
      </c>
      <c r="B1983">
        <v>2750</v>
      </c>
      <c r="C1983">
        <v>24</v>
      </c>
      <c r="D1983">
        <v>9</v>
      </c>
      <c r="E1983">
        <v>0</v>
      </c>
      <c r="F1983">
        <v>475667857</v>
      </c>
      <c r="G1983">
        <v>1051899.8600000001</v>
      </c>
      <c r="H1983">
        <v>474615957.13999999</v>
      </c>
      <c r="I1983">
        <v>474615957.13999999</v>
      </c>
      <c r="J1983">
        <v>0</v>
      </c>
      <c r="K1983">
        <v>0</v>
      </c>
      <c r="M1983" t="s">
        <v>0</v>
      </c>
      <c r="N1983">
        <v>2750</v>
      </c>
      <c r="O1983">
        <v>24</v>
      </c>
      <c r="P1983">
        <v>1</v>
      </c>
      <c r="Q1983">
        <v>0</v>
      </c>
      <c r="R1983">
        <v>30520919</v>
      </c>
      <c r="S1983">
        <v>59895.37</v>
      </c>
      <c r="T1983">
        <v>30461023.629999999</v>
      </c>
      <c r="U1983">
        <v>30461023.629999999</v>
      </c>
      <c r="V1983">
        <v>0</v>
      </c>
      <c r="W1983">
        <v>0</v>
      </c>
    </row>
    <row r="1984" spans="1:23" x14ac:dyDescent="0.35">
      <c r="A1984" t="s">
        <v>0</v>
      </c>
      <c r="B1984">
        <v>3500</v>
      </c>
      <c r="C1984">
        <v>24</v>
      </c>
      <c r="D1984">
        <v>3</v>
      </c>
      <c r="E1984">
        <v>0</v>
      </c>
      <c r="F1984">
        <v>91724023</v>
      </c>
      <c r="G1984">
        <v>160429.85999999999</v>
      </c>
      <c r="H1984">
        <v>91563593.140000001</v>
      </c>
      <c r="I1984">
        <v>91563593.140000001</v>
      </c>
      <c r="J1984">
        <v>0</v>
      </c>
      <c r="K1984">
        <v>0</v>
      </c>
      <c r="M1984" t="s">
        <v>1</v>
      </c>
      <c r="N1984">
        <v>2500</v>
      </c>
      <c r="O1984">
        <v>24</v>
      </c>
      <c r="P1984">
        <v>8</v>
      </c>
      <c r="Q1984">
        <v>0</v>
      </c>
      <c r="R1984">
        <v>270523825</v>
      </c>
      <c r="S1984">
        <v>620579.76</v>
      </c>
      <c r="T1984">
        <v>269903245.24000001</v>
      </c>
      <c r="U1984">
        <v>269903245.24000001</v>
      </c>
      <c r="V1984">
        <v>0</v>
      </c>
      <c r="W1984">
        <v>0</v>
      </c>
    </row>
    <row r="1985" spans="1:23" x14ac:dyDescent="0.35">
      <c r="A1985" t="s">
        <v>2</v>
      </c>
      <c r="B1985">
        <v>8500</v>
      </c>
      <c r="C1985">
        <v>24</v>
      </c>
      <c r="D1985">
        <v>1</v>
      </c>
      <c r="E1985">
        <v>0</v>
      </c>
      <c r="F1985">
        <v>3487000</v>
      </c>
      <c r="G1985">
        <v>2483.88</v>
      </c>
      <c r="H1985">
        <v>3484516.12</v>
      </c>
      <c r="I1985">
        <v>3484516.12</v>
      </c>
      <c r="J1985">
        <v>0</v>
      </c>
      <c r="K1985">
        <v>0</v>
      </c>
      <c r="M1985" t="s">
        <v>2</v>
      </c>
      <c r="N1985">
        <v>3000</v>
      </c>
      <c r="O1985">
        <v>20</v>
      </c>
      <c r="P1985">
        <v>2</v>
      </c>
      <c r="Q1985">
        <v>0</v>
      </c>
      <c r="R1985">
        <v>28244465</v>
      </c>
      <c r="S1985">
        <v>53803.67</v>
      </c>
      <c r="T1985">
        <v>28190661.329999998</v>
      </c>
      <c r="U1985">
        <v>28190661.329999998</v>
      </c>
      <c r="V1985">
        <v>0</v>
      </c>
      <c r="W1985">
        <v>0</v>
      </c>
    </row>
    <row r="1986" spans="1:23" x14ac:dyDescent="0.35">
      <c r="A1986" t="s">
        <v>1</v>
      </c>
      <c r="B1986">
        <v>2000</v>
      </c>
      <c r="C1986">
        <v>24</v>
      </c>
      <c r="D1986">
        <v>1</v>
      </c>
      <c r="E1986">
        <v>0</v>
      </c>
      <c r="F1986">
        <v>29708991</v>
      </c>
      <c r="G1986">
        <v>78047.199999999997</v>
      </c>
      <c r="H1986">
        <v>29630943.800000001</v>
      </c>
      <c r="I1986">
        <v>29630943.800000001</v>
      </c>
      <c r="J1986">
        <v>0</v>
      </c>
      <c r="K1986">
        <v>0</v>
      </c>
      <c r="M1986" t="s">
        <v>0</v>
      </c>
      <c r="N1986">
        <v>3500</v>
      </c>
      <c r="O1986">
        <v>20</v>
      </c>
      <c r="P1986">
        <v>3</v>
      </c>
      <c r="Q1986">
        <v>0</v>
      </c>
      <c r="R1986">
        <v>136007281</v>
      </c>
      <c r="S1986">
        <v>235615.65</v>
      </c>
      <c r="T1986">
        <v>135771665.34999999</v>
      </c>
      <c r="U1986">
        <v>135771665.34999999</v>
      </c>
      <c r="V1986">
        <v>0</v>
      </c>
      <c r="W1986">
        <v>0</v>
      </c>
    </row>
    <row r="1987" spans="1:23" x14ac:dyDescent="0.35">
      <c r="A1987" t="s">
        <v>1</v>
      </c>
      <c r="B1987">
        <v>2750</v>
      </c>
      <c r="C1987">
        <v>20</v>
      </c>
      <c r="D1987">
        <v>3</v>
      </c>
      <c r="E1987">
        <v>0</v>
      </c>
      <c r="F1987">
        <v>89607764</v>
      </c>
      <c r="G1987">
        <v>201635.39</v>
      </c>
      <c r="H1987">
        <v>89406128.609999999</v>
      </c>
      <c r="I1987">
        <v>89406128.609999999</v>
      </c>
      <c r="J1987">
        <v>0</v>
      </c>
      <c r="K1987">
        <v>0</v>
      </c>
      <c r="M1987" t="s">
        <v>2</v>
      </c>
      <c r="N1987">
        <v>3750</v>
      </c>
      <c r="O1987">
        <v>20</v>
      </c>
      <c r="P1987">
        <v>5</v>
      </c>
      <c r="Q1987">
        <v>0</v>
      </c>
      <c r="R1987">
        <v>113603815</v>
      </c>
      <c r="S1987">
        <v>190908.41</v>
      </c>
      <c r="T1987">
        <v>113412906.59</v>
      </c>
      <c r="U1987">
        <v>113412906.59</v>
      </c>
      <c r="V1987">
        <v>0</v>
      </c>
      <c r="W1987">
        <v>0</v>
      </c>
    </row>
    <row r="1988" spans="1:23" x14ac:dyDescent="0.35">
      <c r="A1988" t="s">
        <v>1</v>
      </c>
      <c r="B1988">
        <v>2500</v>
      </c>
      <c r="C1988">
        <v>24</v>
      </c>
      <c r="D1988">
        <v>7</v>
      </c>
      <c r="E1988">
        <v>0</v>
      </c>
      <c r="F1988">
        <v>276846899</v>
      </c>
      <c r="G1988">
        <v>628957.52</v>
      </c>
      <c r="H1988">
        <v>276217941.48000002</v>
      </c>
      <c r="I1988">
        <v>276217941.48000002</v>
      </c>
      <c r="J1988">
        <v>0</v>
      </c>
      <c r="K1988">
        <v>0</v>
      </c>
      <c r="M1988" t="s">
        <v>0</v>
      </c>
      <c r="N1988">
        <v>3250</v>
      </c>
      <c r="O1988">
        <v>20</v>
      </c>
      <c r="P1988">
        <v>2</v>
      </c>
      <c r="Q1988">
        <v>0</v>
      </c>
      <c r="R1988">
        <v>39452315</v>
      </c>
      <c r="S1988">
        <v>71069.25</v>
      </c>
      <c r="T1988">
        <v>39381245.75</v>
      </c>
      <c r="U1988">
        <v>39381245.75</v>
      </c>
      <c r="V1988">
        <v>0</v>
      </c>
      <c r="W1988">
        <v>0</v>
      </c>
    </row>
    <row r="1989" spans="1:23" x14ac:dyDescent="0.35">
      <c r="A1989" t="s">
        <v>2</v>
      </c>
      <c r="B1989">
        <v>3000</v>
      </c>
      <c r="C1989">
        <v>20</v>
      </c>
      <c r="D1989">
        <v>1</v>
      </c>
      <c r="E1989">
        <v>0</v>
      </c>
      <c r="F1989">
        <v>8722273</v>
      </c>
      <c r="G1989">
        <v>16637.36</v>
      </c>
      <c r="H1989">
        <v>8705635.6400000006</v>
      </c>
      <c r="I1989">
        <v>8705635.6400000006</v>
      </c>
      <c r="J1989">
        <v>0</v>
      </c>
      <c r="K1989">
        <v>0</v>
      </c>
      <c r="M1989" t="s">
        <v>0</v>
      </c>
      <c r="N1989">
        <v>3750</v>
      </c>
      <c r="O1989">
        <v>20</v>
      </c>
      <c r="P1989">
        <v>34</v>
      </c>
      <c r="Q1989">
        <v>0</v>
      </c>
      <c r="R1989">
        <v>1084811854</v>
      </c>
      <c r="S1989">
        <v>1789610.69</v>
      </c>
      <c r="T1989">
        <v>1083022243.3099999</v>
      </c>
      <c r="U1989">
        <v>1083022243.3099999</v>
      </c>
      <c r="V1989">
        <v>0</v>
      </c>
      <c r="W1989">
        <v>0</v>
      </c>
    </row>
    <row r="1990" spans="1:23" x14ac:dyDescent="0.35">
      <c r="A1990" t="s">
        <v>0</v>
      </c>
      <c r="B1990">
        <v>2750</v>
      </c>
      <c r="C1990">
        <v>20</v>
      </c>
      <c r="D1990">
        <v>2</v>
      </c>
      <c r="E1990">
        <v>0</v>
      </c>
      <c r="F1990">
        <v>67867007</v>
      </c>
      <c r="G1990">
        <v>131852.92000000001</v>
      </c>
      <c r="H1990">
        <v>67735154.079999998</v>
      </c>
      <c r="I1990">
        <v>67735154.079999998</v>
      </c>
      <c r="J1990">
        <v>0</v>
      </c>
      <c r="K1990">
        <v>0</v>
      </c>
      <c r="M1990" t="s">
        <v>1</v>
      </c>
      <c r="N1990">
        <v>3750</v>
      </c>
      <c r="O1990">
        <v>20</v>
      </c>
      <c r="P1990">
        <v>27</v>
      </c>
      <c r="Q1990">
        <v>0</v>
      </c>
      <c r="R1990">
        <v>920867952</v>
      </c>
      <c r="S1990">
        <v>1593421.33</v>
      </c>
      <c r="T1990">
        <v>919274530.66999996</v>
      </c>
      <c r="U1990">
        <v>919274530.66999996</v>
      </c>
      <c r="V1990">
        <v>0</v>
      </c>
      <c r="W1990">
        <v>0</v>
      </c>
    </row>
    <row r="1991" spans="1:23" x14ac:dyDescent="0.35">
      <c r="A1991" t="s">
        <v>0</v>
      </c>
      <c r="B1991">
        <v>3500</v>
      </c>
      <c r="C1991">
        <v>20</v>
      </c>
      <c r="D1991">
        <v>28</v>
      </c>
      <c r="E1991">
        <v>0</v>
      </c>
      <c r="F1991">
        <v>1179684525</v>
      </c>
      <c r="G1991">
        <v>2030190.6</v>
      </c>
      <c r="H1991">
        <v>1177654334.4000001</v>
      </c>
      <c r="I1991">
        <v>1177654334.4000001</v>
      </c>
      <c r="J1991">
        <v>0</v>
      </c>
      <c r="K1991">
        <v>0</v>
      </c>
      <c r="M1991" t="s">
        <v>0</v>
      </c>
      <c r="N1991">
        <v>4000</v>
      </c>
      <c r="O1991">
        <v>20</v>
      </c>
      <c r="P1991">
        <v>136</v>
      </c>
      <c r="Q1991">
        <v>0</v>
      </c>
      <c r="R1991">
        <v>4487922049</v>
      </c>
      <c r="S1991">
        <v>7110045.4299999997</v>
      </c>
      <c r="T1991">
        <v>4480812003.5699997</v>
      </c>
      <c r="U1991">
        <v>4480812003.5699997</v>
      </c>
      <c r="V1991">
        <v>0</v>
      </c>
      <c r="W1991">
        <v>0</v>
      </c>
    </row>
    <row r="1992" spans="1:23" x14ac:dyDescent="0.35">
      <c r="A1992" t="s">
        <v>0</v>
      </c>
      <c r="B1992">
        <v>3750</v>
      </c>
      <c r="C1992">
        <v>20</v>
      </c>
      <c r="D1992">
        <v>153</v>
      </c>
      <c r="E1992">
        <v>0</v>
      </c>
      <c r="F1992">
        <v>4648082489</v>
      </c>
      <c r="G1992">
        <v>7661739.1699999999</v>
      </c>
      <c r="H1992">
        <v>4640420749.8299999</v>
      </c>
      <c r="I1992">
        <v>4640420749.8299999</v>
      </c>
      <c r="J1992">
        <v>0</v>
      </c>
      <c r="K1992">
        <v>0</v>
      </c>
      <c r="M1992" t="s">
        <v>1</v>
      </c>
      <c r="N1992">
        <v>4000</v>
      </c>
      <c r="O1992">
        <v>20</v>
      </c>
      <c r="P1992">
        <v>66</v>
      </c>
      <c r="Q1992">
        <v>0</v>
      </c>
      <c r="R1992">
        <v>2133519572</v>
      </c>
      <c r="S1992">
        <v>3439859.99</v>
      </c>
      <c r="T1992">
        <v>2130079712.01</v>
      </c>
      <c r="U1992">
        <v>2130079712.01</v>
      </c>
      <c r="V1992">
        <v>0</v>
      </c>
      <c r="W1992">
        <v>0</v>
      </c>
    </row>
    <row r="1993" spans="1:23" x14ac:dyDescent="0.35">
      <c r="A1993" t="s">
        <v>1</v>
      </c>
      <c r="B1993">
        <v>4000</v>
      </c>
      <c r="C1993">
        <v>20</v>
      </c>
      <c r="D1993">
        <v>405</v>
      </c>
      <c r="E1993">
        <v>0</v>
      </c>
      <c r="F1993">
        <v>13673786871</v>
      </c>
      <c r="G1993">
        <v>21740385.739999998</v>
      </c>
      <c r="H1993">
        <v>13631400187.889999</v>
      </c>
      <c r="I1993">
        <v>13652046485.26</v>
      </c>
      <c r="J1993">
        <v>1.7968999999999999E-2</v>
      </c>
      <c r="K1993">
        <v>0</v>
      </c>
      <c r="M1993" t="s">
        <v>1</v>
      </c>
      <c r="N1993">
        <v>4250</v>
      </c>
      <c r="O1993">
        <v>20</v>
      </c>
      <c r="P1993">
        <v>229</v>
      </c>
      <c r="Q1993">
        <v>0</v>
      </c>
      <c r="R1993">
        <v>7744272775</v>
      </c>
      <c r="S1993">
        <v>11817868.619999999</v>
      </c>
      <c r="T1993">
        <v>7732454906.3800001</v>
      </c>
      <c r="U1993">
        <v>7732454906.3800001</v>
      </c>
      <c r="V1993">
        <v>0</v>
      </c>
      <c r="W1993">
        <v>0</v>
      </c>
    </row>
    <row r="1994" spans="1:23" x14ac:dyDescent="0.35">
      <c r="A1994" t="s">
        <v>0</v>
      </c>
      <c r="B1994">
        <v>4000</v>
      </c>
      <c r="C1994">
        <v>20</v>
      </c>
      <c r="D1994">
        <v>1192</v>
      </c>
      <c r="E1994">
        <v>0</v>
      </c>
      <c r="F1994">
        <v>37936331658</v>
      </c>
      <c r="G1994">
        <v>60153410.039999999</v>
      </c>
      <c r="H1994">
        <v>37876178247.959999</v>
      </c>
      <c r="I1994">
        <v>37876178247.959999</v>
      </c>
      <c r="J1994">
        <v>0</v>
      </c>
      <c r="K1994">
        <v>0</v>
      </c>
      <c r="M1994" t="s">
        <v>2</v>
      </c>
      <c r="N1994">
        <v>4250</v>
      </c>
      <c r="O1994">
        <v>20</v>
      </c>
      <c r="P1994">
        <v>15</v>
      </c>
      <c r="Q1994">
        <v>0</v>
      </c>
      <c r="R1994">
        <v>320494107</v>
      </c>
      <c r="S1994">
        <v>490636.15</v>
      </c>
      <c r="T1994">
        <v>320003470.85000002</v>
      </c>
      <c r="U1994">
        <v>320003470.85000002</v>
      </c>
      <c r="V1994">
        <v>0</v>
      </c>
      <c r="W1994">
        <v>0</v>
      </c>
    </row>
    <row r="1995" spans="1:23" x14ac:dyDescent="0.35">
      <c r="A1995" t="s">
        <v>2</v>
      </c>
      <c r="B1995">
        <v>4000</v>
      </c>
      <c r="C1995">
        <v>20</v>
      </c>
      <c r="D1995">
        <v>58</v>
      </c>
      <c r="E1995">
        <v>0</v>
      </c>
      <c r="F1995">
        <v>1505636635</v>
      </c>
      <c r="G1995">
        <v>2403112.73</v>
      </c>
      <c r="H1995">
        <v>1503233522.27</v>
      </c>
      <c r="I1995">
        <v>1503233522.27</v>
      </c>
      <c r="J1995">
        <v>0</v>
      </c>
      <c r="K1995">
        <v>0</v>
      </c>
      <c r="M1995" t="s">
        <v>1</v>
      </c>
      <c r="N1995">
        <v>4500</v>
      </c>
      <c r="O1995">
        <v>20</v>
      </c>
      <c r="P1995">
        <v>419</v>
      </c>
      <c r="Q1995">
        <v>0</v>
      </c>
      <c r="R1995">
        <v>13944875455</v>
      </c>
      <c r="S1995">
        <v>20380684.030000001</v>
      </c>
      <c r="T1995">
        <v>13901093838.389999</v>
      </c>
      <c r="U1995">
        <v>13901093838.389999</v>
      </c>
      <c r="V1995">
        <v>1.9952000000000001E-2</v>
      </c>
      <c r="W1995">
        <v>1.9952000000000001E-2</v>
      </c>
    </row>
    <row r="1996" spans="1:23" x14ac:dyDescent="0.35">
      <c r="A1996" t="s">
        <v>1</v>
      </c>
      <c r="B1996">
        <v>3750</v>
      </c>
      <c r="C1996">
        <v>20</v>
      </c>
      <c r="D1996">
        <v>75</v>
      </c>
      <c r="E1996">
        <v>0</v>
      </c>
      <c r="F1996">
        <v>2460828141</v>
      </c>
      <c r="G1996">
        <v>4104147.09</v>
      </c>
      <c r="H1996">
        <v>2456723993.9099998</v>
      </c>
      <c r="I1996">
        <v>2456723993.9099998</v>
      </c>
      <c r="J1996">
        <v>0</v>
      </c>
      <c r="K1996">
        <v>0</v>
      </c>
      <c r="M1996" t="s">
        <v>0</v>
      </c>
      <c r="N1996">
        <v>4250</v>
      </c>
      <c r="O1996">
        <v>20</v>
      </c>
      <c r="P1996">
        <v>635</v>
      </c>
      <c r="Q1996">
        <v>0</v>
      </c>
      <c r="R1996">
        <v>18634102266</v>
      </c>
      <c r="S1996">
        <v>28273724.760000002</v>
      </c>
      <c r="T1996">
        <v>18605828541.240002</v>
      </c>
      <c r="U1996">
        <v>18605828541.240002</v>
      </c>
      <c r="V1996">
        <v>0</v>
      </c>
      <c r="W1996">
        <v>0</v>
      </c>
    </row>
    <row r="1997" spans="1:23" x14ac:dyDescent="0.35">
      <c r="A1997" t="s">
        <v>1</v>
      </c>
      <c r="B1997">
        <v>8500</v>
      </c>
      <c r="C1997">
        <v>20</v>
      </c>
      <c r="D1997">
        <v>2</v>
      </c>
      <c r="E1997">
        <v>0</v>
      </c>
      <c r="F1997">
        <v>75897400</v>
      </c>
      <c r="G1997">
        <v>53645.56</v>
      </c>
      <c r="H1997">
        <v>75843754.439999998</v>
      </c>
      <c r="I1997">
        <v>75843754.439999998</v>
      </c>
      <c r="J1997">
        <v>0</v>
      </c>
      <c r="K1997">
        <v>0</v>
      </c>
      <c r="M1997" t="s">
        <v>2</v>
      </c>
      <c r="N1997">
        <v>4500</v>
      </c>
      <c r="O1997">
        <v>20</v>
      </c>
      <c r="P1997">
        <v>48</v>
      </c>
      <c r="Q1997">
        <v>0</v>
      </c>
      <c r="R1997">
        <v>1159643592</v>
      </c>
      <c r="S1997">
        <v>1693526.23</v>
      </c>
      <c r="T1997">
        <v>1157950065.77</v>
      </c>
      <c r="U1997">
        <v>1157950065.77</v>
      </c>
      <c r="V1997">
        <v>0</v>
      </c>
      <c r="W1997">
        <v>0</v>
      </c>
    </row>
    <row r="1998" spans="1:23" x14ac:dyDescent="0.35">
      <c r="A1998" t="s">
        <v>1</v>
      </c>
      <c r="B1998">
        <v>2000</v>
      </c>
      <c r="C1998">
        <v>30</v>
      </c>
      <c r="D1998">
        <v>1</v>
      </c>
      <c r="E1998">
        <v>0</v>
      </c>
      <c r="F1998">
        <v>34541993</v>
      </c>
      <c r="G1998">
        <v>90007.8</v>
      </c>
      <c r="H1998">
        <v>34451985.200000003</v>
      </c>
      <c r="I1998">
        <v>34451985.200000003</v>
      </c>
      <c r="J1998">
        <v>0</v>
      </c>
      <c r="K1998">
        <v>0</v>
      </c>
      <c r="M1998" t="s">
        <v>3</v>
      </c>
      <c r="N1998">
        <v>5250</v>
      </c>
      <c r="O1998">
        <v>20</v>
      </c>
      <c r="P1998">
        <v>5</v>
      </c>
      <c r="Q1998">
        <v>0</v>
      </c>
      <c r="R1998">
        <v>114725942</v>
      </c>
      <c r="S1998">
        <v>146806.82999999999</v>
      </c>
      <c r="T1998">
        <v>114579135.17</v>
      </c>
      <c r="U1998">
        <v>114579135.17</v>
      </c>
      <c r="V1998">
        <v>0</v>
      </c>
      <c r="W1998">
        <v>0</v>
      </c>
    </row>
    <row r="1999" spans="1:23" x14ac:dyDescent="0.35">
      <c r="A1999" t="s">
        <v>1</v>
      </c>
      <c r="B1999">
        <v>2500</v>
      </c>
      <c r="C1999">
        <v>20</v>
      </c>
      <c r="D1999">
        <v>1</v>
      </c>
      <c r="E1999">
        <v>0</v>
      </c>
      <c r="F1999">
        <v>39508099</v>
      </c>
      <c r="G1999">
        <v>90869.61</v>
      </c>
      <c r="H1999">
        <v>39417229.390000001</v>
      </c>
      <c r="I1999">
        <v>39417229.390000001</v>
      </c>
      <c r="J1999">
        <v>0</v>
      </c>
      <c r="K1999">
        <v>0</v>
      </c>
      <c r="M1999" t="s">
        <v>1</v>
      </c>
      <c r="N1999">
        <v>8500</v>
      </c>
      <c r="O1999">
        <v>20</v>
      </c>
      <c r="P1999">
        <v>14</v>
      </c>
      <c r="Q1999">
        <v>0</v>
      </c>
      <c r="R1999">
        <v>339937065</v>
      </c>
      <c r="S1999">
        <v>239858.56</v>
      </c>
      <c r="T1999">
        <v>339697206.44</v>
      </c>
      <c r="U1999">
        <v>339697206.44</v>
      </c>
      <c r="V1999">
        <v>0</v>
      </c>
      <c r="W1999">
        <v>0</v>
      </c>
    </row>
    <row r="2000" spans="1:23" x14ac:dyDescent="0.35">
      <c r="A2000" t="s">
        <v>1</v>
      </c>
      <c r="B2000">
        <v>2250</v>
      </c>
      <c r="C2000">
        <v>20</v>
      </c>
      <c r="D2000">
        <v>7</v>
      </c>
      <c r="E2000">
        <v>0</v>
      </c>
      <c r="F2000">
        <v>233861468</v>
      </c>
      <c r="G2000">
        <v>549443.39</v>
      </c>
      <c r="H2000">
        <v>233312024.61000001</v>
      </c>
      <c r="I2000">
        <v>233312024.61000001</v>
      </c>
      <c r="J2000">
        <v>0</v>
      </c>
      <c r="K2000">
        <v>0</v>
      </c>
      <c r="M2000" t="s">
        <v>2</v>
      </c>
      <c r="N2000">
        <v>8500</v>
      </c>
      <c r="O2000">
        <v>20</v>
      </c>
      <c r="P2000">
        <v>1</v>
      </c>
      <c r="Q2000">
        <v>0</v>
      </c>
      <c r="R2000">
        <v>3489466</v>
      </c>
      <c r="S2000">
        <v>2466.41</v>
      </c>
      <c r="T2000">
        <v>3486999.59</v>
      </c>
      <c r="U2000">
        <v>3486999.59</v>
      </c>
      <c r="V2000">
        <v>0</v>
      </c>
      <c r="W2000">
        <v>0</v>
      </c>
    </row>
    <row r="2001" spans="1:23" x14ac:dyDescent="0.35">
      <c r="A2001" t="s">
        <v>2</v>
      </c>
      <c r="B2001">
        <v>2750</v>
      </c>
      <c r="C2001">
        <v>20</v>
      </c>
      <c r="D2001">
        <v>4</v>
      </c>
      <c r="E2001">
        <v>0</v>
      </c>
      <c r="F2001">
        <v>64707191</v>
      </c>
      <c r="G2001">
        <v>125765.65</v>
      </c>
      <c r="H2001">
        <v>50403162.079999998</v>
      </c>
      <c r="I2001">
        <v>64581425.350000001</v>
      </c>
      <c r="J2001">
        <v>0.94859000000000004</v>
      </c>
      <c r="K2001">
        <v>0</v>
      </c>
      <c r="M2001" t="s">
        <v>1</v>
      </c>
      <c r="N2001">
        <v>9000</v>
      </c>
      <c r="O2001">
        <v>20</v>
      </c>
      <c r="P2001">
        <v>1</v>
      </c>
      <c r="Q2001">
        <v>0</v>
      </c>
      <c r="R2001">
        <v>18478634</v>
      </c>
      <c r="S2001">
        <v>12447.72</v>
      </c>
      <c r="T2001">
        <v>18466186.280000001</v>
      </c>
      <c r="U2001">
        <v>18466186.280000001</v>
      </c>
      <c r="V2001">
        <v>0</v>
      </c>
      <c r="W2001">
        <v>0</v>
      </c>
    </row>
    <row r="2002" spans="1:23" x14ac:dyDescent="0.35">
      <c r="A2002" t="s">
        <v>2</v>
      </c>
      <c r="B2002">
        <v>3250</v>
      </c>
      <c r="C2002">
        <v>20</v>
      </c>
      <c r="D2002">
        <v>7</v>
      </c>
      <c r="E2002">
        <v>0</v>
      </c>
      <c r="F2002">
        <v>106374211</v>
      </c>
      <c r="G2002">
        <v>191538.32</v>
      </c>
      <c r="H2002">
        <v>106182672.68000001</v>
      </c>
      <c r="I2002">
        <v>106182672.68000001</v>
      </c>
      <c r="J2002">
        <v>0</v>
      </c>
      <c r="K2002">
        <v>0</v>
      </c>
      <c r="M2002" t="s">
        <v>1</v>
      </c>
      <c r="N2002">
        <v>2000</v>
      </c>
      <c r="O2002">
        <v>24</v>
      </c>
      <c r="P2002">
        <v>1</v>
      </c>
      <c r="Q2002">
        <v>0</v>
      </c>
      <c r="R2002">
        <v>29789295</v>
      </c>
      <c r="S2002">
        <v>77939.75</v>
      </c>
      <c r="T2002">
        <v>29711355.25</v>
      </c>
      <c r="U2002">
        <v>29711355.25</v>
      </c>
      <c r="V2002">
        <v>0</v>
      </c>
      <c r="W2002">
        <v>0</v>
      </c>
    </row>
    <row r="2003" spans="1:23" x14ac:dyDescent="0.35">
      <c r="A2003" t="s">
        <v>1</v>
      </c>
      <c r="B2003">
        <v>3000</v>
      </c>
      <c r="C2003">
        <v>24</v>
      </c>
      <c r="D2003">
        <v>3</v>
      </c>
      <c r="E2003">
        <v>0</v>
      </c>
      <c r="F2003">
        <v>70347101</v>
      </c>
      <c r="G2003">
        <v>148071.15</v>
      </c>
      <c r="H2003">
        <v>70199029.849999994</v>
      </c>
      <c r="I2003">
        <v>70199029.849999994</v>
      </c>
      <c r="J2003">
        <v>0</v>
      </c>
      <c r="K2003">
        <v>0</v>
      </c>
      <c r="M2003" t="s">
        <v>1</v>
      </c>
      <c r="N2003">
        <v>2750</v>
      </c>
      <c r="O2003">
        <v>20</v>
      </c>
      <c r="P2003">
        <v>4</v>
      </c>
      <c r="Q2003">
        <v>0</v>
      </c>
      <c r="R2003">
        <v>191001754</v>
      </c>
      <c r="S2003">
        <v>426099.25</v>
      </c>
      <c r="T2003">
        <v>190575654.75</v>
      </c>
      <c r="U2003">
        <v>190575654.75</v>
      </c>
      <c r="V2003">
        <v>0</v>
      </c>
      <c r="W2003">
        <v>0</v>
      </c>
    </row>
    <row r="2004" spans="1:23" x14ac:dyDescent="0.35">
      <c r="A2004" t="s">
        <v>1</v>
      </c>
      <c r="B2004">
        <v>3250</v>
      </c>
      <c r="C2004">
        <v>20</v>
      </c>
      <c r="D2004">
        <v>7</v>
      </c>
      <c r="E2004">
        <v>0</v>
      </c>
      <c r="F2004">
        <v>191743218</v>
      </c>
      <c r="G2004">
        <v>353782.99</v>
      </c>
      <c r="H2004">
        <v>191389435.00999999</v>
      </c>
      <c r="I2004">
        <v>191389435.00999999</v>
      </c>
      <c r="J2004">
        <v>0</v>
      </c>
      <c r="K2004">
        <v>0</v>
      </c>
      <c r="M2004" t="s">
        <v>2</v>
      </c>
      <c r="N2004">
        <v>3250</v>
      </c>
      <c r="O2004">
        <v>20</v>
      </c>
      <c r="P2004">
        <v>8</v>
      </c>
      <c r="Q2004">
        <v>0</v>
      </c>
      <c r="R2004">
        <v>110167068</v>
      </c>
      <c r="S2004">
        <v>199127.77</v>
      </c>
      <c r="T2004">
        <v>90217411.859999999</v>
      </c>
      <c r="U2004">
        <v>90217411.859999999</v>
      </c>
      <c r="V2004">
        <v>0.90659900000000004</v>
      </c>
      <c r="W2004">
        <v>0.90659900000000004</v>
      </c>
    </row>
    <row r="2005" spans="1:23" x14ac:dyDescent="0.35">
      <c r="A2005" t="s">
        <v>2</v>
      </c>
      <c r="B2005">
        <v>3500</v>
      </c>
      <c r="C2005">
        <v>20</v>
      </c>
      <c r="D2005">
        <v>10</v>
      </c>
      <c r="E2005">
        <v>0</v>
      </c>
      <c r="F2005">
        <v>207901648</v>
      </c>
      <c r="G2005">
        <v>363675.53</v>
      </c>
      <c r="H2005">
        <v>207537972.47</v>
      </c>
      <c r="I2005">
        <v>207537972.47</v>
      </c>
      <c r="J2005">
        <v>0</v>
      </c>
      <c r="K2005">
        <v>0</v>
      </c>
      <c r="M2005" t="s">
        <v>2</v>
      </c>
      <c r="N2005">
        <v>2750</v>
      </c>
      <c r="O2005">
        <v>20</v>
      </c>
      <c r="P2005">
        <v>5</v>
      </c>
      <c r="Q2005">
        <v>0</v>
      </c>
      <c r="R2005">
        <v>73333221</v>
      </c>
      <c r="S2005">
        <v>142310.09</v>
      </c>
      <c r="T2005">
        <v>73190910.909999996</v>
      </c>
      <c r="U2005">
        <v>73190910.909999996</v>
      </c>
      <c r="V2005">
        <v>0</v>
      </c>
      <c r="W2005">
        <v>0</v>
      </c>
    </row>
    <row r="2006" spans="1:23" x14ac:dyDescent="0.35">
      <c r="A2006" t="s">
        <v>1</v>
      </c>
      <c r="B2006">
        <v>3500</v>
      </c>
      <c r="C2006">
        <v>20</v>
      </c>
      <c r="D2006">
        <v>13</v>
      </c>
      <c r="E2006">
        <v>0</v>
      </c>
      <c r="F2006">
        <v>514128254</v>
      </c>
      <c r="G2006">
        <v>896858.4</v>
      </c>
      <c r="H2006">
        <v>513231395.60000002</v>
      </c>
      <c r="I2006">
        <v>513231395.60000002</v>
      </c>
      <c r="J2006">
        <v>0</v>
      </c>
      <c r="K2006">
        <v>0</v>
      </c>
      <c r="M2006" t="s">
        <v>0</v>
      </c>
      <c r="N2006">
        <v>2750</v>
      </c>
      <c r="O2006">
        <v>20</v>
      </c>
      <c r="P2006">
        <v>1</v>
      </c>
      <c r="Q2006">
        <v>0</v>
      </c>
      <c r="R2006">
        <v>42752519</v>
      </c>
      <c r="S2006">
        <v>82839.460000000006</v>
      </c>
      <c r="T2006">
        <v>42669679.539999999</v>
      </c>
      <c r="U2006">
        <v>42669679.539999999</v>
      </c>
      <c r="V2006">
        <v>0</v>
      </c>
      <c r="W2006">
        <v>0</v>
      </c>
    </row>
    <row r="2007" spans="1:23" x14ac:dyDescent="0.35">
      <c r="A2007" t="s">
        <v>2</v>
      </c>
      <c r="B2007">
        <v>3750</v>
      </c>
      <c r="C2007">
        <v>20</v>
      </c>
      <c r="D2007">
        <v>4</v>
      </c>
      <c r="E2007">
        <v>0</v>
      </c>
      <c r="F2007">
        <v>88286662</v>
      </c>
      <c r="G2007">
        <v>146573.62</v>
      </c>
      <c r="H2007">
        <v>88140088.379999995</v>
      </c>
      <c r="I2007">
        <v>88140088.379999995</v>
      </c>
      <c r="J2007">
        <v>0</v>
      </c>
      <c r="K2007">
        <v>0</v>
      </c>
      <c r="M2007" t="s">
        <v>2</v>
      </c>
      <c r="N2007">
        <v>3500</v>
      </c>
      <c r="O2007">
        <v>20</v>
      </c>
      <c r="P2007">
        <v>8</v>
      </c>
      <c r="Q2007">
        <v>0</v>
      </c>
      <c r="R2007">
        <v>179112519</v>
      </c>
      <c r="S2007">
        <v>313524.08</v>
      </c>
      <c r="T2007">
        <v>178798994.91999999</v>
      </c>
      <c r="U2007">
        <v>178798994.91999999</v>
      </c>
      <c r="V2007">
        <v>0</v>
      </c>
      <c r="W2007">
        <v>0</v>
      </c>
    </row>
    <row r="2008" spans="1:23" x14ac:dyDescent="0.35">
      <c r="A2008" t="s">
        <v>1</v>
      </c>
      <c r="B2008">
        <v>3750</v>
      </c>
      <c r="C2008">
        <v>18</v>
      </c>
      <c r="D2008">
        <v>272</v>
      </c>
      <c r="E2008">
        <v>0</v>
      </c>
      <c r="F2008">
        <v>9996622378</v>
      </c>
      <c r="G2008">
        <v>16349032.52</v>
      </c>
      <c r="H2008">
        <v>9906508308.3400002</v>
      </c>
      <c r="I2008">
        <v>9980273345.4799995</v>
      </c>
      <c r="J2008">
        <v>8.5041000000000005E-2</v>
      </c>
      <c r="K2008">
        <v>0</v>
      </c>
      <c r="M2008" t="s">
        <v>1</v>
      </c>
      <c r="N2008">
        <v>3250</v>
      </c>
      <c r="O2008">
        <v>20</v>
      </c>
      <c r="P2008">
        <v>6</v>
      </c>
      <c r="Q2008">
        <v>0</v>
      </c>
      <c r="R2008">
        <v>171633175</v>
      </c>
      <c r="S2008">
        <v>321811.26</v>
      </c>
      <c r="T2008">
        <v>146263252.78</v>
      </c>
      <c r="U2008">
        <v>146263252.78</v>
      </c>
      <c r="V2008">
        <v>0.849387</v>
      </c>
      <c r="W2008">
        <v>0.849387</v>
      </c>
    </row>
    <row r="2009" spans="1:23" x14ac:dyDescent="0.35">
      <c r="A2009" t="s">
        <v>0</v>
      </c>
      <c r="B2009">
        <v>3000</v>
      </c>
      <c r="C2009">
        <v>18</v>
      </c>
      <c r="D2009">
        <v>3</v>
      </c>
      <c r="E2009">
        <v>0</v>
      </c>
      <c r="F2009">
        <v>76983887</v>
      </c>
      <c r="G2009">
        <v>144778.57999999999</v>
      </c>
      <c r="H2009">
        <v>76839108.420000002</v>
      </c>
      <c r="I2009">
        <v>76839108.420000002</v>
      </c>
      <c r="J2009">
        <v>0</v>
      </c>
      <c r="K2009">
        <v>0</v>
      </c>
      <c r="M2009" t="s">
        <v>2</v>
      </c>
      <c r="N2009">
        <v>4000</v>
      </c>
      <c r="O2009">
        <v>20</v>
      </c>
      <c r="P2009">
        <v>7</v>
      </c>
      <c r="Q2009">
        <v>0</v>
      </c>
      <c r="R2009">
        <v>111868478</v>
      </c>
      <c r="S2009">
        <v>185598.38</v>
      </c>
      <c r="T2009">
        <v>111682879.62</v>
      </c>
      <c r="U2009">
        <v>111682879.62</v>
      </c>
      <c r="V2009">
        <v>0</v>
      </c>
      <c r="W2009">
        <v>0</v>
      </c>
    </row>
    <row r="2010" spans="1:23" x14ac:dyDescent="0.35">
      <c r="A2010" t="s">
        <v>1</v>
      </c>
      <c r="B2010">
        <v>3000</v>
      </c>
      <c r="C2010">
        <v>20</v>
      </c>
      <c r="D2010">
        <v>2</v>
      </c>
      <c r="E2010">
        <v>0</v>
      </c>
      <c r="F2010">
        <v>86918105</v>
      </c>
      <c r="G2010">
        <v>186829.19</v>
      </c>
      <c r="H2010">
        <v>86731275.810000002</v>
      </c>
      <c r="I2010">
        <v>86731275.810000002</v>
      </c>
      <c r="J2010">
        <v>0</v>
      </c>
      <c r="K2010">
        <v>0</v>
      </c>
      <c r="M2010" t="s">
        <v>1</v>
      </c>
      <c r="N2010">
        <v>2000</v>
      </c>
      <c r="O2010">
        <v>30</v>
      </c>
      <c r="P2010">
        <v>1</v>
      </c>
      <c r="Q2010">
        <v>0</v>
      </c>
      <c r="R2010">
        <v>34631870</v>
      </c>
      <c r="S2010">
        <v>89876.73</v>
      </c>
      <c r="T2010">
        <v>34541993.270000003</v>
      </c>
      <c r="U2010">
        <v>34541993.270000003</v>
      </c>
      <c r="V2010">
        <v>0</v>
      </c>
      <c r="W2010">
        <v>0</v>
      </c>
    </row>
    <row r="2011" spans="1:23" x14ac:dyDescent="0.35">
      <c r="A2011" t="s">
        <v>0</v>
      </c>
      <c r="B2011">
        <v>3500</v>
      </c>
      <c r="C2011">
        <v>18</v>
      </c>
      <c r="D2011">
        <v>73</v>
      </c>
      <c r="E2011">
        <v>0</v>
      </c>
      <c r="F2011">
        <v>3073533149</v>
      </c>
      <c r="G2011">
        <v>5250094.13</v>
      </c>
      <c r="H2011">
        <v>3068283054.8699999</v>
      </c>
      <c r="I2011">
        <v>3068283054.8699999</v>
      </c>
      <c r="J2011">
        <v>0</v>
      </c>
      <c r="K2011">
        <v>0</v>
      </c>
      <c r="M2011" t="s">
        <v>1</v>
      </c>
      <c r="N2011">
        <v>2500</v>
      </c>
      <c r="O2011">
        <v>18</v>
      </c>
      <c r="P2011">
        <v>1</v>
      </c>
      <c r="Q2011">
        <v>0</v>
      </c>
      <c r="R2011">
        <v>39599179</v>
      </c>
      <c r="S2011">
        <v>90691.01</v>
      </c>
      <c r="T2011">
        <v>39508487.990000002</v>
      </c>
      <c r="U2011">
        <v>39508487.990000002</v>
      </c>
      <c r="V2011">
        <v>0</v>
      </c>
      <c r="W2011">
        <v>0</v>
      </c>
    </row>
    <row r="2012" spans="1:23" x14ac:dyDescent="0.35">
      <c r="A2012" t="s">
        <v>1</v>
      </c>
      <c r="B2012">
        <v>3500</v>
      </c>
      <c r="C2012">
        <v>18</v>
      </c>
      <c r="D2012">
        <v>37</v>
      </c>
      <c r="E2012">
        <v>0</v>
      </c>
      <c r="F2012">
        <v>1441726069</v>
      </c>
      <c r="G2012">
        <v>2467011.83</v>
      </c>
      <c r="H2012">
        <v>1439259057.1700001</v>
      </c>
      <c r="I2012">
        <v>1439259057.1700001</v>
      </c>
      <c r="J2012">
        <v>0</v>
      </c>
      <c r="K2012">
        <v>0</v>
      </c>
      <c r="M2012" t="s">
        <v>1</v>
      </c>
      <c r="N2012">
        <v>2250</v>
      </c>
      <c r="O2012">
        <v>20</v>
      </c>
      <c r="P2012">
        <v>3</v>
      </c>
      <c r="Q2012">
        <v>0</v>
      </c>
      <c r="R2012">
        <v>104891444</v>
      </c>
      <c r="S2012">
        <v>252161.43</v>
      </c>
      <c r="T2012">
        <v>104639282.56999999</v>
      </c>
      <c r="U2012">
        <v>104639282.56999999</v>
      </c>
      <c r="V2012">
        <v>0</v>
      </c>
      <c r="W2012">
        <v>0</v>
      </c>
    </row>
    <row r="2013" spans="1:23" x14ac:dyDescent="0.35">
      <c r="A2013" t="s">
        <v>0</v>
      </c>
      <c r="B2013">
        <v>3250</v>
      </c>
      <c r="C2013">
        <v>20</v>
      </c>
      <c r="D2013">
        <v>3</v>
      </c>
      <c r="E2013">
        <v>0</v>
      </c>
      <c r="F2013">
        <v>70662641</v>
      </c>
      <c r="G2013">
        <v>126670.63</v>
      </c>
      <c r="H2013">
        <v>70535970.370000005</v>
      </c>
      <c r="I2013">
        <v>70535970.370000005</v>
      </c>
      <c r="J2013">
        <v>0</v>
      </c>
      <c r="K2013">
        <v>0</v>
      </c>
      <c r="M2013" t="s">
        <v>0</v>
      </c>
      <c r="N2013">
        <v>3500</v>
      </c>
      <c r="O2013">
        <v>18</v>
      </c>
      <c r="P2013">
        <v>73</v>
      </c>
      <c r="Q2013">
        <v>0</v>
      </c>
      <c r="R2013">
        <v>3127538399</v>
      </c>
      <c r="S2013">
        <v>5333959.6900000004</v>
      </c>
      <c r="T2013">
        <v>3122204439.3099999</v>
      </c>
      <c r="U2013">
        <v>3122204439.3099999</v>
      </c>
      <c r="V2013">
        <v>0</v>
      </c>
      <c r="W2013">
        <v>0</v>
      </c>
    </row>
    <row r="2014" spans="1:23" x14ac:dyDescent="0.35">
      <c r="A2014" t="s">
        <v>0</v>
      </c>
      <c r="B2014">
        <v>3250</v>
      </c>
      <c r="C2014">
        <v>18</v>
      </c>
      <c r="D2014">
        <v>5</v>
      </c>
      <c r="E2014">
        <v>0</v>
      </c>
      <c r="F2014">
        <v>150523774</v>
      </c>
      <c r="G2014">
        <v>268056.94</v>
      </c>
      <c r="H2014">
        <v>150255717.06</v>
      </c>
      <c r="I2014">
        <v>150255717.06</v>
      </c>
      <c r="J2014">
        <v>0</v>
      </c>
      <c r="K2014">
        <v>0</v>
      </c>
      <c r="M2014" t="s">
        <v>1</v>
      </c>
      <c r="N2014">
        <v>3500</v>
      </c>
      <c r="O2014">
        <v>20</v>
      </c>
      <c r="P2014">
        <v>6</v>
      </c>
      <c r="Q2014">
        <v>0</v>
      </c>
      <c r="R2014">
        <v>214566984</v>
      </c>
      <c r="S2014">
        <v>383067.61</v>
      </c>
      <c r="T2014">
        <v>214183916.38999999</v>
      </c>
      <c r="U2014">
        <v>214183916.38999999</v>
      </c>
      <c r="V2014">
        <v>0</v>
      </c>
      <c r="W2014">
        <v>0</v>
      </c>
    </row>
    <row r="2015" spans="1:23" x14ac:dyDescent="0.35">
      <c r="A2015" t="s">
        <v>0</v>
      </c>
      <c r="B2015">
        <v>3750</v>
      </c>
      <c r="C2015">
        <v>18</v>
      </c>
      <c r="D2015">
        <v>588</v>
      </c>
      <c r="E2015">
        <v>0</v>
      </c>
      <c r="F2015">
        <v>19127964877</v>
      </c>
      <c r="G2015">
        <v>31260189.199999999</v>
      </c>
      <c r="H2015">
        <v>19096704687.799999</v>
      </c>
      <c r="I2015">
        <v>19096704687.799999</v>
      </c>
      <c r="J2015">
        <v>0</v>
      </c>
      <c r="K2015">
        <v>0</v>
      </c>
      <c r="M2015" t="s">
        <v>1</v>
      </c>
      <c r="N2015">
        <v>3500</v>
      </c>
      <c r="O2015">
        <v>18</v>
      </c>
      <c r="P2015">
        <v>27</v>
      </c>
      <c r="Q2015">
        <v>0</v>
      </c>
      <c r="R2015">
        <v>1004246886</v>
      </c>
      <c r="S2015">
        <v>1725376.84</v>
      </c>
      <c r="T2015">
        <v>1002521509.16</v>
      </c>
      <c r="U2015">
        <v>1002521509.16</v>
      </c>
      <c r="V2015">
        <v>0</v>
      </c>
      <c r="W2015">
        <v>0</v>
      </c>
    </row>
    <row r="2016" spans="1:23" x14ac:dyDescent="0.35">
      <c r="A2016" t="s">
        <v>2</v>
      </c>
      <c r="B2016">
        <v>3500</v>
      </c>
      <c r="C2016">
        <v>18</v>
      </c>
      <c r="D2016">
        <v>14</v>
      </c>
      <c r="E2016">
        <v>0</v>
      </c>
      <c r="F2016">
        <v>317637176</v>
      </c>
      <c r="G2016">
        <v>546712.59</v>
      </c>
      <c r="H2016">
        <v>317090463.41000003</v>
      </c>
      <c r="I2016">
        <v>317090463.41000003</v>
      </c>
      <c r="J2016">
        <v>0</v>
      </c>
      <c r="K2016">
        <v>0</v>
      </c>
      <c r="M2016" t="s">
        <v>0</v>
      </c>
      <c r="N2016">
        <v>3750</v>
      </c>
      <c r="O2016">
        <v>18</v>
      </c>
      <c r="P2016">
        <v>357</v>
      </c>
      <c r="Q2016">
        <v>0</v>
      </c>
      <c r="R2016">
        <v>11091830597</v>
      </c>
      <c r="S2016">
        <v>18123724.640000001</v>
      </c>
      <c r="T2016">
        <v>11047542756.360001</v>
      </c>
      <c r="U2016">
        <v>11073706872.360001</v>
      </c>
      <c r="V2016">
        <v>2.7942000000000002E-2</v>
      </c>
      <c r="W2016">
        <v>0</v>
      </c>
    </row>
    <row r="2017" spans="1:23" x14ac:dyDescent="0.35">
      <c r="A2017" t="s">
        <v>3</v>
      </c>
      <c r="B2017">
        <v>4000</v>
      </c>
      <c r="C2017">
        <v>20</v>
      </c>
      <c r="D2017">
        <v>5</v>
      </c>
      <c r="E2017">
        <v>0</v>
      </c>
      <c r="F2017">
        <v>53436527</v>
      </c>
      <c r="G2017">
        <v>84398.77</v>
      </c>
      <c r="H2017">
        <v>53352128.229999997</v>
      </c>
      <c r="I2017">
        <v>53352128.229999997</v>
      </c>
      <c r="J2017">
        <v>0</v>
      </c>
      <c r="K2017">
        <v>0</v>
      </c>
      <c r="M2017" t="s">
        <v>1</v>
      </c>
      <c r="N2017">
        <v>3750</v>
      </c>
      <c r="O2017">
        <v>18</v>
      </c>
      <c r="P2017">
        <v>181</v>
      </c>
      <c r="Q2017">
        <v>0</v>
      </c>
      <c r="R2017">
        <v>6279821939</v>
      </c>
      <c r="S2017">
        <v>10277795.460000001</v>
      </c>
      <c r="T2017">
        <v>6176724367.3100004</v>
      </c>
      <c r="U2017">
        <v>6269544143.54</v>
      </c>
      <c r="V2017">
        <v>0.163636</v>
      </c>
      <c r="W2017">
        <v>0</v>
      </c>
    </row>
    <row r="2018" spans="1:23" x14ac:dyDescent="0.35">
      <c r="A2018" t="s">
        <v>2</v>
      </c>
      <c r="B2018">
        <v>3750</v>
      </c>
      <c r="C2018">
        <v>18</v>
      </c>
      <c r="D2018">
        <v>17</v>
      </c>
      <c r="E2018">
        <v>0</v>
      </c>
      <c r="F2018">
        <v>515103160</v>
      </c>
      <c r="G2018">
        <v>847793.04</v>
      </c>
      <c r="H2018">
        <v>514255366.95999998</v>
      </c>
      <c r="I2018">
        <v>514255366.95999998</v>
      </c>
      <c r="J2018">
        <v>0</v>
      </c>
      <c r="K2018">
        <v>0</v>
      </c>
      <c r="M2018" t="s">
        <v>1</v>
      </c>
      <c r="N2018">
        <v>4000</v>
      </c>
      <c r="O2018">
        <v>18</v>
      </c>
      <c r="P2018">
        <v>842</v>
      </c>
      <c r="Q2018">
        <v>0</v>
      </c>
      <c r="R2018">
        <v>29121004961</v>
      </c>
      <c r="S2018">
        <v>45848714.109999999</v>
      </c>
      <c r="T2018">
        <v>28939014489.209999</v>
      </c>
      <c r="U2018">
        <v>29037459951.07</v>
      </c>
      <c r="V2018">
        <v>5.4679999999999999E-2</v>
      </c>
      <c r="W2018">
        <v>1.5424E-2</v>
      </c>
    </row>
    <row r="2019" spans="1:23" x14ac:dyDescent="0.35">
      <c r="A2019" t="s">
        <v>3</v>
      </c>
      <c r="B2019">
        <v>4500</v>
      </c>
      <c r="C2019">
        <v>18</v>
      </c>
      <c r="D2019">
        <v>1</v>
      </c>
      <c r="E2019">
        <v>0</v>
      </c>
      <c r="F2019">
        <v>34093121</v>
      </c>
      <c r="G2019">
        <v>49229.5</v>
      </c>
      <c r="H2019">
        <v>34043891.5</v>
      </c>
      <c r="I2019">
        <v>34043891.5</v>
      </c>
      <c r="J2019">
        <v>0</v>
      </c>
      <c r="K2019">
        <v>0</v>
      </c>
      <c r="M2019" t="s">
        <v>2</v>
      </c>
      <c r="N2019">
        <v>4000</v>
      </c>
      <c r="O2019">
        <v>18</v>
      </c>
      <c r="P2019">
        <v>110</v>
      </c>
      <c r="Q2019">
        <v>0</v>
      </c>
      <c r="R2019">
        <v>3053452307</v>
      </c>
      <c r="S2019">
        <v>4811014.9800000004</v>
      </c>
      <c r="T2019">
        <v>3048641292.02</v>
      </c>
      <c r="U2019">
        <v>3048641292.02</v>
      </c>
      <c r="V2019">
        <v>0</v>
      </c>
      <c r="W2019">
        <v>0</v>
      </c>
    </row>
    <row r="2020" spans="1:23" x14ac:dyDescent="0.35">
      <c r="A2020" t="s">
        <v>3</v>
      </c>
      <c r="B2020">
        <v>4750</v>
      </c>
      <c r="C2020">
        <v>18</v>
      </c>
      <c r="D2020">
        <v>1</v>
      </c>
      <c r="E2020">
        <v>0</v>
      </c>
      <c r="F2020">
        <v>36303995</v>
      </c>
      <c r="G2020">
        <v>50218.080000000002</v>
      </c>
      <c r="H2020">
        <v>36253776.920000002</v>
      </c>
      <c r="I2020">
        <v>36253776.920000002</v>
      </c>
      <c r="J2020">
        <v>0</v>
      </c>
      <c r="K2020">
        <v>0</v>
      </c>
      <c r="M2020" t="s">
        <v>2</v>
      </c>
      <c r="N2020">
        <v>3750</v>
      </c>
      <c r="O2020">
        <v>18</v>
      </c>
      <c r="P2020">
        <v>8</v>
      </c>
      <c r="Q2020">
        <v>0</v>
      </c>
      <c r="R2020">
        <v>247403548</v>
      </c>
      <c r="S2020">
        <v>404679.84</v>
      </c>
      <c r="T2020">
        <v>246998868.16</v>
      </c>
      <c r="U2020">
        <v>246998868.16</v>
      </c>
      <c r="V2020">
        <v>0</v>
      </c>
      <c r="W2020">
        <v>0</v>
      </c>
    </row>
    <row r="2021" spans="1:23" x14ac:dyDescent="0.35">
      <c r="A2021" t="s">
        <v>2</v>
      </c>
      <c r="B2021">
        <v>2500</v>
      </c>
      <c r="C2021">
        <v>20</v>
      </c>
      <c r="D2021">
        <v>1</v>
      </c>
      <c r="E2021">
        <v>0</v>
      </c>
      <c r="F2021">
        <v>12768546</v>
      </c>
      <c r="G2021">
        <v>25742.98</v>
      </c>
      <c r="H2021">
        <v>12742803.02</v>
      </c>
      <c r="I2021">
        <v>12742803.02</v>
      </c>
      <c r="J2021">
        <v>0</v>
      </c>
      <c r="K2021">
        <v>0</v>
      </c>
      <c r="M2021" t="s">
        <v>3</v>
      </c>
      <c r="N2021">
        <v>7000</v>
      </c>
      <c r="O2021">
        <v>18</v>
      </c>
      <c r="P2021">
        <v>3</v>
      </c>
      <c r="Q2021">
        <v>0</v>
      </c>
      <c r="R2021">
        <v>78976579</v>
      </c>
      <c r="S2021">
        <v>72860.28</v>
      </c>
      <c r="T2021">
        <v>78903718.719999999</v>
      </c>
      <c r="U2021">
        <v>78903718.719999999</v>
      </c>
      <c r="V2021">
        <v>0</v>
      </c>
      <c r="W2021">
        <v>0</v>
      </c>
    </row>
    <row r="2022" spans="1:23" x14ac:dyDescent="0.35">
      <c r="A2022" t="s">
        <v>0</v>
      </c>
      <c r="B2022">
        <v>2500</v>
      </c>
      <c r="C2022">
        <v>20</v>
      </c>
      <c r="D2022">
        <v>1</v>
      </c>
      <c r="E2022">
        <v>0</v>
      </c>
      <c r="F2022">
        <v>18307041</v>
      </c>
      <c r="G2022">
        <v>36909.269999999997</v>
      </c>
      <c r="H2022">
        <v>18270131.73</v>
      </c>
      <c r="I2022">
        <v>18270131.73</v>
      </c>
      <c r="J2022">
        <v>0</v>
      </c>
      <c r="K2022">
        <v>0</v>
      </c>
      <c r="M2022" t="s">
        <v>1</v>
      </c>
      <c r="N2022">
        <v>2250</v>
      </c>
      <c r="O2022">
        <v>18</v>
      </c>
      <c r="P2022">
        <v>4</v>
      </c>
      <c r="Q2022">
        <v>0</v>
      </c>
      <c r="R2022">
        <v>129511499</v>
      </c>
      <c r="S2022">
        <v>296236.82</v>
      </c>
      <c r="T2022">
        <v>129215262.18000001</v>
      </c>
      <c r="U2022">
        <v>129215262.18000001</v>
      </c>
      <c r="V2022">
        <v>0</v>
      </c>
      <c r="W2022">
        <v>0</v>
      </c>
    </row>
    <row r="2023" spans="1:23" x14ac:dyDescent="0.35">
      <c r="A2023" t="s">
        <v>1</v>
      </c>
      <c r="B2023">
        <v>2750</v>
      </c>
      <c r="C2023">
        <v>18</v>
      </c>
      <c r="D2023">
        <v>3</v>
      </c>
      <c r="E2023">
        <v>0</v>
      </c>
      <c r="F2023">
        <v>115917709</v>
      </c>
      <c r="G2023">
        <v>247488.82</v>
      </c>
      <c r="H2023">
        <v>115670220.18000001</v>
      </c>
      <c r="I2023">
        <v>115670220.18000001</v>
      </c>
      <c r="J2023">
        <v>0</v>
      </c>
      <c r="K2023">
        <v>0</v>
      </c>
      <c r="M2023" t="s">
        <v>2</v>
      </c>
      <c r="N2023">
        <v>2750</v>
      </c>
      <c r="O2023">
        <v>18</v>
      </c>
      <c r="P2023">
        <v>1</v>
      </c>
      <c r="Q2023">
        <v>0</v>
      </c>
      <c r="R2023">
        <v>17732382</v>
      </c>
      <c r="S2023">
        <v>34214.46</v>
      </c>
      <c r="T2023">
        <v>17698167.539999999</v>
      </c>
      <c r="U2023">
        <v>17698167.539999999</v>
      </c>
      <c r="V2023">
        <v>0</v>
      </c>
      <c r="W2023">
        <v>0</v>
      </c>
    </row>
    <row r="2024" spans="1:23" x14ac:dyDescent="0.35">
      <c r="A2024" t="s">
        <v>1</v>
      </c>
      <c r="B2024">
        <v>3250</v>
      </c>
      <c r="C2024">
        <v>18</v>
      </c>
      <c r="D2024">
        <v>14</v>
      </c>
      <c r="E2024">
        <v>0</v>
      </c>
      <c r="F2024">
        <v>390634730</v>
      </c>
      <c r="G2024">
        <v>692999.21</v>
      </c>
      <c r="H2024">
        <v>389941730.79000002</v>
      </c>
      <c r="I2024">
        <v>389941730.79000002</v>
      </c>
      <c r="J2024">
        <v>0</v>
      </c>
      <c r="K2024">
        <v>0</v>
      </c>
      <c r="M2024" t="s">
        <v>0</v>
      </c>
      <c r="N2024">
        <v>2750</v>
      </c>
      <c r="O2024">
        <v>18</v>
      </c>
      <c r="P2024">
        <v>1</v>
      </c>
      <c r="Q2024">
        <v>0</v>
      </c>
      <c r="R2024">
        <v>25256661</v>
      </c>
      <c r="S2024">
        <v>48732.49</v>
      </c>
      <c r="T2024">
        <v>25207928.510000002</v>
      </c>
      <c r="U2024">
        <v>25207928.510000002</v>
      </c>
      <c r="V2024">
        <v>0</v>
      </c>
      <c r="W2024">
        <v>0</v>
      </c>
    </row>
    <row r="2025" spans="1:23" x14ac:dyDescent="0.35">
      <c r="A2025" t="s">
        <v>2</v>
      </c>
      <c r="B2025">
        <v>3250</v>
      </c>
      <c r="C2025">
        <v>18</v>
      </c>
      <c r="D2025">
        <v>6</v>
      </c>
      <c r="E2025">
        <v>0</v>
      </c>
      <c r="F2025">
        <v>102574550</v>
      </c>
      <c r="G2025">
        <v>190486.79</v>
      </c>
      <c r="H2025">
        <v>102384063.20999999</v>
      </c>
      <c r="I2025">
        <v>102384063.20999999</v>
      </c>
      <c r="J2025">
        <v>0</v>
      </c>
      <c r="K2025">
        <v>0</v>
      </c>
      <c r="M2025" t="s">
        <v>0</v>
      </c>
      <c r="N2025">
        <v>3000</v>
      </c>
      <c r="O2025">
        <v>18</v>
      </c>
      <c r="P2025">
        <v>3</v>
      </c>
      <c r="Q2025">
        <v>0</v>
      </c>
      <c r="R2025">
        <v>77154209</v>
      </c>
      <c r="S2025">
        <v>144476.47</v>
      </c>
      <c r="T2025">
        <v>77009732.530000001</v>
      </c>
      <c r="U2025">
        <v>77009732.530000001</v>
      </c>
      <c r="V2025">
        <v>0</v>
      </c>
      <c r="W2025">
        <v>0</v>
      </c>
    </row>
    <row r="2026" spans="1:23" x14ac:dyDescent="0.35">
      <c r="A2026" t="s">
        <v>3</v>
      </c>
      <c r="B2026">
        <v>4250</v>
      </c>
      <c r="C2026">
        <v>18</v>
      </c>
      <c r="D2026">
        <v>1</v>
      </c>
      <c r="E2026">
        <v>0</v>
      </c>
      <c r="F2026">
        <v>29870574</v>
      </c>
      <c r="G2026">
        <v>45008.1</v>
      </c>
      <c r="H2026">
        <v>29825565.899999999</v>
      </c>
      <c r="I2026">
        <v>29825565.899999999</v>
      </c>
      <c r="J2026">
        <v>0</v>
      </c>
      <c r="K2026">
        <v>0</v>
      </c>
      <c r="M2026" t="s">
        <v>1</v>
      </c>
      <c r="N2026">
        <v>3000</v>
      </c>
      <c r="O2026">
        <v>20</v>
      </c>
      <c r="P2026">
        <v>1</v>
      </c>
      <c r="Q2026">
        <v>0</v>
      </c>
      <c r="R2026">
        <v>56704027</v>
      </c>
      <c r="S2026">
        <v>118600.99</v>
      </c>
      <c r="T2026">
        <v>56585426.009999998</v>
      </c>
      <c r="U2026">
        <v>56585426.009999998</v>
      </c>
      <c r="V2026">
        <v>0</v>
      </c>
      <c r="W2026">
        <v>0</v>
      </c>
    </row>
    <row r="2027" spans="1:23" x14ac:dyDescent="0.35">
      <c r="A2027" t="s">
        <v>0</v>
      </c>
      <c r="B2027">
        <v>3250</v>
      </c>
      <c r="C2027">
        <v>16</v>
      </c>
      <c r="D2027">
        <v>3</v>
      </c>
      <c r="E2027">
        <v>0</v>
      </c>
      <c r="F2027">
        <v>88213336</v>
      </c>
      <c r="G2027">
        <v>157013.79999999999</v>
      </c>
      <c r="H2027">
        <v>88056322.200000003</v>
      </c>
      <c r="I2027">
        <v>88056322.200000003</v>
      </c>
      <c r="J2027">
        <v>0</v>
      </c>
      <c r="K2027">
        <v>0</v>
      </c>
      <c r="M2027" t="s">
        <v>1</v>
      </c>
      <c r="N2027">
        <v>3250</v>
      </c>
      <c r="O2027">
        <v>18</v>
      </c>
      <c r="P2027">
        <v>9</v>
      </c>
      <c r="Q2027">
        <v>0</v>
      </c>
      <c r="R2027">
        <v>263506160</v>
      </c>
      <c r="S2027">
        <v>478728.46</v>
      </c>
      <c r="T2027">
        <v>263027431.53999999</v>
      </c>
      <c r="U2027">
        <v>263027431.53999999</v>
      </c>
      <c r="V2027">
        <v>0</v>
      </c>
      <c r="W2027">
        <v>0</v>
      </c>
    </row>
    <row r="2028" spans="1:23" x14ac:dyDescent="0.35">
      <c r="A2028" t="s">
        <v>0</v>
      </c>
      <c r="B2028">
        <v>2750</v>
      </c>
      <c r="C2028">
        <v>18</v>
      </c>
      <c r="D2028">
        <v>2</v>
      </c>
      <c r="E2028">
        <v>0</v>
      </c>
      <c r="F2028">
        <v>32428342</v>
      </c>
      <c r="G2028">
        <v>62307.17</v>
      </c>
      <c r="H2028">
        <v>32366034.829999998</v>
      </c>
      <c r="I2028">
        <v>32366034.829999998</v>
      </c>
      <c r="J2028">
        <v>0</v>
      </c>
      <c r="K2028">
        <v>0</v>
      </c>
      <c r="M2028" t="s">
        <v>2</v>
      </c>
      <c r="N2028">
        <v>3250</v>
      </c>
      <c r="O2028">
        <v>18</v>
      </c>
      <c r="P2028">
        <v>7</v>
      </c>
      <c r="Q2028">
        <v>0</v>
      </c>
      <c r="R2028">
        <v>124225102</v>
      </c>
      <c r="S2028">
        <v>228647.66</v>
      </c>
      <c r="T2028">
        <v>123996454.34</v>
      </c>
      <c r="U2028">
        <v>123996454.34</v>
      </c>
      <c r="V2028">
        <v>0</v>
      </c>
      <c r="W2028">
        <v>0</v>
      </c>
    </row>
    <row r="2029" spans="1:23" x14ac:dyDescent="0.35">
      <c r="A2029" t="s">
        <v>1</v>
      </c>
      <c r="B2029">
        <v>3000</v>
      </c>
      <c r="C2029">
        <v>18</v>
      </c>
      <c r="D2029">
        <v>2</v>
      </c>
      <c r="E2029">
        <v>0</v>
      </c>
      <c r="F2029">
        <v>101939156</v>
      </c>
      <c r="G2029">
        <v>224216.76</v>
      </c>
      <c r="H2029">
        <v>101714939.23999999</v>
      </c>
      <c r="I2029">
        <v>101714939.23999999</v>
      </c>
      <c r="J2029">
        <v>0</v>
      </c>
      <c r="K2029">
        <v>0</v>
      </c>
      <c r="M2029" t="s">
        <v>2</v>
      </c>
      <c r="N2029">
        <v>3500</v>
      </c>
      <c r="O2029">
        <v>18</v>
      </c>
      <c r="P2029">
        <v>11</v>
      </c>
      <c r="Q2029">
        <v>0</v>
      </c>
      <c r="R2029">
        <v>256172368</v>
      </c>
      <c r="S2029">
        <v>442470.01</v>
      </c>
      <c r="T2029">
        <v>255729897.99000001</v>
      </c>
      <c r="U2029">
        <v>255729897.99000001</v>
      </c>
      <c r="V2029">
        <v>0</v>
      </c>
      <c r="W2029">
        <v>0</v>
      </c>
    </row>
    <row r="2030" spans="1:23" x14ac:dyDescent="0.35">
      <c r="A2030" t="s">
        <v>1</v>
      </c>
      <c r="B2030">
        <v>3250</v>
      </c>
      <c r="C2030">
        <v>16</v>
      </c>
      <c r="D2030">
        <v>15</v>
      </c>
      <c r="E2030">
        <v>0</v>
      </c>
      <c r="F2030">
        <v>402425121</v>
      </c>
      <c r="G2030">
        <v>715220.15</v>
      </c>
      <c r="H2030">
        <v>369578121.42000002</v>
      </c>
      <c r="I2030">
        <v>369578121.42000002</v>
      </c>
      <c r="J2030">
        <v>0.63159100000000001</v>
      </c>
      <c r="K2030">
        <v>0.63159100000000001</v>
      </c>
      <c r="M2030" t="s">
        <v>0</v>
      </c>
      <c r="N2030">
        <v>3250</v>
      </c>
      <c r="O2030">
        <v>18</v>
      </c>
      <c r="P2030">
        <v>6</v>
      </c>
      <c r="Q2030">
        <v>0</v>
      </c>
      <c r="R2030">
        <v>187480750</v>
      </c>
      <c r="S2030">
        <v>333046.69</v>
      </c>
      <c r="T2030">
        <v>187147703.31</v>
      </c>
      <c r="U2030">
        <v>187147703.31</v>
      </c>
      <c r="V2030">
        <v>0</v>
      </c>
      <c r="W2030">
        <v>0</v>
      </c>
    </row>
    <row r="2031" spans="1:23" x14ac:dyDescent="0.35">
      <c r="A2031" t="s">
        <v>0</v>
      </c>
      <c r="B2031">
        <v>3500</v>
      </c>
      <c r="C2031">
        <v>16</v>
      </c>
      <c r="D2031">
        <v>29</v>
      </c>
      <c r="E2031">
        <v>0</v>
      </c>
      <c r="F2031">
        <v>1065160400</v>
      </c>
      <c r="G2031">
        <v>1798557.93</v>
      </c>
      <c r="H2031">
        <v>1063361842.0700001</v>
      </c>
      <c r="I2031">
        <v>1063361842.0700001</v>
      </c>
      <c r="J2031">
        <v>0</v>
      </c>
      <c r="K2031">
        <v>0</v>
      </c>
      <c r="M2031" t="s">
        <v>3</v>
      </c>
      <c r="N2031">
        <v>4000</v>
      </c>
      <c r="O2031">
        <v>18</v>
      </c>
      <c r="P2031">
        <v>5</v>
      </c>
      <c r="Q2031">
        <v>0</v>
      </c>
      <c r="R2031">
        <v>53589921</v>
      </c>
      <c r="S2031">
        <v>84227.26</v>
      </c>
      <c r="T2031">
        <v>53505693.740000002</v>
      </c>
      <c r="U2031">
        <v>53505693.740000002</v>
      </c>
      <c r="V2031">
        <v>0</v>
      </c>
      <c r="W2031">
        <v>0</v>
      </c>
    </row>
    <row r="2032" spans="1:23" x14ac:dyDescent="0.35">
      <c r="A2032" t="s">
        <v>1</v>
      </c>
      <c r="B2032">
        <v>3500</v>
      </c>
      <c r="C2032">
        <v>16</v>
      </c>
      <c r="D2032">
        <v>35</v>
      </c>
      <c r="E2032">
        <v>0</v>
      </c>
      <c r="F2032">
        <v>1454816837</v>
      </c>
      <c r="G2032">
        <v>2461116.2799999998</v>
      </c>
      <c r="H2032">
        <v>1452355720.72</v>
      </c>
      <c r="I2032">
        <v>1452355720.72</v>
      </c>
      <c r="J2032">
        <v>0</v>
      </c>
      <c r="K2032">
        <v>0</v>
      </c>
      <c r="M2032" t="s">
        <v>3</v>
      </c>
      <c r="N2032">
        <v>4500</v>
      </c>
      <c r="O2032">
        <v>18</v>
      </c>
      <c r="P2032">
        <v>1</v>
      </c>
      <c r="Q2032">
        <v>0</v>
      </c>
      <c r="R2032">
        <v>34142422</v>
      </c>
      <c r="S2032">
        <v>49045.94</v>
      </c>
      <c r="T2032">
        <v>34093376.060000002</v>
      </c>
      <c r="U2032">
        <v>34093376.060000002</v>
      </c>
      <c r="V2032">
        <v>0</v>
      </c>
      <c r="W2032">
        <v>0</v>
      </c>
    </row>
    <row r="2033" spans="1:23" x14ac:dyDescent="0.35">
      <c r="A2033" t="s">
        <v>1</v>
      </c>
      <c r="B2033">
        <v>3750</v>
      </c>
      <c r="C2033">
        <v>16</v>
      </c>
      <c r="D2033">
        <v>89</v>
      </c>
      <c r="E2033">
        <v>0</v>
      </c>
      <c r="F2033">
        <v>3320756292</v>
      </c>
      <c r="G2033">
        <v>5404008.9900000002</v>
      </c>
      <c r="H2033">
        <v>3289500843.0300002</v>
      </c>
      <c r="I2033">
        <v>3289500843.0300002</v>
      </c>
      <c r="J2033">
        <v>8.9520000000000002E-2</v>
      </c>
      <c r="K2033">
        <v>8.9520000000000002E-2</v>
      </c>
      <c r="M2033" t="s">
        <v>3</v>
      </c>
      <c r="N2033">
        <v>4750</v>
      </c>
      <c r="O2033">
        <v>18</v>
      </c>
      <c r="P2033">
        <v>1</v>
      </c>
      <c r="Q2033">
        <v>0</v>
      </c>
      <c r="R2033">
        <v>36354283</v>
      </c>
      <c r="S2033">
        <v>50020.45</v>
      </c>
      <c r="T2033">
        <v>36304262.549999997</v>
      </c>
      <c r="U2033">
        <v>36304262.549999997</v>
      </c>
      <c r="V2033">
        <v>0</v>
      </c>
      <c r="W2033">
        <v>0</v>
      </c>
    </row>
    <row r="2034" spans="1:23" x14ac:dyDescent="0.35">
      <c r="A2034" t="s">
        <v>1</v>
      </c>
      <c r="B2034">
        <v>4000</v>
      </c>
      <c r="C2034">
        <v>16</v>
      </c>
      <c r="D2034">
        <v>681</v>
      </c>
      <c r="E2034">
        <v>0</v>
      </c>
      <c r="F2034">
        <v>24156020311</v>
      </c>
      <c r="G2034">
        <v>37628163.210000001</v>
      </c>
      <c r="H2034">
        <v>24013143019.580002</v>
      </c>
      <c r="I2034">
        <v>24081366111.549999</v>
      </c>
      <c r="J2034">
        <v>5.1049999999999998E-2</v>
      </c>
      <c r="K2034">
        <v>1.8238999999999998E-2</v>
      </c>
      <c r="M2034" t="s">
        <v>2</v>
      </c>
      <c r="N2034">
        <v>2500</v>
      </c>
      <c r="O2034">
        <v>18</v>
      </c>
      <c r="P2034">
        <v>1</v>
      </c>
      <c r="Q2034">
        <v>0</v>
      </c>
      <c r="R2034">
        <v>12794235</v>
      </c>
      <c r="S2034">
        <v>25689.46</v>
      </c>
      <c r="T2034">
        <v>12768545.539999999</v>
      </c>
      <c r="U2034">
        <v>12768545.539999999</v>
      </c>
      <c r="V2034">
        <v>0</v>
      </c>
      <c r="W2034">
        <v>0</v>
      </c>
    </row>
    <row r="2035" spans="1:23" x14ac:dyDescent="0.35">
      <c r="A2035" t="s">
        <v>2</v>
      </c>
      <c r="B2035">
        <v>4000</v>
      </c>
      <c r="C2035">
        <v>16</v>
      </c>
      <c r="D2035">
        <v>87</v>
      </c>
      <c r="E2035">
        <v>0</v>
      </c>
      <c r="F2035">
        <v>2463944174</v>
      </c>
      <c r="G2035">
        <v>3836605.98</v>
      </c>
      <c r="H2035">
        <v>2460107568.02</v>
      </c>
      <c r="I2035">
        <v>2460107568.02</v>
      </c>
      <c r="J2035">
        <v>0</v>
      </c>
      <c r="K2035">
        <v>0</v>
      </c>
      <c r="M2035" t="s">
        <v>0</v>
      </c>
      <c r="N2035">
        <v>2500</v>
      </c>
      <c r="O2035">
        <v>18</v>
      </c>
      <c r="P2035">
        <v>1</v>
      </c>
      <c r="Q2035">
        <v>0</v>
      </c>
      <c r="R2035">
        <v>18307041</v>
      </c>
      <c r="S2035">
        <v>36758.58</v>
      </c>
      <c r="T2035">
        <v>18270282.420000002</v>
      </c>
      <c r="U2035">
        <v>18270282.420000002</v>
      </c>
      <c r="V2035">
        <v>0</v>
      </c>
      <c r="W2035">
        <v>0</v>
      </c>
    </row>
    <row r="2036" spans="1:23" x14ac:dyDescent="0.35">
      <c r="A2036" t="s">
        <v>2</v>
      </c>
      <c r="B2036">
        <v>3750</v>
      </c>
      <c r="C2036">
        <v>16</v>
      </c>
      <c r="D2036">
        <v>14</v>
      </c>
      <c r="E2036">
        <v>0</v>
      </c>
      <c r="F2036">
        <v>357021659</v>
      </c>
      <c r="G2036">
        <v>586055.88</v>
      </c>
      <c r="H2036">
        <v>356435603.12</v>
      </c>
      <c r="I2036">
        <v>356435603.12</v>
      </c>
      <c r="J2036">
        <v>0</v>
      </c>
      <c r="K2036">
        <v>0</v>
      </c>
      <c r="M2036" t="s">
        <v>1</v>
      </c>
      <c r="N2036">
        <v>2750</v>
      </c>
      <c r="O2036">
        <v>18</v>
      </c>
      <c r="P2036">
        <v>2</v>
      </c>
      <c r="Q2036">
        <v>0</v>
      </c>
      <c r="R2036">
        <v>62661827</v>
      </c>
      <c r="S2036">
        <v>136501.26999999999</v>
      </c>
      <c r="T2036">
        <v>62525325.729999997</v>
      </c>
      <c r="U2036">
        <v>62525325.729999997</v>
      </c>
      <c r="V2036">
        <v>0</v>
      </c>
      <c r="W2036">
        <v>0</v>
      </c>
    </row>
    <row r="2037" spans="1:23" x14ac:dyDescent="0.35">
      <c r="A2037" t="s">
        <v>3</v>
      </c>
      <c r="B2037">
        <v>4750</v>
      </c>
      <c r="C2037">
        <v>16</v>
      </c>
      <c r="D2037">
        <v>1</v>
      </c>
      <c r="E2037">
        <v>0</v>
      </c>
      <c r="F2037">
        <v>24537726</v>
      </c>
      <c r="G2037">
        <v>33582.720000000001</v>
      </c>
      <c r="H2037">
        <v>24504143.280000001</v>
      </c>
      <c r="I2037">
        <v>24504143.280000001</v>
      </c>
      <c r="J2037">
        <v>0</v>
      </c>
      <c r="K2037">
        <v>0</v>
      </c>
      <c r="M2037" t="s">
        <v>1</v>
      </c>
      <c r="N2037">
        <v>2750</v>
      </c>
      <c r="O2037">
        <v>16</v>
      </c>
      <c r="P2037">
        <v>4</v>
      </c>
      <c r="Q2037">
        <v>0</v>
      </c>
      <c r="R2037">
        <v>137309348</v>
      </c>
      <c r="S2037">
        <v>297203.71000000002</v>
      </c>
      <c r="T2037">
        <v>137012144.28999999</v>
      </c>
      <c r="U2037">
        <v>137012144.28999999</v>
      </c>
      <c r="V2037">
        <v>0</v>
      </c>
      <c r="W2037">
        <v>0</v>
      </c>
    </row>
    <row r="2038" spans="1:23" x14ac:dyDescent="0.35">
      <c r="A2038" t="s">
        <v>3</v>
      </c>
      <c r="B2038">
        <v>7750</v>
      </c>
      <c r="C2038">
        <v>16</v>
      </c>
      <c r="D2038">
        <v>1</v>
      </c>
      <c r="E2038">
        <v>0</v>
      </c>
      <c r="F2038">
        <v>19359220</v>
      </c>
      <c r="G2038">
        <v>15696.8</v>
      </c>
      <c r="H2038">
        <v>19343523.199999999</v>
      </c>
      <c r="I2038">
        <v>19343523.199999999</v>
      </c>
      <c r="J2038">
        <v>0</v>
      </c>
      <c r="K2038">
        <v>0</v>
      </c>
      <c r="M2038" t="s">
        <v>0</v>
      </c>
      <c r="N2038">
        <v>3500</v>
      </c>
      <c r="O2038">
        <v>16</v>
      </c>
      <c r="P2038">
        <v>34</v>
      </c>
      <c r="Q2038">
        <v>0</v>
      </c>
      <c r="R2038">
        <v>1355235647</v>
      </c>
      <c r="S2038">
        <v>2295361.5299999998</v>
      </c>
      <c r="T2038">
        <v>1352940285.47</v>
      </c>
      <c r="U2038">
        <v>1352940285.47</v>
      </c>
      <c r="V2038">
        <v>0</v>
      </c>
      <c r="W2038">
        <v>0</v>
      </c>
    </row>
    <row r="2039" spans="1:23" x14ac:dyDescent="0.35">
      <c r="A2039" t="s">
        <v>1</v>
      </c>
      <c r="B2039">
        <v>8000</v>
      </c>
      <c r="C2039">
        <v>16</v>
      </c>
      <c r="D2039">
        <v>5</v>
      </c>
      <c r="E2039">
        <v>0</v>
      </c>
      <c r="F2039">
        <v>147819761</v>
      </c>
      <c r="G2039">
        <v>111816.2</v>
      </c>
      <c r="H2039">
        <v>147707944.80000001</v>
      </c>
      <c r="I2039">
        <v>147707944.80000001</v>
      </c>
      <c r="J2039">
        <v>0</v>
      </c>
      <c r="K2039">
        <v>0</v>
      </c>
      <c r="M2039" t="s">
        <v>1</v>
      </c>
      <c r="N2039">
        <v>3500</v>
      </c>
      <c r="O2039">
        <v>16</v>
      </c>
      <c r="P2039">
        <v>34</v>
      </c>
      <c r="Q2039">
        <v>0</v>
      </c>
      <c r="R2039">
        <v>1497067185</v>
      </c>
      <c r="S2039">
        <v>2539281.38</v>
      </c>
      <c r="T2039">
        <v>1494527903.6199999</v>
      </c>
      <c r="U2039">
        <v>1494527903.6199999</v>
      </c>
      <c r="V2039">
        <v>0</v>
      </c>
      <c r="W2039">
        <v>0</v>
      </c>
    </row>
    <row r="2040" spans="1:23" x14ac:dyDescent="0.35">
      <c r="A2040" t="s">
        <v>1</v>
      </c>
      <c r="B2040">
        <v>2250</v>
      </c>
      <c r="C2040">
        <v>16</v>
      </c>
      <c r="D2040">
        <v>2</v>
      </c>
      <c r="E2040">
        <v>0</v>
      </c>
      <c r="F2040">
        <v>74480743</v>
      </c>
      <c r="G2040">
        <v>174087.32</v>
      </c>
      <c r="H2040">
        <v>74306655.680000007</v>
      </c>
      <c r="I2040">
        <v>74306655.680000007</v>
      </c>
      <c r="J2040">
        <v>0</v>
      </c>
      <c r="K2040">
        <v>0</v>
      </c>
      <c r="M2040" t="s">
        <v>1</v>
      </c>
      <c r="N2040">
        <v>3250</v>
      </c>
      <c r="O2040">
        <v>16</v>
      </c>
      <c r="P2040">
        <v>20</v>
      </c>
      <c r="Q2040">
        <v>0</v>
      </c>
      <c r="R2040">
        <v>568970237</v>
      </c>
      <c r="S2040">
        <v>1001312.02</v>
      </c>
      <c r="T2040">
        <v>567968924.98000002</v>
      </c>
      <c r="U2040">
        <v>567968924.98000002</v>
      </c>
      <c r="V2040">
        <v>0</v>
      </c>
      <c r="W2040">
        <v>0</v>
      </c>
    </row>
    <row r="2041" spans="1:23" x14ac:dyDescent="0.35">
      <c r="A2041" t="s">
        <v>2</v>
      </c>
      <c r="B2041">
        <v>2750</v>
      </c>
      <c r="C2041">
        <v>18</v>
      </c>
      <c r="D2041">
        <v>2</v>
      </c>
      <c r="E2041">
        <v>0</v>
      </c>
      <c r="F2041">
        <v>36690382</v>
      </c>
      <c r="G2041">
        <v>71454.61</v>
      </c>
      <c r="H2041">
        <v>36618927.390000001</v>
      </c>
      <c r="I2041">
        <v>36618927.390000001</v>
      </c>
      <c r="J2041">
        <v>0</v>
      </c>
      <c r="K2041">
        <v>0</v>
      </c>
      <c r="M2041" t="s">
        <v>1</v>
      </c>
      <c r="N2041">
        <v>3750</v>
      </c>
      <c r="O2041">
        <v>16</v>
      </c>
      <c r="P2041">
        <v>210</v>
      </c>
      <c r="Q2041">
        <v>0</v>
      </c>
      <c r="R2041">
        <v>8020435912</v>
      </c>
      <c r="S2041">
        <v>13021490.699999999</v>
      </c>
      <c r="T2041">
        <v>8007414421.3000002</v>
      </c>
      <c r="U2041">
        <v>8007414421.3000002</v>
      </c>
      <c r="V2041">
        <v>0</v>
      </c>
      <c r="W2041">
        <v>0</v>
      </c>
    </row>
    <row r="2042" spans="1:23" x14ac:dyDescent="0.35">
      <c r="A2042" t="s">
        <v>1</v>
      </c>
      <c r="B2042">
        <v>2750</v>
      </c>
      <c r="C2042">
        <v>16</v>
      </c>
      <c r="D2042">
        <v>3</v>
      </c>
      <c r="E2042">
        <v>0</v>
      </c>
      <c r="F2042">
        <v>112401407</v>
      </c>
      <c r="G2042">
        <v>247563.48</v>
      </c>
      <c r="H2042">
        <v>112153843.52</v>
      </c>
      <c r="I2042">
        <v>112153843.52</v>
      </c>
      <c r="J2042">
        <v>0</v>
      </c>
      <c r="K2042">
        <v>0</v>
      </c>
      <c r="M2042" t="s">
        <v>0</v>
      </c>
      <c r="N2042">
        <v>3750</v>
      </c>
      <c r="O2042">
        <v>16</v>
      </c>
      <c r="P2042">
        <v>484</v>
      </c>
      <c r="Q2042">
        <v>0</v>
      </c>
      <c r="R2042">
        <v>16129149845</v>
      </c>
      <c r="S2042">
        <v>26157669.390000001</v>
      </c>
      <c r="T2042">
        <v>16102992175.610001</v>
      </c>
      <c r="U2042">
        <v>16102992175.610001</v>
      </c>
      <c r="V2042">
        <v>0</v>
      </c>
      <c r="W2042">
        <v>0</v>
      </c>
    </row>
    <row r="2043" spans="1:23" x14ac:dyDescent="0.35">
      <c r="A2043" t="s">
        <v>2</v>
      </c>
      <c r="B2043">
        <v>3000</v>
      </c>
      <c r="C2043">
        <v>18</v>
      </c>
      <c r="D2043">
        <v>3</v>
      </c>
      <c r="E2043">
        <v>0</v>
      </c>
      <c r="F2043">
        <v>60784365</v>
      </c>
      <c r="G2043">
        <v>120685.16</v>
      </c>
      <c r="H2043">
        <v>60663679.840000004</v>
      </c>
      <c r="I2043">
        <v>60663679.840000004</v>
      </c>
      <c r="J2043">
        <v>0</v>
      </c>
      <c r="K2043">
        <v>0</v>
      </c>
      <c r="M2043" t="s">
        <v>2</v>
      </c>
      <c r="N2043">
        <v>3500</v>
      </c>
      <c r="O2043">
        <v>16</v>
      </c>
      <c r="P2043">
        <v>9</v>
      </c>
      <c r="Q2043">
        <v>0</v>
      </c>
      <c r="R2043">
        <v>190058273</v>
      </c>
      <c r="S2043">
        <v>323323.53000000003</v>
      </c>
      <c r="T2043">
        <v>189734949.47</v>
      </c>
      <c r="U2043">
        <v>189734949.47</v>
      </c>
      <c r="V2043">
        <v>0</v>
      </c>
      <c r="W2043">
        <v>0</v>
      </c>
    </row>
    <row r="2044" spans="1:23" x14ac:dyDescent="0.35">
      <c r="A2044" t="s">
        <v>2</v>
      </c>
      <c r="B2044">
        <v>3500</v>
      </c>
      <c r="C2044">
        <v>16</v>
      </c>
      <c r="D2044">
        <v>4</v>
      </c>
      <c r="E2044">
        <v>0</v>
      </c>
      <c r="F2044">
        <v>78562134</v>
      </c>
      <c r="G2044">
        <v>134334.38</v>
      </c>
      <c r="H2044">
        <v>78427799.620000005</v>
      </c>
      <c r="I2044">
        <v>78427799.620000005</v>
      </c>
      <c r="J2044">
        <v>0</v>
      </c>
      <c r="K2044">
        <v>0</v>
      </c>
      <c r="M2044" t="s">
        <v>0</v>
      </c>
      <c r="N2044">
        <v>3250</v>
      </c>
      <c r="O2044">
        <v>16</v>
      </c>
      <c r="P2044">
        <v>3</v>
      </c>
      <c r="Q2044">
        <v>0</v>
      </c>
      <c r="R2044">
        <v>74109897</v>
      </c>
      <c r="S2044">
        <v>132081.96</v>
      </c>
      <c r="T2044">
        <v>73977815.040000007</v>
      </c>
      <c r="U2044">
        <v>73977815.040000007</v>
      </c>
      <c r="V2044">
        <v>0</v>
      </c>
      <c r="W2044">
        <v>0</v>
      </c>
    </row>
    <row r="2045" spans="1:23" x14ac:dyDescent="0.35">
      <c r="A2045" t="s">
        <v>2</v>
      </c>
      <c r="B2045">
        <v>3250</v>
      </c>
      <c r="C2045">
        <v>16</v>
      </c>
      <c r="D2045">
        <v>3</v>
      </c>
      <c r="E2045">
        <v>0</v>
      </c>
      <c r="F2045">
        <v>45269433</v>
      </c>
      <c r="G2045">
        <v>81973.17</v>
      </c>
      <c r="H2045">
        <v>45187459.829999998</v>
      </c>
      <c r="I2045">
        <v>45187459.829999998</v>
      </c>
      <c r="J2045">
        <v>0</v>
      </c>
      <c r="K2045">
        <v>0</v>
      </c>
      <c r="M2045" t="s">
        <v>2</v>
      </c>
      <c r="N2045">
        <v>3750</v>
      </c>
      <c r="O2045">
        <v>16</v>
      </c>
      <c r="P2045">
        <v>19</v>
      </c>
      <c r="Q2045">
        <v>0</v>
      </c>
      <c r="R2045">
        <v>547006532</v>
      </c>
      <c r="S2045">
        <v>897422.36</v>
      </c>
      <c r="T2045">
        <v>546109109.63999999</v>
      </c>
      <c r="U2045">
        <v>546109109.63999999</v>
      </c>
      <c r="V2045">
        <v>0</v>
      </c>
      <c r="W2045">
        <v>0</v>
      </c>
    </row>
    <row r="2046" spans="1:23" x14ac:dyDescent="0.35">
      <c r="A2046" t="s">
        <v>3</v>
      </c>
      <c r="B2046">
        <v>5250</v>
      </c>
      <c r="C2046">
        <v>16</v>
      </c>
      <c r="D2046">
        <v>3</v>
      </c>
      <c r="E2046">
        <v>0</v>
      </c>
      <c r="F2046">
        <v>62137451</v>
      </c>
      <c r="G2046">
        <v>77672.72</v>
      </c>
      <c r="H2046">
        <v>62059778.280000001</v>
      </c>
      <c r="I2046">
        <v>62059778.280000001</v>
      </c>
      <c r="J2046">
        <v>0</v>
      </c>
      <c r="K2046">
        <v>0</v>
      </c>
      <c r="M2046" t="s">
        <v>3</v>
      </c>
      <c r="N2046">
        <v>4250</v>
      </c>
      <c r="O2046">
        <v>18</v>
      </c>
      <c r="P2046">
        <v>1</v>
      </c>
      <c r="Q2046">
        <v>0</v>
      </c>
      <c r="R2046">
        <v>29915424</v>
      </c>
      <c r="S2046">
        <v>44849.26</v>
      </c>
      <c r="T2046">
        <v>29870574.739999998</v>
      </c>
      <c r="U2046">
        <v>29870574.739999998</v>
      </c>
      <c r="V2046">
        <v>0</v>
      </c>
      <c r="W2046">
        <v>0</v>
      </c>
    </row>
    <row r="2047" spans="1:23" x14ac:dyDescent="0.35">
      <c r="A2047" t="s">
        <v>3</v>
      </c>
      <c r="B2047">
        <v>7000</v>
      </c>
      <c r="C2047">
        <v>18</v>
      </c>
      <c r="D2047">
        <v>1</v>
      </c>
      <c r="E2047">
        <v>0</v>
      </c>
      <c r="F2047">
        <v>24757154</v>
      </c>
      <c r="G2047">
        <v>22888.01</v>
      </c>
      <c r="H2047">
        <v>24734265.989999998</v>
      </c>
      <c r="I2047">
        <v>24734265.989999998</v>
      </c>
      <c r="J2047">
        <v>0</v>
      </c>
      <c r="K2047">
        <v>0</v>
      </c>
      <c r="M2047" t="s">
        <v>3</v>
      </c>
      <c r="N2047">
        <v>5250</v>
      </c>
      <c r="O2047">
        <v>16</v>
      </c>
      <c r="P2047">
        <v>7</v>
      </c>
      <c r="Q2047">
        <v>0</v>
      </c>
      <c r="R2047">
        <v>191266325</v>
      </c>
      <c r="S2047">
        <v>239608.59</v>
      </c>
      <c r="T2047">
        <v>191026716.41</v>
      </c>
      <c r="U2047">
        <v>191026716.41</v>
      </c>
      <c r="V2047">
        <v>0</v>
      </c>
      <c r="W2047">
        <v>0</v>
      </c>
    </row>
    <row r="2048" spans="1:23" x14ac:dyDescent="0.35">
      <c r="A2048" t="s">
        <v>2</v>
      </c>
      <c r="B2048">
        <v>2500</v>
      </c>
      <c r="C2048">
        <v>16</v>
      </c>
      <c r="D2048">
        <v>1</v>
      </c>
      <c r="E2048">
        <v>0</v>
      </c>
      <c r="F2048">
        <v>23008605</v>
      </c>
      <c r="G2048">
        <v>45823.48</v>
      </c>
      <c r="H2048">
        <v>22962781.52</v>
      </c>
      <c r="I2048">
        <v>22962781.52</v>
      </c>
      <c r="J2048">
        <v>0</v>
      </c>
      <c r="K2048">
        <v>0</v>
      </c>
      <c r="M2048" t="s">
        <v>0</v>
      </c>
      <c r="N2048">
        <v>2750</v>
      </c>
      <c r="O2048">
        <v>16</v>
      </c>
      <c r="P2048">
        <v>2</v>
      </c>
      <c r="Q2048">
        <v>0</v>
      </c>
      <c r="R2048">
        <v>32470964</v>
      </c>
      <c r="S2048">
        <v>62127.32</v>
      </c>
      <c r="T2048">
        <v>32408836.68</v>
      </c>
      <c r="U2048">
        <v>32408836.68</v>
      </c>
      <c r="V2048">
        <v>0</v>
      </c>
      <c r="W2048">
        <v>0</v>
      </c>
    </row>
    <row r="2049" spans="1:23" x14ac:dyDescent="0.35">
      <c r="A2049" t="s">
        <v>1</v>
      </c>
      <c r="B2049">
        <v>3000</v>
      </c>
      <c r="C2049">
        <v>14</v>
      </c>
      <c r="D2049">
        <v>7</v>
      </c>
      <c r="E2049">
        <v>0</v>
      </c>
      <c r="F2049">
        <v>173973952</v>
      </c>
      <c r="G2049">
        <v>368752.75</v>
      </c>
      <c r="H2049">
        <v>157767532.08000001</v>
      </c>
      <c r="I2049">
        <v>173605199.25</v>
      </c>
      <c r="J2049">
        <v>0.68189699999999998</v>
      </c>
      <c r="K2049">
        <v>0</v>
      </c>
      <c r="M2049" t="s">
        <v>1</v>
      </c>
      <c r="N2049">
        <v>3000</v>
      </c>
      <c r="O2049">
        <v>18</v>
      </c>
      <c r="P2049">
        <v>3</v>
      </c>
      <c r="Q2049">
        <v>0</v>
      </c>
      <c r="R2049">
        <v>132763366</v>
      </c>
      <c r="S2049">
        <v>291882.25</v>
      </c>
      <c r="T2049">
        <v>132471483.75</v>
      </c>
      <c r="U2049">
        <v>132471483.75</v>
      </c>
      <c r="V2049">
        <v>0</v>
      </c>
      <c r="W2049">
        <v>0</v>
      </c>
    </row>
    <row r="2050" spans="1:23" x14ac:dyDescent="0.35">
      <c r="A2050" t="s">
        <v>2</v>
      </c>
      <c r="B2050">
        <v>3000</v>
      </c>
      <c r="C2050">
        <v>16</v>
      </c>
      <c r="D2050">
        <v>3</v>
      </c>
      <c r="E2050">
        <v>0</v>
      </c>
      <c r="F2050">
        <v>62816373</v>
      </c>
      <c r="G2050">
        <v>128810.4</v>
      </c>
      <c r="H2050">
        <v>62687562.600000001</v>
      </c>
      <c r="I2050">
        <v>62687562.600000001</v>
      </c>
      <c r="J2050">
        <v>0</v>
      </c>
      <c r="K2050">
        <v>0</v>
      </c>
      <c r="M2050" t="s">
        <v>3</v>
      </c>
      <c r="N2050">
        <v>4750</v>
      </c>
      <c r="O2050">
        <v>16</v>
      </c>
      <c r="P2050">
        <v>1</v>
      </c>
      <c r="Q2050">
        <v>0</v>
      </c>
      <c r="R2050">
        <v>24592415</v>
      </c>
      <c r="S2050">
        <v>33479.230000000003</v>
      </c>
      <c r="T2050">
        <v>24558935.77</v>
      </c>
      <c r="U2050">
        <v>24558935.77</v>
      </c>
      <c r="V2050">
        <v>0</v>
      </c>
      <c r="W2050">
        <v>0</v>
      </c>
    </row>
    <row r="2051" spans="1:23" x14ac:dyDescent="0.35">
      <c r="A2051" t="s">
        <v>0</v>
      </c>
      <c r="B2051">
        <v>3000</v>
      </c>
      <c r="C2051">
        <v>16</v>
      </c>
      <c r="D2051">
        <v>1</v>
      </c>
      <c r="E2051">
        <v>0</v>
      </c>
      <c r="F2051">
        <v>31867389</v>
      </c>
      <c r="G2051">
        <v>58299.94</v>
      </c>
      <c r="H2051">
        <v>31809089.059999999</v>
      </c>
      <c r="I2051">
        <v>31809089.059999999</v>
      </c>
      <c r="J2051">
        <v>0</v>
      </c>
      <c r="K2051">
        <v>0</v>
      </c>
      <c r="M2051" t="s">
        <v>3</v>
      </c>
      <c r="N2051">
        <v>7750</v>
      </c>
      <c r="O2051">
        <v>16</v>
      </c>
      <c r="P2051">
        <v>1</v>
      </c>
      <c r="Q2051">
        <v>0</v>
      </c>
      <c r="R2051">
        <v>19359220</v>
      </c>
      <c r="S2051">
        <v>15585.13</v>
      </c>
      <c r="T2051">
        <v>19343634.870000001</v>
      </c>
      <c r="U2051">
        <v>19343634.870000001</v>
      </c>
      <c r="V2051">
        <v>0</v>
      </c>
      <c r="W2051">
        <v>0</v>
      </c>
    </row>
    <row r="2052" spans="1:23" x14ac:dyDescent="0.35">
      <c r="A2052" t="s">
        <v>1</v>
      </c>
      <c r="B2052">
        <v>3500</v>
      </c>
      <c r="C2052">
        <v>14</v>
      </c>
      <c r="D2052">
        <v>10</v>
      </c>
      <c r="E2052">
        <v>0</v>
      </c>
      <c r="F2052">
        <v>317500136</v>
      </c>
      <c r="G2052">
        <v>561812.85</v>
      </c>
      <c r="H2052">
        <v>316938323.14999998</v>
      </c>
      <c r="I2052">
        <v>316938323.14999998</v>
      </c>
      <c r="J2052">
        <v>0</v>
      </c>
      <c r="K2052">
        <v>0</v>
      </c>
      <c r="M2052" t="s">
        <v>1</v>
      </c>
      <c r="N2052">
        <v>8000</v>
      </c>
      <c r="O2052">
        <v>16</v>
      </c>
      <c r="P2052">
        <v>4</v>
      </c>
      <c r="Q2052">
        <v>0</v>
      </c>
      <c r="R2052">
        <v>125579565</v>
      </c>
      <c r="S2052">
        <v>94454.41</v>
      </c>
      <c r="T2052">
        <v>125485110.59</v>
      </c>
      <c r="U2052">
        <v>125485110.59</v>
      </c>
      <c r="V2052">
        <v>0</v>
      </c>
      <c r="W2052">
        <v>0</v>
      </c>
    </row>
    <row r="2053" spans="1:23" x14ac:dyDescent="0.35">
      <c r="A2053" t="s">
        <v>0</v>
      </c>
      <c r="B2053">
        <v>3500</v>
      </c>
      <c r="C2053">
        <v>14</v>
      </c>
      <c r="D2053">
        <v>9</v>
      </c>
      <c r="E2053">
        <v>0</v>
      </c>
      <c r="F2053">
        <v>262632954</v>
      </c>
      <c r="G2053">
        <v>443480.52</v>
      </c>
      <c r="H2053">
        <v>262189473.47999999</v>
      </c>
      <c r="I2053">
        <v>262189473.47999999</v>
      </c>
      <c r="J2053">
        <v>0</v>
      </c>
      <c r="K2053">
        <v>0</v>
      </c>
      <c r="M2053" t="s">
        <v>1</v>
      </c>
      <c r="N2053">
        <v>4000</v>
      </c>
      <c r="O2053">
        <v>14</v>
      </c>
      <c r="P2053">
        <v>452</v>
      </c>
      <c r="Q2053">
        <v>0</v>
      </c>
      <c r="R2053">
        <v>16019679977</v>
      </c>
      <c r="S2053">
        <v>24690994.82</v>
      </c>
      <c r="T2053">
        <v>15994988982.18</v>
      </c>
      <c r="U2053">
        <v>15994988982.18</v>
      </c>
      <c r="V2053">
        <v>0</v>
      </c>
      <c r="W2053">
        <v>0</v>
      </c>
    </row>
    <row r="2054" spans="1:23" x14ac:dyDescent="0.35">
      <c r="A2054" t="s">
        <v>1</v>
      </c>
      <c r="B2054">
        <v>3750</v>
      </c>
      <c r="C2054">
        <v>14</v>
      </c>
      <c r="D2054">
        <v>55</v>
      </c>
      <c r="E2054">
        <v>0</v>
      </c>
      <c r="F2054">
        <v>2063751412</v>
      </c>
      <c r="G2054">
        <v>3374482.51</v>
      </c>
      <c r="H2054">
        <v>2060376929.49</v>
      </c>
      <c r="I2054">
        <v>2060376929.49</v>
      </c>
      <c r="J2054">
        <v>0</v>
      </c>
      <c r="K2054">
        <v>0</v>
      </c>
      <c r="M2054" t="s">
        <v>1</v>
      </c>
      <c r="N2054">
        <v>2250</v>
      </c>
      <c r="O2054">
        <v>16</v>
      </c>
      <c r="P2054">
        <v>1</v>
      </c>
      <c r="Q2054">
        <v>0</v>
      </c>
      <c r="R2054">
        <v>47639550</v>
      </c>
      <c r="S2054">
        <v>109696.36</v>
      </c>
      <c r="T2054">
        <v>47529853.640000001</v>
      </c>
      <c r="U2054">
        <v>47529853.640000001</v>
      </c>
      <c r="V2054">
        <v>0</v>
      </c>
      <c r="W2054">
        <v>0</v>
      </c>
    </row>
    <row r="2055" spans="1:23" x14ac:dyDescent="0.35">
      <c r="A2055" t="s">
        <v>0</v>
      </c>
      <c r="B2055">
        <v>3250</v>
      </c>
      <c r="C2055">
        <v>14</v>
      </c>
      <c r="D2055">
        <v>9</v>
      </c>
      <c r="E2055">
        <v>0</v>
      </c>
      <c r="F2055">
        <v>213319585</v>
      </c>
      <c r="G2055">
        <v>374905.71</v>
      </c>
      <c r="H2055">
        <v>212944679.28999999</v>
      </c>
      <c r="I2055">
        <v>212944679.28999999</v>
      </c>
      <c r="J2055">
        <v>0</v>
      </c>
      <c r="K2055">
        <v>0</v>
      </c>
      <c r="M2055" t="s">
        <v>2</v>
      </c>
      <c r="N2055">
        <v>2750</v>
      </c>
      <c r="O2055">
        <v>16</v>
      </c>
      <c r="P2055">
        <v>2</v>
      </c>
      <c r="Q2055">
        <v>0</v>
      </c>
      <c r="R2055">
        <v>36791107</v>
      </c>
      <c r="S2055">
        <v>71354.429999999993</v>
      </c>
      <c r="T2055">
        <v>36719752.57</v>
      </c>
      <c r="U2055">
        <v>36719752.57</v>
      </c>
      <c r="V2055">
        <v>0</v>
      </c>
      <c r="W2055">
        <v>0</v>
      </c>
    </row>
    <row r="2056" spans="1:23" x14ac:dyDescent="0.35">
      <c r="A2056" t="s">
        <v>1</v>
      </c>
      <c r="B2056">
        <v>3250</v>
      </c>
      <c r="C2056">
        <v>14</v>
      </c>
      <c r="D2056">
        <v>7</v>
      </c>
      <c r="E2056">
        <v>0</v>
      </c>
      <c r="F2056">
        <v>199563200</v>
      </c>
      <c r="G2056">
        <v>368276.38</v>
      </c>
      <c r="H2056">
        <v>199194923.62</v>
      </c>
      <c r="I2056">
        <v>199194923.62</v>
      </c>
      <c r="J2056">
        <v>0</v>
      </c>
      <c r="K2056">
        <v>0</v>
      </c>
      <c r="M2056" t="s">
        <v>1</v>
      </c>
      <c r="N2056">
        <v>2250</v>
      </c>
      <c r="O2056">
        <v>14</v>
      </c>
      <c r="P2056">
        <v>1</v>
      </c>
      <c r="Q2056">
        <v>0</v>
      </c>
      <c r="R2056">
        <v>27017833</v>
      </c>
      <c r="S2056">
        <v>64071.839999999997</v>
      </c>
      <c r="T2056">
        <v>26953761.16</v>
      </c>
      <c r="U2056">
        <v>26953761.16</v>
      </c>
      <c r="V2056">
        <v>0</v>
      </c>
      <c r="W2056">
        <v>0</v>
      </c>
    </row>
    <row r="2057" spans="1:23" x14ac:dyDescent="0.35">
      <c r="A2057" t="s">
        <v>0</v>
      </c>
      <c r="B2057">
        <v>4250</v>
      </c>
      <c r="C2057">
        <v>14</v>
      </c>
      <c r="D2057">
        <v>728</v>
      </c>
      <c r="E2057">
        <v>0</v>
      </c>
      <c r="F2057">
        <v>24637834615</v>
      </c>
      <c r="G2057">
        <v>36444004.200000003</v>
      </c>
      <c r="H2057">
        <v>24601390610.799999</v>
      </c>
      <c r="I2057">
        <v>24601390610.799999</v>
      </c>
      <c r="J2057">
        <v>0</v>
      </c>
      <c r="K2057">
        <v>0</v>
      </c>
      <c r="M2057" t="s">
        <v>1</v>
      </c>
      <c r="N2057">
        <v>2500</v>
      </c>
      <c r="O2057">
        <v>20</v>
      </c>
      <c r="P2057">
        <v>1</v>
      </c>
      <c r="Q2057">
        <v>0</v>
      </c>
      <c r="R2057">
        <v>56995419</v>
      </c>
      <c r="S2057">
        <v>125141.69</v>
      </c>
      <c r="T2057">
        <v>56870277.310000002</v>
      </c>
      <c r="U2057">
        <v>56870277.310000002</v>
      </c>
      <c r="V2057">
        <v>0</v>
      </c>
      <c r="W2057">
        <v>0</v>
      </c>
    </row>
    <row r="2058" spans="1:23" x14ac:dyDescent="0.35">
      <c r="A2058" t="s">
        <v>1</v>
      </c>
      <c r="B2058">
        <v>4250</v>
      </c>
      <c r="C2058">
        <v>14</v>
      </c>
      <c r="D2058">
        <v>259</v>
      </c>
      <c r="E2058">
        <v>0</v>
      </c>
      <c r="F2058">
        <v>9455109478</v>
      </c>
      <c r="G2058">
        <v>13985428.09</v>
      </c>
      <c r="H2058">
        <v>9415791586.6000004</v>
      </c>
      <c r="I2058">
        <v>9415791586.6000004</v>
      </c>
      <c r="J2058">
        <v>3.1681000000000001E-2</v>
      </c>
      <c r="K2058">
        <v>3.1681000000000001E-2</v>
      </c>
      <c r="M2058" t="s">
        <v>2</v>
      </c>
      <c r="N2058">
        <v>3000</v>
      </c>
      <c r="O2058">
        <v>16</v>
      </c>
      <c r="P2058">
        <v>4</v>
      </c>
      <c r="Q2058">
        <v>0</v>
      </c>
      <c r="R2058">
        <v>92717615</v>
      </c>
      <c r="S2058">
        <v>183976.79</v>
      </c>
      <c r="T2058">
        <v>92533638.209999993</v>
      </c>
      <c r="U2058">
        <v>92533638.209999993</v>
      </c>
      <c r="V2058">
        <v>0</v>
      </c>
      <c r="W2058">
        <v>0</v>
      </c>
    </row>
    <row r="2059" spans="1:23" x14ac:dyDescent="0.35">
      <c r="A2059" t="s">
        <v>2</v>
      </c>
      <c r="B2059">
        <v>3750</v>
      </c>
      <c r="C2059">
        <v>14</v>
      </c>
      <c r="D2059">
        <v>14</v>
      </c>
      <c r="E2059">
        <v>0</v>
      </c>
      <c r="F2059">
        <v>346621687</v>
      </c>
      <c r="G2059">
        <v>559189.65</v>
      </c>
      <c r="H2059">
        <v>346062497.35000002</v>
      </c>
      <c r="I2059">
        <v>346062497.35000002</v>
      </c>
      <c r="J2059">
        <v>0</v>
      </c>
      <c r="K2059">
        <v>0</v>
      </c>
      <c r="M2059" t="s">
        <v>0</v>
      </c>
      <c r="N2059">
        <v>3500</v>
      </c>
      <c r="O2059">
        <v>14</v>
      </c>
      <c r="P2059">
        <v>26</v>
      </c>
      <c r="Q2059">
        <v>0</v>
      </c>
      <c r="R2059">
        <v>906593149</v>
      </c>
      <c r="S2059">
        <v>1521863.6</v>
      </c>
      <c r="T2059">
        <v>905071285.39999998</v>
      </c>
      <c r="U2059">
        <v>905071285.39999998</v>
      </c>
      <c r="V2059">
        <v>0</v>
      </c>
      <c r="W2059">
        <v>0</v>
      </c>
    </row>
    <row r="2060" spans="1:23" x14ac:dyDescent="0.35">
      <c r="A2060" t="s">
        <v>0</v>
      </c>
      <c r="B2060">
        <v>3750</v>
      </c>
      <c r="C2060">
        <v>14</v>
      </c>
      <c r="D2060">
        <v>114</v>
      </c>
      <c r="E2060">
        <v>0</v>
      </c>
      <c r="F2060">
        <v>4061658567</v>
      </c>
      <c r="G2060">
        <v>6514059.96</v>
      </c>
      <c r="H2060">
        <v>4055144507.04</v>
      </c>
      <c r="I2060">
        <v>4055144507.04</v>
      </c>
      <c r="J2060">
        <v>0</v>
      </c>
      <c r="K2060">
        <v>0</v>
      </c>
      <c r="M2060" t="s">
        <v>1</v>
      </c>
      <c r="N2060">
        <v>3500</v>
      </c>
      <c r="O2060">
        <v>14</v>
      </c>
      <c r="P2060">
        <v>27</v>
      </c>
      <c r="Q2060">
        <v>0</v>
      </c>
      <c r="R2060">
        <v>1010357518</v>
      </c>
      <c r="S2060">
        <v>1717205.4</v>
      </c>
      <c r="T2060">
        <v>1008640312.6</v>
      </c>
      <c r="U2060">
        <v>1008640312.6</v>
      </c>
      <c r="V2060">
        <v>0</v>
      </c>
      <c r="W2060">
        <v>0</v>
      </c>
    </row>
    <row r="2061" spans="1:23" x14ac:dyDescent="0.35">
      <c r="A2061" t="s">
        <v>1</v>
      </c>
      <c r="B2061">
        <v>4500</v>
      </c>
      <c r="C2061">
        <v>14</v>
      </c>
      <c r="D2061">
        <v>674</v>
      </c>
      <c r="E2061">
        <v>0</v>
      </c>
      <c r="F2061">
        <v>22856442034</v>
      </c>
      <c r="G2061">
        <v>32346507.18</v>
      </c>
      <c r="H2061">
        <v>22764584124.650002</v>
      </c>
      <c r="I2061">
        <v>22802894056.48</v>
      </c>
      <c r="J2061">
        <v>3.0800999999999999E-2</v>
      </c>
      <c r="K2061">
        <v>1.1075E-2</v>
      </c>
      <c r="M2061" t="s">
        <v>0</v>
      </c>
      <c r="N2061">
        <v>3250</v>
      </c>
      <c r="O2061">
        <v>14</v>
      </c>
      <c r="P2061">
        <v>5</v>
      </c>
      <c r="Q2061">
        <v>0</v>
      </c>
      <c r="R2061">
        <v>146029428</v>
      </c>
      <c r="S2061">
        <v>255015.27</v>
      </c>
      <c r="T2061">
        <v>145774412.72999999</v>
      </c>
      <c r="U2061">
        <v>145774412.72999999</v>
      </c>
      <c r="V2061">
        <v>0</v>
      </c>
      <c r="W2061">
        <v>0</v>
      </c>
    </row>
    <row r="2062" spans="1:23" x14ac:dyDescent="0.35">
      <c r="A2062" t="s">
        <v>2</v>
      </c>
      <c r="B2062">
        <v>4500</v>
      </c>
      <c r="C2062">
        <v>14</v>
      </c>
      <c r="D2062">
        <v>87</v>
      </c>
      <c r="E2062">
        <v>0</v>
      </c>
      <c r="F2062">
        <v>2316213739</v>
      </c>
      <c r="G2062">
        <v>3276528.47</v>
      </c>
      <c r="H2062">
        <v>2312937210.5300002</v>
      </c>
      <c r="I2062">
        <v>2312937210.5300002</v>
      </c>
      <c r="J2062">
        <v>0</v>
      </c>
      <c r="K2062">
        <v>0</v>
      </c>
      <c r="M2062" t="s">
        <v>2</v>
      </c>
      <c r="N2062">
        <v>3500</v>
      </c>
      <c r="O2062">
        <v>14</v>
      </c>
      <c r="P2062">
        <v>8</v>
      </c>
      <c r="Q2062">
        <v>0</v>
      </c>
      <c r="R2062">
        <v>146811346</v>
      </c>
      <c r="S2062">
        <v>248762.05</v>
      </c>
      <c r="T2062">
        <v>146562583.94999999</v>
      </c>
      <c r="U2062">
        <v>146562583.94999999</v>
      </c>
      <c r="V2062">
        <v>0</v>
      </c>
      <c r="W2062">
        <v>0</v>
      </c>
    </row>
    <row r="2063" spans="1:23" x14ac:dyDescent="0.35">
      <c r="A2063" t="s">
        <v>2</v>
      </c>
      <c r="B2063">
        <v>4250</v>
      </c>
      <c r="C2063">
        <v>14</v>
      </c>
      <c r="D2063">
        <v>17</v>
      </c>
      <c r="E2063">
        <v>0</v>
      </c>
      <c r="F2063">
        <v>478806399</v>
      </c>
      <c r="G2063">
        <v>706549.52</v>
      </c>
      <c r="H2063">
        <v>478099849.48000002</v>
      </c>
      <c r="I2063">
        <v>478099849.48000002</v>
      </c>
      <c r="J2063">
        <v>0</v>
      </c>
      <c r="K2063">
        <v>0</v>
      </c>
      <c r="M2063" t="s">
        <v>2</v>
      </c>
      <c r="N2063">
        <v>3250</v>
      </c>
      <c r="O2063">
        <v>16</v>
      </c>
      <c r="P2063">
        <v>4</v>
      </c>
      <c r="Q2063">
        <v>0</v>
      </c>
      <c r="R2063">
        <v>51005793</v>
      </c>
      <c r="S2063">
        <v>92110.33</v>
      </c>
      <c r="T2063">
        <v>50913682.670000002</v>
      </c>
      <c r="U2063">
        <v>50913682.670000002</v>
      </c>
      <c r="V2063">
        <v>0</v>
      </c>
      <c r="W2063">
        <v>0</v>
      </c>
    </row>
    <row r="2064" spans="1:23" x14ac:dyDescent="0.35">
      <c r="A2064" t="s">
        <v>3</v>
      </c>
      <c r="B2064">
        <v>5250</v>
      </c>
      <c r="C2064">
        <v>14</v>
      </c>
      <c r="D2064">
        <v>4</v>
      </c>
      <c r="E2064">
        <v>0</v>
      </c>
      <c r="F2064">
        <v>126094699</v>
      </c>
      <c r="G2064">
        <v>155670.60999999999</v>
      </c>
      <c r="H2064">
        <v>125939028.39</v>
      </c>
      <c r="I2064">
        <v>125939028.39</v>
      </c>
      <c r="J2064">
        <v>0</v>
      </c>
      <c r="K2064">
        <v>0</v>
      </c>
      <c r="M2064" t="s">
        <v>1</v>
      </c>
      <c r="N2064">
        <v>3250</v>
      </c>
      <c r="O2064">
        <v>14</v>
      </c>
      <c r="P2064">
        <v>9</v>
      </c>
      <c r="Q2064">
        <v>0</v>
      </c>
      <c r="R2064">
        <v>184104938</v>
      </c>
      <c r="S2064">
        <v>340503.65</v>
      </c>
      <c r="T2064">
        <v>183764434.34999999</v>
      </c>
      <c r="U2064">
        <v>183764434.34999999</v>
      </c>
      <c r="V2064">
        <v>0</v>
      </c>
      <c r="W2064">
        <v>0</v>
      </c>
    </row>
    <row r="2065" spans="1:23" x14ac:dyDescent="0.35">
      <c r="A2065" t="s">
        <v>0</v>
      </c>
      <c r="B2065">
        <v>8500</v>
      </c>
      <c r="C2065">
        <v>16</v>
      </c>
      <c r="D2065">
        <v>2</v>
      </c>
      <c r="E2065">
        <v>0</v>
      </c>
      <c r="F2065">
        <v>38279697</v>
      </c>
      <c r="G2065">
        <v>26311.61</v>
      </c>
      <c r="H2065">
        <v>38253385.390000001</v>
      </c>
      <c r="I2065">
        <v>38253385.390000001</v>
      </c>
      <c r="J2065">
        <v>0</v>
      </c>
      <c r="K2065">
        <v>0</v>
      </c>
      <c r="M2065" t="s">
        <v>2</v>
      </c>
      <c r="N2065">
        <v>4000</v>
      </c>
      <c r="O2065">
        <v>14</v>
      </c>
      <c r="P2065">
        <v>63</v>
      </c>
      <c r="Q2065">
        <v>0</v>
      </c>
      <c r="R2065">
        <v>1795093554</v>
      </c>
      <c r="S2065">
        <v>2770841</v>
      </c>
      <c r="T2065">
        <v>1792322713</v>
      </c>
      <c r="U2065">
        <v>1792322713</v>
      </c>
      <c r="V2065">
        <v>0</v>
      </c>
      <c r="W2065">
        <v>0</v>
      </c>
    </row>
    <row r="2066" spans="1:23" x14ac:dyDescent="0.35">
      <c r="A2066" t="s">
        <v>0</v>
      </c>
      <c r="B2066">
        <v>9000</v>
      </c>
      <c r="C2066">
        <v>16</v>
      </c>
      <c r="D2066">
        <v>1</v>
      </c>
      <c r="E2066">
        <v>0</v>
      </c>
      <c r="F2066">
        <v>12159072</v>
      </c>
      <c r="G2066">
        <v>7935.09</v>
      </c>
      <c r="H2066">
        <v>12151136.91</v>
      </c>
      <c r="I2066">
        <v>12151136.91</v>
      </c>
      <c r="J2066">
        <v>0</v>
      </c>
      <c r="K2066">
        <v>0</v>
      </c>
      <c r="M2066" t="s">
        <v>0</v>
      </c>
      <c r="N2066">
        <v>4250</v>
      </c>
      <c r="O2066">
        <v>14</v>
      </c>
      <c r="P2066">
        <v>687</v>
      </c>
      <c r="Q2066">
        <v>0</v>
      </c>
      <c r="R2066">
        <v>22805558465</v>
      </c>
      <c r="S2066">
        <v>33747968.520000003</v>
      </c>
      <c r="T2066">
        <v>22771810496.48</v>
      </c>
      <c r="U2066">
        <v>22771810496.48</v>
      </c>
      <c r="V2066">
        <v>0</v>
      </c>
      <c r="W2066">
        <v>0</v>
      </c>
    </row>
    <row r="2067" spans="1:23" x14ac:dyDescent="0.35">
      <c r="A2067" t="s">
        <v>1</v>
      </c>
      <c r="B2067">
        <v>2500</v>
      </c>
      <c r="C2067">
        <v>14</v>
      </c>
      <c r="D2067">
        <v>8</v>
      </c>
      <c r="E2067">
        <v>0</v>
      </c>
      <c r="F2067">
        <v>311653211</v>
      </c>
      <c r="G2067">
        <v>640574.07999999996</v>
      </c>
      <c r="H2067">
        <v>311012636.92000002</v>
      </c>
      <c r="I2067">
        <v>311012636.92000002</v>
      </c>
      <c r="J2067">
        <v>0</v>
      </c>
      <c r="K2067">
        <v>0</v>
      </c>
      <c r="M2067" t="s">
        <v>1</v>
      </c>
      <c r="N2067">
        <v>3750</v>
      </c>
      <c r="O2067">
        <v>14</v>
      </c>
      <c r="P2067">
        <v>64</v>
      </c>
      <c r="Q2067">
        <v>0</v>
      </c>
      <c r="R2067">
        <v>2268638363</v>
      </c>
      <c r="S2067">
        <v>3670421.51</v>
      </c>
      <c r="T2067">
        <v>2264967941.4899998</v>
      </c>
      <c r="U2067">
        <v>2264967941.4899998</v>
      </c>
      <c r="V2067">
        <v>0</v>
      </c>
      <c r="W2067">
        <v>0</v>
      </c>
    </row>
    <row r="2068" spans="1:23" x14ac:dyDescent="0.35">
      <c r="A2068" t="s">
        <v>0</v>
      </c>
      <c r="B2068">
        <v>2500</v>
      </c>
      <c r="C2068">
        <v>14</v>
      </c>
      <c r="D2068">
        <v>6</v>
      </c>
      <c r="E2068">
        <v>0</v>
      </c>
      <c r="F2068">
        <v>132341970</v>
      </c>
      <c r="G2068">
        <v>260568.05</v>
      </c>
      <c r="H2068">
        <v>132081401.95</v>
      </c>
      <c r="I2068">
        <v>132081401.95</v>
      </c>
      <c r="J2068">
        <v>0</v>
      </c>
      <c r="K2068">
        <v>0</v>
      </c>
      <c r="M2068" t="s">
        <v>1</v>
      </c>
      <c r="N2068">
        <v>4250</v>
      </c>
      <c r="O2068">
        <v>14</v>
      </c>
      <c r="P2068">
        <v>263</v>
      </c>
      <c r="Q2068">
        <v>0</v>
      </c>
      <c r="R2068">
        <v>9362207883</v>
      </c>
      <c r="S2068">
        <v>13846446.550000001</v>
      </c>
      <c r="T2068">
        <v>9285271939.1599998</v>
      </c>
      <c r="U2068">
        <v>9299989676.0200005</v>
      </c>
      <c r="V2068">
        <v>7.7934000000000003E-2</v>
      </c>
      <c r="W2068">
        <v>6.0269000000000003E-2</v>
      </c>
    </row>
    <row r="2069" spans="1:23" x14ac:dyDescent="0.35">
      <c r="A2069" t="s">
        <v>2</v>
      </c>
      <c r="B2069">
        <v>2750</v>
      </c>
      <c r="C2069">
        <v>14</v>
      </c>
      <c r="D2069">
        <v>6</v>
      </c>
      <c r="E2069">
        <v>0</v>
      </c>
      <c r="F2069">
        <v>173694733</v>
      </c>
      <c r="G2069">
        <v>337443.86</v>
      </c>
      <c r="H2069">
        <v>173357289.13999999</v>
      </c>
      <c r="I2069">
        <v>173357289.13999999</v>
      </c>
      <c r="J2069">
        <v>0</v>
      </c>
      <c r="K2069">
        <v>0</v>
      </c>
      <c r="M2069" t="s">
        <v>2</v>
      </c>
      <c r="N2069">
        <v>4250</v>
      </c>
      <c r="O2069">
        <v>14</v>
      </c>
      <c r="P2069">
        <v>22</v>
      </c>
      <c r="Q2069">
        <v>0</v>
      </c>
      <c r="R2069">
        <v>589614972</v>
      </c>
      <c r="S2069">
        <v>870454.66</v>
      </c>
      <c r="T2069">
        <v>588744517.34000003</v>
      </c>
      <c r="U2069">
        <v>588744517.34000003</v>
      </c>
      <c r="V2069">
        <v>0</v>
      </c>
      <c r="W2069">
        <v>0</v>
      </c>
    </row>
    <row r="2070" spans="1:23" x14ac:dyDescent="0.35">
      <c r="A2070" t="s">
        <v>2</v>
      </c>
      <c r="B2070">
        <v>2750</v>
      </c>
      <c r="C2070">
        <v>16</v>
      </c>
      <c r="D2070">
        <v>3</v>
      </c>
      <c r="E2070">
        <v>0</v>
      </c>
      <c r="F2070">
        <v>53783496</v>
      </c>
      <c r="G2070">
        <v>102474.09</v>
      </c>
      <c r="H2070">
        <v>53681021.909999996</v>
      </c>
      <c r="I2070">
        <v>53681021.909999996</v>
      </c>
      <c r="J2070">
        <v>0</v>
      </c>
      <c r="K2070">
        <v>0</v>
      </c>
      <c r="M2070" t="s">
        <v>2</v>
      </c>
      <c r="N2070">
        <v>3750</v>
      </c>
      <c r="O2070">
        <v>14</v>
      </c>
      <c r="P2070">
        <v>16</v>
      </c>
      <c r="Q2070">
        <v>0</v>
      </c>
      <c r="R2070">
        <v>375467089</v>
      </c>
      <c r="S2070">
        <v>605644.71</v>
      </c>
      <c r="T2070">
        <v>374861444.29000002</v>
      </c>
      <c r="U2070">
        <v>374861444.29000002</v>
      </c>
      <c r="V2070">
        <v>0</v>
      </c>
      <c r="W2070">
        <v>0</v>
      </c>
    </row>
    <row r="2071" spans="1:23" x14ac:dyDescent="0.35">
      <c r="A2071" t="s">
        <v>1</v>
      </c>
      <c r="B2071">
        <v>2750</v>
      </c>
      <c r="C2071">
        <v>14</v>
      </c>
      <c r="D2071">
        <v>5</v>
      </c>
      <c r="E2071">
        <v>0</v>
      </c>
      <c r="F2071">
        <v>122773962</v>
      </c>
      <c r="G2071">
        <v>262848.93</v>
      </c>
      <c r="H2071">
        <v>122511113.06999999</v>
      </c>
      <c r="I2071">
        <v>122511113.06999999</v>
      </c>
      <c r="J2071">
        <v>0</v>
      </c>
      <c r="K2071">
        <v>0</v>
      </c>
      <c r="M2071" t="s">
        <v>3</v>
      </c>
      <c r="N2071">
        <v>5250</v>
      </c>
      <c r="O2071">
        <v>14</v>
      </c>
      <c r="P2071">
        <v>3</v>
      </c>
      <c r="Q2071">
        <v>0</v>
      </c>
      <c r="R2071">
        <v>63904688</v>
      </c>
      <c r="S2071">
        <v>79019.73</v>
      </c>
      <c r="T2071">
        <v>63825668.270000003</v>
      </c>
      <c r="U2071">
        <v>63825668.270000003</v>
      </c>
      <c r="V2071">
        <v>0</v>
      </c>
      <c r="W2071">
        <v>0</v>
      </c>
    </row>
    <row r="2072" spans="1:23" x14ac:dyDescent="0.35">
      <c r="A2072" t="s">
        <v>0</v>
      </c>
      <c r="B2072">
        <v>3000</v>
      </c>
      <c r="C2072">
        <v>14</v>
      </c>
      <c r="D2072">
        <v>5</v>
      </c>
      <c r="E2072">
        <v>0</v>
      </c>
      <c r="F2072">
        <v>109253738</v>
      </c>
      <c r="G2072">
        <v>201345.57</v>
      </c>
      <c r="H2072">
        <v>109052392.43000001</v>
      </c>
      <c r="I2072">
        <v>109052392.43000001</v>
      </c>
      <c r="J2072">
        <v>0</v>
      </c>
      <c r="K2072">
        <v>0</v>
      </c>
      <c r="M2072" t="s">
        <v>1</v>
      </c>
      <c r="N2072">
        <v>8000</v>
      </c>
      <c r="O2072">
        <v>14</v>
      </c>
      <c r="P2072">
        <v>1</v>
      </c>
      <c r="Q2072">
        <v>0</v>
      </c>
      <c r="R2072">
        <v>22269328</v>
      </c>
      <c r="S2072">
        <v>16561.439999999999</v>
      </c>
      <c r="T2072">
        <v>22252766.559999999</v>
      </c>
      <c r="U2072">
        <v>22252766.559999999</v>
      </c>
      <c r="V2072">
        <v>0</v>
      </c>
      <c r="W2072">
        <v>0</v>
      </c>
    </row>
    <row r="2073" spans="1:23" x14ac:dyDescent="0.35">
      <c r="A2073" t="s">
        <v>0</v>
      </c>
      <c r="B2073">
        <v>2750</v>
      </c>
      <c r="C2073">
        <v>14</v>
      </c>
      <c r="D2073">
        <v>10</v>
      </c>
      <c r="E2073">
        <v>0</v>
      </c>
      <c r="F2073">
        <v>234112255</v>
      </c>
      <c r="G2073">
        <v>443132.72</v>
      </c>
      <c r="H2073">
        <v>233669122.28</v>
      </c>
      <c r="I2073">
        <v>233669122.28</v>
      </c>
      <c r="J2073">
        <v>0</v>
      </c>
      <c r="K2073">
        <v>0</v>
      </c>
      <c r="M2073" t="s">
        <v>2</v>
      </c>
      <c r="N2073">
        <v>2500</v>
      </c>
      <c r="O2073">
        <v>16</v>
      </c>
      <c r="P2073">
        <v>1</v>
      </c>
      <c r="Q2073">
        <v>0</v>
      </c>
      <c r="R2073">
        <v>23008605</v>
      </c>
      <c r="S2073">
        <v>45637.51</v>
      </c>
      <c r="T2073">
        <v>22962967.489999998</v>
      </c>
      <c r="U2073">
        <v>22962967.489999998</v>
      </c>
      <c r="V2073">
        <v>0</v>
      </c>
      <c r="W2073">
        <v>0</v>
      </c>
    </row>
    <row r="2074" spans="1:23" x14ac:dyDescent="0.35">
      <c r="A2074" t="s">
        <v>2</v>
      </c>
      <c r="B2074">
        <v>3000</v>
      </c>
      <c r="C2074">
        <v>14</v>
      </c>
      <c r="D2074">
        <v>5</v>
      </c>
      <c r="E2074">
        <v>0</v>
      </c>
      <c r="F2074">
        <v>81576970</v>
      </c>
      <c r="G2074">
        <v>149221.25</v>
      </c>
      <c r="H2074">
        <v>81427748.75</v>
      </c>
      <c r="I2074">
        <v>81427748.75</v>
      </c>
      <c r="J2074">
        <v>0</v>
      </c>
      <c r="K2074">
        <v>0</v>
      </c>
      <c r="M2074" t="s">
        <v>1</v>
      </c>
      <c r="N2074">
        <v>3000</v>
      </c>
      <c r="O2074">
        <v>14</v>
      </c>
      <c r="P2074">
        <v>2</v>
      </c>
      <c r="Q2074">
        <v>0</v>
      </c>
      <c r="R2074">
        <v>45772225</v>
      </c>
      <c r="S2074">
        <v>98940.34</v>
      </c>
      <c r="T2074">
        <v>45673284.659999996</v>
      </c>
      <c r="U2074">
        <v>45673284.659999996</v>
      </c>
      <c r="V2074">
        <v>0</v>
      </c>
      <c r="W2074">
        <v>0</v>
      </c>
    </row>
    <row r="2075" spans="1:23" x14ac:dyDescent="0.35">
      <c r="A2075" t="s">
        <v>2</v>
      </c>
      <c r="B2075">
        <v>3250</v>
      </c>
      <c r="C2075">
        <v>14</v>
      </c>
      <c r="D2075">
        <v>7</v>
      </c>
      <c r="E2075">
        <v>0</v>
      </c>
      <c r="F2075">
        <v>97414434</v>
      </c>
      <c r="G2075">
        <v>171408.25</v>
      </c>
      <c r="H2075">
        <v>97243025.75</v>
      </c>
      <c r="I2075">
        <v>97243025.75</v>
      </c>
      <c r="J2075">
        <v>0</v>
      </c>
      <c r="K2075">
        <v>0</v>
      </c>
      <c r="M2075" t="s">
        <v>2</v>
      </c>
      <c r="N2075">
        <v>3000</v>
      </c>
      <c r="O2075">
        <v>18</v>
      </c>
      <c r="P2075">
        <v>1</v>
      </c>
      <c r="Q2075">
        <v>0</v>
      </c>
      <c r="R2075">
        <v>20384664</v>
      </c>
      <c r="S2075">
        <v>45023.27</v>
      </c>
      <c r="T2075">
        <v>20339640.73</v>
      </c>
      <c r="U2075">
        <v>20339640.73</v>
      </c>
      <c r="V2075">
        <v>0</v>
      </c>
      <c r="W2075">
        <v>0</v>
      </c>
    </row>
    <row r="2076" spans="1:23" x14ac:dyDescent="0.35">
      <c r="A2076" t="s">
        <v>2</v>
      </c>
      <c r="B2076">
        <v>3500</v>
      </c>
      <c r="C2076">
        <v>14</v>
      </c>
      <c r="D2076">
        <v>7</v>
      </c>
      <c r="E2076">
        <v>0</v>
      </c>
      <c r="F2076">
        <v>99109014</v>
      </c>
      <c r="G2076">
        <v>168554.29</v>
      </c>
      <c r="H2076">
        <v>98940459.709999993</v>
      </c>
      <c r="I2076">
        <v>98940459.709999993</v>
      </c>
      <c r="J2076">
        <v>0</v>
      </c>
      <c r="K2076">
        <v>0</v>
      </c>
      <c r="M2076" t="s">
        <v>1</v>
      </c>
      <c r="N2076">
        <v>2750</v>
      </c>
      <c r="O2076">
        <v>14</v>
      </c>
      <c r="P2076">
        <v>2</v>
      </c>
      <c r="Q2076">
        <v>0</v>
      </c>
      <c r="R2076">
        <v>62400936</v>
      </c>
      <c r="S2076">
        <v>135606.89000000001</v>
      </c>
      <c r="T2076">
        <v>62265329.109999999</v>
      </c>
      <c r="U2076">
        <v>62265329.109999999</v>
      </c>
      <c r="V2076">
        <v>0</v>
      </c>
      <c r="W2076">
        <v>0</v>
      </c>
    </row>
    <row r="2077" spans="1:23" x14ac:dyDescent="0.35">
      <c r="A2077" t="s">
        <v>1</v>
      </c>
      <c r="B2077">
        <v>8000</v>
      </c>
      <c r="C2077">
        <v>14</v>
      </c>
      <c r="D2077">
        <v>4</v>
      </c>
      <c r="E2077">
        <v>0</v>
      </c>
      <c r="F2077">
        <v>149677486</v>
      </c>
      <c r="G2077">
        <v>110494.57</v>
      </c>
      <c r="H2077">
        <v>149566991.43000001</v>
      </c>
      <c r="I2077">
        <v>149566991.43000001</v>
      </c>
      <c r="J2077">
        <v>0</v>
      </c>
      <c r="K2077">
        <v>0</v>
      </c>
      <c r="M2077" t="s">
        <v>0</v>
      </c>
      <c r="N2077">
        <v>3000</v>
      </c>
      <c r="O2077">
        <v>14</v>
      </c>
      <c r="P2077">
        <v>1</v>
      </c>
      <c r="Q2077">
        <v>0</v>
      </c>
      <c r="R2077">
        <v>31925736</v>
      </c>
      <c r="S2077">
        <v>58154.91</v>
      </c>
      <c r="T2077">
        <v>31867581.09</v>
      </c>
      <c r="U2077">
        <v>31867581.09</v>
      </c>
      <c r="V2077">
        <v>0</v>
      </c>
      <c r="W2077">
        <v>0</v>
      </c>
    </row>
    <row r="2078" spans="1:23" x14ac:dyDescent="0.35">
      <c r="A2078" t="s">
        <v>1</v>
      </c>
      <c r="B2078">
        <v>2250</v>
      </c>
      <c r="C2078">
        <v>12</v>
      </c>
      <c r="D2078">
        <v>4</v>
      </c>
      <c r="E2078">
        <v>0</v>
      </c>
      <c r="F2078">
        <v>148795809</v>
      </c>
      <c r="G2078">
        <v>348299.16</v>
      </c>
      <c r="H2078">
        <v>148447509.84</v>
      </c>
      <c r="I2078">
        <v>148447509.84</v>
      </c>
      <c r="J2078">
        <v>0</v>
      </c>
      <c r="K2078">
        <v>0</v>
      </c>
      <c r="M2078" t="s">
        <v>2</v>
      </c>
      <c r="N2078">
        <v>3250</v>
      </c>
      <c r="O2078">
        <v>14</v>
      </c>
      <c r="P2078">
        <v>4</v>
      </c>
      <c r="Q2078">
        <v>0</v>
      </c>
      <c r="R2078">
        <v>74440584</v>
      </c>
      <c r="S2078">
        <v>130847.43</v>
      </c>
      <c r="T2078">
        <v>74309736.569999993</v>
      </c>
      <c r="U2078">
        <v>74309736.569999993</v>
      </c>
      <c r="V2078">
        <v>0</v>
      </c>
      <c r="W2078">
        <v>0</v>
      </c>
    </row>
    <row r="2079" spans="1:23" x14ac:dyDescent="0.35">
      <c r="A2079" t="s">
        <v>1</v>
      </c>
      <c r="B2079">
        <v>2250</v>
      </c>
      <c r="C2079">
        <v>14</v>
      </c>
      <c r="D2079">
        <v>1</v>
      </c>
      <c r="E2079">
        <v>0</v>
      </c>
      <c r="F2079">
        <v>32951388</v>
      </c>
      <c r="G2079">
        <v>75874.929999999993</v>
      </c>
      <c r="H2079">
        <v>32875513.07</v>
      </c>
      <c r="I2079">
        <v>32875513.07</v>
      </c>
      <c r="J2079">
        <v>0</v>
      </c>
      <c r="K2079">
        <v>0</v>
      </c>
      <c r="M2079" t="s">
        <v>0</v>
      </c>
      <c r="N2079">
        <v>8500</v>
      </c>
      <c r="O2079">
        <v>14</v>
      </c>
      <c r="P2079">
        <v>2</v>
      </c>
      <c r="Q2079">
        <v>0</v>
      </c>
      <c r="R2079">
        <v>38305915</v>
      </c>
      <c r="S2079">
        <v>26127.81</v>
      </c>
      <c r="T2079">
        <v>38279787.189999998</v>
      </c>
      <c r="U2079">
        <v>38279787.189999998</v>
      </c>
      <c r="V2079">
        <v>0</v>
      </c>
      <c r="W2079">
        <v>0</v>
      </c>
    </row>
    <row r="2080" spans="1:23" x14ac:dyDescent="0.35">
      <c r="A2080" t="s">
        <v>2</v>
      </c>
      <c r="B2080">
        <v>2250</v>
      </c>
      <c r="C2080">
        <v>14</v>
      </c>
      <c r="D2080">
        <v>1</v>
      </c>
      <c r="E2080">
        <v>0</v>
      </c>
      <c r="F2080">
        <v>19045873</v>
      </c>
      <c r="G2080">
        <v>43673.19</v>
      </c>
      <c r="H2080">
        <v>19002199.809999999</v>
      </c>
      <c r="I2080">
        <v>19002199.809999999</v>
      </c>
      <c r="J2080">
        <v>0</v>
      </c>
      <c r="K2080">
        <v>0</v>
      </c>
      <c r="M2080" t="s">
        <v>0</v>
      </c>
      <c r="N2080">
        <v>9000</v>
      </c>
      <c r="O2080">
        <v>16</v>
      </c>
      <c r="P2080">
        <v>1</v>
      </c>
      <c r="Q2080">
        <v>0</v>
      </c>
      <c r="R2080">
        <v>12159072</v>
      </c>
      <c r="S2080">
        <v>7872.54</v>
      </c>
      <c r="T2080">
        <v>12151199.460000001</v>
      </c>
      <c r="U2080">
        <v>12151199.460000001</v>
      </c>
      <c r="V2080">
        <v>0</v>
      </c>
      <c r="W2080">
        <v>0</v>
      </c>
    </row>
    <row r="2081" spans="1:23" x14ac:dyDescent="0.35">
      <c r="A2081" t="s">
        <v>0</v>
      </c>
      <c r="B2081">
        <v>3250</v>
      </c>
      <c r="C2081">
        <v>12</v>
      </c>
      <c r="D2081">
        <v>13</v>
      </c>
      <c r="E2081">
        <v>0</v>
      </c>
      <c r="F2081">
        <v>313418951</v>
      </c>
      <c r="G2081">
        <v>545137.32999999996</v>
      </c>
      <c r="H2081">
        <v>312873813.67000002</v>
      </c>
      <c r="I2081">
        <v>312873813.67000002</v>
      </c>
      <c r="J2081">
        <v>0</v>
      </c>
      <c r="K2081">
        <v>0</v>
      </c>
      <c r="M2081" t="s">
        <v>1</v>
      </c>
      <c r="N2081">
        <v>4500</v>
      </c>
      <c r="O2081">
        <v>12</v>
      </c>
      <c r="P2081">
        <v>626</v>
      </c>
      <c r="Q2081">
        <v>0</v>
      </c>
      <c r="R2081">
        <v>22480330084</v>
      </c>
      <c r="S2081">
        <v>31510637.07</v>
      </c>
      <c r="T2081">
        <v>22399994803.349998</v>
      </c>
      <c r="U2081">
        <v>22423996648.900002</v>
      </c>
      <c r="V2081">
        <v>2.5753999999999999E-2</v>
      </c>
      <c r="W2081">
        <v>1.3169999999999999E-2</v>
      </c>
    </row>
    <row r="2082" spans="1:23" x14ac:dyDescent="0.35">
      <c r="A2082" t="s">
        <v>0</v>
      </c>
      <c r="B2082">
        <v>2750</v>
      </c>
      <c r="C2082">
        <v>12</v>
      </c>
      <c r="D2082">
        <v>3</v>
      </c>
      <c r="E2082">
        <v>0</v>
      </c>
      <c r="F2082">
        <v>66697777</v>
      </c>
      <c r="G2082">
        <v>125496.03</v>
      </c>
      <c r="H2082">
        <v>66572280.969999999</v>
      </c>
      <c r="I2082">
        <v>66572280.969999999</v>
      </c>
      <c r="J2082">
        <v>0</v>
      </c>
      <c r="K2082">
        <v>0</v>
      </c>
      <c r="M2082" t="s">
        <v>1</v>
      </c>
      <c r="N2082">
        <v>2500</v>
      </c>
      <c r="O2082">
        <v>12</v>
      </c>
      <c r="P2082">
        <v>7</v>
      </c>
      <c r="Q2082">
        <v>0</v>
      </c>
      <c r="R2082">
        <v>281551729</v>
      </c>
      <c r="S2082">
        <v>568606.63</v>
      </c>
      <c r="T2082">
        <v>280983122.37</v>
      </c>
      <c r="U2082">
        <v>280983122.37</v>
      </c>
      <c r="V2082">
        <v>0</v>
      </c>
      <c r="W2082">
        <v>0</v>
      </c>
    </row>
    <row r="2083" spans="1:23" x14ac:dyDescent="0.35">
      <c r="A2083" t="s">
        <v>0</v>
      </c>
      <c r="B2083">
        <v>3000</v>
      </c>
      <c r="C2083">
        <v>12</v>
      </c>
      <c r="D2083">
        <v>5</v>
      </c>
      <c r="E2083">
        <v>0</v>
      </c>
      <c r="F2083">
        <v>155639869</v>
      </c>
      <c r="G2083">
        <v>284993.19</v>
      </c>
      <c r="H2083">
        <v>155354875.81</v>
      </c>
      <c r="I2083">
        <v>155354875.81</v>
      </c>
      <c r="J2083">
        <v>0</v>
      </c>
      <c r="K2083">
        <v>0</v>
      </c>
      <c r="M2083" t="s">
        <v>0</v>
      </c>
      <c r="N2083">
        <v>2500</v>
      </c>
      <c r="O2083">
        <v>14</v>
      </c>
      <c r="P2083">
        <v>1</v>
      </c>
      <c r="Q2083">
        <v>0</v>
      </c>
      <c r="R2083">
        <v>16032225</v>
      </c>
      <c r="S2083">
        <v>31543.05</v>
      </c>
      <c r="T2083">
        <v>16000681.949999999</v>
      </c>
      <c r="U2083">
        <v>16000681.949999999</v>
      </c>
      <c r="V2083">
        <v>0</v>
      </c>
      <c r="W2083">
        <v>0</v>
      </c>
    </row>
    <row r="2084" spans="1:23" x14ac:dyDescent="0.35">
      <c r="A2084" t="s">
        <v>1</v>
      </c>
      <c r="B2084">
        <v>2750</v>
      </c>
      <c r="C2084">
        <v>12</v>
      </c>
      <c r="D2084">
        <v>3</v>
      </c>
      <c r="E2084">
        <v>0</v>
      </c>
      <c r="F2084">
        <v>53419102</v>
      </c>
      <c r="G2084">
        <v>112421.59</v>
      </c>
      <c r="H2084">
        <v>53306680.409999996</v>
      </c>
      <c r="I2084">
        <v>53306680.409999996</v>
      </c>
      <c r="J2084">
        <v>0</v>
      </c>
      <c r="K2084">
        <v>0</v>
      </c>
      <c r="M2084" t="s">
        <v>0</v>
      </c>
      <c r="N2084">
        <v>2500</v>
      </c>
      <c r="O2084">
        <v>12</v>
      </c>
      <c r="P2084">
        <v>6</v>
      </c>
      <c r="Q2084">
        <v>0</v>
      </c>
      <c r="R2084">
        <v>141096054</v>
      </c>
      <c r="S2084">
        <v>276350.01</v>
      </c>
      <c r="T2084">
        <v>140819703.99000001</v>
      </c>
      <c r="U2084">
        <v>140819703.99000001</v>
      </c>
      <c r="V2084">
        <v>0</v>
      </c>
      <c r="W2084">
        <v>0</v>
      </c>
    </row>
    <row r="2085" spans="1:23" x14ac:dyDescent="0.35">
      <c r="A2085" t="s">
        <v>0</v>
      </c>
      <c r="B2085">
        <v>3500</v>
      </c>
      <c r="C2085">
        <v>12</v>
      </c>
      <c r="D2085">
        <v>42</v>
      </c>
      <c r="E2085">
        <v>0</v>
      </c>
      <c r="F2085">
        <v>1338937120</v>
      </c>
      <c r="G2085">
        <v>2223675.0699999998</v>
      </c>
      <c r="H2085">
        <v>1336713444.9300001</v>
      </c>
      <c r="I2085">
        <v>1336713444.9300001</v>
      </c>
      <c r="J2085">
        <v>0</v>
      </c>
      <c r="K2085">
        <v>0</v>
      </c>
      <c r="M2085" t="s">
        <v>2</v>
      </c>
      <c r="N2085">
        <v>2750</v>
      </c>
      <c r="O2085">
        <v>14</v>
      </c>
      <c r="P2085">
        <v>8</v>
      </c>
      <c r="Q2085">
        <v>0</v>
      </c>
      <c r="R2085">
        <v>204787512</v>
      </c>
      <c r="S2085">
        <v>395397.72</v>
      </c>
      <c r="T2085">
        <v>204392114.28</v>
      </c>
      <c r="U2085">
        <v>204392114.28</v>
      </c>
      <c r="V2085">
        <v>0</v>
      </c>
      <c r="W2085">
        <v>0</v>
      </c>
    </row>
    <row r="2086" spans="1:23" x14ac:dyDescent="0.35">
      <c r="A2086" t="s">
        <v>1</v>
      </c>
      <c r="B2086">
        <v>3750</v>
      </c>
      <c r="C2086">
        <v>12</v>
      </c>
      <c r="D2086">
        <v>108</v>
      </c>
      <c r="E2086">
        <v>0</v>
      </c>
      <c r="F2086">
        <v>4183366884</v>
      </c>
      <c r="G2086">
        <v>6660269.75</v>
      </c>
      <c r="H2086">
        <v>4176706614.25</v>
      </c>
      <c r="I2086">
        <v>4176706614.25</v>
      </c>
      <c r="J2086">
        <v>0</v>
      </c>
      <c r="K2086">
        <v>0</v>
      </c>
      <c r="M2086" t="s">
        <v>1</v>
      </c>
      <c r="N2086">
        <v>2500</v>
      </c>
      <c r="O2086">
        <v>14</v>
      </c>
      <c r="P2086">
        <v>1</v>
      </c>
      <c r="Q2086">
        <v>0</v>
      </c>
      <c r="R2086">
        <v>30617378</v>
      </c>
      <c r="S2086">
        <v>70381.289999999994</v>
      </c>
      <c r="T2086">
        <v>30546996.710000001</v>
      </c>
      <c r="U2086">
        <v>30546996.710000001</v>
      </c>
      <c r="V2086">
        <v>0</v>
      </c>
      <c r="W2086">
        <v>0</v>
      </c>
    </row>
    <row r="2087" spans="1:23" x14ac:dyDescent="0.35">
      <c r="A2087" t="s">
        <v>0</v>
      </c>
      <c r="B2087">
        <v>3750</v>
      </c>
      <c r="C2087">
        <v>12</v>
      </c>
      <c r="D2087">
        <v>314</v>
      </c>
      <c r="E2087">
        <v>0</v>
      </c>
      <c r="F2087">
        <v>11659565726</v>
      </c>
      <c r="G2087">
        <v>18524560.109999999</v>
      </c>
      <c r="H2087">
        <v>11641041165.889999</v>
      </c>
      <c r="I2087">
        <v>11641041165.889999</v>
      </c>
      <c r="J2087">
        <v>0</v>
      </c>
      <c r="K2087">
        <v>0</v>
      </c>
      <c r="M2087" t="s">
        <v>0</v>
      </c>
      <c r="N2087">
        <v>3000</v>
      </c>
      <c r="O2087">
        <v>12</v>
      </c>
      <c r="P2087">
        <v>10</v>
      </c>
      <c r="Q2087">
        <v>0</v>
      </c>
      <c r="R2087">
        <v>265459254</v>
      </c>
      <c r="S2087">
        <v>485309.75</v>
      </c>
      <c r="T2087">
        <v>264973944.25</v>
      </c>
      <c r="U2087">
        <v>264973944.25</v>
      </c>
      <c r="V2087">
        <v>0</v>
      </c>
      <c r="W2087">
        <v>0</v>
      </c>
    </row>
    <row r="2088" spans="1:23" x14ac:dyDescent="0.35">
      <c r="A2088" t="s">
        <v>2</v>
      </c>
      <c r="B2088">
        <v>3750</v>
      </c>
      <c r="C2088">
        <v>12</v>
      </c>
      <c r="D2088">
        <v>13</v>
      </c>
      <c r="E2088">
        <v>0</v>
      </c>
      <c r="F2088">
        <v>318838304</v>
      </c>
      <c r="G2088">
        <v>509930.94</v>
      </c>
      <c r="H2088">
        <v>318328373.06</v>
      </c>
      <c r="I2088">
        <v>318328373.06</v>
      </c>
      <c r="J2088">
        <v>0</v>
      </c>
      <c r="K2088">
        <v>0</v>
      </c>
      <c r="M2088" t="s">
        <v>0</v>
      </c>
      <c r="N2088">
        <v>3250</v>
      </c>
      <c r="O2088">
        <v>12</v>
      </c>
      <c r="P2088">
        <v>17</v>
      </c>
      <c r="Q2088">
        <v>0</v>
      </c>
      <c r="R2088">
        <v>366965630</v>
      </c>
      <c r="S2088">
        <v>637371.15</v>
      </c>
      <c r="T2088">
        <v>345443998.10000002</v>
      </c>
      <c r="U2088">
        <v>366328258.85000002</v>
      </c>
      <c r="V2088">
        <v>0.50496700000000005</v>
      </c>
      <c r="W2088">
        <v>0</v>
      </c>
    </row>
    <row r="2089" spans="1:23" x14ac:dyDescent="0.35">
      <c r="A2089" t="s">
        <v>1</v>
      </c>
      <c r="B2089">
        <v>3500</v>
      </c>
      <c r="C2089">
        <v>12</v>
      </c>
      <c r="D2089">
        <v>12</v>
      </c>
      <c r="E2089">
        <v>0</v>
      </c>
      <c r="F2089">
        <v>445003545</v>
      </c>
      <c r="G2089">
        <v>762915.69</v>
      </c>
      <c r="H2089">
        <v>444240629.31</v>
      </c>
      <c r="I2089">
        <v>444240629.31</v>
      </c>
      <c r="J2089">
        <v>0</v>
      </c>
      <c r="K2089">
        <v>0</v>
      </c>
      <c r="M2089" t="s">
        <v>0</v>
      </c>
      <c r="N2089">
        <v>2750</v>
      </c>
      <c r="O2089">
        <v>12</v>
      </c>
      <c r="P2089">
        <v>12</v>
      </c>
      <c r="Q2089">
        <v>0</v>
      </c>
      <c r="R2089">
        <v>273895079</v>
      </c>
      <c r="S2089">
        <v>515621.47</v>
      </c>
      <c r="T2089">
        <v>273379457.52999997</v>
      </c>
      <c r="U2089">
        <v>273379457.52999997</v>
      </c>
      <c r="V2089">
        <v>0</v>
      </c>
      <c r="W2089">
        <v>0</v>
      </c>
    </row>
    <row r="2090" spans="1:23" x14ac:dyDescent="0.35">
      <c r="A2090" t="s">
        <v>2</v>
      </c>
      <c r="B2090">
        <v>4000</v>
      </c>
      <c r="C2090">
        <v>12</v>
      </c>
      <c r="D2090">
        <v>117</v>
      </c>
      <c r="E2090">
        <v>0</v>
      </c>
      <c r="F2090">
        <v>3375897724</v>
      </c>
      <c r="G2090">
        <v>5147923.6100000003</v>
      </c>
      <c r="H2090">
        <v>3370749800.3899999</v>
      </c>
      <c r="I2090">
        <v>3370749800.3899999</v>
      </c>
      <c r="J2090">
        <v>0</v>
      </c>
      <c r="K2090">
        <v>0</v>
      </c>
      <c r="M2090" t="s">
        <v>2</v>
      </c>
      <c r="N2090">
        <v>3000</v>
      </c>
      <c r="O2090">
        <v>14</v>
      </c>
      <c r="P2090">
        <v>4</v>
      </c>
      <c r="Q2090">
        <v>0</v>
      </c>
      <c r="R2090">
        <v>57908316</v>
      </c>
      <c r="S2090">
        <v>106343.45</v>
      </c>
      <c r="T2090">
        <v>57801972.549999997</v>
      </c>
      <c r="U2090">
        <v>57801972.549999997</v>
      </c>
      <c r="V2090">
        <v>0</v>
      </c>
      <c r="W2090">
        <v>0</v>
      </c>
    </row>
    <row r="2091" spans="1:23" x14ac:dyDescent="0.35">
      <c r="A2091" t="s">
        <v>2</v>
      </c>
      <c r="B2091">
        <v>4250</v>
      </c>
      <c r="C2091">
        <v>12</v>
      </c>
      <c r="D2091">
        <v>22</v>
      </c>
      <c r="E2091">
        <v>0</v>
      </c>
      <c r="F2091">
        <v>569319204</v>
      </c>
      <c r="G2091">
        <v>839082.72</v>
      </c>
      <c r="H2091">
        <v>568480121.27999997</v>
      </c>
      <c r="I2091">
        <v>568480121.27999997</v>
      </c>
      <c r="J2091">
        <v>0</v>
      </c>
      <c r="K2091">
        <v>0</v>
      </c>
      <c r="M2091" t="s">
        <v>1</v>
      </c>
      <c r="N2091">
        <v>3250</v>
      </c>
      <c r="O2091">
        <v>12</v>
      </c>
      <c r="P2091">
        <v>9</v>
      </c>
      <c r="Q2091">
        <v>0</v>
      </c>
      <c r="R2091">
        <v>283646766</v>
      </c>
      <c r="S2091">
        <v>523340.09</v>
      </c>
      <c r="T2091">
        <v>283123425.91000003</v>
      </c>
      <c r="U2091">
        <v>283123425.91000003</v>
      </c>
      <c r="V2091">
        <v>0</v>
      </c>
      <c r="W2091">
        <v>0</v>
      </c>
    </row>
    <row r="2092" spans="1:23" x14ac:dyDescent="0.35">
      <c r="A2092" t="s">
        <v>0</v>
      </c>
      <c r="B2092">
        <v>4500</v>
      </c>
      <c r="C2092">
        <v>12</v>
      </c>
      <c r="D2092">
        <v>2012</v>
      </c>
      <c r="E2092">
        <v>0</v>
      </c>
      <c r="F2092">
        <v>67436646293</v>
      </c>
      <c r="G2092">
        <v>94416519.230000004</v>
      </c>
      <c r="H2092">
        <v>67342229773.769997</v>
      </c>
      <c r="I2092">
        <v>67342229773.769997</v>
      </c>
      <c r="J2092">
        <v>0</v>
      </c>
      <c r="K2092">
        <v>0</v>
      </c>
      <c r="M2092" t="s">
        <v>1</v>
      </c>
      <c r="N2092">
        <v>2750</v>
      </c>
      <c r="O2092">
        <v>12</v>
      </c>
      <c r="P2092">
        <v>5</v>
      </c>
      <c r="Q2092">
        <v>0</v>
      </c>
      <c r="R2092">
        <v>121242383</v>
      </c>
      <c r="S2092">
        <v>255670.62</v>
      </c>
      <c r="T2092">
        <v>120986712.38</v>
      </c>
      <c r="U2092">
        <v>120986712.38</v>
      </c>
      <c r="V2092">
        <v>0</v>
      </c>
      <c r="W2092">
        <v>0</v>
      </c>
    </row>
    <row r="2093" spans="1:23" x14ac:dyDescent="0.35">
      <c r="A2093" t="s">
        <v>1</v>
      </c>
      <c r="B2093">
        <v>4500</v>
      </c>
      <c r="C2093">
        <v>12</v>
      </c>
      <c r="D2093">
        <v>669</v>
      </c>
      <c r="E2093">
        <v>0</v>
      </c>
      <c r="F2093">
        <v>24824315086</v>
      </c>
      <c r="G2093">
        <v>34790098.880000003</v>
      </c>
      <c r="H2093">
        <v>24668302144.540001</v>
      </c>
      <c r="I2093">
        <v>24789524987.119999</v>
      </c>
      <c r="J2093">
        <v>5.7049999999999997E-2</v>
      </c>
      <c r="K2093">
        <v>0</v>
      </c>
      <c r="M2093" t="s">
        <v>0</v>
      </c>
      <c r="N2093">
        <v>3500</v>
      </c>
      <c r="O2093">
        <v>12</v>
      </c>
      <c r="P2093">
        <v>25</v>
      </c>
      <c r="Q2093">
        <v>0</v>
      </c>
      <c r="R2093">
        <v>779415420</v>
      </c>
      <c r="S2093">
        <v>1294584.06</v>
      </c>
      <c r="T2093">
        <v>778120835.94000006</v>
      </c>
      <c r="U2093">
        <v>778120835.94000006</v>
      </c>
      <c r="V2093">
        <v>0</v>
      </c>
      <c r="W2093">
        <v>0</v>
      </c>
    </row>
    <row r="2094" spans="1:23" x14ac:dyDescent="0.35">
      <c r="A2094" t="s">
        <v>2</v>
      </c>
      <c r="B2094">
        <v>4500</v>
      </c>
      <c r="C2094">
        <v>12</v>
      </c>
      <c r="D2094">
        <v>54</v>
      </c>
      <c r="E2094">
        <v>0</v>
      </c>
      <c r="F2094">
        <v>1508461334</v>
      </c>
      <c r="G2094">
        <v>2112089.5</v>
      </c>
      <c r="H2094">
        <v>1506349244.5</v>
      </c>
      <c r="I2094">
        <v>1506349244.5</v>
      </c>
      <c r="J2094">
        <v>0</v>
      </c>
      <c r="K2094">
        <v>0</v>
      </c>
      <c r="M2094" t="s">
        <v>1</v>
      </c>
      <c r="N2094">
        <v>3750</v>
      </c>
      <c r="O2094">
        <v>12</v>
      </c>
      <c r="P2094">
        <v>64</v>
      </c>
      <c r="Q2094">
        <v>0</v>
      </c>
      <c r="R2094">
        <v>2553494744</v>
      </c>
      <c r="S2094">
        <v>4105637.05</v>
      </c>
      <c r="T2094">
        <v>2549389106.9499998</v>
      </c>
      <c r="U2094">
        <v>2549389106.9499998</v>
      </c>
      <c r="V2094">
        <v>0</v>
      </c>
      <c r="W2094">
        <v>0</v>
      </c>
    </row>
    <row r="2095" spans="1:23" x14ac:dyDescent="0.35">
      <c r="A2095" t="s">
        <v>3</v>
      </c>
      <c r="B2095">
        <v>5250</v>
      </c>
      <c r="C2095">
        <v>12</v>
      </c>
      <c r="D2095">
        <v>3</v>
      </c>
      <c r="E2095">
        <v>0</v>
      </c>
      <c r="F2095">
        <v>66254934</v>
      </c>
      <c r="G2095">
        <v>81867.839999999997</v>
      </c>
      <c r="H2095">
        <v>66173066.159999996</v>
      </c>
      <c r="I2095">
        <v>66173066.159999996</v>
      </c>
      <c r="J2095">
        <v>0</v>
      </c>
      <c r="K2095">
        <v>0</v>
      </c>
      <c r="M2095" t="s">
        <v>0</v>
      </c>
      <c r="N2095">
        <v>3750</v>
      </c>
      <c r="O2095">
        <v>12</v>
      </c>
      <c r="P2095">
        <v>175</v>
      </c>
      <c r="Q2095">
        <v>0</v>
      </c>
      <c r="R2095">
        <v>6688974856</v>
      </c>
      <c r="S2095">
        <v>10628820.42</v>
      </c>
      <c r="T2095">
        <v>6678346035.5799999</v>
      </c>
      <c r="U2095">
        <v>6678346035.5799999</v>
      </c>
      <c r="V2095">
        <v>0</v>
      </c>
      <c r="W2095">
        <v>0</v>
      </c>
    </row>
    <row r="2096" spans="1:23" x14ac:dyDescent="0.35">
      <c r="A2096" t="s">
        <v>3</v>
      </c>
      <c r="B2096">
        <v>7500</v>
      </c>
      <c r="C2096">
        <v>12</v>
      </c>
      <c r="D2096">
        <v>1</v>
      </c>
      <c r="E2096">
        <v>0</v>
      </c>
      <c r="F2096">
        <v>27358853</v>
      </c>
      <c r="G2096">
        <v>22619.81</v>
      </c>
      <c r="H2096">
        <v>27336233.190000001</v>
      </c>
      <c r="I2096">
        <v>27336233.190000001</v>
      </c>
      <c r="J2096">
        <v>0</v>
      </c>
      <c r="K2096">
        <v>0</v>
      </c>
      <c r="M2096" t="s">
        <v>0</v>
      </c>
      <c r="N2096">
        <v>4250</v>
      </c>
      <c r="O2096">
        <v>12</v>
      </c>
      <c r="P2096">
        <v>663</v>
      </c>
      <c r="Q2096">
        <v>0</v>
      </c>
      <c r="R2096">
        <v>22414849011</v>
      </c>
      <c r="S2096">
        <v>32779280.57</v>
      </c>
      <c r="T2096">
        <v>22382069730.43</v>
      </c>
      <c r="U2096">
        <v>22382069730.43</v>
      </c>
      <c r="V2096">
        <v>0</v>
      </c>
      <c r="W2096">
        <v>0</v>
      </c>
    </row>
    <row r="2097" spans="1:23" x14ac:dyDescent="0.35">
      <c r="A2097" t="s">
        <v>0</v>
      </c>
      <c r="B2097">
        <v>9000</v>
      </c>
      <c r="C2097">
        <v>14</v>
      </c>
      <c r="D2097">
        <v>1</v>
      </c>
      <c r="E2097">
        <v>0</v>
      </c>
      <c r="F2097">
        <v>16544128</v>
      </c>
      <c r="G2097">
        <v>10368.200000000001</v>
      </c>
      <c r="H2097">
        <v>16533759.800000001</v>
      </c>
      <c r="I2097">
        <v>16533759.800000001</v>
      </c>
      <c r="J2097">
        <v>0</v>
      </c>
      <c r="K2097">
        <v>0</v>
      </c>
      <c r="M2097" t="s">
        <v>1</v>
      </c>
      <c r="N2097">
        <v>4250</v>
      </c>
      <c r="O2097">
        <v>12</v>
      </c>
      <c r="P2097">
        <v>244</v>
      </c>
      <c r="Q2097">
        <v>0</v>
      </c>
      <c r="R2097">
        <v>9161020944</v>
      </c>
      <c r="S2097">
        <v>13401025.91</v>
      </c>
      <c r="T2097">
        <v>9147619918.0900002</v>
      </c>
      <c r="U2097">
        <v>9147619918.0900002</v>
      </c>
      <c r="V2097">
        <v>0</v>
      </c>
      <c r="W2097">
        <v>0</v>
      </c>
    </row>
    <row r="2098" spans="1:23" x14ac:dyDescent="0.35">
      <c r="A2098" t="s">
        <v>1</v>
      </c>
      <c r="B2098">
        <v>2500</v>
      </c>
      <c r="C2098">
        <v>12</v>
      </c>
      <c r="D2098">
        <v>1</v>
      </c>
      <c r="E2098">
        <v>0</v>
      </c>
      <c r="F2098">
        <v>11805132</v>
      </c>
      <c r="G2098">
        <v>26822.57</v>
      </c>
      <c r="H2098">
        <v>11778309.43</v>
      </c>
      <c r="I2098">
        <v>11778309.43</v>
      </c>
      <c r="J2098">
        <v>0</v>
      </c>
      <c r="K2098">
        <v>0</v>
      </c>
      <c r="M2098" t="s">
        <v>2</v>
      </c>
      <c r="N2098">
        <v>3750</v>
      </c>
      <c r="O2098">
        <v>12</v>
      </c>
      <c r="P2098">
        <v>9</v>
      </c>
      <c r="Q2098">
        <v>0</v>
      </c>
      <c r="R2098">
        <v>213548748</v>
      </c>
      <c r="S2098">
        <v>339747.18</v>
      </c>
      <c r="T2098">
        <v>213209000.81999999</v>
      </c>
      <c r="U2098">
        <v>213209000.81999999</v>
      </c>
      <c r="V2098">
        <v>0</v>
      </c>
      <c r="W2098">
        <v>0</v>
      </c>
    </row>
    <row r="2099" spans="1:23" x14ac:dyDescent="0.35">
      <c r="A2099" t="s">
        <v>2</v>
      </c>
      <c r="B2099">
        <v>3250</v>
      </c>
      <c r="C2099">
        <v>12</v>
      </c>
      <c r="D2099">
        <v>5</v>
      </c>
      <c r="E2099">
        <v>0</v>
      </c>
      <c r="F2099">
        <v>89077667</v>
      </c>
      <c r="G2099">
        <v>160971.16</v>
      </c>
      <c r="H2099">
        <v>88916695.840000004</v>
      </c>
      <c r="I2099">
        <v>88916695.840000004</v>
      </c>
      <c r="J2099">
        <v>0</v>
      </c>
      <c r="K2099">
        <v>0</v>
      </c>
      <c r="M2099" t="s">
        <v>2</v>
      </c>
      <c r="N2099">
        <v>4250</v>
      </c>
      <c r="O2099">
        <v>12</v>
      </c>
      <c r="P2099">
        <v>19</v>
      </c>
      <c r="Q2099">
        <v>0</v>
      </c>
      <c r="R2099">
        <v>512868224</v>
      </c>
      <c r="S2099">
        <v>754170.84</v>
      </c>
      <c r="T2099">
        <v>512114053.16000003</v>
      </c>
      <c r="U2099">
        <v>512114053.16000003</v>
      </c>
      <c r="V2099">
        <v>0</v>
      </c>
      <c r="W2099">
        <v>0</v>
      </c>
    </row>
    <row r="2100" spans="1:23" x14ac:dyDescent="0.35">
      <c r="A2100" t="s">
        <v>1</v>
      </c>
      <c r="B2100">
        <v>3250</v>
      </c>
      <c r="C2100">
        <v>12</v>
      </c>
      <c r="D2100">
        <v>15</v>
      </c>
      <c r="E2100">
        <v>0</v>
      </c>
      <c r="F2100">
        <v>418911667</v>
      </c>
      <c r="G2100">
        <v>766976.72</v>
      </c>
      <c r="H2100">
        <v>418144690.27999997</v>
      </c>
      <c r="I2100">
        <v>418144690.27999997</v>
      </c>
      <c r="J2100">
        <v>0</v>
      </c>
      <c r="K2100">
        <v>0</v>
      </c>
      <c r="M2100" t="s">
        <v>2</v>
      </c>
      <c r="N2100">
        <v>4500</v>
      </c>
      <c r="O2100">
        <v>12</v>
      </c>
      <c r="P2100">
        <v>61</v>
      </c>
      <c r="Q2100">
        <v>0</v>
      </c>
      <c r="R2100">
        <v>1632202076</v>
      </c>
      <c r="S2100">
        <v>2288638.46</v>
      </c>
      <c r="T2100">
        <v>1629913437.54</v>
      </c>
      <c r="U2100">
        <v>1629913437.54</v>
      </c>
      <c r="V2100">
        <v>0</v>
      </c>
      <c r="W2100">
        <v>0</v>
      </c>
    </row>
    <row r="2101" spans="1:23" x14ac:dyDescent="0.35">
      <c r="A2101" t="s">
        <v>1</v>
      </c>
      <c r="B2101">
        <v>3000</v>
      </c>
      <c r="C2101">
        <v>12</v>
      </c>
      <c r="D2101">
        <v>4</v>
      </c>
      <c r="E2101">
        <v>0</v>
      </c>
      <c r="F2101">
        <v>135766057</v>
      </c>
      <c r="G2101">
        <v>280042.33</v>
      </c>
      <c r="H2101">
        <v>135486014.66999999</v>
      </c>
      <c r="I2101">
        <v>135486014.66999999</v>
      </c>
      <c r="J2101">
        <v>0</v>
      </c>
      <c r="K2101">
        <v>0</v>
      </c>
      <c r="M2101" t="s">
        <v>3</v>
      </c>
      <c r="N2101">
        <v>5250</v>
      </c>
      <c r="O2101">
        <v>12</v>
      </c>
      <c r="P2101">
        <v>4</v>
      </c>
      <c r="Q2101">
        <v>0</v>
      </c>
      <c r="R2101">
        <v>127506890</v>
      </c>
      <c r="S2101">
        <v>156983.75</v>
      </c>
      <c r="T2101">
        <v>127349906.25</v>
      </c>
      <c r="U2101">
        <v>127349906.25</v>
      </c>
      <c r="V2101">
        <v>0</v>
      </c>
      <c r="W2101">
        <v>0</v>
      </c>
    </row>
    <row r="2102" spans="1:23" x14ac:dyDescent="0.35">
      <c r="A2102" t="s">
        <v>0</v>
      </c>
      <c r="B2102">
        <v>3000</v>
      </c>
      <c r="C2102">
        <v>20</v>
      </c>
      <c r="D2102">
        <v>1</v>
      </c>
      <c r="E2102">
        <v>0</v>
      </c>
      <c r="F2102">
        <v>16342364</v>
      </c>
      <c r="G2102">
        <v>30554.09</v>
      </c>
      <c r="H2102">
        <v>16311809.91</v>
      </c>
      <c r="I2102">
        <v>16311809.91</v>
      </c>
      <c r="J2102">
        <v>0</v>
      </c>
      <c r="K2102">
        <v>0</v>
      </c>
      <c r="M2102" t="s">
        <v>1</v>
      </c>
      <c r="N2102">
        <v>8000</v>
      </c>
      <c r="O2102">
        <v>12</v>
      </c>
      <c r="P2102">
        <v>6</v>
      </c>
      <c r="Q2102">
        <v>0</v>
      </c>
      <c r="R2102">
        <v>208690584</v>
      </c>
      <c r="S2102">
        <v>152646.24</v>
      </c>
      <c r="T2102">
        <v>208537937.75999999</v>
      </c>
      <c r="U2102">
        <v>208537937.75999999</v>
      </c>
      <c r="V2102">
        <v>0</v>
      </c>
      <c r="W2102">
        <v>0</v>
      </c>
    </row>
    <row r="2103" spans="1:23" x14ac:dyDescent="0.35">
      <c r="A2103" t="s">
        <v>2</v>
      </c>
      <c r="B2103">
        <v>3500</v>
      </c>
      <c r="C2103">
        <v>12</v>
      </c>
      <c r="D2103">
        <v>13</v>
      </c>
      <c r="E2103">
        <v>0</v>
      </c>
      <c r="F2103">
        <v>310087144</v>
      </c>
      <c r="G2103">
        <v>515806.88</v>
      </c>
      <c r="H2103">
        <v>309571337.12</v>
      </c>
      <c r="I2103">
        <v>309571337.12</v>
      </c>
      <c r="J2103">
        <v>0</v>
      </c>
      <c r="K2103">
        <v>0</v>
      </c>
      <c r="M2103" t="s">
        <v>1</v>
      </c>
      <c r="N2103">
        <v>2250</v>
      </c>
      <c r="O2103">
        <v>12</v>
      </c>
      <c r="P2103">
        <v>4</v>
      </c>
      <c r="Q2103">
        <v>0</v>
      </c>
      <c r="R2103">
        <v>124983331</v>
      </c>
      <c r="S2103">
        <v>292794.46999999997</v>
      </c>
      <c r="T2103">
        <v>124690536.53</v>
      </c>
      <c r="U2103">
        <v>124690536.53</v>
      </c>
      <c r="V2103">
        <v>0</v>
      </c>
      <c r="W2103">
        <v>0</v>
      </c>
    </row>
    <row r="2104" spans="1:23" x14ac:dyDescent="0.35">
      <c r="A2104" t="s">
        <v>0</v>
      </c>
      <c r="B2104">
        <v>2500</v>
      </c>
      <c r="C2104">
        <v>12</v>
      </c>
      <c r="D2104">
        <v>1</v>
      </c>
      <c r="E2104">
        <v>0</v>
      </c>
      <c r="F2104">
        <v>24516207</v>
      </c>
      <c r="G2104">
        <v>48040.49</v>
      </c>
      <c r="H2104">
        <v>24468166.510000002</v>
      </c>
      <c r="I2104">
        <v>24468166.510000002</v>
      </c>
      <c r="J2104">
        <v>0</v>
      </c>
      <c r="K2104">
        <v>0</v>
      </c>
      <c r="M2104" t="s">
        <v>2</v>
      </c>
      <c r="N2104">
        <v>2250</v>
      </c>
      <c r="O2104">
        <v>12</v>
      </c>
      <c r="P2104">
        <v>1</v>
      </c>
      <c r="Q2104">
        <v>0</v>
      </c>
      <c r="R2104">
        <v>19002740</v>
      </c>
      <c r="S2104">
        <v>43393.42</v>
      </c>
      <c r="T2104">
        <v>18959346.579999998</v>
      </c>
      <c r="U2104">
        <v>18959346.579999998</v>
      </c>
      <c r="V2104">
        <v>0</v>
      </c>
      <c r="W2104">
        <v>0</v>
      </c>
    </row>
    <row r="2105" spans="1:23" x14ac:dyDescent="0.35">
      <c r="A2105" t="s">
        <v>1</v>
      </c>
      <c r="B2105">
        <v>2500</v>
      </c>
      <c r="C2105">
        <v>10</v>
      </c>
      <c r="D2105">
        <v>6</v>
      </c>
      <c r="E2105">
        <v>0</v>
      </c>
      <c r="F2105">
        <v>201366321</v>
      </c>
      <c r="G2105">
        <v>391417.22</v>
      </c>
      <c r="H2105">
        <v>200974903.78</v>
      </c>
      <c r="I2105">
        <v>200974903.78</v>
      </c>
      <c r="J2105">
        <v>0</v>
      </c>
      <c r="K2105">
        <v>0</v>
      </c>
      <c r="M2105" t="s">
        <v>1</v>
      </c>
      <c r="N2105">
        <v>3000</v>
      </c>
      <c r="O2105">
        <v>12</v>
      </c>
      <c r="P2105">
        <v>8</v>
      </c>
      <c r="Q2105">
        <v>0</v>
      </c>
      <c r="R2105">
        <v>230596517</v>
      </c>
      <c r="S2105">
        <v>477993.76</v>
      </c>
      <c r="T2105">
        <v>230118523.24000001</v>
      </c>
      <c r="U2105">
        <v>230118523.24000001</v>
      </c>
      <c r="V2105">
        <v>0</v>
      </c>
      <c r="W2105">
        <v>0</v>
      </c>
    </row>
    <row r="2106" spans="1:23" x14ac:dyDescent="0.35">
      <c r="A2106" t="s">
        <v>2</v>
      </c>
      <c r="B2106">
        <v>3000</v>
      </c>
      <c r="C2106">
        <v>12</v>
      </c>
      <c r="D2106">
        <v>6</v>
      </c>
      <c r="E2106">
        <v>0</v>
      </c>
      <c r="F2106">
        <v>140637284</v>
      </c>
      <c r="G2106">
        <v>264007.46000000002</v>
      </c>
      <c r="H2106">
        <v>140373276.53999999</v>
      </c>
      <c r="I2106">
        <v>140373276.53999999</v>
      </c>
      <c r="J2106">
        <v>0</v>
      </c>
      <c r="K2106">
        <v>0</v>
      </c>
      <c r="M2106" t="s">
        <v>2</v>
      </c>
      <c r="N2106">
        <v>3250</v>
      </c>
      <c r="O2106">
        <v>12</v>
      </c>
      <c r="P2106">
        <v>7</v>
      </c>
      <c r="Q2106">
        <v>0</v>
      </c>
      <c r="R2106">
        <v>109092544</v>
      </c>
      <c r="S2106">
        <v>195743.35999999999</v>
      </c>
      <c r="T2106">
        <v>108896800.64</v>
      </c>
      <c r="U2106">
        <v>108896800.64</v>
      </c>
      <c r="V2106">
        <v>0</v>
      </c>
      <c r="W2106">
        <v>0</v>
      </c>
    </row>
    <row r="2107" spans="1:23" x14ac:dyDescent="0.35">
      <c r="A2107" t="s">
        <v>1</v>
      </c>
      <c r="B2107">
        <v>3500</v>
      </c>
      <c r="C2107">
        <v>10</v>
      </c>
      <c r="D2107">
        <v>9</v>
      </c>
      <c r="E2107">
        <v>0</v>
      </c>
      <c r="F2107">
        <v>339778219</v>
      </c>
      <c r="G2107">
        <v>572303.22</v>
      </c>
      <c r="H2107">
        <v>339205915.77999997</v>
      </c>
      <c r="I2107">
        <v>339205915.77999997</v>
      </c>
      <c r="J2107">
        <v>0</v>
      </c>
      <c r="K2107">
        <v>0</v>
      </c>
      <c r="M2107" t="s">
        <v>2</v>
      </c>
      <c r="N2107">
        <v>3000</v>
      </c>
      <c r="O2107">
        <v>12</v>
      </c>
      <c r="P2107">
        <v>3</v>
      </c>
      <c r="Q2107">
        <v>0</v>
      </c>
      <c r="R2107">
        <v>52199724</v>
      </c>
      <c r="S2107">
        <v>94787.18</v>
      </c>
      <c r="T2107">
        <v>52104936.82</v>
      </c>
      <c r="U2107">
        <v>52104936.82</v>
      </c>
      <c r="V2107">
        <v>0</v>
      </c>
      <c r="W2107">
        <v>0</v>
      </c>
    </row>
    <row r="2108" spans="1:23" x14ac:dyDescent="0.35">
      <c r="A2108" t="s">
        <v>0</v>
      </c>
      <c r="B2108">
        <v>3750</v>
      </c>
      <c r="C2108">
        <v>10</v>
      </c>
      <c r="D2108">
        <v>80</v>
      </c>
      <c r="E2108">
        <v>0</v>
      </c>
      <c r="F2108">
        <v>2609171222</v>
      </c>
      <c r="G2108">
        <v>4118033.14</v>
      </c>
      <c r="H2108">
        <v>2605053188.8600001</v>
      </c>
      <c r="I2108">
        <v>2605053188.8600001</v>
      </c>
      <c r="J2108">
        <v>0</v>
      </c>
      <c r="K2108">
        <v>0</v>
      </c>
      <c r="M2108" t="s">
        <v>1</v>
      </c>
      <c r="N2108">
        <v>3500</v>
      </c>
      <c r="O2108">
        <v>12</v>
      </c>
      <c r="P2108">
        <v>6</v>
      </c>
      <c r="Q2108">
        <v>0</v>
      </c>
      <c r="R2108">
        <v>181758896</v>
      </c>
      <c r="S2108">
        <v>316181.25</v>
      </c>
      <c r="T2108">
        <v>181442714.75</v>
      </c>
      <c r="U2108">
        <v>181442714.75</v>
      </c>
      <c r="V2108">
        <v>0</v>
      </c>
      <c r="W2108">
        <v>0</v>
      </c>
    </row>
    <row r="2109" spans="1:23" x14ac:dyDescent="0.35">
      <c r="A2109" t="s">
        <v>0</v>
      </c>
      <c r="B2109">
        <v>3500</v>
      </c>
      <c r="C2109">
        <v>10</v>
      </c>
      <c r="D2109">
        <v>12</v>
      </c>
      <c r="E2109">
        <v>0</v>
      </c>
      <c r="F2109">
        <v>418553030</v>
      </c>
      <c r="G2109">
        <v>691482.62</v>
      </c>
      <c r="H2109">
        <v>417861547.38</v>
      </c>
      <c r="I2109">
        <v>417861547.38</v>
      </c>
      <c r="J2109">
        <v>0</v>
      </c>
      <c r="K2109">
        <v>0</v>
      </c>
      <c r="M2109" t="s">
        <v>2</v>
      </c>
      <c r="N2109">
        <v>3500</v>
      </c>
      <c r="O2109">
        <v>12</v>
      </c>
      <c r="P2109">
        <v>6</v>
      </c>
      <c r="Q2109">
        <v>0</v>
      </c>
      <c r="R2109">
        <v>102818443</v>
      </c>
      <c r="S2109">
        <v>171181.08</v>
      </c>
      <c r="T2109">
        <v>102647261.92</v>
      </c>
      <c r="U2109">
        <v>102647261.92</v>
      </c>
      <c r="V2109">
        <v>0</v>
      </c>
      <c r="W2109">
        <v>0</v>
      </c>
    </row>
    <row r="2110" spans="1:23" x14ac:dyDescent="0.35">
      <c r="A2110" t="s">
        <v>1</v>
      </c>
      <c r="B2110">
        <v>3750</v>
      </c>
      <c r="C2110">
        <v>10</v>
      </c>
      <c r="D2110">
        <v>28</v>
      </c>
      <c r="E2110">
        <v>0</v>
      </c>
      <c r="F2110">
        <v>1059131178</v>
      </c>
      <c r="G2110">
        <v>1671303.5</v>
      </c>
      <c r="H2110">
        <v>1057459874.5</v>
      </c>
      <c r="I2110">
        <v>1057459874.5</v>
      </c>
      <c r="J2110">
        <v>0</v>
      </c>
      <c r="K2110">
        <v>0</v>
      </c>
      <c r="M2110" t="s">
        <v>3</v>
      </c>
      <c r="N2110">
        <v>7500</v>
      </c>
      <c r="O2110">
        <v>12</v>
      </c>
      <c r="P2110">
        <v>1</v>
      </c>
      <c r="Q2110">
        <v>0</v>
      </c>
      <c r="R2110">
        <v>27381504</v>
      </c>
      <c r="S2110">
        <v>22481.78</v>
      </c>
      <c r="T2110">
        <v>27359022.219999999</v>
      </c>
      <c r="U2110">
        <v>27359022.219999999</v>
      </c>
      <c r="V2110">
        <v>0</v>
      </c>
      <c r="W2110">
        <v>0</v>
      </c>
    </row>
    <row r="2111" spans="1:23" x14ac:dyDescent="0.35">
      <c r="A2111" t="s">
        <v>2</v>
      </c>
      <c r="B2111">
        <v>3750</v>
      </c>
      <c r="C2111">
        <v>10</v>
      </c>
      <c r="D2111">
        <v>7</v>
      </c>
      <c r="E2111">
        <v>0</v>
      </c>
      <c r="F2111">
        <v>202973872</v>
      </c>
      <c r="G2111">
        <v>322963.15999999997</v>
      </c>
      <c r="H2111">
        <v>202650908.84</v>
      </c>
      <c r="I2111">
        <v>202650908.84</v>
      </c>
      <c r="J2111">
        <v>0</v>
      </c>
      <c r="K2111">
        <v>0</v>
      </c>
      <c r="M2111" t="s">
        <v>0</v>
      </c>
      <c r="N2111">
        <v>9000</v>
      </c>
      <c r="O2111">
        <v>14</v>
      </c>
      <c r="P2111">
        <v>1</v>
      </c>
      <c r="Q2111">
        <v>0</v>
      </c>
      <c r="R2111">
        <v>16564801</v>
      </c>
      <c r="S2111">
        <v>10298.540000000001</v>
      </c>
      <c r="T2111">
        <v>16554502.460000001</v>
      </c>
      <c r="U2111">
        <v>16554502.460000001</v>
      </c>
      <c r="V2111">
        <v>0</v>
      </c>
      <c r="W2111">
        <v>0</v>
      </c>
    </row>
    <row r="2112" spans="1:23" x14ac:dyDescent="0.35">
      <c r="A2112" t="s">
        <v>1</v>
      </c>
      <c r="B2112">
        <v>3250</v>
      </c>
      <c r="C2112">
        <v>10</v>
      </c>
      <c r="D2112">
        <v>4</v>
      </c>
      <c r="E2112">
        <v>0</v>
      </c>
      <c r="F2112">
        <v>154170515</v>
      </c>
      <c r="G2112">
        <v>264767.74</v>
      </c>
      <c r="H2112">
        <v>153905747.25999999</v>
      </c>
      <c r="I2112">
        <v>153905747.25999999</v>
      </c>
      <c r="J2112">
        <v>0</v>
      </c>
      <c r="K2112">
        <v>0</v>
      </c>
      <c r="M2112" t="s">
        <v>1</v>
      </c>
      <c r="N2112">
        <v>2250</v>
      </c>
      <c r="O2112">
        <v>10</v>
      </c>
      <c r="P2112">
        <v>1</v>
      </c>
      <c r="Q2112">
        <v>0</v>
      </c>
      <c r="R2112">
        <v>57094899</v>
      </c>
      <c r="S2112">
        <v>130378.19</v>
      </c>
      <c r="T2112">
        <v>56964520.810000002</v>
      </c>
      <c r="U2112">
        <v>56964520.810000002</v>
      </c>
      <c r="V2112">
        <v>0</v>
      </c>
      <c r="W2112">
        <v>0</v>
      </c>
    </row>
    <row r="2113" spans="1:23" x14ac:dyDescent="0.35">
      <c r="A2113" t="s">
        <v>0</v>
      </c>
      <c r="B2113">
        <v>3250</v>
      </c>
      <c r="C2113">
        <v>10</v>
      </c>
      <c r="D2113">
        <v>2</v>
      </c>
      <c r="E2113">
        <v>0</v>
      </c>
      <c r="F2113">
        <v>56337273</v>
      </c>
      <c r="G2113">
        <v>96751.91</v>
      </c>
      <c r="H2113">
        <v>56240521.090000004</v>
      </c>
      <c r="I2113">
        <v>56240521.090000004</v>
      </c>
      <c r="J2113">
        <v>0</v>
      </c>
      <c r="K2113">
        <v>0</v>
      </c>
      <c r="M2113" t="s">
        <v>1</v>
      </c>
      <c r="N2113">
        <v>2500</v>
      </c>
      <c r="O2113">
        <v>10</v>
      </c>
      <c r="P2113">
        <v>1</v>
      </c>
      <c r="Q2113">
        <v>0</v>
      </c>
      <c r="R2113">
        <v>11831783</v>
      </c>
      <c r="S2113">
        <v>26766.77</v>
      </c>
      <c r="T2113">
        <v>11805016.23</v>
      </c>
      <c r="U2113">
        <v>11805016.23</v>
      </c>
      <c r="V2113">
        <v>0</v>
      </c>
      <c r="W2113">
        <v>0</v>
      </c>
    </row>
    <row r="2114" spans="1:23" x14ac:dyDescent="0.35">
      <c r="A2114" t="s">
        <v>2</v>
      </c>
      <c r="B2114">
        <v>4000</v>
      </c>
      <c r="C2114">
        <v>10</v>
      </c>
      <c r="D2114">
        <v>56</v>
      </c>
      <c r="E2114">
        <v>0</v>
      </c>
      <c r="F2114">
        <v>1650905893</v>
      </c>
      <c r="G2114">
        <v>2500998.67</v>
      </c>
      <c r="H2114">
        <v>1648404894.3299999</v>
      </c>
      <c r="I2114">
        <v>1648404894.3299999</v>
      </c>
      <c r="J2114">
        <v>0</v>
      </c>
      <c r="K2114">
        <v>0</v>
      </c>
      <c r="M2114" t="s">
        <v>2</v>
      </c>
      <c r="N2114">
        <v>2750</v>
      </c>
      <c r="O2114">
        <v>12</v>
      </c>
      <c r="P2114">
        <v>1</v>
      </c>
      <c r="Q2114">
        <v>0</v>
      </c>
      <c r="R2114">
        <v>22986504</v>
      </c>
      <c r="S2114">
        <v>43250.54</v>
      </c>
      <c r="T2114">
        <v>22943253.460000001</v>
      </c>
      <c r="U2114">
        <v>22943253.460000001</v>
      </c>
      <c r="V2114">
        <v>0</v>
      </c>
      <c r="W2114">
        <v>0</v>
      </c>
    </row>
    <row r="2115" spans="1:23" x14ac:dyDescent="0.35">
      <c r="A2115" t="s">
        <v>2</v>
      </c>
      <c r="B2115">
        <v>4250</v>
      </c>
      <c r="C2115">
        <v>10</v>
      </c>
      <c r="D2115">
        <v>14</v>
      </c>
      <c r="E2115">
        <v>0</v>
      </c>
      <c r="F2115">
        <v>415054989</v>
      </c>
      <c r="G2115">
        <v>602711.43999999994</v>
      </c>
      <c r="H2115">
        <v>414452277.56</v>
      </c>
      <c r="I2115">
        <v>414452277.56</v>
      </c>
      <c r="J2115">
        <v>0</v>
      </c>
      <c r="K2115">
        <v>0</v>
      </c>
      <c r="M2115" t="s">
        <v>1</v>
      </c>
      <c r="N2115">
        <v>3000</v>
      </c>
      <c r="O2115">
        <v>10</v>
      </c>
      <c r="P2115">
        <v>1</v>
      </c>
      <c r="Q2115">
        <v>0</v>
      </c>
      <c r="R2115">
        <v>33995785</v>
      </c>
      <c r="S2115">
        <v>70213.7</v>
      </c>
      <c r="T2115">
        <v>33925571.299999997</v>
      </c>
      <c r="U2115">
        <v>33925571.299999997</v>
      </c>
      <c r="V2115">
        <v>0</v>
      </c>
      <c r="W2115">
        <v>0</v>
      </c>
    </row>
    <row r="2116" spans="1:23" x14ac:dyDescent="0.35">
      <c r="A2116" t="s">
        <v>0</v>
      </c>
      <c r="B2116">
        <v>4500</v>
      </c>
      <c r="C2116">
        <v>10</v>
      </c>
      <c r="D2116">
        <v>742</v>
      </c>
      <c r="E2116">
        <v>0</v>
      </c>
      <c r="F2116">
        <v>25978860690</v>
      </c>
      <c r="G2116">
        <v>36072610.759999998</v>
      </c>
      <c r="H2116">
        <v>25942788079.240002</v>
      </c>
      <c r="I2116">
        <v>25942788079.240002</v>
      </c>
      <c r="J2116">
        <v>0</v>
      </c>
      <c r="K2116">
        <v>0</v>
      </c>
      <c r="M2116" t="s">
        <v>0</v>
      </c>
      <c r="N2116">
        <v>3000</v>
      </c>
      <c r="O2116">
        <v>20</v>
      </c>
      <c r="P2116">
        <v>1</v>
      </c>
      <c r="Q2116">
        <v>0</v>
      </c>
      <c r="R2116">
        <v>16403244</v>
      </c>
      <c r="S2116">
        <v>30534.49</v>
      </c>
      <c r="T2116">
        <v>16372709.51</v>
      </c>
      <c r="U2116">
        <v>16372709.51</v>
      </c>
      <c r="V2116">
        <v>0</v>
      </c>
      <c r="W2116">
        <v>0</v>
      </c>
    </row>
    <row r="2117" spans="1:23" x14ac:dyDescent="0.35">
      <c r="A2117" t="s">
        <v>1</v>
      </c>
      <c r="B2117">
        <v>4500</v>
      </c>
      <c r="C2117">
        <v>10</v>
      </c>
      <c r="D2117">
        <v>320</v>
      </c>
      <c r="E2117">
        <v>0</v>
      </c>
      <c r="F2117">
        <v>12115268945</v>
      </c>
      <c r="G2117">
        <v>16826569.420000002</v>
      </c>
      <c r="H2117">
        <v>12043241342.73</v>
      </c>
      <c r="I2117">
        <v>12043241342.73</v>
      </c>
      <c r="J2117">
        <v>5.3325999999999998E-2</v>
      </c>
      <c r="K2117">
        <v>5.3325999999999998E-2</v>
      </c>
      <c r="M2117" t="s">
        <v>1</v>
      </c>
      <c r="N2117">
        <v>3750</v>
      </c>
      <c r="O2117">
        <v>10</v>
      </c>
      <c r="P2117">
        <v>65</v>
      </c>
      <c r="Q2117">
        <v>0</v>
      </c>
      <c r="R2117">
        <v>2504214274</v>
      </c>
      <c r="S2117">
        <v>3954065.14</v>
      </c>
      <c r="T2117">
        <v>2500260208.8600001</v>
      </c>
      <c r="U2117">
        <v>2500260208.8600001</v>
      </c>
      <c r="V2117">
        <v>0</v>
      </c>
      <c r="W2117">
        <v>0</v>
      </c>
    </row>
    <row r="2118" spans="1:23" x14ac:dyDescent="0.35">
      <c r="A2118" t="s">
        <v>2</v>
      </c>
      <c r="B2118">
        <v>4500</v>
      </c>
      <c r="C2118">
        <v>10</v>
      </c>
      <c r="D2118">
        <v>19</v>
      </c>
      <c r="E2118">
        <v>0</v>
      </c>
      <c r="F2118">
        <v>509786025</v>
      </c>
      <c r="G2118">
        <v>707933.46</v>
      </c>
      <c r="H2118">
        <v>509078091.54000002</v>
      </c>
      <c r="I2118">
        <v>509078091.54000002</v>
      </c>
      <c r="J2118">
        <v>0</v>
      </c>
      <c r="K2118">
        <v>0</v>
      </c>
      <c r="M2118" t="s">
        <v>1</v>
      </c>
      <c r="N2118">
        <v>3250</v>
      </c>
      <c r="O2118">
        <v>10</v>
      </c>
      <c r="P2118">
        <v>9</v>
      </c>
      <c r="Q2118">
        <v>0</v>
      </c>
      <c r="R2118">
        <v>260236106</v>
      </c>
      <c r="S2118">
        <v>463962.06</v>
      </c>
      <c r="T2118">
        <v>259772143.94</v>
      </c>
      <c r="U2118">
        <v>259772143.94</v>
      </c>
      <c r="V2118">
        <v>0</v>
      </c>
      <c r="W2118">
        <v>0</v>
      </c>
    </row>
    <row r="2119" spans="1:23" x14ac:dyDescent="0.35">
      <c r="A2119" t="s">
        <v>3</v>
      </c>
      <c r="B2119">
        <v>5500</v>
      </c>
      <c r="C2119">
        <v>10</v>
      </c>
      <c r="D2119">
        <v>2</v>
      </c>
      <c r="E2119">
        <v>0</v>
      </c>
      <c r="F2119">
        <v>41165145</v>
      </c>
      <c r="G2119">
        <v>48282.32</v>
      </c>
      <c r="H2119">
        <v>41116862.68</v>
      </c>
      <c r="I2119">
        <v>41116862.68</v>
      </c>
      <c r="J2119">
        <v>0</v>
      </c>
      <c r="K2119">
        <v>0</v>
      </c>
      <c r="M2119" t="s">
        <v>1</v>
      </c>
      <c r="N2119">
        <v>3500</v>
      </c>
      <c r="O2119">
        <v>10</v>
      </c>
      <c r="P2119">
        <v>9</v>
      </c>
      <c r="Q2119">
        <v>0</v>
      </c>
      <c r="R2119">
        <v>335356878</v>
      </c>
      <c r="S2119">
        <v>570124.93000000005</v>
      </c>
      <c r="T2119">
        <v>334786753.06999999</v>
      </c>
      <c r="U2119">
        <v>334786753.06999999</v>
      </c>
      <c r="V2119">
        <v>0</v>
      </c>
      <c r="W2119">
        <v>0</v>
      </c>
    </row>
    <row r="2120" spans="1:23" x14ac:dyDescent="0.35">
      <c r="A2120" t="s">
        <v>3</v>
      </c>
      <c r="B2120">
        <v>5250</v>
      </c>
      <c r="C2120">
        <v>10</v>
      </c>
      <c r="D2120">
        <v>1</v>
      </c>
      <c r="E2120">
        <v>0</v>
      </c>
      <c r="F2120">
        <v>35091218</v>
      </c>
      <c r="G2120">
        <v>42544.71</v>
      </c>
      <c r="H2120">
        <v>35048673.289999999</v>
      </c>
      <c r="I2120">
        <v>35048673.289999999</v>
      </c>
      <c r="J2120">
        <v>0</v>
      </c>
      <c r="K2120">
        <v>0</v>
      </c>
      <c r="M2120" t="s">
        <v>0</v>
      </c>
      <c r="N2120">
        <v>3750</v>
      </c>
      <c r="O2120">
        <v>10</v>
      </c>
      <c r="P2120">
        <v>202</v>
      </c>
      <c r="Q2120">
        <v>0</v>
      </c>
      <c r="R2120">
        <v>7407925956</v>
      </c>
      <c r="S2120">
        <v>11692242.91</v>
      </c>
      <c r="T2120">
        <v>7396233713.0900002</v>
      </c>
      <c r="U2120">
        <v>7396233713.0900002</v>
      </c>
      <c r="V2120">
        <v>0</v>
      </c>
      <c r="W2120">
        <v>0</v>
      </c>
    </row>
    <row r="2121" spans="1:23" x14ac:dyDescent="0.35">
      <c r="A2121" t="s">
        <v>1</v>
      </c>
      <c r="B2121">
        <v>2500</v>
      </c>
      <c r="C2121">
        <v>9</v>
      </c>
      <c r="D2121">
        <v>12</v>
      </c>
      <c r="E2121">
        <v>0</v>
      </c>
      <c r="F2121">
        <v>353333358</v>
      </c>
      <c r="G2121">
        <v>695658.7</v>
      </c>
      <c r="H2121">
        <v>342600923.29000002</v>
      </c>
      <c r="I2121">
        <v>352637699.30000001</v>
      </c>
      <c r="J2121">
        <v>0.29235100000000003</v>
      </c>
      <c r="K2121">
        <v>0</v>
      </c>
      <c r="M2121" t="s">
        <v>2</v>
      </c>
      <c r="N2121">
        <v>4000</v>
      </c>
      <c r="O2121">
        <v>10</v>
      </c>
      <c r="P2121">
        <v>69</v>
      </c>
      <c r="Q2121">
        <v>0</v>
      </c>
      <c r="R2121">
        <v>2021948198</v>
      </c>
      <c r="S2121">
        <v>3062844.86</v>
      </c>
      <c r="T2121">
        <v>2018885353.1400001</v>
      </c>
      <c r="U2121">
        <v>2018885353.1400001</v>
      </c>
      <c r="V2121">
        <v>0</v>
      </c>
      <c r="W2121">
        <v>0</v>
      </c>
    </row>
    <row r="2122" spans="1:23" x14ac:dyDescent="0.35">
      <c r="A2122" t="s">
        <v>1</v>
      </c>
      <c r="B2122">
        <v>2750</v>
      </c>
      <c r="C2122">
        <v>10</v>
      </c>
      <c r="D2122">
        <v>1</v>
      </c>
      <c r="E2122">
        <v>0</v>
      </c>
      <c r="F2122">
        <v>21934993</v>
      </c>
      <c r="G2122">
        <v>44933.68</v>
      </c>
      <c r="H2122">
        <v>21890059.32</v>
      </c>
      <c r="I2122">
        <v>21890059.32</v>
      </c>
      <c r="J2122">
        <v>0</v>
      </c>
      <c r="K2122">
        <v>0</v>
      </c>
      <c r="M2122" t="s">
        <v>2</v>
      </c>
      <c r="N2122">
        <v>4250</v>
      </c>
      <c r="O2122">
        <v>10</v>
      </c>
      <c r="P2122">
        <v>10</v>
      </c>
      <c r="Q2122">
        <v>0</v>
      </c>
      <c r="R2122">
        <v>267911795</v>
      </c>
      <c r="S2122">
        <v>389922.08</v>
      </c>
      <c r="T2122">
        <v>267521872.91999999</v>
      </c>
      <c r="U2122">
        <v>267521872.91999999</v>
      </c>
      <c r="V2122">
        <v>0</v>
      </c>
      <c r="W2122">
        <v>0</v>
      </c>
    </row>
    <row r="2123" spans="1:23" x14ac:dyDescent="0.35">
      <c r="A2123" t="s">
        <v>1</v>
      </c>
      <c r="B2123">
        <v>3000</v>
      </c>
      <c r="C2123">
        <v>10</v>
      </c>
      <c r="D2123">
        <v>2</v>
      </c>
      <c r="E2123">
        <v>0</v>
      </c>
      <c r="F2123">
        <v>43046774</v>
      </c>
      <c r="G2123">
        <v>90741.119999999995</v>
      </c>
      <c r="H2123">
        <v>42956032.880000003</v>
      </c>
      <c r="I2123">
        <v>42956032.880000003</v>
      </c>
      <c r="J2123">
        <v>0</v>
      </c>
      <c r="K2123">
        <v>0</v>
      </c>
      <c r="M2123" t="s">
        <v>0</v>
      </c>
      <c r="N2123">
        <v>4500</v>
      </c>
      <c r="O2123">
        <v>10</v>
      </c>
      <c r="P2123">
        <v>1068</v>
      </c>
      <c r="Q2123">
        <v>0</v>
      </c>
      <c r="R2123">
        <v>35945273197</v>
      </c>
      <c r="S2123">
        <v>49941551.689999998</v>
      </c>
      <c r="T2123">
        <v>35895331645.309998</v>
      </c>
      <c r="U2123">
        <v>35895331645.309998</v>
      </c>
      <c r="V2123">
        <v>0</v>
      </c>
      <c r="W2123">
        <v>0</v>
      </c>
    </row>
    <row r="2124" spans="1:23" x14ac:dyDescent="0.35">
      <c r="A2124" t="s">
        <v>1</v>
      </c>
      <c r="B2124">
        <v>3500</v>
      </c>
      <c r="C2124">
        <v>9</v>
      </c>
      <c r="D2124">
        <v>10</v>
      </c>
      <c r="E2124">
        <v>0</v>
      </c>
      <c r="F2124">
        <v>291048287</v>
      </c>
      <c r="G2124">
        <v>483663.16</v>
      </c>
      <c r="H2124">
        <v>290564623.83999997</v>
      </c>
      <c r="I2124">
        <v>290564623.83999997</v>
      </c>
      <c r="J2124">
        <v>0</v>
      </c>
      <c r="K2124">
        <v>0</v>
      </c>
      <c r="M2124" t="s">
        <v>1</v>
      </c>
      <c r="N2124">
        <v>4500</v>
      </c>
      <c r="O2124">
        <v>10</v>
      </c>
      <c r="P2124">
        <v>368</v>
      </c>
      <c r="Q2124">
        <v>0</v>
      </c>
      <c r="R2124">
        <v>13884246605</v>
      </c>
      <c r="S2124">
        <v>19309263.670000002</v>
      </c>
      <c r="T2124">
        <v>13826360592.77</v>
      </c>
      <c r="U2124">
        <v>13864937341.33</v>
      </c>
      <c r="V2124">
        <v>3.2836999999999998E-2</v>
      </c>
      <c r="W2124">
        <v>0</v>
      </c>
    </row>
    <row r="2125" spans="1:23" x14ac:dyDescent="0.35">
      <c r="A2125" t="s">
        <v>2</v>
      </c>
      <c r="B2125">
        <v>3250</v>
      </c>
      <c r="C2125">
        <v>9</v>
      </c>
      <c r="D2125">
        <v>3</v>
      </c>
      <c r="E2125">
        <v>0</v>
      </c>
      <c r="F2125">
        <v>45886944</v>
      </c>
      <c r="G2125">
        <v>82165.88</v>
      </c>
      <c r="H2125">
        <v>45804778.119999997</v>
      </c>
      <c r="I2125">
        <v>45804778.119999997</v>
      </c>
      <c r="J2125">
        <v>0</v>
      </c>
      <c r="K2125">
        <v>0</v>
      </c>
      <c r="M2125" t="s">
        <v>2</v>
      </c>
      <c r="N2125">
        <v>4500</v>
      </c>
      <c r="O2125">
        <v>10</v>
      </c>
      <c r="P2125">
        <v>29</v>
      </c>
      <c r="Q2125">
        <v>0</v>
      </c>
      <c r="R2125">
        <v>808757461</v>
      </c>
      <c r="S2125">
        <v>1123178.6599999999</v>
      </c>
      <c r="T2125">
        <v>807634282.34000003</v>
      </c>
      <c r="U2125">
        <v>807634282.34000003</v>
      </c>
      <c r="V2125">
        <v>0</v>
      </c>
      <c r="W2125">
        <v>0</v>
      </c>
    </row>
    <row r="2126" spans="1:23" x14ac:dyDescent="0.35">
      <c r="A2126" t="s">
        <v>0</v>
      </c>
      <c r="B2126">
        <v>3500</v>
      </c>
      <c r="C2126">
        <v>9</v>
      </c>
      <c r="D2126">
        <v>15</v>
      </c>
      <c r="E2126">
        <v>0</v>
      </c>
      <c r="F2126">
        <v>497372265</v>
      </c>
      <c r="G2126">
        <v>816611.23</v>
      </c>
      <c r="H2126">
        <v>496555653.76999998</v>
      </c>
      <c r="I2126">
        <v>496555653.76999998</v>
      </c>
      <c r="J2126">
        <v>0</v>
      </c>
      <c r="K2126">
        <v>0</v>
      </c>
      <c r="M2126" t="s">
        <v>3</v>
      </c>
      <c r="N2126">
        <v>5250</v>
      </c>
      <c r="O2126">
        <v>10</v>
      </c>
      <c r="P2126">
        <v>2</v>
      </c>
      <c r="Q2126">
        <v>0</v>
      </c>
      <c r="R2126">
        <v>34762217</v>
      </c>
      <c r="S2126">
        <v>42145.82</v>
      </c>
      <c r="T2126">
        <v>34720071.18</v>
      </c>
      <c r="U2126">
        <v>34720071.18</v>
      </c>
      <c r="V2126">
        <v>0</v>
      </c>
      <c r="W2126">
        <v>0</v>
      </c>
    </row>
    <row r="2127" spans="1:23" x14ac:dyDescent="0.35">
      <c r="A2127" t="s">
        <v>0</v>
      </c>
      <c r="B2127">
        <v>3250</v>
      </c>
      <c r="C2127">
        <v>9</v>
      </c>
      <c r="D2127">
        <v>2</v>
      </c>
      <c r="E2127">
        <v>0</v>
      </c>
      <c r="F2127">
        <v>74468620</v>
      </c>
      <c r="G2127">
        <v>127326.63</v>
      </c>
      <c r="H2127">
        <v>74341293.370000005</v>
      </c>
      <c r="I2127">
        <v>74341293.370000005</v>
      </c>
      <c r="J2127">
        <v>0</v>
      </c>
      <c r="K2127">
        <v>0</v>
      </c>
      <c r="M2127" t="s">
        <v>3</v>
      </c>
      <c r="N2127">
        <v>5500</v>
      </c>
      <c r="O2127">
        <v>10</v>
      </c>
      <c r="P2127">
        <v>1</v>
      </c>
      <c r="Q2127">
        <v>0</v>
      </c>
      <c r="R2127">
        <v>19447339</v>
      </c>
      <c r="S2127">
        <v>22534</v>
      </c>
      <c r="T2127">
        <v>19424805</v>
      </c>
      <c r="U2127">
        <v>19424805</v>
      </c>
      <c r="V2127">
        <v>0</v>
      </c>
      <c r="W2127">
        <v>0</v>
      </c>
    </row>
    <row r="2128" spans="1:23" x14ac:dyDescent="0.35">
      <c r="A2128" t="s">
        <v>2</v>
      </c>
      <c r="B2128">
        <v>3500</v>
      </c>
      <c r="C2128">
        <v>9</v>
      </c>
      <c r="D2128">
        <v>7</v>
      </c>
      <c r="E2128">
        <v>0</v>
      </c>
      <c r="F2128">
        <v>207141062</v>
      </c>
      <c r="G2128">
        <v>340094.79</v>
      </c>
      <c r="H2128">
        <v>206800967.21000001</v>
      </c>
      <c r="I2128">
        <v>206800967.21000001</v>
      </c>
      <c r="J2128">
        <v>0</v>
      </c>
      <c r="K2128">
        <v>0</v>
      </c>
      <c r="M2128" t="s">
        <v>1</v>
      </c>
      <c r="N2128">
        <v>2500</v>
      </c>
      <c r="O2128">
        <v>9</v>
      </c>
      <c r="P2128">
        <v>6</v>
      </c>
      <c r="Q2128">
        <v>0</v>
      </c>
      <c r="R2128">
        <v>201602627</v>
      </c>
      <c r="S2128">
        <v>390304.74</v>
      </c>
      <c r="T2128">
        <v>201212322.25999999</v>
      </c>
      <c r="U2128">
        <v>201212322.25999999</v>
      </c>
      <c r="V2128">
        <v>0</v>
      </c>
      <c r="W2128">
        <v>0</v>
      </c>
    </row>
    <row r="2129" spans="1:23" x14ac:dyDescent="0.35">
      <c r="A2129" t="s">
        <v>2</v>
      </c>
      <c r="B2129">
        <v>3750</v>
      </c>
      <c r="C2129">
        <v>9</v>
      </c>
      <c r="D2129">
        <v>9</v>
      </c>
      <c r="E2129">
        <v>0</v>
      </c>
      <c r="F2129">
        <v>220020328</v>
      </c>
      <c r="G2129">
        <v>347207.22</v>
      </c>
      <c r="H2129">
        <v>219673120.78</v>
      </c>
      <c r="I2129">
        <v>219673120.78</v>
      </c>
      <c r="J2129">
        <v>0</v>
      </c>
      <c r="K2129">
        <v>0</v>
      </c>
      <c r="M2129" t="s">
        <v>2</v>
      </c>
      <c r="N2129">
        <v>3000</v>
      </c>
      <c r="O2129">
        <v>10</v>
      </c>
      <c r="P2129">
        <v>5</v>
      </c>
      <c r="Q2129">
        <v>0</v>
      </c>
      <c r="R2129">
        <v>123441991</v>
      </c>
      <c r="S2129">
        <v>231312.78</v>
      </c>
      <c r="T2129">
        <v>123210678.22</v>
      </c>
      <c r="U2129">
        <v>123210678.22</v>
      </c>
      <c r="V2129">
        <v>0</v>
      </c>
      <c r="W2129">
        <v>0</v>
      </c>
    </row>
    <row r="2130" spans="1:23" x14ac:dyDescent="0.35">
      <c r="A2130" t="s">
        <v>0</v>
      </c>
      <c r="B2130">
        <v>3750</v>
      </c>
      <c r="C2130">
        <v>9</v>
      </c>
      <c r="D2130">
        <v>119</v>
      </c>
      <c r="E2130">
        <v>0</v>
      </c>
      <c r="F2130">
        <v>3988556779</v>
      </c>
      <c r="G2130">
        <v>6266504.9400000004</v>
      </c>
      <c r="H2130">
        <v>3982290274.0599999</v>
      </c>
      <c r="I2130">
        <v>3982290274.0599999</v>
      </c>
      <c r="J2130">
        <v>0</v>
      </c>
      <c r="K2130">
        <v>0</v>
      </c>
      <c r="M2130" t="s">
        <v>0</v>
      </c>
      <c r="N2130">
        <v>3250</v>
      </c>
      <c r="O2130">
        <v>10</v>
      </c>
      <c r="P2130">
        <v>2</v>
      </c>
      <c r="Q2130">
        <v>0</v>
      </c>
      <c r="R2130">
        <v>75917974</v>
      </c>
      <c r="S2130">
        <v>131802.63</v>
      </c>
      <c r="T2130">
        <v>75786171.370000005</v>
      </c>
      <c r="U2130">
        <v>75786171.370000005</v>
      </c>
      <c r="V2130">
        <v>0</v>
      </c>
      <c r="W2130">
        <v>0</v>
      </c>
    </row>
    <row r="2131" spans="1:23" x14ac:dyDescent="0.35">
      <c r="A2131" t="s">
        <v>1</v>
      </c>
      <c r="B2131">
        <v>4000</v>
      </c>
      <c r="C2131">
        <v>9</v>
      </c>
      <c r="D2131">
        <v>440</v>
      </c>
      <c r="E2131">
        <v>0</v>
      </c>
      <c r="F2131">
        <v>15997624724</v>
      </c>
      <c r="G2131">
        <v>24140468.510000002</v>
      </c>
      <c r="H2131">
        <v>15944473104.77</v>
      </c>
      <c r="I2131">
        <v>15944473104.77</v>
      </c>
      <c r="J2131">
        <v>2.1545999999999999E-2</v>
      </c>
      <c r="K2131">
        <v>2.1545999999999999E-2</v>
      </c>
      <c r="M2131" t="s">
        <v>1</v>
      </c>
      <c r="N2131">
        <v>3500</v>
      </c>
      <c r="O2131">
        <v>9</v>
      </c>
      <c r="P2131">
        <v>9</v>
      </c>
      <c r="Q2131">
        <v>0</v>
      </c>
      <c r="R2131">
        <v>340212509</v>
      </c>
      <c r="S2131">
        <v>570438.53</v>
      </c>
      <c r="T2131">
        <v>339642070.47000003</v>
      </c>
      <c r="U2131">
        <v>339642070.47000003</v>
      </c>
      <c r="V2131">
        <v>0</v>
      </c>
      <c r="W2131">
        <v>0</v>
      </c>
    </row>
    <row r="2132" spans="1:23" x14ac:dyDescent="0.35">
      <c r="A2132" t="s">
        <v>1</v>
      </c>
      <c r="B2132">
        <v>3750</v>
      </c>
      <c r="C2132">
        <v>9</v>
      </c>
      <c r="D2132">
        <v>44</v>
      </c>
      <c r="E2132">
        <v>0</v>
      </c>
      <c r="F2132">
        <v>1490400880</v>
      </c>
      <c r="G2132">
        <v>2342387.2400000002</v>
      </c>
      <c r="H2132">
        <v>1488058492.76</v>
      </c>
      <c r="I2132">
        <v>1488058492.76</v>
      </c>
      <c r="J2132">
        <v>0</v>
      </c>
      <c r="K2132">
        <v>0</v>
      </c>
      <c r="M2132" t="s">
        <v>2</v>
      </c>
      <c r="N2132">
        <v>3500</v>
      </c>
      <c r="O2132">
        <v>10</v>
      </c>
      <c r="P2132">
        <v>9</v>
      </c>
      <c r="Q2132">
        <v>0</v>
      </c>
      <c r="R2132">
        <v>225932929</v>
      </c>
      <c r="S2132">
        <v>373604.94</v>
      </c>
      <c r="T2132">
        <v>225559324.06</v>
      </c>
      <c r="U2132">
        <v>225559324.06</v>
      </c>
      <c r="V2132">
        <v>0</v>
      </c>
      <c r="W2132">
        <v>0</v>
      </c>
    </row>
    <row r="2133" spans="1:23" x14ac:dyDescent="0.35">
      <c r="A2133" t="s">
        <v>1</v>
      </c>
      <c r="B2133">
        <v>4250</v>
      </c>
      <c r="C2133">
        <v>9</v>
      </c>
      <c r="D2133">
        <v>126</v>
      </c>
      <c r="E2133">
        <v>0</v>
      </c>
      <c r="F2133">
        <v>4751131875</v>
      </c>
      <c r="G2133">
        <v>6860191.5599999996</v>
      </c>
      <c r="H2133">
        <v>4683861014.8900003</v>
      </c>
      <c r="I2133">
        <v>4683861014.8900003</v>
      </c>
      <c r="J2133">
        <v>0.142349</v>
      </c>
      <c r="K2133">
        <v>0.142349</v>
      </c>
      <c r="M2133" t="s">
        <v>0</v>
      </c>
      <c r="N2133">
        <v>3500</v>
      </c>
      <c r="O2133">
        <v>10</v>
      </c>
      <c r="P2133">
        <v>21</v>
      </c>
      <c r="Q2133">
        <v>0</v>
      </c>
      <c r="R2133">
        <v>670753640</v>
      </c>
      <c r="S2133">
        <v>1106296.8899999999</v>
      </c>
      <c r="T2133">
        <v>669647343.11000001</v>
      </c>
      <c r="U2133">
        <v>669647343.11000001</v>
      </c>
      <c r="V2133">
        <v>0</v>
      </c>
      <c r="W2133">
        <v>0</v>
      </c>
    </row>
    <row r="2134" spans="1:23" x14ac:dyDescent="0.35">
      <c r="A2134" t="s">
        <v>0</v>
      </c>
      <c r="B2134">
        <v>4250</v>
      </c>
      <c r="C2134">
        <v>9</v>
      </c>
      <c r="D2134">
        <v>296</v>
      </c>
      <c r="E2134">
        <v>0</v>
      </c>
      <c r="F2134">
        <v>9312579085</v>
      </c>
      <c r="G2134">
        <v>13457259.470000001</v>
      </c>
      <c r="H2134">
        <v>9274039725.6499996</v>
      </c>
      <c r="I2134">
        <v>9299121825.5300007</v>
      </c>
      <c r="J2134">
        <v>3.1845999999999999E-2</v>
      </c>
      <c r="K2134">
        <v>0</v>
      </c>
      <c r="M2134" t="s">
        <v>0</v>
      </c>
      <c r="N2134">
        <v>3750</v>
      </c>
      <c r="O2134">
        <v>9</v>
      </c>
      <c r="P2134">
        <v>80</v>
      </c>
      <c r="Q2134">
        <v>0</v>
      </c>
      <c r="R2134">
        <v>2613368427</v>
      </c>
      <c r="S2134">
        <v>4105352.67</v>
      </c>
      <c r="T2134">
        <v>2609263074.3299999</v>
      </c>
      <c r="U2134">
        <v>2609263074.3299999</v>
      </c>
      <c r="V2134">
        <v>0</v>
      </c>
      <c r="W2134">
        <v>0</v>
      </c>
    </row>
    <row r="2135" spans="1:23" x14ac:dyDescent="0.35">
      <c r="A2135" t="s">
        <v>2</v>
      </c>
      <c r="B2135">
        <v>4000</v>
      </c>
      <c r="C2135">
        <v>9</v>
      </c>
      <c r="D2135">
        <v>61</v>
      </c>
      <c r="E2135">
        <v>0</v>
      </c>
      <c r="F2135">
        <v>1791178817</v>
      </c>
      <c r="G2135">
        <v>2699308.49</v>
      </c>
      <c r="H2135">
        <v>1788479508.51</v>
      </c>
      <c r="I2135">
        <v>1788479508.51</v>
      </c>
      <c r="J2135">
        <v>0</v>
      </c>
      <c r="K2135">
        <v>0</v>
      </c>
      <c r="M2135" t="s">
        <v>2</v>
      </c>
      <c r="N2135">
        <v>3750</v>
      </c>
      <c r="O2135">
        <v>10</v>
      </c>
      <c r="P2135">
        <v>8</v>
      </c>
      <c r="Q2135">
        <v>0</v>
      </c>
      <c r="R2135">
        <v>206764952</v>
      </c>
      <c r="S2135">
        <v>329859.84000000003</v>
      </c>
      <c r="T2135">
        <v>206435092.16</v>
      </c>
      <c r="U2135">
        <v>206435092.16</v>
      </c>
      <c r="V2135">
        <v>0</v>
      </c>
      <c r="W2135">
        <v>0</v>
      </c>
    </row>
    <row r="2136" spans="1:23" x14ac:dyDescent="0.35">
      <c r="A2136" t="s">
        <v>2</v>
      </c>
      <c r="B2136">
        <v>4250</v>
      </c>
      <c r="C2136">
        <v>9</v>
      </c>
      <c r="D2136">
        <v>15</v>
      </c>
      <c r="E2136">
        <v>0</v>
      </c>
      <c r="F2136">
        <v>395529934</v>
      </c>
      <c r="G2136">
        <v>573042.05000000005</v>
      </c>
      <c r="H2136">
        <v>394956891.94999999</v>
      </c>
      <c r="I2136">
        <v>394956891.94999999</v>
      </c>
      <c r="J2136">
        <v>0</v>
      </c>
      <c r="K2136">
        <v>0</v>
      </c>
      <c r="M2136" t="s">
        <v>0</v>
      </c>
      <c r="N2136">
        <v>3500</v>
      </c>
      <c r="O2136">
        <v>9</v>
      </c>
      <c r="P2136">
        <v>12</v>
      </c>
      <c r="Q2136">
        <v>0</v>
      </c>
      <c r="R2136">
        <v>419353490</v>
      </c>
      <c r="S2136">
        <v>689663.23</v>
      </c>
      <c r="T2136">
        <v>418663826.76999998</v>
      </c>
      <c r="U2136">
        <v>418663826.76999998</v>
      </c>
      <c r="V2136">
        <v>0</v>
      </c>
      <c r="W2136">
        <v>0</v>
      </c>
    </row>
    <row r="2137" spans="1:23" x14ac:dyDescent="0.35">
      <c r="A2137" t="s">
        <v>0</v>
      </c>
      <c r="B2137">
        <v>4500</v>
      </c>
      <c r="C2137">
        <v>9</v>
      </c>
      <c r="D2137">
        <v>558</v>
      </c>
      <c r="E2137">
        <v>0</v>
      </c>
      <c r="F2137">
        <v>18856482909</v>
      </c>
      <c r="G2137">
        <v>26087396.649999999</v>
      </c>
      <c r="H2137">
        <v>18830395512.349998</v>
      </c>
      <c r="I2137">
        <v>18830395512.349998</v>
      </c>
      <c r="J2137">
        <v>0</v>
      </c>
      <c r="K2137">
        <v>0</v>
      </c>
      <c r="M2137" t="s">
        <v>1</v>
      </c>
      <c r="N2137">
        <v>3750</v>
      </c>
      <c r="O2137">
        <v>9</v>
      </c>
      <c r="P2137">
        <v>28</v>
      </c>
      <c r="Q2137">
        <v>0</v>
      </c>
      <c r="R2137">
        <v>1060845887</v>
      </c>
      <c r="S2137">
        <v>1666173.3</v>
      </c>
      <c r="T2137">
        <v>1059179713.7</v>
      </c>
      <c r="U2137">
        <v>1059179713.7</v>
      </c>
      <c r="V2137">
        <v>0</v>
      </c>
      <c r="W2137">
        <v>0</v>
      </c>
    </row>
    <row r="2138" spans="1:23" x14ac:dyDescent="0.35">
      <c r="A2138" t="s">
        <v>2</v>
      </c>
      <c r="B2138">
        <v>4500</v>
      </c>
      <c r="C2138">
        <v>9</v>
      </c>
      <c r="D2138">
        <v>24</v>
      </c>
      <c r="E2138">
        <v>0</v>
      </c>
      <c r="F2138">
        <v>700965848</v>
      </c>
      <c r="G2138">
        <v>969109.81</v>
      </c>
      <c r="H2138">
        <v>699996738.19000006</v>
      </c>
      <c r="I2138">
        <v>699996738.19000006</v>
      </c>
      <c r="J2138">
        <v>0</v>
      </c>
      <c r="K2138">
        <v>0</v>
      </c>
      <c r="M2138" t="s">
        <v>2</v>
      </c>
      <c r="N2138">
        <v>3750</v>
      </c>
      <c r="O2138">
        <v>9</v>
      </c>
      <c r="P2138">
        <v>7</v>
      </c>
      <c r="Q2138">
        <v>0</v>
      </c>
      <c r="R2138">
        <v>203296102</v>
      </c>
      <c r="S2138">
        <v>321970.58</v>
      </c>
      <c r="T2138">
        <v>202974131.41999999</v>
      </c>
      <c r="U2138">
        <v>202974131.41999999</v>
      </c>
      <c r="V2138">
        <v>0</v>
      </c>
      <c r="W2138">
        <v>0</v>
      </c>
    </row>
    <row r="2139" spans="1:23" x14ac:dyDescent="0.35">
      <c r="A2139" t="s">
        <v>3</v>
      </c>
      <c r="B2139">
        <v>5250</v>
      </c>
      <c r="C2139">
        <v>9</v>
      </c>
      <c r="D2139">
        <v>2</v>
      </c>
      <c r="E2139">
        <v>0</v>
      </c>
      <c r="F2139">
        <v>64268632</v>
      </c>
      <c r="G2139">
        <v>77486.55</v>
      </c>
      <c r="H2139">
        <v>64191145.450000003</v>
      </c>
      <c r="I2139">
        <v>64191145.450000003</v>
      </c>
      <c r="J2139">
        <v>0</v>
      </c>
      <c r="K2139">
        <v>0</v>
      </c>
      <c r="M2139" t="s">
        <v>2</v>
      </c>
      <c r="N2139">
        <v>3250</v>
      </c>
      <c r="O2139">
        <v>10</v>
      </c>
      <c r="P2139">
        <v>2</v>
      </c>
      <c r="Q2139">
        <v>0</v>
      </c>
      <c r="R2139">
        <v>27782135</v>
      </c>
      <c r="S2139">
        <v>47712.19</v>
      </c>
      <c r="T2139">
        <v>27734422.809999999</v>
      </c>
      <c r="U2139">
        <v>27734422.809999999</v>
      </c>
      <c r="V2139">
        <v>0</v>
      </c>
      <c r="W2139">
        <v>0</v>
      </c>
    </row>
    <row r="2140" spans="1:23" x14ac:dyDescent="0.35">
      <c r="A2140" t="s">
        <v>3</v>
      </c>
      <c r="B2140">
        <v>7500</v>
      </c>
      <c r="C2140">
        <v>9</v>
      </c>
      <c r="D2140">
        <v>1</v>
      </c>
      <c r="E2140">
        <v>0</v>
      </c>
      <c r="F2140">
        <v>5883029</v>
      </c>
      <c r="G2140">
        <v>4649.7299999999996</v>
      </c>
      <c r="H2140">
        <v>5878379.2699999996</v>
      </c>
      <c r="I2140">
        <v>5878379.2699999996</v>
      </c>
      <c r="J2140">
        <v>0</v>
      </c>
      <c r="K2140">
        <v>0</v>
      </c>
      <c r="M2140" t="s">
        <v>1</v>
      </c>
      <c r="N2140">
        <v>3250</v>
      </c>
      <c r="O2140">
        <v>9</v>
      </c>
      <c r="P2140">
        <v>4</v>
      </c>
      <c r="Q2140">
        <v>0</v>
      </c>
      <c r="R2140">
        <v>154434568</v>
      </c>
      <c r="S2140">
        <v>264052.59999999998</v>
      </c>
      <c r="T2140">
        <v>154170515.40000001</v>
      </c>
      <c r="U2140">
        <v>154170515.40000001</v>
      </c>
      <c r="V2140">
        <v>0</v>
      </c>
      <c r="W2140">
        <v>0</v>
      </c>
    </row>
    <row r="2141" spans="1:23" x14ac:dyDescent="0.35">
      <c r="A2141" t="s">
        <v>1</v>
      </c>
      <c r="B2141">
        <v>8000</v>
      </c>
      <c r="C2141">
        <v>9</v>
      </c>
      <c r="D2141">
        <v>2</v>
      </c>
      <c r="E2141">
        <v>0</v>
      </c>
      <c r="F2141">
        <v>42174784</v>
      </c>
      <c r="G2141">
        <v>30248.04</v>
      </c>
      <c r="H2141">
        <v>42144535.960000001</v>
      </c>
      <c r="I2141">
        <v>42144535.960000001</v>
      </c>
      <c r="J2141">
        <v>0</v>
      </c>
      <c r="K2141">
        <v>0</v>
      </c>
      <c r="M2141" t="s">
        <v>0</v>
      </c>
      <c r="N2141">
        <v>3250</v>
      </c>
      <c r="O2141">
        <v>9</v>
      </c>
      <c r="P2141">
        <v>2</v>
      </c>
      <c r="Q2141">
        <v>0</v>
      </c>
      <c r="R2141">
        <v>56433978</v>
      </c>
      <c r="S2141">
        <v>96490.95</v>
      </c>
      <c r="T2141">
        <v>56337487.049999997</v>
      </c>
      <c r="U2141">
        <v>56337487.049999997</v>
      </c>
      <c r="V2141">
        <v>0</v>
      </c>
      <c r="W2141">
        <v>0</v>
      </c>
    </row>
    <row r="2142" spans="1:23" x14ac:dyDescent="0.35">
      <c r="A2142" t="s">
        <v>1</v>
      </c>
      <c r="B2142">
        <v>2000</v>
      </c>
      <c r="C2142">
        <v>12</v>
      </c>
      <c r="D2142">
        <v>1</v>
      </c>
      <c r="E2142">
        <v>0</v>
      </c>
      <c r="F2142">
        <v>35437547</v>
      </c>
      <c r="G2142">
        <v>75341.16</v>
      </c>
      <c r="H2142">
        <v>35362205.840000004</v>
      </c>
      <c r="I2142">
        <v>35362205.840000004</v>
      </c>
      <c r="J2142">
        <v>0</v>
      </c>
      <c r="K2142">
        <v>0</v>
      </c>
      <c r="M2142" t="s">
        <v>2</v>
      </c>
      <c r="N2142">
        <v>4000</v>
      </c>
      <c r="O2142">
        <v>9</v>
      </c>
      <c r="P2142">
        <v>56</v>
      </c>
      <c r="Q2142">
        <v>0</v>
      </c>
      <c r="R2142">
        <v>1653441913</v>
      </c>
      <c r="S2142">
        <v>2492780.73</v>
      </c>
      <c r="T2142">
        <v>1650949132.27</v>
      </c>
      <c r="U2142">
        <v>1650949132.27</v>
      </c>
      <c r="V2142">
        <v>0</v>
      </c>
      <c r="W2142">
        <v>0</v>
      </c>
    </row>
    <row r="2143" spans="1:23" x14ac:dyDescent="0.35">
      <c r="A2143" t="s">
        <v>1</v>
      </c>
      <c r="B2143">
        <v>2500</v>
      </c>
      <c r="C2143">
        <v>8</v>
      </c>
      <c r="D2143">
        <v>3</v>
      </c>
      <c r="E2143">
        <v>0</v>
      </c>
      <c r="F2143">
        <v>158852830</v>
      </c>
      <c r="G2143">
        <v>306309.53000000003</v>
      </c>
      <c r="H2143">
        <v>158546520.47</v>
      </c>
      <c r="I2143">
        <v>158546520.47</v>
      </c>
      <c r="J2143">
        <v>0</v>
      </c>
      <c r="K2143">
        <v>0</v>
      </c>
      <c r="M2143" t="s">
        <v>2</v>
      </c>
      <c r="N2143">
        <v>4250</v>
      </c>
      <c r="O2143">
        <v>9</v>
      </c>
      <c r="P2143">
        <v>14</v>
      </c>
      <c r="Q2143">
        <v>0</v>
      </c>
      <c r="R2143">
        <v>415624880</v>
      </c>
      <c r="S2143">
        <v>600549.24</v>
      </c>
      <c r="T2143">
        <v>415024330.75999999</v>
      </c>
      <c r="U2143">
        <v>415024330.75999999</v>
      </c>
      <c r="V2143">
        <v>0</v>
      </c>
      <c r="W2143">
        <v>0</v>
      </c>
    </row>
    <row r="2144" spans="1:23" x14ac:dyDescent="0.35">
      <c r="A2144" t="s">
        <v>1</v>
      </c>
      <c r="B2144">
        <v>2750</v>
      </c>
      <c r="C2144">
        <v>8</v>
      </c>
      <c r="D2144">
        <v>1</v>
      </c>
      <c r="E2144">
        <v>0</v>
      </c>
      <c r="F2144">
        <v>20371509</v>
      </c>
      <c r="G2144">
        <v>43026.18</v>
      </c>
      <c r="H2144">
        <v>20328482.82</v>
      </c>
      <c r="I2144">
        <v>20328482.82</v>
      </c>
      <c r="J2144">
        <v>0</v>
      </c>
      <c r="K2144">
        <v>0</v>
      </c>
      <c r="M2144" t="s">
        <v>0</v>
      </c>
      <c r="N2144">
        <v>4500</v>
      </c>
      <c r="O2144">
        <v>9</v>
      </c>
      <c r="P2144">
        <v>742</v>
      </c>
      <c r="Q2144">
        <v>0</v>
      </c>
      <c r="R2144">
        <v>26017700511</v>
      </c>
      <c r="S2144">
        <v>35942218.630000003</v>
      </c>
      <c r="T2144">
        <v>25981758292.369999</v>
      </c>
      <c r="U2144">
        <v>25981758292.369999</v>
      </c>
      <c r="V2144">
        <v>0</v>
      </c>
      <c r="W2144">
        <v>0</v>
      </c>
    </row>
    <row r="2145" spans="1:23" x14ac:dyDescent="0.35">
      <c r="A2145" t="s">
        <v>2</v>
      </c>
      <c r="B2145">
        <v>2750</v>
      </c>
      <c r="C2145">
        <v>9</v>
      </c>
      <c r="D2145">
        <v>2</v>
      </c>
      <c r="E2145">
        <v>0</v>
      </c>
      <c r="F2145">
        <v>31704046</v>
      </c>
      <c r="G2145">
        <v>62943.42</v>
      </c>
      <c r="H2145">
        <v>31641102.579999998</v>
      </c>
      <c r="I2145">
        <v>31641102.579999998</v>
      </c>
      <c r="J2145">
        <v>0</v>
      </c>
      <c r="K2145">
        <v>0</v>
      </c>
      <c r="M2145" t="s">
        <v>1</v>
      </c>
      <c r="N2145">
        <v>4500</v>
      </c>
      <c r="O2145">
        <v>9</v>
      </c>
      <c r="P2145">
        <v>320</v>
      </c>
      <c r="Q2145">
        <v>0</v>
      </c>
      <c r="R2145">
        <v>12134425264</v>
      </c>
      <c r="S2145">
        <v>16767183.390000001</v>
      </c>
      <c r="T2145">
        <v>12117658080.610001</v>
      </c>
      <c r="U2145">
        <v>12117658080.610001</v>
      </c>
      <c r="V2145">
        <v>0</v>
      </c>
      <c r="W2145">
        <v>0</v>
      </c>
    </row>
    <row r="2146" spans="1:23" x14ac:dyDescent="0.35">
      <c r="A2146" t="s">
        <v>1</v>
      </c>
      <c r="B2146">
        <v>3000</v>
      </c>
      <c r="C2146">
        <v>9</v>
      </c>
      <c r="D2146">
        <v>1</v>
      </c>
      <c r="E2146">
        <v>0</v>
      </c>
      <c r="F2146">
        <v>36645535</v>
      </c>
      <c r="G2146">
        <v>66704.149999999994</v>
      </c>
      <c r="H2146">
        <v>36578830.850000001</v>
      </c>
      <c r="I2146">
        <v>36578830.850000001</v>
      </c>
      <c r="J2146">
        <v>0</v>
      </c>
      <c r="K2146">
        <v>0</v>
      </c>
      <c r="M2146" t="s">
        <v>2</v>
      </c>
      <c r="N2146">
        <v>4500</v>
      </c>
      <c r="O2146">
        <v>9</v>
      </c>
      <c r="P2146">
        <v>19</v>
      </c>
      <c r="Q2146">
        <v>0</v>
      </c>
      <c r="R2146">
        <v>510525444</v>
      </c>
      <c r="S2146">
        <v>705343.41</v>
      </c>
      <c r="T2146">
        <v>509820100.58999997</v>
      </c>
      <c r="U2146">
        <v>509820100.58999997</v>
      </c>
      <c r="V2146">
        <v>0</v>
      </c>
      <c r="W2146">
        <v>0</v>
      </c>
    </row>
    <row r="2147" spans="1:23" x14ac:dyDescent="0.35">
      <c r="A2147" t="s">
        <v>1</v>
      </c>
      <c r="B2147">
        <v>2750</v>
      </c>
      <c r="C2147">
        <v>9</v>
      </c>
      <c r="D2147">
        <v>1</v>
      </c>
      <c r="E2147">
        <v>0</v>
      </c>
      <c r="F2147">
        <v>27407438</v>
      </c>
      <c r="G2147">
        <v>58918.53</v>
      </c>
      <c r="H2147">
        <v>27348519.469999999</v>
      </c>
      <c r="I2147">
        <v>27348519.469999999</v>
      </c>
      <c r="J2147">
        <v>0</v>
      </c>
      <c r="K2147">
        <v>0</v>
      </c>
      <c r="M2147" t="s">
        <v>3</v>
      </c>
      <c r="N2147">
        <v>5500</v>
      </c>
      <c r="O2147">
        <v>9</v>
      </c>
      <c r="P2147">
        <v>2</v>
      </c>
      <c r="Q2147">
        <v>0</v>
      </c>
      <c r="R2147">
        <v>41213357</v>
      </c>
      <c r="S2147">
        <v>48064.89</v>
      </c>
      <c r="T2147">
        <v>41165292.109999999</v>
      </c>
      <c r="U2147">
        <v>41165292.109999999</v>
      </c>
      <c r="V2147">
        <v>0</v>
      </c>
      <c r="W2147">
        <v>0</v>
      </c>
    </row>
    <row r="2148" spans="1:23" x14ac:dyDescent="0.35">
      <c r="A2148" t="s">
        <v>1</v>
      </c>
      <c r="B2148">
        <v>3250</v>
      </c>
      <c r="C2148">
        <v>9</v>
      </c>
      <c r="D2148">
        <v>3</v>
      </c>
      <c r="E2148">
        <v>0</v>
      </c>
      <c r="F2148">
        <v>124138417</v>
      </c>
      <c r="G2148">
        <v>212252.16</v>
      </c>
      <c r="H2148">
        <v>123926164.84</v>
      </c>
      <c r="I2148">
        <v>123926164.84</v>
      </c>
      <c r="J2148">
        <v>0</v>
      </c>
      <c r="K2148">
        <v>0</v>
      </c>
      <c r="M2148" t="s">
        <v>3</v>
      </c>
      <c r="N2148">
        <v>5250</v>
      </c>
      <c r="O2148">
        <v>9</v>
      </c>
      <c r="P2148">
        <v>1</v>
      </c>
      <c r="Q2148">
        <v>0</v>
      </c>
      <c r="R2148">
        <v>35186196</v>
      </c>
      <c r="S2148">
        <v>42422.82</v>
      </c>
      <c r="T2148">
        <v>35143773.18</v>
      </c>
      <c r="U2148">
        <v>35143773.18</v>
      </c>
      <c r="V2148">
        <v>0</v>
      </c>
      <c r="W2148">
        <v>0</v>
      </c>
    </row>
    <row r="2149" spans="1:23" x14ac:dyDescent="0.35">
      <c r="A2149" t="s">
        <v>2</v>
      </c>
      <c r="B2149">
        <v>3500</v>
      </c>
      <c r="C2149">
        <v>8</v>
      </c>
      <c r="D2149">
        <v>4</v>
      </c>
      <c r="E2149">
        <v>0</v>
      </c>
      <c r="F2149">
        <v>117675740</v>
      </c>
      <c r="G2149">
        <v>193327.79</v>
      </c>
      <c r="H2149">
        <v>117482412.20999999</v>
      </c>
      <c r="I2149">
        <v>117482412.20999999</v>
      </c>
      <c r="J2149">
        <v>0</v>
      </c>
      <c r="K2149">
        <v>0</v>
      </c>
      <c r="M2149" t="s">
        <v>1</v>
      </c>
      <c r="N2149">
        <v>2500</v>
      </c>
      <c r="O2149">
        <v>8</v>
      </c>
      <c r="P2149">
        <v>12</v>
      </c>
      <c r="Q2149">
        <v>0</v>
      </c>
      <c r="R2149">
        <v>354739347</v>
      </c>
      <c r="S2149">
        <v>695561.24</v>
      </c>
      <c r="T2149">
        <v>354043785.75999999</v>
      </c>
      <c r="U2149">
        <v>354043785.75999999</v>
      </c>
      <c r="V2149">
        <v>0</v>
      </c>
      <c r="W2149">
        <v>0</v>
      </c>
    </row>
    <row r="2150" spans="1:23" x14ac:dyDescent="0.35">
      <c r="A2150" t="s">
        <v>1</v>
      </c>
      <c r="B2150">
        <v>3750</v>
      </c>
      <c r="C2150">
        <v>8</v>
      </c>
      <c r="D2150">
        <v>70</v>
      </c>
      <c r="E2150">
        <v>0</v>
      </c>
      <c r="F2150">
        <v>2761589957</v>
      </c>
      <c r="G2150">
        <v>4329491.3</v>
      </c>
      <c r="H2150">
        <v>2757260465.6999998</v>
      </c>
      <c r="I2150">
        <v>2757260465.6999998</v>
      </c>
      <c r="J2150">
        <v>0</v>
      </c>
      <c r="K2150">
        <v>0</v>
      </c>
      <c r="M2150" t="s">
        <v>1</v>
      </c>
      <c r="N2150">
        <v>2750</v>
      </c>
      <c r="O2150">
        <v>9</v>
      </c>
      <c r="P2150">
        <v>1</v>
      </c>
      <c r="Q2150">
        <v>0</v>
      </c>
      <c r="R2150">
        <v>21934993</v>
      </c>
      <c r="S2150">
        <v>44739.51</v>
      </c>
      <c r="T2150">
        <v>21890253.489999998</v>
      </c>
      <c r="U2150">
        <v>21890253.489999998</v>
      </c>
      <c r="V2150">
        <v>0</v>
      </c>
      <c r="W2150">
        <v>0</v>
      </c>
    </row>
    <row r="2151" spans="1:23" x14ac:dyDescent="0.35">
      <c r="A2151" t="s">
        <v>0</v>
      </c>
      <c r="B2151">
        <v>3750</v>
      </c>
      <c r="C2151">
        <v>8</v>
      </c>
      <c r="D2151">
        <v>154</v>
      </c>
      <c r="E2151">
        <v>0</v>
      </c>
      <c r="F2151">
        <v>5653948838</v>
      </c>
      <c r="G2151">
        <v>8842453.8699999992</v>
      </c>
      <c r="H2151">
        <v>5645106384.1300001</v>
      </c>
      <c r="I2151">
        <v>5645106384.1300001</v>
      </c>
      <c r="J2151">
        <v>0</v>
      </c>
      <c r="K2151">
        <v>0</v>
      </c>
      <c r="M2151" t="s">
        <v>1</v>
      </c>
      <c r="N2151">
        <v>2750</v>
      </c>
      <c r="O2151">
        <v>10</v>
      </c>
      <c r="P2151">
        <v>2</v>
      </c>
      <c r="Q2151">
        <v>0</v>
      </c>
      <c r="R2151">
        <v>36600257</v>
      </c>
      <c r="S2151">
        <v>77029.39</v>
      </c>
      <c r="T2151">
        <v>36523227.609999999</v>
      </c>
      <c r="U2151">
        <v>36523227.609999999</v>
      </c>
      <c r="V2151">
        <v>0</v>
      </c>
      <c r="W2151">
        <v>0</v>
      </c>
    </row>
    <row r="2152" spans="1:23" x14ac:dyDescent="0.35">
      <c r="A2152" t="s">
        <v>0</v>
      </c>
      <c r="B2152">
        <v>3500</v>
      </c>
      <c r="C2152">
        <v>8</v>
      </c>
      <c r="D2152">
        <v>35</v>
      </c>
      <c r="E2152">
        <v>0</v>
      </c>
      <c r="F2152">
        <v>1129758568</v>
      </c>
      <c r="G2152">
        <v>1848427.79</v>
      </c>
      <c r="H2152">
        <v>1127910140.21</v>
      </c>
      <c r="I2152">
        <v>1127910140.21</v>
      </c>
      <c r="J2152">
        <v>0</v>
      </c>
      <c r="K2152">
        <v>0</v>
      </c>
      <c r="M2152" t="s">
        <v>1</v>
      </c>
      <c r="N2152">
        <v>3000</v>
      </c>
      <c r="O2152">
        <v>9</v>
      </c>
      <c r="P2152">
        <v>2</v>
      </c>
      <c r="Q2152">
        <v>0</v>
      </c>
      <c r="R2152">
        <v>43046774</v>
      </c>
      <c r="S2152">
        <v>90331.5</v>
      </c>
      <c r="T2152">
        <v>42956442.5</v>
      </c>
      <c r="U2152">
        <v>42956442.5</v>
      </c>
      <c r="V2152">
        <v>0</v>
      </c>
      <c r="W2152">
        <v>0</v>
      </c>
    </row>
    <row r="2153" spans="1:23" x14ac:dyDescent="0.35">
      <c r="A2153" t="s">
        <v>1</v>
      </c>
      <c r="B2153">
        <v>3250</v>
      </c>
      <c r="C2153">
        <v>8</v>
      </c>
      <c r="D2153">
        <v>15</v>
      </c>
      <c r="E2153">
        <v>0</v>
      </c>
      <c r="F2153">
        <v>472081473</v>
      </c>
      <c r="G2153">
        <v>803615.56</v>
      </c>
      <c r="H2153">
        <v>471277857.44</v>
      </c>
      <c r="I2153">
        <v>471277857.44</v>
      </c>
      <c r="J2153">
        <v>0</v>
      </c>
      <c r="K2153">
        <v>0</v>
      </c>
      <c r="M2153" t="s">
        <v>1</v>
      </c>
      <c r="N2153">
        <v>3500</v>
      </c>
      <c r="O2153">
        <v>8</v>
      </c>
      <c r="P2153">
        <v>10</v>
      </c>
      <c r="Q2153">
        <v>0</v>
      </c>
      <c r="R2153">
        <v>291581142</v>
      </c>
      <c r="S2153">
        <v>482348.53</v>
      </c>
      <c r="T2153">
        <v>291098793.47000003</v>
      </c>
      <c r="U2153">
        <v>291098793.47000003</v>
      </c>
      <c r="V2153">
        <v>0</v>
      </c>
      <c r="W2153">
        <v>0</v>
      </c>
    </row>
    <row r="2154" spans="1:23" x14ac:dyDescent="0.35">
      <c r="A2154" t="s">
        <v>2</v>
      </c>
      <c r="B2154">
        <v>3250</v>
      </c>
      <c r="C2154">
        <v>10</v>
      </c>
      <c r="D2154">
        <v>1</v>
      </c>
      <c r="E2154">
        <v>0</v>
      </c>
      <c r="F2154">
        <v>42034589</v>
      </c>
      <c r="G2154">
        <v>72188.92</v>
      </c>
      <c r="H2154">
        <v>41962400.079999998</v>
      </c>
      <c r="I2154">
        <v>41962400.079999998</v>
      </c>
      <c r="J2154">
        <v>0</v>
      </c>
      <c r="K2154">
        <v>0</v>
      </c>
      <c r="M2154" t="s">
        <v>2</v>
      </c>
      <c r="N2154">
        <v>3250</v>
      </c>
      <c r="O2154">
        <v>8</v>
      </c>
      <c r="P2154">
        <v>3</v>
      </c>
      <c r="Q2154">
        <v>0</v>
      </c>
      <c r="R2154">
        <v>45937977</v>
      </c>
      <c r="S2154">
        <v>81893.37</v>
      </c>
      <c r="T2154">
        <v>45856083.630000003</v>
      </c>
      <c r="U2154">
        <v>45856083.630000003</v>
      </c>
      <c r="V2154">
        <v>0</v>
      </c>
      <c r="W2154">
        <v>0</v>
      </c>
    </row>
    <row r="2155" spans="1:23" x14ac:dyDescent="0.35">
      <c r="A2155" t="s">
        <v>1</v>
      </c>
      <c r="B2155">
        <v>3500</v>
      </c>
      <c r="C2155">
        <v>8</v>
      </c>
      <c r="D2155">
        <v>13</v>
      </c>
      <c r="E2155">
        <v>0</v>
      </c>
      <c r="F2155">
        <v>445812890</v>
      </c>
      <c r="G2155">
        <v>732126.2</v>
      </c>
      <c r="H2155">
        <v>445080763.80000001</v>
      </c>
      <c r="I2155">
        <v>445080763.80000001</v>
      </c>
      <c r="J2155">
        <v>0</v>
      </c>
      <c r="K2155">
        <v>0</v>
      </c>
      <c r="M2155" t="s">
        <v>0</v>
      </c>
      <c r="N2155">
        <v>3500</v>
      </c>
      <c r="O2155">
        <v>8</v>
      </c>
      <c r="P2155">
        <v>15</v>
      </c>
      <c r="Q2155">
        <v>0</v>
      </c>
      <c r="R2155">
        <v>499113614</v>
      </c>
      <c r="S2155">
        <v>815758.41</v>
      </c>
      <c r="T2155">
        <v>498297855.58999997</v>
      </c>
      <c r="U2155">
        <v>498297855.58999997</v>
      </c>
      <c r="V2155">
        <v>0</v>
      </c>
      <c r="W2155">
        <v>0</v>
      </c>
    </row>
    <row r="2156" spans="1:23" x14ac:dyDescent="0.35">
      <c r="A2156" t="s">
        <v>0</v>
      </c>
      <c r="B2156">
        <v>3250</v>
      </c>
      <c r="C2156">
        <v>8</v>
      </c>
      <c r="D2156">
        <v>5</v>
      </c>
      <c r="E2156">
        <v>0</v>
      </c>
      <c r="F2156">
        <v>182121438</v>
      </c>
      <c r="G2156">
        <v>310304.71000000002</v>
      </c>
      <c r="H2156">
        <v>181811133.28999999</v>
      </c>
      <c r="I2156">
        <v>181811133.28999999</v>
      </c>
      <c r="J2156">
        <v>0</v>
      </c>
      <c r="K2156">
        <v>0</v>
      </c>
      <c r="M2156" t="s">
        <v>0</v>
      </c>
      <c r="N2156">
        <v>3250</v>
      </c>
      <c r="O2156">
        <v>8</v>
      </c>
      <c r="P2156">
        <v>2</v>
      </c>
      <c r="Q2156">
        <v>0</v>
      </c>
      <c r="R2156">
        <v>74595603</v>
      </c>
      <c r="S2156">
        <v>126982.72</v>
      </c>
      <c r="T2156">
        <v>74468620.280000001</v>
      </c>
      <c r="U2156">
        <v>74468620.280000001</v>
      </c>
      <c r="V2156">
        <v>0</v>
      </c>
      <c r="W2156">
        <v>0</v>
      </c>
    </row>
    <row r="2157" spans="1:23" x14ac:dyDescent="0.35">
      <c r="A2157" t="s">
        <v>2</v>
      </c>
      <c r="B2157">
        <v>3750</v>
      </c>
      <c r="C2157">
        <v>8</v>
      </c>
      <c r="D2157">
        <v>3</v>
      </c>
      <c r="E2157">
        <v>0</v>
      </c>
      <c r="F2157">
        <v>81949121</v>
      </c>
      <c r="G2157">
        <v>128108.42</v>
      </c>
      <c r="H2157">
        <v>81821012.579999998</v>
      </c>
      <c r="I2157">
        <v>81821012.579999998</v>
      </c>
      <c r="J2157">
        <v>0</v>
      </c>
      <c r="K2157">
        <v>0</v>
      </c>
      <c r="M2157" t="s">
        <v>2</v>
      </c>
      <c r="N2157">
        <v>3500</v>
      </c>
      <c r="O2157">
        <v>8</v>
      </c>
      <c r="P2157">
        <v>7</v>
      </c>
      <c r="Q2157">
        <v>0</v>
      </c>
      <c r="R2157">
        <v>207450166</v>
      </c>
      <c r="S2157">
        <v>339059.51</v>
      </c>
      <c r="T2157">
        <v>207111106.49000001</v>
      </c>
      <c r="U2157">
        <v>207111106.49000001</v>
      </c>
      <c r="V2157">
        <v>0</v>
      </c>
      <c r="W2157">
        <v>0</v>
      </c>
    </row>
    <row r="2158" spans="1:23" x14ac:dyDescent="0.35">
      <c r="A2158" t="s">
        <v>1</v>
      </c>
      <c r="B2158">
        <v>4000</v>
      </c>
      <c r="C2158">
        <v>8</v>
      </c>
      <c r="D2158">
        <v>630</v>
      </c>
      <c r="E2158">
        <v>0</v>
      </c>
      <c r="F2158">
        <v>22564306033</v>
      </c>
      <c r="G2158">
        <v>33883224.240000002</v>
      </c>
      <c r="H2158">
        <v>22530422808.759998</v>
      </c>
      <c r="I2158">
        <v>22530422808.759998</v>
      </c>
      <c r="J2158">
        <v>0</v>
      </c>
      <c r="K2158">
        <v>0</v>
      </c>
      <c r="M2158" t="s">
        <v>2</v>
      </c>
      <c r="N2158">
        <v>3750</v>
      </c>
      <c r="O2158">
        <v>8</v>
      </c>
      <c r="P2158">
        <v>9</v>
      </c>
      <c r="Q2158">
        <v>0</v>
      </c>
      <c r="R2158">
        <v>220374786</v>
      </c>
      <c r="S2158">
        <v>346146.18</v>
      </c>
      <c r="T2158">
        <v>220028639.81999999</v>
      </c>
      <c r="U2158">
        <v>220028639.81999999</v>
      </c>
      <c r="V2158">
        <v>0</v>
      </c>
      <c r="W2158">
        <v>0</v>
      </c>
    </row>
    <row r="2159" spans="1:23" x14ac:dyDescent="0.35">
      <c r="A2159" t="s">
        <v>0</v>
      </c>
      <c r="B2159">
        <v>4250</v>
      </c>
      <c r="C2159">
        <v>8</v>
      </c>
      <c r="D2159">
        <v>325</v>
      </c>
      <c r="E2159">
        <v>0</v>
      </c>
      <c r="F2159">
        <v>10437911411</v>
      </c>
      <c r="G2159">
        <v>15028320.18</v>
      </c>
      <c r="H2159">
        <v>10422883090.82</v>
      </c>
      <c r="I2159">
        <v>10422883090.82</v>
      </c>
      <c r="J2159">
        <v>0</v>
      </c>
      <c r="K2159">
        <v>0</v>
      </c>
      <c r="M2159" t="s">
        <v>0</v>
      </c>
      <c r="N2159">
        <v>3750</v>
      </c>
      <c r="O2159">
        <v>8</v>
      </c>
      <c r="P2159">
        <v>119</v>
      </c>
      <c r="Q2159">
        <v>0</v>
      </c>
      <c r="R2159">
        <v>3995144396</v>
      </c>
      <c r="S2159">
        <v>6247525.7000000002</v>
      </c>
      <c r="T2159">
        <v>3988896870.3000002</v>
      </c>
      <c r="U2159">
        <v>3988896870.3000002</v>
      </c>
      <c r="V2159">
        <v>0</v>
      </c>
      <c r="W2159">
        <v>0</v>
      </c>
    </row>
    <row r="2160" spans="1:23" x14ac:dyDescent="0.35">
      <c r="A2160" t="s">
        <v>1</v>
      </c>
      <c r="B2160">
        <v>4250</v>
      </c>
      <c r="C2160">
        <v>8</v>
      </c>
      <c r="D2160">
        <v>168</v>
      </c>
      <c r="E2160">
        <v>0</v>
      </c>
      <c r="F2160">
        <v>6103589288</v>
      </c>
      <c r="G2160">
        <v>8793724.2699999996</v>
      </c>
      <c r="H2160">
        <v>6058864893.2600002</v>
      </c>
      <c r="I2160">
        <v>6058864893.2600002</v>
      </c>
      <c r="J2160">
        <v>6.8399000000000001E-2</v>
      </c>
      <c r="K2160">
        <v>6.8399000000000001E-2</v>
      </c>
      <c r="M2160" t="s">
        <v>1</v>
      </c>
      <c r="N2160">
        <v>4000</v>
      </c>
      <c r="O2160">
        <v>8</v>
      </c>
      <c r="P2160">
        <v>441</v>
      </c>
      <c r="Q2160">
        <v>0</v>
      </c>
      <c r="R2160">
        <v>16056522144</v>
      </c>
      <c r="S2160">
        <v>24112923.420000002</v>
      </c>
      <c r="T2160">
        <v>16032409220.58</v>
      </c>
      <c r="U2160">
        <v>16032409220.58</v>
      </c>
      <c r="V2160">
        <v>0</v>
      </c>
      <c r="W2160">
        <v>0</v>
      </c>
    </row>
    <row r="2161" spans="1:23" x14ac:dyDescent="0.35">
      <c r="A2161" t="s">
        <v>2</v>
      </c>
      <c r="B2161">
        <v>4000</v>
      </c>
      <c r="C2161">
        <v>8</v>
      </c>
      <c r="D2161">
        <v>84</v>
      </c>
      <c r="E2161">
        <v>0</v>
      </c>
      <c r="F2161">
        <v>2516158235</v>
      </c>
      <c r="G2161">
        <v>3775212.58</v>
      </c>
      <c r="H2161">
        <v>2512383022.4200001</v>
      </c>
      <c r="I2161">
        <v>2512383022.4200001</v>
      </c>
      <c r="J2161">
        <v>0</v>
      </c>
      <c r="K2161">
        <v>0</v>
      </c>
      <c r="M2161" t="s">
        <v>1</v>
      </c>
      <c r="N2161">
        <v>3750</v>
      </c>
      <c r="O2161">
        <v>8</v>
      </c>
      <c r="P2161">
        <v>44</v>
      </c>
      <c r="Q2161">
        <v>0</v>
      </c>
      <c r="R2161">
        <v>1494692586</v>
      </c>
      <c r="S2161">
        <v>2338153.9</v>
      </c>
      <c r="T2161">
        <v>1492354432.0999999</v>
      </c>
      <c r="U2161">
        <v>1492354432.0999999</v>
      </c>
      <c r="V2161">
        <v>0</v>
      </c>
      <c r="W2161">
        <v>0</v>
      </c>
    </row>
    <row r="2162" spans="1:23" x14ac:dyDescent="0.35">
      <c r="A2162" t="s">
        <v>2</v>
      </c>
      <c r="B2162">
        <v>4250</v>
      </c>
      <c r="C2162">
        <v>8</v>
      </c>
      <c r="D2162">
        <v>13</v>
      </c>
      <c r="E2162">
        <v>0</v>
      </c>
      <c r="F2162">
        <v>355748618</v>
      </c>
      <c r="G2162">
        <v>516361.1</v>
      </c>
      <c r="H2162">
        <v>355232256.89999998</v>
      </c>
      <c r="I2162">
        <v>355232256.89999998</v>
      </c>
      <c r="J2162">
        <v>0</v>
      </c>
      <c r="K2162">
        <v>0</v>
      </c>
      <c r="M2162" t="s">
        <v>1</v>
      </c>
      <c r="N2162">
        <v>4250</v>
      </c>
      <c r="O2162">
        <v>8</v>
      </c>
      <c r="P2162">
        <v>127</v>
      </c>
      <c r="Q2162">
        <v>0</v>
      </c>
      <c r="R2162">
        <v>4794175699</v>
      </c>
      <c r="S2162">
        <v>6887956.5700000003</v>
      </c>
      <c r="T2162">
        <v>4753241279.5500002</v>
      </c>
      <c r="U2162">
        <v>4787287742.4300003</v>
      </c>
      <c r="V2162">
        <v>8.1969E-2</v>
      </c>
      <c r="W2162">
        <v>0</v>
      </c>
    </row>
    <row r="2163" spans="1:23" x14ac:dyDescent="0.35">
      <c r="A2163" t="s">
        <v>0</v>
      </c>
      <c r="B2163">
        <v>4500</v>
      </c>
      <c r="C2163">
        <v>8</v>
      </c>
      <c r="D2163">
        <v>582</v>
      </c>
      <c r="E2163">
        <v>0</v>
      </c>
      <c r="F2163">
        <v>19345563181</v>
      </c>
      <c r="G2163">
        <v>26664873.32</v>
      </c>
      <c r="H2163">
        <v>19318898307.689999</v>
      </c>
      <c r="I2163">
        <v>19318898307.689999</v>
      </c>
      <c r="J2163">
        <v>0</v>
      </c>
      <c r="K2163">
        <v>0</v>
      </c>
      <c r="M2163" t="s">
        <v>0</v>
      </c>
      <c r="N2163">
        <v>4250</v>
      </c>
      <c r="O2163">
        <v>8</v>
      </c>
      <c r="P2163">
        <v>296</v>
      </c>
      <c r="Q2163">
        <v>0</v>
      </c>
      <c r="R2163">
        <v>9326403697</v>
      </c>
      <c r="S2163">
        <v>13410568.42</v>
      </c>
      <c r="T2163">
        <v>9312993128.5799999</v>
      </c>
      <c r="U2163">
        <v>9312993128.5799999</v>
      </c>
      <c r="V2163">
        <v>0</v>
      </c>
      <c r="W2163">
        <v>0</v>
      </c>
    </row>
    <row r="2164" spans="1:23" x14ac:dyDescent="0.35">
      <c r="A2164" t="s">
        <v>1</v>
      </c>
      <c r="B2164">
        <v>4500</v>
      </c>
      <c r="C2164">
        <v>8</v>
      </c>
      <c r="D2164">
        <v>224</v>
      </c>
      <c r="E2164">
        <v>0</v>
      </c>
      <c r="F2164">
        <v>8199539734</v>
      </c>
      <c r="G2164">
        <v>11281021.539999999</v>
      </c>
      <c r="H2164">
        <v>8188258712.46</v>
      </c>
      <c r="I2164">
        <v>8188258712.46</v>
      </c>
      <c r="J2164">
        <v>0</v>
      </c>
      <c r="K2164">
        <v>0</v>
      </c>
      <c r="M2164" t="s">
        <v>2</v>
      </c>
      <c r="N2164">
        <v>4000</v>
      </c>
      <c r="O2164">
        <v>8</v>
      </c>
      <c r="P2164">
        <v>61</v>
      </c>
      <c r="Q2164">
        <v>0</v>
      </c>
      <c r="R2164">
        <v>1793594668</v>
      </c>
      <c r="S2164">
        <v>2689951.33</v>
      </c>
      <c r="T2164">
        <v>1790904716.6700001</v>
      </c>
      <c r="U2164">
        <v>1790904716.6700001</v>
      </c>
      <c r="V2164">
        <v>0</v>
      </c>
      <c r="W2164">
        <v>0</v>
      </c>
    </row>
    <row r="2165" spans="1:23" x14ac:dyDescent="0.35">
      <c r="A2165" t="s">
        <v>2</v>
      </c>
      <c r="B2165">
        <v>4500</v>
      </c>
      <c r="C2165">
        <v>8</v>
      </c>
      <c r="D2165">
        <v>32</v>
      </c>
      <c r="E2165">
        <v>0</v>
      </c>
      <c r="F2165">
        <v>840550705</v>
      </c>
      <c r="G2165">
        <v>1157764.3</v>
      </c>
      <c r="H2165">
        <v>839392940.70000005</v>
      </c>
      <c r="I2165">
        <v>839392940.70000005</v>
      </c>
      <c r="J2165">
        <v>0</v>
      </c>
      <c r="K2165">
        <v>0</v>
      </c>
      <c r="M2165" t="s">
        <v>2</v>
      </c>
      <c r="N2165">
        <v>4250</v>
      </c>
      <c r="O2165">
        <v>8</v>
      </c>
      <c r="P2165">
        <v>15</v>
      </c>
      <c r="Q2165">
        <v>0</v>
      </c>
      <c r="R2165">
        <v>396083869</v>
      </c>
      <c r="S2165">
        <v>571010.14</v>
      </c>
      <c r="T2165">
        <v>395512858.86000001</v>
      </c>
      <c r="U2165">
        <v>395512858.86000001</v>
      </c>
      <c r="V2165">
        <v>0</v>
      </c>
      <c r="W2165">
        <v>0</v>
      </c>
    </row>
    <row r="2166" spans="1:23" x14ac:dyDescent="0.35">
      <c r="A2166" t="s">
        <v>3</v>
      </c>
      <c r="B2166">
        <v>5500</v>
      </c>
      <c r="C2166">
        <v>8</v>
      </c>
      <c r="D2166">
        <v>2</v>
      </c>
      <c r="E2166">
        <v>0</v>
      </c>
      <c r="F2166">
        <v>86881343</v>
      </c>
      <c r="G2166">
        <v>100437.89</v>
      </c>
      <c r="H2166">
        <v>86780905.109999999</v>
      </c>
      <c r="I2166">
        <v>86780905.109999999</v>
      </c>
      <c r="J2166">
        <v>0</v>
      </c>
      <c r="K2166">
        <v>0</v>
      </c>
      <c r="M2166" t="s">
        <v>0</v>
      </c>
      <c r="N2166">
        <v>4500</v>
      </c>
      <c r="O2166">
        <v>8</v>
      </c>
      <c r="P2166">
        <v>558</v>
      </c>
      <c r="Q2166">
        <v>0</v>
      </c>
      <c r="R2166">
        <v>18886522241</v>
      </c>
      <c r="S2166">
        <v>25995941.890000001</v>
      </c>
      <c r="T2166">
        <v>18860526299.110001</v>
      </c>
      <c r="U2166">
        <v>18860526299.110001</v>
      </c>
      <c r="V2166">
        <v>0</v>
      </c>
      <c r="W2166">
        <v>0</v>
      </c>
    </row>
    <row r="2167" spans="1:23" x14ac:dyDescent="0.35">
      <c r="A2167" t="s">
        <v>1</v>
      </c>
      <c r="B2167">
        <v>3250</v>
      </c>
      <c r="C2167">
        <v>7</v>
      </c>
      <c r="D2167">
        <v>1</v>
      </c>
      <c r="E2167">
        <v>0</v>
      </c>
      <c r="F2167">
        <v>34189251</v>
      </c>
      <c r="G2167">
        <v>59180.1</v>
      </c>
      <c r="H2167">
        <v>34130070.899999999</v>
      </c>
      <c r="I2167">
        <v>34130070.899999999</v>
      </c>
      <c r="J2167">
        <v>0</v>
      </c>
      <c r="K2167">
        <v>0</v>
      </c>
      <c r="M2167" t="s">
        <v>2</v>
      </c>
      <c r="N2167">
        <v>4500</v>
      </c>
      <c r="O2167">
        <v>8</v>
      </c>
      <c r="P2167">
        <v>24</v>
      </c>
      <c r="Q2167">
        <v>0</v>
      </c>
      <c r="R2167">
        <v>701951905</v>
      </c>
      <c r="S2167">
        <v>965531.7</v>
      </c>
      <c r="T2167">
        <v>700986373.29999995</v>
      </c>
      <c r="U2167">
        <v>700986373.29999995</v>
      </c>
      <c r="V2167">
        <v>0</v>
      </c>
      <c r="W2167">
        <v>0</v>
      </c>
    </row>
    <row r="2168" spans="1:23" x14ac:dyDescent="0.35">
      <c r="A2168" t="s">
        <v>2</v>
      </c>
      <c r="B2168">
        <v>2750</v>
      </c>
      <c r="C2168">
        <v>8</v>
      </c>
      <c r="D2168">
        <v>1</v>
      </c>
      <c r="E2168">
        <v>0</v>
      </c>
      <c r="F2168">
        <v>14172124</v>
      </c>
      <c r="G2168">
        <v>29670.98</v>
      </c>
      <c r="H2168">
        <v>14142453.02</v>
      </c>
      <c r="I2168">
        <v>14142453.02</v>
      </c>
      <c r="J2168">
        <v>0</v>
      </c>
      <c r="K2168">
        <v>0</v>
      </c>
      <c r="M2168" t="s">
        <v>3</v>
      </c>
      <c r="N2168">
        <v>5250</v>
      </c>
      <c r="O2168">
        <v>8</v>
      </c>
      <c r="P2168">
        <v>2</v>
      </c>
      <c r="Q2168">
        <v>0</v>
      </c>
      <c r="R2168">
        <v>64346213</v>
      </c>
      <c r="S2168">
        <v>77149.539999999994</v>
      </c>
      <c r="T2168">
        <v>64269063.460000001</v>
      </c>
      <c r="U2168">
        <v>64269063.460000001</v>
      </c>
      <c r="V2168">
        <v>0</v>
      </c>
      <c r="W2168">
        <v>0</v>
      </c>
    </row>
    <row r="2169" spans="1:23" x14ac:dyDescent="0.35">
      <c r="A2169" t="s">
        <v>1</v>
      </c>
      <c r="B2169">
        <v>3000</v>
      </c>
      <c r="C2169">
        <v>8</v>
      </c>
      <c r="D2169">
        <v>1</v>
      </c>
      <c r="E2169">
        <v>0</v>
      </c>
      <c r="F2169">
        <v>36896500</v>
      </c>
      <c r="G2169">
        <v>65609.94</v>
      </c>
      <c r="H2169">
        <v>36830890.060000002</v>
      </c>
      <c r="I2169">
        <v>36830890.060000002</v>
      </c>
      <c r="J2169">
        <v>0</v>
      </c>
      <c r="K2169">
        <v>0</v>
      </c>
      <c r="M2169" t="s">
        <v>3</v>
      </c>
      <c r="N2169">
        <v>7500</v>
      </c>
      <c r="O2169">
        <v>8</v>
      </c>
      <c r="P2169">
        <v>1</v>
      </c>
      <c r="Q2169">
        <v>0</v>
      </c>
      <c r="R2169">
        <v>5887650</v>
      </c>
      <c r="S2169">
        <v>4620.8500000000004</v>
      </c>
      <c r="T2169">
        <v>5883029.1500000004</v>
      </c>
      <c r="U2169">
        <v>5883029.1500000004</v>
      </c>
      <c r="V2169">
        <v>0</v>
      </c>
      <c r="W2169">
        <v>0</v>
      </c>
    </row>
    <row r="2170" spans="1:23" x14ac:dyDescent="0.35">
      <c r="A2170" t="s">
        <v>0</v>
      </c>
      <c r="B2170">
        <v>2750</v>
      </c>
      <c r="C2170">
        <v>9</v>
      </c>
      <c r="D2170">
        <v>1</v>
      </c>
      <c r="E2170">
        <v>0</v>
      </c>
      <c r="F2170">
        <v>22457348</v>
      </c>
      <c r="G2170">
        <v>41731.24</v>
      </c>
      <c r="H2170">
        <v>22415616.760000002</v>
      </c>
      <c r="I2170">
        <v>22415616.760000002</v>
      </c>
      <c r="J2170">
        <v>0</v>
      </c>
      <c r="K2170">
        <v>0</v>
      </c>
      <c r="M2170" t="s">
        <v>1</v>
      </c>
      <c r="N2170">
        <v>8000</v>
      </c>
      <c r="O2170">
        <v>8</v>
      </c>
      <c r="P2170">
        <v>2</v>
      </c>
      <c r="Q2170">
        <v>0</v>
      </c>
      <c r="R2170">
        <v>42195762</v>
      </c>
      <c r="S2170">
        <v>30041.33</v>
      </c>
      <c r="T2170">
        <v>42165720.670000002</v>
      </c>
      <c r="U2170">
        <v>42165720.670000002</v>
      </c>
      <c r="V2170">
        <v>0</v>
      </c>
      <c r="W2170">
        <v>0</v>
      </c>
    </row>
    <row r="2171" spans="1:23" x14ac:dyDescent="0.35">
      <c r="A2171" t="s">
        <v>1</v>
      </c>
      <c r="B2171">
        <v>3750</v>
      </c>
      <c r="C2171">
        <v>7</v>
      </c>
      <c r="D2171">
        <v>37</v>
      </c>
      <c r="E2171">
        <v>0</v>
      </c>
      <c r="F2171">
        <v>1434389808</v>
      </c>
      <c r="G2171">
        <v>2234541.71</v>
      </c>
      <c r="H2171">
        <v>1432155266.29</v>
      </c>
      <c r="I2171">
        <v>1432155266.29</v>
      </c>
      <c r="J2171">
        <v>0</v>
      </c>
      <c r="K2171">
        <v>0</v>
      </c>
      <c r="M2171" t="s">
        <v>1</v>
      </c>
      <c r="N2171">
        <v>2000</v>
      </c>
      <c r="O2171">
        <v>12</v>
      </c>
      <c r="P2171">
        <v>1</v>
      </c>
      <c r="Q2171">
        <v>0</v>
      </c>
      <c r="R2171">
        <v>35530050</v>
      </c>
      <c r="S2171">
        <v>75253.039999999994</v>
      </c>
      <c r="T2171">
        <v>35454796.960000001</v>
      </c>
      <c r="U2171">
        <v>35454796.960000001</v>
      </c>
      <c r="V2171">
        <v>0</v>
      </c>
      <c r="W2171">
        <v>0</v>
      </c>
    </row>
    <row r="2172" spans="1:23" x14ac:dyDescent="0.35">
      <c r="A2172" t="s">
        <v>0</v>
      </c>
      <c r="B2172">
        <v>3500</v>
      </c>
      <c r="C2172">
        <v>7</v>
      </c>
      <c r="D2172">
        <v>39</v>
      </c>
      <c r="E2172">
        <v>0</v>
      </c>
      <c r="F2172">
        <v>1277436499</v>
      </c>
      <c r="G2172">
        <v>2082227.36</v>
      </c>
      <c r="H2172">
        <v>1275354271.6400001</v>
      </c>
      <c r="I2172">
        <v>1275354271.6400001</v>
      </c>
      <c r="J2172">
        <v>0</v>
      </c>
      <c r="K2172">
        <v>0</v>
      </c>
      <c r="M2172" t="s">
        <v>1</v>
      </c>
      <c r="N2172">
        <v>2500</v>
      </c>
      <c r="O2172">
        <v>7</v>
      </c>
      <c r="P2172">
        <v>3</v>
      </c>
      <c r="Q2172">
        <v>0</v>
      </c>
      <c r="R2172">
        <v>159520287</v>
      </c>
      <c r="S2172">
        <v>306367.53999999998</v>
      </c>
      <c r="T2172">
        <v>159213919.46000001</v>
      </c>
      <c r="U2172">
        <v>159213919.46000001</v>
      </c>
      <c r="V2172">
        <v>0</v>
      </c>
      <c r="W2172">
        <v>0</v>
      </c>
    </row>
    <row r="2173" spans="1:23" x14ac:dyDescent="0.35">
      <c r="A2173" t="s">
        <v>1</v>
      </c>
      <c r="B2173">
        <v>3500</v>
      </c>
      <c r="C2173">
        <v>7</v>
      </c>
      <c r="D2173">
        <v>20</v>
      </c>
      <c r="E2173">
        <v>0</v>
      </c>
      <c r="F2173">
        <v>722564090</v>
      </c>
      <c r="G2173">
        <v>1183744.1399999999</v>
      </c>
      <c r="H2173">
        <v>721380345.86000001</v>
      </c>
      <c r="I2173">
        <v>721380345.86000001</v>
      </c>
      <c r="J2173">
        <v>0</v>
      </c>
      <c r="K2173">
        <v>0</v>
      </c>
      <c r="M2173" t="s">
        <v>1</v>
      </c>
      <c r="N2173">
        <v>2750</v>
      </c>
      <c r="O2173">
        <v>7</v>
      </c>
      <c r="P2173">
        <v>1</v>
      </c>
      <c r="Q2173">
        <v>0</v>
      </c>
      <c r="R2173">
        <v>20371509</v>
      </c>
      <c r="S2173">
        <v>42837.53</v>
      </c>
      <c r="T2173">
        <v>20328671.469999999</v>
      </c>
      <c r="U2173">
        <v>20328671.469999999</v>
      </c>
      <c r="V2173">
        <v>0</v>
      </c>
      <c r="W2173">
        <v>0</v>
      </c>
    </row>
    <row r="2174" spans="1:23" x14ac:dyDescent="0.35">
      <c r="A2174" t="s">
        <v>0</v>
      </c>
      <c r="B2174">
        <v>3750</v>
      </c>
      <c r="C2174">
        <v>7</v>
      </c>
      <c r="D2174">
        <v>107</v>
      </c>
      <c r="E2174">
        <v>0</v>
      </c>
      <c r="F2174">
        <v>4167211549</v>
      </c>
      <c r="G2174">
        <v>6489220.9199999999</v>
      </c>
      <c r="H2174">
        <v>4160722328.0799999</v>
      </c>
      <c r="I2174">
        <v>4160722328.0799999</v>
      </c>
      <c r="J2174">
        <v>0</v>
      </c>
      <c r="K2174">
        <v>0</v>
      </c>
      <c r="M2174" t="s">
        <v>2</v>
      </c>
      <c r="N2174">
        <v>2750</v>
      </c>
      <c r="O2174">
        <v>8</v>
      </c>
      <c r="P2174">
        <v>2</v>
      </c>
      <c r="Q2174">
        <v>0</v>
      </c>
      <c r="R2174">
        <v>31766974</v>
      </c>
      <c r="S2174">
        <v>62799.79</v>
      </c>
      <c r="T2174">
        <v>31704174.210000001</v>
      </c>
      <c r="U2174">
        <v>31704174.210000001</v>
      </c>
      <c r="V2174">
        <v>0</v>
      </c>
      <c r="W2174">
        <v>0</v>
      </c>
    </row>
    <row r="2175" spans="1:23" x14ac:dyDescent="0.35">
      <c r="A2175" t="s">
        <v>2</v>
      </c>
      <c r="B2175">
        <v>3250</v>
      </c>
      <c r="C2175">
        <v>8</v>
      </c>
      <c r="D2175">
        <v>1</v>
      </c>
      <c r="E2175">
        <v>0</v>
      </c>
      <c r="F2175">
        <v>25115603</v>
      </c>
      <c r="G2175">
        <v>42753.83</v>
      </c>
      <c r="H2175">
        <v>25072849.170000002</v>
      </c>
      <c r="I2175">
        <v>25072849.170000002</v>
      </c>
      <c r="J2175">
        <v>0</v>
      </c>
      <c r="K2175">
        <v>0</v>
      </c>
      <c r="M2175" t="s">
        <v>1</v>
      </c>
      <c r="N2175">
        <v>3000</v>
      </c>
      <c r="O2175">
        <v>8</v>
      </c>
      <c r="P2175">
        <v>1</v>
      </c>
      <c r="Q2175">
        <v>0</v>
      </c>
      <c r="R2175">
        <v>36712360</v>
      </c>
      <c r="S2175">
        <v>66545.23</v>
      </c>
      <c r="T2175">
        <v>36645814.770000003</v>
      </c>
      <c r="U2175">
        <v>36645814.770000003</v>
      </c>
      <c r="V2175">
        <v>0</v>
      </c>
      <c r="W2175">
        <v>0</v>
      </c>
    </row>
    <row r="2176" spans="1:23" x14ac:dyDescent="0.35">
      <c r="A2176" t="s">
        <v>2</v>
      </c>
      <c r="B2176">
        <v>3750</v>
      </c>
      <c r="C2176">
        <v>7</v>
      </c>
      <c r="D2176">
        <v>5</v>
      </c>
      <c r="E2176">
        <v>0</v>
      </c>
      <c r="F2176">
        <v>143760034</v>
      </c>
      <c r="G2176">
        <v>225109.47</v>
      </c>
      <c r="H2176">
        <v>143534924.53</v>
      </c>
      <c r="I2176">
        <v>143534924.53</v>
      </c>
      <c r="J2176">
        <v>0</v>
      </c>
      <c r="K2176">
        <v>0</v>
      </c>
      <c r="M2176" t="s">
        <v>1</v>
      </c>
      <c r="N2176">
        <v>2750</v>
      </c>
      <c r="O2176">
        <v>8</v>
      </c>
      <c r="P2176">
        <v>1</v>
      </c>
      <c r="Q2176">
        <v>0</v>
      </c>
      <c r="R2176">
        <v>27407438</v>
      </c>
      <c r="S2176">
        <v>58658</v>
      </c>
      <c r="T2176">
        <v>27348780</v>
      </c>
      <c r="U2176">
        <v>27348780</v>
      </c>
      <c r="V2176">
        <v>0</v>
      </c>
      <c r="W2176">
        <v>0</v>
      </c>
    </row>
    <row r="2177" spans="1:23" x14ac:dyDescent="0.35">
      <c r="A2177" t="s">
        <v>2</v>
      </c>
      <c r="B2177">
        <v>3500</v>
      </c>
      <c r="C2177">
        <v>7</v>
      </c>
      <c r="D2177">
        <v>7</v>
      </c>
      <c r="E2177">
        <v>0</v>
      </c>
      <c r="F2177">
        <v>205104354</v>
      </c>
      <c r="G2177">
        <v>334665</v>
      </c>
      <c r="H2177">
        <v>204769689</v>
      </c>
      <c r="I2177">
        <v>204769689</v>
      </c>
      <c r="J2177">
        <v>0</v>
      </c>
      <c r="K2177">
        <v>0</v>
      </c>
      <c r="M2177" t="s">
        <v>1</v>
      </c>
      <c r="N2177">
        <v>3250</v>
      </c>
      <c r="O2177">
        <v>8</v>
      </c>
      <c r="P2177">
        <v>3</v>
      </c>
      <c r="Q2177">
        <v>0</v>
      </c>
      <c r="R2177">
        <v>124461634</v>
      </c>
      <c r="S2177">
        <v>211868.74</v>
      </c>
      <c r="T2177">
        <v>124249765.26000001</v>
      </c>
      <c r="U2177">
        <v>124249765.26000001</v>
      </c>
      <c r="V2177">
        <v>0</v>
      </c>
      <c r="W2177">
        <v>0</v>
      </c>
    </row>
    <row r="2178" spans="1:23" x14ac:dyDescent="0.35">
      <c r="A2178" t="s">
        <v>0</v>
      </c>
      <c r="B2178">
        <v>3250</v>
      </c>
      <c r="C2178">
        <v>7</v>
      </c>
      <c r="D2178">
        <v>2</v>
      </c>
      <c r="E2178">
        <v>0</v>
      </c>
      <c r="F2178">
        <v>70699507</v>
      </c>
      <c r="G2178">
        <v>119821.97</v>
      </c>
      <c r="H2178">
        <v>70579685.030000001</v>
      </c>
      <c r="I2178">
        <v>70579685.030000001</v>
      </c>
      <c r="J2178">
        <v>0</v>
      </c>
      <c r="K2178">
        <v>0</v>
      </c>
      <c r="M2178" t="s">
        <v>2</v>
      </c>
      <c r="N2178">
        <v>3500</v>
      </c>
      <c r="O2178">
        <v>7</v>
      </c>
      <c r="P2178">
        <v>4</v>
      </c>
      <c r="Q2178">
        <v>0</v>
      </c>
      <c r="R2178">
        <v>117874344</v>
      </c>
      <c r="S2178">
        <v>192781.55</v>
      </c>
      <c r="T2178">
        <v>117681562.45</v>
      </c>
      <c r="U2178">
        <v>117681562.45</v>
      </c>
      <c r="V2178">
        <v>0</v>
      </c>
      <c r="W2178">
        <v>0</v>
      </c>
    </row>
    <row r="2179" spans="1:23" x14ac:dyDescent="0.35">
      <c r="A2179" t="s">
        <v>2</v>
      </c>
      <c r="B2179">
        <v>4000</v>
      </c>
      <c r="C2179">
        <v>7</v>
      </c>
      <c r="D2179">
        <v>131</v>
      </c>
      <c r="E2179">
        <v>0</v>
      </c>
      <c r="F2179">
        <v>3887509254</v>
      </c>
      <c r="G2179">
        <v>5803246.25</v>
      </c>
      <c r="H2179">
        <v>3881706007.75</v>
      </c>
      <c r="I2179">
        <v>3881706007.75</v>
      </c>
      <c r="J2179">
        <v>0</v>
      </c>
      <c r="K2179">
        <v>0</v>
      </c>
      <c r="M2179" t="s">
        <v>1</v>
      </c>
      <c r="N2179">
        <v>3750</v>
      </c>
      <c r="O2179">
        <v>7</v>
      </c>
      <c r="P2179">
        <v>72</v>
      </c>
      <c r="Q2179">
        <v>0</v>
      </c>
      <c r="R2179">
        <v>2831653244</v>
      </c>
      <c r="S2179">
        <v>4418349.16</v>
      </c>
      <c r="T2179">
        <v>2762787755.1100001</v>
      </c>
      <c r="U2179">
        <v>2785804214.3200002</v>
      </c>
      <c r="V2179">
        <v>0.241392</v>
      </c>
      <c r="W2179">
        <v>0.16211300000000001</v>
      </c>
    </row>
    <row r="2180" spans="1:23" x14ac:dyDescent="0.35">
      <c r="A2180" t="s">
        <v>1</v>
      </c>
      <c r="B2180">
        <v>4500</v>
      </c>
      <c r="C2180">
        <v>7</v>
      </c>
      <c r="D2180">
        <v>203</v>
      </c>
      <c r="E2180">
        <v>0</v>
      </c>
      <c r="F2180">
        <v>7499416989</v>
      </c>
      <c r="G2180">
        <v>10276575.65</v>
      </c>
      <c r="H2180">
        <v>7489140413.3500004</v>
      </c>
      <c r="I2180">
        <v>7489140413.3500004</v>
      </c>
      <c r="J2180">
        <v>0</v>
      </c>
      <c r="K2180">
        <v>0</v>
      </c>
      <c r="M2180" t="s">
        <v>0</v>
      </c>
      <c r="N2180">
        <v>3750</v>
      </c>
      <c r="O2180">
        <v>7</v>
      </c>
      <c r="P2180">
        <v>154</v>
      </c>
      <c r="Q2180">
        <v>0</v>
      </c>
      <c r="R2180">
        <v>5664059006</v>
      </c>
      <c r="S2180">
        <v>8816942.8800000008</v>
      </c>
      <c r="T2180">
        <v>5655242063.1199999</v>
      </c>
      <c r="U2180">
        <v>5655242063.1199999</v>
      </c>
      <c r="V2180">
        <v>0</v>
      </c>
      <c r="W2180">
        <v>0</v>
      </c>
    </row>
    <row r="2181" spans="1:23" x14ac:dyDescent="0.35">
      <c r="A2181" t="s">
        <v>2</v>
      </c>
      <c r="B2181">
        <v>4500</v>
      </c>
      <c r="C2181">
        <v>7</v>
      </c>
      <c r="D2181">
        <v>25</v>
      </c>
      <c r="E2181">
        <v>0</v>
      </c>
      <c r="F2181">
        <v>688452000</v>
      </c>
      <c r="G2181">
        <v>941836.67</v>
      </c>
      <c r="H2181">
        <v>687510163.33000004</v>
      </c>
      <c r="I2181">
        <v>687510163.33000004</v>
      </c>
      <c r="J2181">
        <v>0</v>
      </c>
      <c r="K2181">
        <v>0</v>
      </c>
      <c r="M2181" t="s">
        <v>0</v>
      </c>
      <c r="N2181">
        <v>3500</v>
      </c>
      <c r="O2181">
        <v>7</v>
      </c>
      <c r="P2181">
        <v>35</v>
      </c>
      <c r="Q2181">
        <v>0</v>
      </c>
      <c r="R2181">
        <v>1132543940</v>
      </c>
      <c r="S2181">
        <v>1844611.94</v>
      </c>
      <c r="T2181">
        <v>1130699328.0599999</v>
      </c>
      <c r="U2181">
        <v>1130699328.0599999</v>
      </c>
      <c r="V2181">
        <v>0</v>
      </c>
      <c r="W2181">
        <v>0</v>
      </c>
    </row>
    <row r="2182" spans="1:23" x14ac:dyDescent="0.35">
      <c r="A2182" t="s">
        <v>3</v>
      </c>
      <c r="B2182">
        <v>5500</v>
      </c>
      <c r="C2182">
        <v>7</v>
      </c>
      <c r="D2182">
        <v>2</v>
      </c>
      <c r="E2182">
        <v>0</v>
      </c>
      <c r="F2182">
        <v>66826132</v>
      </c>
      <c r="G2182">
        <v>77880.53</v>
      </c>
      <c r="H2182">
        <v>66748251.469999999</v>
      </c>
      <c r="I2182">
        <v>66748251.469999999</v>
      </c>
      <c r="J2182">
        <v>0</v>
      </c>
      <c r="K2182">
        <v>0</v>
      </c>
      <c r="M2182" t="s">
        <v>1</v>
      </c>
      <c r="N2182">
        <v>3250</v>
      </c>
      <c r="O2182">
        <v>7</v>
      </c>
      <c r="P2182">
        <v>16</v>
      </c>
      <c r="Q2182">
        <v>0</v>
      </c>
      <c r="R2182">
        <v>489790450</v>
      </c>
      <c r="S2182">
        <v>830099.97</v>
      </c>
      <c r="T2182">
        <v>471867294.63</v>
      </c>
      <c r="U2182">
        <v>488960350.02999997</v>
      </c>
      <c r="V2182">
        <v>0.34705799999999998</v>
      </c>
      <c r="W2182">
        <v>0</v>
      </c>
    </row>
    <row r="2183" spans="1:23" x14ac:dyDescent="0.35">
      <c r="A2183" t="s">
        <v>3</v>
      </c>
      <c r="B2183">
        <v>5250</v>
      </c>
      <c r="C2183">
        <v>8</v>
      </c>
      <c r="D2183">
        <v>1</v>
      </c>
      <c r="E2183">
        <v>0</v>
      </c>
      <c r="F2183">
        <v>20053388</v>
      </c>
      <c r="G2183">
        <v>24043.52</v>
      </c>
      <c r="H2183">
        <v>20029344.48</v>
      </c>
      <c r="I2183">
        <v>20029344.48</v>
      </c>
      <c r="J2183">
        <v>0</v>
      </c>
      <c r="K2183">
        <v>0</v>
      </c>
      <c r="M2183" t="s">
        <v>2</v>
      </c>
      <c r="N2183">
        <v>3250</v>
      </c>
      <c r="O2183">
        <v>9</v>
      </c>
      <c r="P2183">
        <v>1</v>
      </c>
      <c r="Q2183">
        <v>0</v>
      </c>
      <c r="R2183">
        <v>42106583</v>
      </c>
      <c r="S2183">
        <v>71993.94</v>
      </c>
      <c r="T2183">
        <v>42034589.060000002</v>
      </c>
      <c r="U2183">
        <v>42034589.060000002</v>
      </c>
      <c r="V2183">
        <v>0</v>
      </c>
      <c r="W2183">
        <v>0</v>
      </c>
    </row>
    <row r="2184" spans="1:23" x14ac:dyDescent="0.35">
      <c r="A2184" t="s">
        <v>3</v>
      </c>
      <c r="B2184">
        <v>5250</v>
      </c>
      <c r="C2184">
        <v>7</v>
      </c>
      <c r="D2184">
        <v>1</v>
      </c>
      <c r="E2184">
        <v>0</v>
      </c>
      <c r="F2184">
        <v>47334260</v>
      </c>
      <c r="G2184">
        <v>56438.04</v>
      </c>
      <c r="H2184">
        <v>47277821.960000001</v>
      </c>
      <c r="I2184">
        <v>47277821.960000001</v>
      </c>
      <c r="J2184">
        <v>0</v>
      </c>
      <c r="K2184">
        <v>0</v>
      </c>
      <c r="M2184" t="s">
        <v>1</v>
      </c>
      <c r="N2184">
        <v>3500</v>
      </c>
      <c r="O2184">
        <v>7</v>
      </c>
      <c r="P2184">
        <v>13</v>
      </c>
      <c r="Q2184">
        <v>0</v>
      </c>
      <c r="R2184">
        <v>446788685</v>
      </c>
      <c r="S2184">
        <v>730422.55</v>
      </c>
      <c r="T2184">
        <v>446058262.44999999</v>
      </c>
      <c r="U2184">
        <v>446058262.44999999</v>
      </c>
      <c r="V2184">
        <v>0</v>
      </c>
      <c r="W2184">
        <v>0</v>
      </c>
    </row>
    <row r="2185" spans="1:23" x14ac:dyDescent="0.35">
      <c r="A2185" t="s">
        <v>3</v>
      </c>
      <c r="B2185">
        <v>7250</v>
      </c>
      <c r="C2185">
        <v>8</v>
      </c>
      <c r="D2185">
        <v>2</v>
      </c>
      <c r="E2185">
        <v>0</v>
      </c>
      <c r="F2185">
        <v>63269220</v>
      </c>
      <c r="G2185">
        <v>52655.85</v>
      </c>
      <c r="H2185">
        <v>63216564.149999999</v>
      </c>
      <c r="I2185">
        <v>63216564.149999999</v>
      </c>
      <c r="J2185">
        <v>0</v>
      </c>
      <c r="K2185">
        <v>0</v>
      </c>
      <c r="M2185" t="s">
        <v>0</v>
      </c>
      <c r="N2185">
        <v>3250</v>
      </c>
      <c r="O2185">
        <v>7</v>
      </c>
      <c r="P2185">
        <v>5</v>
      </c>
      <c r="Q2185">
        <v>0</v>
      </c>
      <c r="R2185">
        <v>183228176</v>
      </c>
      <c r="S2185">
        <v>310821.32</v>
      </c>
      <c r="T2185">
        <v>182917354.68000001</v>
      </c>
      <c r="U2185">
        <v>182917354.68000001</v>
      </c>
      <c r="V2185">
        <v>0</v>
      </c>
      <c r="W2185">
        <v>0</v>
      </c>
    </row>
    <row r="2186" spans="1:23" x14ac:dyDescent="0.35">
      <c r="A2186" t="s">
        <v>0</v>
      </c>
      <c r="B2186">
        <v>3250</v>
      </c>
      <c r="C2186">
        <v>6</v>
      </c>
      <c r="D2186">
        <v>17</v>
      </c>
      <c r="E2186">
        <v>0</v>
      </c>
      <c r="F2186">
        <v>550232654</v>
      </c>
      <c r="G2186">
        <v>930036.5</v>
      </c>
      <c r="H2186">
        <v>549302617.5</v>
      </c>
      <c r="I2186">
        <v>549302617.5</v>
      </c>
      <c r="J2186">
        <v>0</v>
      </c>
      <c r="K2186">
        <v>0</v>
      </c>
      <c r="M2186" t="s">
        <v>2</v>
      </c>
      <c r="N2186">
        <v>3750</v>
      </c>
      <c r="O2186">
        <v>7</v>
      </c>
      <c r="P2186">
        <v>3</v>
      </c>
      <c r="Q2186">
        <v>0</v>
      </c>
      <c r="R2186">
        <v>82249557</v>
      </c>
      <c r="S2186">
        <v>127978.08</v>
      </c>
      <c r="T2186">
        <v>82121578.920000002</v>
      </c>
      <c r="U2186">
        <v>82121578.920000002</v>
      </c>
      <c r="V2186">
        <v>0</v>
      </c>
      <c r="W2186">
        <v>0</v>
      </c>
    </row>
    <row r="2187" spans="1:23" x14ac:dyDescent="0.35">
      <c r="A2187" t="s">
        <v>0</v>
      </c>
      <c r="B2187">
        <v>2750</v>
      </c>
      <c r="C2187">
        <v>6</v>
      </c>
      <c r="D2187">
        <v>2</v>
      </c>
      <c r="E2187">
        <v>0</v>
      </c>
      <c r="F2187">
        <v>53170266</v>
      </c>
      <c r="G2187">
        <v>97585.65</v>
      </c>
      <c r="H2187">
        <v>53072680.350000001</v>
      </c>
      <c r="I2187">
        <v>53072680.350000001</v>
      </c>
      <c r="J2187">
        <v>0</v>
      </c>
      <c r="K2187">
        <v>0</v>
      </c>
      <c r="M2187" t="s">
        <v>1</v>
      </c>
      <c r="N2187">
        <v>4000</v>
      </c>
      <c r="O2187">
        <v>7</v>
      </c>
      <c r="P2187">
        <v>630</v>
      </c>
      <c r="Q2187">
        <v>0</v>
      </c>
      <c r="R2187">
        <v>22611489723</v>
      </c>
      <c r="S2187">
        <v>33792087.439999998</v>
      </c>
      <c r="T2187">
        <v>22544920582.790001</v>
      </c>
      <c r="U2187">
        <v>22577697635.560001</v>
      </c>
      <c r="V2187">
        <v>1.7257000000000002E-2</v>
      </c>
      <c r="W2187">
        <v>0</v>
      </c>
    </row>
    <row r="2188" spans="1:23" x14ac:dyDescent="0.35">
      <c r="A2188" t="s">
        <v>1</v>
      </c>
      <c r="B2188">
        <v>3000</v>
      </c>
      <c r="C2188">
        <v>6</v>
      </c>
      <c r="D2188">
        <v>1</v>
      </c>
      <c r="E2188">
        <v>0</v>
      </c>
      <c r="F2188">
        <v>27452717</v>
      </c>
      <c r="G2188">
        <v>49345.27</v>
      </c>
      <c r="H2188">
        <v>27403371.73</v>
      </c>
      <c r="I2188">
        <v>27403371.73</v>
      </c>
      <c r="J2188">
        <v>0</v>
      </c>
      <c r="K2188">
        <v>0</v>
      </c>
      <c r="M2188" t="s">
        <v>0</v>
      </c>
      <c r="N2188">
        <v>4250</v>
      </c>
      <c r="O2188">
        <v>7</v>
      </c>
      <c r="P2188">
        <v>326</v>
      </c>
      <c r="Q2188">
        <v>0</v>
      </c>
      <c r="R2188">
        <v>10485062250</v>
      </c>
      <c r="S2188">
        <v>15021509.449999999</v>
      </c>
      <c r="T2188">
        <v>10470040740.549999</v>
      </c>
      <c r="U2188">
        <v>10470040740.549999</v>
      </c>
      <c r="V2188">
        <v>0</v>
      </c>
      <c r="W2188">
        <v>0</v>
      </c>
    </row>
    <row r="2189" spans="1:23" x14ac:dyDescent="0.35">
      <c r="A2189" t="s">
        <v>1</v>
      </c>
      <c r="B2189">
        <v>3500</v>
      </c>
      <c r="C2189">
        <v>6</v>
      </c>
      <c r="D2189">
        <v>21</v>
      </c>
      <c r="E2189">
        <v>0</v>
      </c>
      <c r="F2189">
        <v>754961775</v>
      </c>
      <c r="G2189">
        <v>1228179.46</v>
      </c>
      <c r="H2189">
        <v>753733595.53999996</v>
      </c>
      <c r="I2189">
        <v>753733595.53999996</v>
      </c>
      <c r="J2189">
        <v>0</v>
      </c>
      <c r="K2189">
        <v>0</v>
      </c>
      <c r="M2189" t="s">
        <v>1</v>
      </c>
      <c r="N2189">
        <v>4250</v>
      </c>
      <c r="O2189">
        <v>7</v>
      </c>
      <c r="P2189">
        <v>171</v>
      </c>
      <c r="Q2189">
        <v>0</v>
      </c>
      <c r="R2189">
        <v>6208112107</v>
      </c>
      <c r="S2189">
        <v>8900490.8599999994</v>
      </c>
      <c r="T2189">
        <v>6132013387.9499998</v>
      </c>
      <c r="U2189">
        <v>6163727400.3900003</v>
      </c>
      <c r="V2189">
        <v>0.122431</v>
      </c>
      <c r="W2189">
        <v>6.6474000000000005E-2</v>
      </c>
    </row>
    <row r="2190" spans="1:23" x14ac:dyDescent="0.35">
      <c r="A2190" t="s">
        <v>0</v>
      </c>
      <c r="B2190">
        <v>3750</v>
      </c>
      <c r="C2190">
        <v>6</v>
      </c>
      <c r="D2190">
        <v>138</v>
      </c>
      <c r="E2190">
        <v>0</v>
      </c>
      <c r="F2190">
        <v>5181376116</v>
      </c>
      <c r="G2190">
        <v>8027671.2199999997</v>
      </c>
      <c r="H2190">
        <v>5173348444.7799997</v>
      </c>
      <c r="I2190">
        <v>5173348444.7799997</v>
      </c>
      <c r="J2190">
        <v>0</v>
      </c>
      <c r="K2190">
        <v>0</v>
      </c>
      <c r="M2190" t="s">
        <v>2</v>
      </c>
      <c r="N2190">
        <v>4000</v>
      </c>
      <c r="O2190">
        <v>7</v>
      </c>
      <c r="P2190">
        <v>84</v>
      </c>
      <c r="Q2190">
        <v>0</v>
      </c>
      <c r="R2190">
        <v>2520399334</v>
      </c>
      <c r="S2190">
        <v>3763423.32</v>
      </c>
      <c r="T2190">
        <v>2516635910.6799998</v>
      </c>
      <c r="U2190">
        <v>2516635910.6799998</v>
      </c>
      <c r="V2190">
        <v>0</v>
      </c>
      <c r="W2190">
        <v>0</v>
      </c>
    </row>
    <row r="2191" spans="1:23" x14ac:dyDescent="0.35">
      <c r="A2191" t="s">
        <v>2</v>
      </c>
      <c r="B2191">
        <v>3250</v>
      </c>
      <c r="C2191">
        <v>7</v>
      </c>
      <c r="D2191">
        <v>1</v>
      </c>
      <c r="E2191">
        <v>0</v>
      </c>
      <c r="F2191">
        <v>33445777</v>
      </c>
      <c r="G2191">
        <v>56684.12</v>
      </c>
      <c r="H2191">
        <v>33389092.879999999</v>
      </c>
      <c r="I2191">
        <v>33389092.879999999</v>
      </c>
      <c r="J2191">
        <v>0</v>
      </c>
      <c r="K2191">
        <v>0</v>
      </c>
      <c r="M2191" t="s">
        <v>2</v>
      </c>
      <c r="N2191">
        <v>4250</v>
      </c>
      <c r="O2191">
        <v>7</v>
      </c>
      <c r="P2191">
        <v>13</v>
      </c>
      <c r="Q2191">
        <v>0</v>
      </c>
      <c r="R2191">
        <v>356186981</v>
      </c>
      <c r="S2191">
        <v>514459.6</v>
      </c>
      <c r="T2191">
        <v>355672521.39999998</v>
      </c>
      <c r="U2191">
        <v>355672521.39999998</v>
      </c>
      <c r="V2191">
        <v>0</v>
      </c>
      <c r="W2191">
        <v>0</v>
      </c>
    </row>
    <row r="2192" spans="1:23" x14ac:dyDescent="0.35">
      <c r="A2192" t="s">
        <v>2</v>
      </c>
      <c r="B2192">
        <v>3500</v>
      </c>
      <c r="C2192">
        <v>6</v>
      </c>
      <c r="D2192">
        <v>5</v>
      </c>
      <c r="E2192">
        <v>0</v>
      </c>
      <c r="F2192">
        <v>128565091</v>
      </c>
      <c r="G2192">
        <v>211918.26</v>
      </c>
      <c r="H2192">
        <v>128353172.73999999</v>
      </c>
      <c r="I2192">
        <v>128353172.73999999</v>
      </c>
      <c r="J2192">
        <v>0</v>
      </c>
      <c r="K2192">
        <v>0</v>
      </c>
      <c r="M2192" t="s">
        <v>0</v>
      </c>
      <c r="N2192">
        <v>4500</v>
      </c>
      <c r="O2192">
        <v>7</v>
      </c>
      <c r="P2192">
        <v>582</v>
      </c>
      <c r="Q2192">
        <v>0</v>
      </c>
      <c r="R2192">
        <v>19376377450</v>
      </c>
      <c r="S2192">
        <v>26571704.100000001</v>
      </c>
      <c r="T2192">
        <v>19349805745.900002</v>
      </c>
      <c r="U2192">
        <v>19349805745.900002</v>
      </c>
      <c r="V2192">
        <v>0</v>
      </c>
      <c r="W2192">
        <v>0</v>
      </c>
    </row>
    <row r="2193" spans="1:23" x14ac:dyDescent="0.35">
      <c r="A2193" t="s">
        <v>0</v>
      </c>
      <c r="B2193">
        <v>3500</v>
      </c>
      <c r="C2193">
        <v>6</v>
      </c>
      <c r="D2193">
        <v>47</v>
      </c>
      <c r="E2193">
        <v>0</v>
      </c>
      <c r="F2193">
        <v>1589533210</v>
      </c>
      <c r="G2193">
        <v>2577659.2400000002</v>
      </c>
      <c r="H2193">
        <v>1586955550.76</v>
      </c>
      <c r="I2193">
        <v>1586955550.76</v>
      </c>
      <c r="J2193">
        <v>0</v>
      </c>
      <c r="K2193">
        <v>0</v>
      </c>
      <c r="M2193" t="s">
        <v>1</v>
      </c>
      <c r="N2193">
        <v>4500</v>
      </c>
      <c r="O2193">
        <v>7</v>
      </c>
      <c r="P2193">
        <v>225</v>
      </c>
      <c r="Q2193">
        <v>0</v>
      </c>
      <c r="R2193">
        <v>8243538350</v>
      </c>
      <c r="S2193">
        <v>11283820.17</v>
      </c>
      <c r="T2193">
        <v>8232254529.8299999</v>
      </c>
      <c r="U2193">
        <v>8232254529.8299999</v>
      </c>
      <c r="V2193">
        <v>0</v>
      </c>
      <c r="W2193">
        <v>0</v>
      </c>
    </row>
    <row r="2194" spans="1:23" x14ac:dyDescent="0.35">
      <c r="A2194" t="s">
        <v>1</v>
      </c>
      <c r="B2194">
        <v>3250</v>
      </c>
      <c r="C2194">
        <v>6</v>
      </c>
      <c r="D2194">
        <v>15</v>
      </c>
      <c r="E2194">
        <v>0</v>
      </c>
      <c r="F2194">
        <v>453668826</v>
      </c>
      <c r="G2194">
        <v>765510.16</v>
      </c>
      <c r="H2194">
        <v>452903315.83999997</v>
      </c>
      <c r="I2194">
        <v>452903315.83999997</v>
      </c>
      <c r="J2194">
        <v>0</v>
      </c>
      <c r="K2194">
        <v>0</v>
      </c>
      <c r="M2194" t="s">
        <v>2</v>
      </c>
      <c r="N2194">
        <v>4500</v>
      </c>
      <c r="O2194">
        <v>7</v>
      </c>
      <c r="P2194">
        <v>32</v>
      </c>
      <c r="Q2194">
        <v>0</v>
      </c>
      <c r="R2194">
        <v>842115759</v>
      </c>
      <c r="S2194">
        <v>1154024.04</v>
      </c>
      <c r="T2194">
        <v>840961734.96000004</v>
      </c>
      <c r="U2194">
        <v>840961734.96000004</v>
      </c>
      <c r="V2194">
        <v>0</v>
      </c>
      <c r="W2194">
        <v>0</v>
      </c>
    </row>
    <row r="2195" spans="1:23" x14ac:dyDescent="0.35">
      <c r="A2195" t="s">
        <v>1</v>
      </c>
      <c r="B2195">
        <v>4000</v>
      </c>
      <c r="C2195">
        <v>6</v>
      </c>
      <c r="D2195">
        <v>551</v>
      </c>
      <c r="E2195">
        <v>0</v>
      </c>
      <c r="F2195">
        <v>20568160139</v>
      </c>
      <c r="G2195">
        <v>30591531.57</v>
      </c>
      <c r="H2195">
        <v>20537568607.43</v>
      </c>
      <c r="I2195">
        <v>20537568607.43</v>
      </c>
      <c r="J2195">
        <v>0</v>
      </c>
      <c r="K2195">
        <v>0</v>
      </c>
      <c r="M2195" t="s">
        <v>3</v>
      </c>
      <c r="N2195">
        <v>5500</v>
      </c>
      <c r="O2195">
        <v>7</v>
      </c>
      <c r="P2195">
        <v>2</v>
      </c>
      <c r="Q2195">
        <v>0</v>
      </c>
      <c r="R2195">
        <v>86982614</v>
      </c>
      <c r="S2195">
        <v>99985.31</v>
      </c>
      <c r="T2195">
        <v>86882628.689999998</v>
      </c>
      <c r="U2195">
        <v>86882628.689999998</v>
      </c>
      <c r="V2195">
        <v>0</v>
      </c>
      <c r="W2195">
        <v>0</v>
      </c>
    </row>
    <row r="2196" spans="1:23" x14ac:dyDescent="0.35">
      <c r="A2196" t="s">
        <v>2</v>
      </c>
      <c r="B2196">
        <v>4000</v>
      </c>
      <c r="C2196">
        <v>6</v>
      </c>
      <c r="D2196">
        <v>10</v>
      </c>
      <c r="E2196">
        <v>0</v>
      </c>
      <c r="F2196">
        <v>272759682</v>
      </c>
      <c r="G2196">
        <v>405156.45</v>
      </c>
      <c r="H2196">
        <v>272354525.55000001</v>
      </c>
      <c r="I2196">
        <v>272354525.55000001</v>
      </c>
      <c r="J2196">
        <v>0</v>
      </c>
      <c r="K2196">
        <v>0</v>
      </c>
      <c r="M2196" t="s">
        <v>1</v>
      </c>
      <c r="N2196">
        <v>3250</v>
      </c>
      <c r="O2196">
        <v>6</v>
      </c>
      <c r="P2196">
        <v>1</v>
      </c>
      <c r="Q2196">
        <v>0</v>
      </c>
      <c r="R2196">
        <v>34248952</v>
      </c>
      <c r="S2196">
        <v>59027.55</v>
      </c>
      <c r="T2196">
        <v>34189924.450000003</v>
      </c>
      <c r="U2196">
        <v>34189924.450000003</v>
      </c>
      <c r="V2196">
        <v>0</v>
      </c>
      <c r="W2196">
        <v>0</v>
      </c>
    </row>
    <row r="2197" spans="1:23" x14ac:dyDescent="0.35">
      <c r="A2197" t="s">
        <v>2</v>
      </c>
      <c r="B2197">
        <v>4250</v>
      </c>
      <c r="C2197">
        <v>6</v>
      </c>
      <c r="D2197">
        <v>1</v>
      </c>
      <c r="E2197">
        <v>0</v>
      </c>
      <c r="F2197">
        <v>21229131</v>
      </c>
      <c r="G2197">
        <v>30126.36</v>
      </c>
      <c r="H2197">
        <v>21199004.640000001</v>
      </c>
      <c r="I2197">
        <v>21199004.640000001</v>
      </c>
      <c r="J2197">
        <v>0</v>
      </c>
      <c r="K2197">
        <v>0</v>
      </c>
      <c r="M2197" t="s">
        <v>2</v>
      </c>
      <c r="N2197">
        <v>2750</v>
      </c>
      <c r="O2197">
        <v>7</v>
      </c>
      <c r="P2197">
        <v>1</v>
      </c>
      <c r="Q2197">
        <v>0</v>
      </c>
      <c r="R2197">
        <v>14201727</v>
      </c>
      <c r="S2197">
        <v>29603.14</v>
      </c>
      <c r="T2197">
        <v>14172123.859999999</v>
      </c>
      <c r="U2197">
        <v>14172123.859999999</v>
      </c>
      <c r="V2197">
        <v>0</v>
      </c>
      <c r="W2197">
        <v>0</v>
      </c>
    </row>
    <row r="2198" spans="1:23" x14ac:dyDescent="0.35">
      <c r="A2198" t="s">
        <v>2</v>
      </c>
      <c r="B2198">
        <v>4500</v>
      </c>
      <c r="C2198">
        <v>6</v>
      </c>
      <c r="D2198">
        <v>3</v>
      </c>
      <c r="E2198">
        <v>0</v>
      </c>
      <c r="F2198">
        <v>82991929</v>
      </c>
      <c r="G2198">
        <v>113427.76</v>
      </c>
      <c r="H2198">
        <v>82878501.239999995</v>
      </c>
      <c r="I2198">
        <v>82878501.239999995</v>
      </c>
      <c r="J2198">
        <v>0</v>
      </c>
      <c r="K2198">
        <v>0</v>
      </c>
      <c r="M2198" t="s">
        <v>1</v>
      </c>
      <c r="N2198">
        <v>3000</v>
      </c>
      <c r="O2198">
        <v>7</v>
      </c>
      <c r="P2198">
        <v>1</v>
      </c>
      <c r="Q2198">
        <v>0</v>
      </c>
      <c r="R2198">
        <v>37027231</v>
      </c>
      <c r="S2198">
        <v>65562.460000000006</v>
      </c>
      <c r="T2198">
        <v>36961668.539999999</v>
      </c>
      <c r="U2198">
        <v>36961668.539999999</v>
      </c>
      <c r="V2198">
        <v>0</v>
      </c>
      <c r="W2198">
        <v>0</v>
      </c>
    </row>
    <row r="2199" spans="1:23" x14ac:dyDescent="0.35">
      <c r="A2199" t="s">
        <v>3</v>
      </c>
      <c r="B2199">
        <v>6750</v>
      </c>
      <c r="C2199">
        <v>6</v>
      </c>
      <c r="D2199">
        <v>2</v>
      </c>
      <c r="E2199">
        <v>0</v>
      </c>
      <c r="F2199">
        <v>33461503</v>
      </c>
      <c r="G2199">
        <v>30092.720000000001</v>
      </c>
      <c r="H2199">
        <v>33431410.280000001</v>
      </c>
      <c r="I2199">
        <v>33431410.280000001</v>
      </c>
      <c r="J2199">
        <v>0</v>
      </c>
      <c r="K2199">
        <v>0</v>
      </c>
      <c r="M2199" t="s">
        <v>0</v>
      </c>
      <c r="N2199">
        <v>2750</v>
      </c>
      <c r="O2199">
        <v>8</v>
      </c>
      <c r="P2199">
        <v>1</v>
      </c>
      <c r="Q2199">
        <v>0</v>
      </c>
      <c r="R2199">
        <v>22457348</v>
      </c>
      <c r="S2199">
        <v>41558.78</v>
      </c>
      <c r="T2199">
        <v>22415789.219999999</v>
      </c>
      <c r="U2199">
        <v>22415789.219999999</v>
      </c>
      <c r="V2199">
        <v>0</v>
      </c>
      <c r="W2199">
        <v>0</v>
      </c>
    </row>
    <row r="2200" spans="1:23" x14ac:dyDescent="0.35">
      <c r="A2200" t="s">
        <v>2</v>
      </c>
      <c r="B2200">
        <v>7750</v>
      </c>
      <c r="C2200">
        <v>6</v>
      </c>
      <c r="D2200">
        <v>2</v>
      </c>
      <c r="E2200">
        <v>0</v>
      </c>
      <c r="F2200">
        <v>42485759</v>
      </c>
      <c r="G2200">
        <v>32824.92</v>
      </c>
      <c r="H2200">
        <v>42452934.079999998</v>
      </c>
      <c r="I2200">
        <v>42452934.079999998</v>
      </c>
      <c r="J2200">
        <v>0</v>
      </c>
      <c r="K2200">
        <v>0</v>
      </c>
      <c r="M2200" t="s">
        <v>1</v>
      </c>
      <c r="N2200">
        <v>3750</v>
      </c>
      <c r="O2200">
        <v>6</v>
      </c>
      <c r="P2200">
        <v>37</v>
      </c>
      <c r="Q2200">
        <v>0</v>
      </c>
      <c r="R2200">
        <v>1438588369</v>
      </c>
      <c r="S2200">
        <v>2230652.37</v>
      </c>
      <c r="T2200">
        <v>1436357716.6300001</v>
      </c>
      <c r="U2200">
        <v>1436357716.6300001</v>
      </c>
      <c r="V2200">
        <v>0</v>
      </c>
      <c r="W2200">
        <v>0</v>
      </c>
    </row>
    <row r="2201" spans="1:23" x14ac:dyDescent="0.35">
      <c r="A2201" t="s">
        <v>2</v>
      </c>
      <c r="B2201">
        <v>7500</v>
      </c>
      <c r="C2201">
        <v>6</v>
      </c>
      <c r="D2201">
        <v>5</v>
      </c>
      <c r="E2201">
        <v>0</v>
      </c>
      <c r="F2201">
        <v>76776994</v>
      </c>
      <c r="G2201">
        <v>70987.960000000006</v>
      </c>
      <c r="H2201">
        <v>76706006.040000007</v>
      </c>
      <c r="I2201">
        <v>76706006.040000007</v>
      </c>
      <c r="J2201">
        <v>0</v>
      </c>
      <c r="K2201">
        <v>0</v>
      </c>
      <c r="M2201" t="s">
        <v>0</v>
      </c>
      <c r="N2201">
        <v>3500</v>
      </c>
      <c r="O2201">
        <v>6</v>
      </c>
      <c r="P2201">
        <v>39</v>
      </c>
      <c r="Q2201">
        <v>0</v>
      </c>
      <c r="R2201">
        <v>1286937760</v>
      </c>
      <c r="S2201">
        <v>2088269.88</v>
      </c>
      <c r="T2201">
        <v>1284849490.1199999</v>
      </c>
      <c r="U2201">
        <v>1284849490.1199999</v>
      </c>
      <c r="V2201">
        <v>0</v>
      </c>
      <c r="W2201">
        <v>0</v>
      </c>
    </row>
    <row r="2202" spans="1:23" x14ac:dyDescent="0.35">
      <c r="A2202" t="s">
        <v>1</v>
      </c>
      <c r="B2202">
        <v>8000</v>
      </c>
      <c r="C2202">
        <v>6</v>
      </c>
      <c r="D2202">
        <v>2</v>
      </c>
      <c r="E2202">
        <v>0</v>
      </c>
      <c r="F2202">
        <v>56266181</v>
      </c>
      <c r="G2202">
        <v>39862.720000000001</v>
      </c>
      <c r="H2202">
        <v>56226318.280000001</v>
      </c>
      <c r="I2202">
        <v>56226318.280000001</v>
      </c>
      <c r="J2202">
        <v>0</v>
      </c>
      <c r="K2202">
        <v>0</v>
      </c>
      <c r="M2202" t="s">
        <v>1</v>
      </c>
      <c r="N2202">
        <v>3500</v>
      </c>
      <c r="O2202">
        <v>6</v>
      </c>
      <c r="P2202">
        <v>20</v>
      </c>
      <c r="Q2202">
        <v>0</v>
      </c>
      <c r="R2202">
        <v>727258560</v>
      </c>
      <c r="S2202">
        <v>1186084.51</v>
      </c>
      <c r="T2202">
        <v>726072475.49000001</v>
      </c>
      <c r="U2202">
        <v>726072475.49000001</v>
      </c>
      <c r="V2202">
        <v>0</v>
      </c>
      <c r="W2202">
        <v>0</v>
      </c>
    </row>
    <row r="2203" spans="1:23" x14ac:dyDescent="0.35">
      <c r="A2203" t="s">
        <v>1</v>
      </c>
      <c r="B2203">
        <v>8250</v>
      </c>
      <c r="C2203">
        <v>6</v>
      </c>
      <c r="D2203">
        <v>2</v>
      </c>
      <c r="E2203">
        <v>0</v>
      </c>
      <c r="F2203">
        <v>49118259</v>
      </c>
      <c r="G2203">
        <v>33168.15</v>
      </c>
      <c r="H2203">
        <v>49085090.850000001</v>
      </c>
      <c r="I2203">
        <v>49085090.850000001</v>
      </c>
      <c r="J2203">
        <v>0</v>
      </c>
      <c r="K2203">
        <v>0</v>
      </c>
      <c r="M2203" t="s">
        <v>0</v>
      </c>
      <c r="N2203">
        <v>3750</v>
      </c>
      <c r="O2203">
        <v>6</v>
      </c>
      <c r="P2203">
        <v>107</v>
      </c>
      <c r="Q2203">
        <v>0</v>
      </c>
      <c r="R2203">
        <v>4183296263</v>
      </c>
      <c r="S2203">
        <v>6483937.2999999998</v>
      </c>
      <c r="T2203">
        <v>4176812325.6999998</v>
      </c>
      <c r="U2203">
        <v>4176812325.6999998</v>
      </c>
      <c r="V2203">
        <v>0</v>
      </c>
      <c r="W2203">
        <v>0</v>
      </c>
    </row>
    <row r="2204" spans="1:23" x14ac:dyDescent="0.35">
      <c r="A2204" t="s">
        <v>1</v>
      </c>
      <c r="B2204">
        <v>2500</v>
      </c>
      <c r="C2204">
        <v>6</v>
      </c>
      <c r="D2204">
        <v>2</v>
      </c>
      <c r="E2204">
        <v>0</v>
      </c>
      <c r="F2204">
        <v>76200000</v>
      </c>
      <c r="G2204">
        <v>145762.70000000001</v>
      </c>
      <c r="H2204">
        <v>76054237.299999997</v>
      </c>
      <c r="I2204">
        <v>76054237.299999997</v>
      </c>
      <c r="J2204">
        <v>0</v>
      </c>
      <c r="K2204">
        <v>0</v>
      </c>
      <c r="M2204" t="s">
        <v>2</v>
      </c>
      <c r="N2204">
        <v>3250</v>
      </c>
      <c r="O2204">
        <v>7</v>
      </c>
      <c r="P2204">
        <v>1</v>
      </c>
      <c r="Q2204">
        <v>0</v>
      </c>
      <c r="R2204">
        <v>25158241</v>
      </c>
      <c r="S2204">
        <v>42638.35</v>
      </c>
      <c r="T2204">
        <v>25115602.649999999</v>
      </c>
      <c r="U2204">
        <v>25115602.649999999</v>
      </c>
      <c r="V2204">
        <v>0</v>
      </c>
      <c r="W2204">
        <v>0</v>
      </c>
    </row>
    <row r="2205" spans="1:23" x14ac:dyDescent="0.35">
      <c r="A2205" t="s">
        <v>1</v>
      </c>
      <c r="B2205">
        <v>2500</v>
      </c>
      <c r="C2205">
        <v>7</v>
      </c>
      <c r="D2205">
        <v>1</v>
      </c>
      <c r="E2205">
        <v>0</v>
      </c>
      <c r="F2205">
        <v>46600000</v>
      </c>
      <c r="G2205">
        <v>89497.88</v>
      </c>
      <c r="H2205">
        <v>46510502.119999997</v>
      </c>
      <c r="I2205">
        <v>46510502.119999997</v>
      </c>
      <c r="J2205">
        <v>0</v>
      </c>
      <c r="K2205">
        <v>0</v>
      </c>
      <c r="M2205" t="s">
        <v>2</v>
      </c>
      <c r="N2205">
        <v>3750</v>
      </c>
      <c r="O2205">
        <v>6</v>
      </c>
      <c r="P2205">
        <v>5</v>
      </c>
      <c r="Q2205">
        <v>0</v>
      </c>
      <c r="R2205">
        <v>144318298</v>
      </c>
      <c r="S2205">
        <v>224934.65</v>
      </c>
      <c r="T2205">
        <v>144093363.34999999</v>
      </c>
      <c r="U2205">
        <v>144093363.34999999</v>
      </c>
      <c r="V2205">
        <v>0</v>
      </c>
      <c r="W2205">
        <v>0</v>
      </c>
    </row>
    <row r="2206" spans="1:23" x14ac:dyDescent="0.35">
      <c r="A2206" t="s">
        <v>0</v>
      </c>
      <c r="B2206">
        <v>2750</v>
      </c>
      <c r="C2206">
        <v>5</v>
      </c>
      <c r="D2206">
        <v>5</v>
      </c>
      <c r="E2206">
        <v>0</v>
      </c>
      <c r="F2206">
        <v>183700000</v>
      </c>
      <c r="G2206">
        <v>333448.90999999997</v>
      </c>
      <c r="H2206">
        <v>183366551.09</v>
      </c>
      <c r="I2206">
        <v>183366551.09</v>
      </c>
      <c r="J2206">
        <v>0</v>
      </c>
      <c r="K2206">
        <v>0</v>
      </c>
      <c r="M2206" t="s">
        <v>2</v>
      </c>
      <c r="N2206">
        <v>3500</v>
      </c>
      <c r="O2206">
        <v>6</v>
      </c>
      <c r="P2206">
        <v>7</v>
      </c>
      <c r="Q2206">
        <v>0</v>
      </c>
      <c r="R2206">
        <v>206636664</v>
      </c>
      <c r="S2206">
        <v>335649.91</v>
      </c>
      <c r="T2206">
        <v>206301014.09</v>
      </c>
      <c r="U2206">
        <v>206301014.09</v>
      </c>
      <c r="V2206">
        <v>0</v>
      </c>
      <c r="W2206">
        <v>0</v>
      </c>
    </row>
    <row r="2207" spans="1:23" x14ac:dyDescent="0.35">
      <c r="A2207" t="s">
        <v>0</v>
      </c>
      <c r="B2207">
        <v>3000</v>
      </c>
      <c r="C2207">
        <v>6</v>
      </c>
      <c r="D2207">
        <v>1</v>
      </c>
      <c r="E2207">
        <v>0</v>
      </c>
      <c r="F2207">
        <v>45500000</v>
      </c>
      <c r="G2207">
        <v>80222.880000000005</v>
      </c>
      <c r="H2207">
        <v>45419777.119999997</v>
      </c>
      <c r="I2207">
        <v>45419777.119999997</v>
      </c>
      <c r="J2207">
        <v>0</v>
      </c>
      <c r="K2207">
        <v>0</v>
      </c>
      <c r="M2207" t="s">
        <v>0</v>
      </c>
      <c r="N2207">
        <v>3250</v>
      </c>
      <c r="O2207">
        <v>6</v>
      </c>
      <c r="P2207">
        <v>2</v>
      </c>
      <c r="Q2207">
        <v>0</v>
      </c>
      <c r="R2207">
        <v>71182504</v>
      </c>
      <c r="S2207">
        <v>120111.69</v>
      </c>
      <c r="T2207">
        <v>71062392.310000002</v>
      </c>
      <c r="U2207">
        <v>71062392.310000002</v>
      </c>
      <c r="V2207">
        <v>0</v>
      </c>
      <c r="W2207">
        <v>0</v>
      </c>
    </row>
    <row r="2208" spans="1:23" x14ac:dyDescent="0.35">
      <c r="A2208" t="s">
        <v>2</v>
      </c>
      <c r="B2208">
        <v>3250</v>
      </c>
      <c r="C2208">
        <v>6</v>
      </c>
      <c r="D2208">
        <v>1</v>
      </c>
      <c r="E2208">
        <v>0</v>
      </c>
      <c r="F2208">
        <v>20200000</v>
      </c>
      <c r="G2208">
        <v>38532.46</v>
      </c>
      <c r="H2208">
        <v>20161467.539999999</v>
      </c>
      <c r="I2208">
        <v>20161467.539999999</v>
      </c>
      <c r="J2208">
        <v>0</v>
      </c>
      <c r="K2208">
        <v>0</v>
      </c>
      <c r="M2208" t="s">
        <v>2</v>
      </c>
      <c r="N2208">
        <v>4000</v>
      </c>
      <c r="O2208">
        <v>6</v>
      </c>
      <c r="P2208">
        <v>131</v>
      </c>
      <c r="Q2208">
        <v>0</v>
      </c>
      <c r="R2208">
        <v>3903528342</v>
      </c>
      <c r="S2208">
        <v>5799222.04</v>
      </c>
      <c r="T2208">
        <v>3897729119.96</v>
      </c>
      <c r="U2208">
        <v>3897729119.96</v>
      </c>
      <c r="V2208">
        <v>0</v>
      </c>
      <c r="W2208">
        <v>0</v>
      </c>
    </row>
    <row r="2209" spans="1:23" x14ac:dyDescent="0.35">
      <c r="A2209" t="s">
        <v>1</v>
      </c>
      <c r="B2209">
        <v>2750</v>
      </c>
      <c r="C2209">
        <v>5</v>
      </c>
      <c r="D2209">
        <v>5</v>
      </c>
      <c r="E2209">
        <v>0</v>
      </c>
      <c r="F2209">
        <v>205300000</v>
      </c>
      <c r="G2209">
        <v>373407.51</v>
      </c>
      <c r="H2209">
        <v>204926592.49000001</v>
      </c>
      <c r="I2209">
        <v>204926592.49000001</v>
      </c>
      <c r="J2209">
        <v>0</v>
      </c>
      <c r="K2209">
        <v>0</v>
      </c>
      <c r="M2209" t="s">
        <v>1</v>
      </c>
      <c r="N2209">
        <v>4500</v>
      </c>
      <c r="O2209">
        <v>6</v>
      </c>
      <c r="P2209">
        <v>205</v>
      </c>
      <c r="Q2209">
        <v>0</v>
      </c>
      <c r="R2209">
        <v>7602341150</v>
      </c>
      <c r="S2209">
        <v>10367612.960000001</v>
      </c>
      <c r="T2209">
        <v>7569504768.7600002</v>
      </c>
      <c r="U2209">
        <v>7569504768.7600002</v>
      </c>
      <c r="V2209">
        <v>3.4895000000000002E-2</v>
      </c>
      <c r="W2209">
        <v>3.4895000000000002E-2</v>
      </c>
    </row>
    <row r="2210" spans="1:23" x14ac:dyDescent="0.35">
      <c r="A2210" t="s">
        <v>0</v>
      </c>
      <c r="B2210">
        <v>3000</v>
      </c>
      <c r="C2210">
        <v>7</v>
      </c>
      <c r="D2210">
        <v>1</v>
      </c>
      <c r="E2210">
        <v>0</v>
      </c>
      <c r="F2210">
        <v>8800000</v>
      </c>
      <c r="G2210">
        <v>15555.68</v>
      </c>
      <c r="H2210">
        <v>8784444.3200000003</v>
      </c>
      <c r="I2210">
        <v>8784444.3200000003</v>
      </c>
      <c r="J2210">
        <v>0</v>
      </c>
      <c r="K2210">
        <v>0</v>
      </c>
      <c r="M2210" t="s">
        <v>2</v>
      </c>
      <c r="N2210">
        <v>4500</v>
      </c>
      <c r="O2210">
        <v>6</v>
      </c>
      <c r="P2210">
        <v>25</v>
      </c>
      <c r="Q2210">
        <v>0</v>
      </c>
      <c r="R2210">
        <v>692079386</v>
      </c>
      <c r="S2210">
        <v>941980.06</v>
      </c>
      <c r="T2210">
        <v>691137405.94000006</v>
      </c>
      <c r="U2210">
        <v>691137405.94000006</v>
      </c>
      <c r="V2210">
        <v>0</v>
      </c>
      <c r="W2210">
        <v>0</v>
      </c>
    </row>
    <row r="2211" spans="1:23" x14ac:dyDescent="0.35">
      <c r="A2211" t="s">
        <v>2</v>
      </c>
      <c r="B2211">
        <v>3000</v>
      </c>
      <c r="C2211">
        <v>6</v>
      </c>
      <c r="D2211">
        <v>1</v>
      </c>
      <c r="E2211">
        <v>0</v>
      </c>
      <c r="F2211">
        <v>18100000</v>
      </c>
      <c r="G2211">
        <v>31859.24</v>
      </c>
      <c r="H2211">
        <v>18068140.760000002</v>
      </c>
      <c r="I2211">
        <v>18068140.760000002</v>
      </c>
      <c r="J2211">
        <v>0</v>
      </c>
      <c r="K2211">
        <v>0</v>
      </c>
      <c r="M2211" t="s">
        <v>3</v>
      </c>
      <c r="N2211">
        <v>5500</v>
      </c>
      <c r="O2211">
        <v>6</v>
      </c>
      <c r="P2211">
        <v>2</v>
      </c>
      <c r="Q2211">
        <v>0</v>
      </c>
      <c r="R2211">
        <v>67107821</v>
      </c>
      <c r="S2211">
        <v>77769.84</v>
      </c>
      <c r="T2211">
        <v>67030051.159999996</v>
      </c>
      <c r="U2211">
        <v>67030051.159999996</v>
      </c>
      <c r="V2211">
        <v>0</v>
      </c>
      <c r="W2211">
        <v>0</v>
      </c>
    </row>
    <row r="2212" spans="1:23" x14ac:dyDescent="0.35">
      <c r="A2212" t="s">
        <v>0</v>
      </c>
      <c r="B2212">
        <v>3500</v>
      </c>
      <c r="C2212">
        <v>5</v>
      </c>
      <c r="D2212">
        <v>507</v>
      </c>
      <c r="E2212">
        <v>0</v>
      </c>
      <c r="F2212">
        <v>18751100000</v>
      </c>
      <c r="G2212">
        <v>29983838.859999999</v>
      </c>
      <c r="H2212">
        <v>18721116161.139999</v>
      </c>
      <c r="I2212">
        <v>18721116161.139999</v>
      </c>
      <c r="J2212">
        <v>0</v>
      </c>
      <c r="K2212">
        <v>0</v>
      </c>
      <c r="M2212" t="s">
        <v>3</v>
      </c>
      <c r="N2212">
        <v>5250</v>
      </c>
      <c r="O2212">
        <v>7</v>
      </c>
      <c r="P2212">
        <v>1</v>
      </c>
      <c r="Q2212">
        <v>0</v>
      </c>
      <c r="R2212">
        <v>20077460</v>
      </c>
      <c r="S2212">
        <v>23938.95</v>
      </c>
      <c r="T2212">
        <v>20053521.050000001</v>
      </c>
      <c r="U2212">
        <v>20053521.050000001</v>
      </c>
      <c r="V2212">
        <v>0</v>
      </c>
      <c r="W2212">
        <v>0</v>
      </c>
    </row>
    <row r="2213" spans="1:23" x14ac:dyDescent="0.35">
      <c r="A2213" t="s">
        <v>1</v>
      </c>
      <c r="B2213">
        <v>3500</v>
      </c>
      <c r="C2213">
        <v>5</v>
      </c>
      <c r="D2213">
        <v>190</v>
      </c>
      <c r="E2213">
        <v>0</v>
      </c>
      <c r="F2213">
        <v>7341300000</v>
      </c>
      <c r="G2213">
        <v>11718889.689999999</v>
      </c>
      <c r="H2213">
        <v>7329581110.3100004</v>
      </c>
      <c r="I2213">
        <v>7329581110.3100004</v>
      </c>
      <c r="J2213">
        <v>0</v>
      </c>
      <c r="K2213">
        <v>0</v>
      </c>
      <c r="M2213" t="s">
        <v>3</v>
      </c>
      <c r="N2213">
        <v>5250</v>
      </c>
      <c r="O2213">
        <v>6</v>
      </c>
      <c r="P2213">
        <v>1</v>
      </c>
      <c r="Q2213">
        <v>0</v>
      </c>
      <c r="R2213">
        <v>47390452</v>
      </c>
      <c r="S2213">
        <v>56192.2</v>
      </c>
      <c r="T2213">
        <v>47334259.799999997</v>
      </c>
      <c r="U2213">
        <v>47334259.799999997</v>
      </c>
      <c r="V2213">
        <v>0</v>
      </c>
      <c r="W2213">
        <v>0</v>
      </c>
    </row>
    <row r="2214" spans="1:23" x14ac:dyDescent="0.35">
      <c r="A2214" t="s">
        <v>0</v>
      </c>
      <c r="B2214">
        <v>3250</v>
      </c>
      <c r="C2214">
        <v>5</v>
      </c>
      <c r="D2214">
        <v>185</v>
      </c>
      <c r="E2214">
        <v>0</v>
      </c>
      <c r="F2214">
        <v>6287900000</v>
      </c>
      <c r="G2214">
        <v>10483721.1</v>
      </c>
      <c r="H2214">
        <v>6277416278.8999996</v>
      </c>
      <c r="I2214">
        <v>6277416278.8999996</v>
      </c>
      <c r="J2214">
        <v>0</v>
      </c>
      <c r="K2214">
        <v>0</v>
      </c>
      <c r="M2214" t="s">
        <v>3</v>
      </c>
      <c r="N2214">
        <v>7250</v>
      </c>
      <c r="O2214">
        <v>7</v>
      </c>
      <c r="P2214">
        <v>2</v>
      </c>
      <c r="Q2214">
        <v>0</v>
      </c>
      <c r="R2214">
        <v>63326668</v>
      </c>
      <c r="S2214">
        <v>52346.11</v>
      </c>
      <c r="T2214">
        <v>63274321.890000001</v>
      </c>
      <c r="U2214">
        <v>63274321.890000001</v>
      </c>
      <c r="V2214">
        <v>0</v>
      </c>
      <c r="W2214">
        <v>0</v>
      </c>
    </row>
    <row r="2215" spans="1:23" x14ac:dyDescent="0.35">
      <c r="A2215" t="s">
        <v>1</v>
      </c>
      <c r="B2215">
        <v>3250</v>
      </c>
      <c r="C2215">
        <v>5</v>
      </c>
      <c r="D2215">
        <v>56</v>
      </c>
      <c r="E2215">
        <v>0</v>
      </c>
      <c r="F2215">
        <v>2055000000</v>
      </c>
      <c r="G2215">
        <v>3410934.44</v>
      </c>
      <c r="H2215">
        <v>2051589065.5599999</v>
      </c>
      <c r="I2215">
        <v>2051589065.5599999</v>
      </c>
      <c r="J2215">
        <v>0</v>
      </c>
      <c r="K2215">
        <v>0</v>
      </c>
      <c r="M2215" t="s">
        <v>0</v>
      </c>
      <c r="N2215">
        <v>3250</v>
      </c>
      <c r="O2215">
        <v>5</v>
      </c>
      <c r="P2215">
        <v>176</v>
      </c>
      <c r="Q2215">
        <v>0</v>
      </c>
      <c r="R2215">
        <v>5978200000</v>
      </c>
      <c r="S2215">
        <v>9956447.3200000003</v>
      </c>
      <c r="T2215">
        <v>5968243552.6800003</v>
      </c>
      <c r="U2215">
        <v>5968243552.6800003</v>
      </c>
      <c r="V2215">
        <v>0</v>
      </c>
      <c r="W2215">
        <v>0</v>
      </c>
    </row>
    <row r="2216" spans="1:23" x14ac:dyDescent="0.35">
      <c r="A2216" t="s">
        <v>2</v>
      </c>
      <c r="B2216">
        <v>4500</v>
      </c>
      <c r="C2216">
        <v>5</v>
      </c>
      <c r="D2216">
        <v>117</v>
      </c>
      <c r="E2216">
        <v>0</v>
      </c>
      <c r="F2216">
        <v>3280300000</v>
      </c>
      <c r="G2216">
        <v>4379689.51</v>
      </c>
      <c r="H2216">
        <v>3275920310.4899998</v>
      </c>
      <c r="I2216">
        <v>3275920310.4899998</v>
      </c>
      <c r="J2216">
        <v>0</v>
      </c>
      <c r="K2216">
        <v>0</v>
      </c>
      <c r="M2216" t="s">
        <v>0</v>
      </c>
      <c r="N2216">
        <v>2750</v>
      </c>
      <c r="O2216">
        <v>5</v>
      </c>
      <c r="P2216">
        <v>6</v>
      </c>
      <c r="Q2216">
        <v>0</v>
      </c>
      <c r="R2216">
        <v>202600000</v>
      </c>
      <c r="S2216">
        <v>366871.63</v>
      </c>
      <c r="T2216">
        <v>202233128.37</v>
      </c>
      <c r="U2216">
        <v>202233128.37</v>
      </c>
      <c r="V2216">
        <v>0</v>
      </c>
      <c r="W2216">
        <v>0</v>
      </c>
    </row>
    <row r="2217" spans="1:23" x14ac:dyDescent="0.35">
      <c r="A2217" t="s">
        <v>3</v>
      </c>
      <c r="B2217">
        <v>4750</v>
      </c>
      <c r="C2217">
        <v>5</v>
      </c>
      <c r="D2217">
        <v>9</v>
      </c>
      <c r="E2217">
        <v>0</v>
      </c>
      <c r="F2217">
        <v>338600000</v>
      </c>
      <c r="G2217">
        <v>431341.45</v>
      </c>
      <c r="H2217">
        <v>338168658.55000001</v>
      </c>
      <c r="I2217">
        <v>338168658.55000001</v>
      </c>
      <c r="J2217">
        <v>0</v>
      </c>
      <c r="K2217">
        <v>0</v>
      </c>
      <c r="M2217" t="s">
        <v>1</v>
      </c>
      <c r="N2217">
        <v>3000</v>
      </c>
      <c r="O2217">
        <v>5</v>
      </c>
      <c r="P2217">
        <v>6</v>
      </c>
      <c r="Q2217">
        <v>0</v>
      </c>
      <c r="R2217">
        <v>259600000</v>
      </c>
      <c r="S2217">
        <v>452201.04</v>
      </c>
      <c r="T2217">
        <v>259147798.96000001</v>
      </c>
      <c r="U2217">
        <v>259147798.96000001</v>
      </c>
      <c r="V2217">
        <v>0</v>
      </c>
      <c r="W2217">
        <v>0</v>
      </c>
    </row>
    <row r="2218" spans="1:23" x14ac:dyDescent="0.35">
      <c r="A2218" t="s">
        <v>2</v>
      </c>
      <c r="B2218">
        <v>7500</v>
      </c>
      <c r="C2218">
        <v>5</v>
      </c>
      <c r="D2218">
        <v>5</v>
      </c>
      <c r="E2218">
        <v>0</v>
      </c>
      <c r="F2218">
        <v>87100000</v>
      </c>
      <c r="G2218">
        <v>73004.5</v>
      </c>
      <c r="H2218">
        <v>87026995.5</v>
      </c>
      <c r="I2218">
        <v>87026995.5</v>
      </c>
      <c r="J2218">
        <v>0</v>
      </c>
      <c r="K2218">
        <v>0</v>
      </c>
      <c r="M2218" t="s">
        <v>1</v>
      </c>
      <c r="N2218">
        <v>3500</v>
      </c>
      <c r="O2218">
        <v>5</v>
      </c>
      <c r="P2218">
        <v>183</v>
      </c>
      <c r="Q2218">
        <v>0</v>
      </c>
      <c r="R2218">
        <v>7044600000</v>
      </c>
      <c r="S2218">
        <v>11236394.880000001</v>
      </c>
      <c r="T2218">
        <v>7033363605.1199999</v>
      </c>
      <c r="U2218">
        <v>7033363605.1199999</v>
      </c>
      <c r="V2218">
        <v>0</v>
      </c>
      <c r="W2218">
        <v>0</v>
      </c>
    </row>
    <row r="2219" spans="1:23" x14ac:dyDescent="0.35">
      <c r="A2219" t="s">
        <v>1</v>
      </c>
      <c r="B2219">
        <v>2500</v>
      </c>
      <c r="C2219">
        <v>5</v>
      </c>
      <c r="D2219">
        <v>3</v>
      </c>
      <c r="E2219">
        <v>0</v>
      </c>
      <c r="F2219">
        <v>191200000</v>
      </c>
      <c r="G2219">
        <v>391357.35</v>
      </c>
      <c r="H2219">
        <v>190808642.65000001</v>
      </c>
      <c r="I2219">
        <v>190808642.65000001</v>
      </c>
      <c r="J2219">
        <v>0</v>
      </c>
      <c r="K2219">
        <v>0</v>
      </c>
      <c r="M2219" t="s">
        <v>2</v>
      </c>
      <c r="N2219">
        <v>3250</v>
      </c>
      <c r="O2219">
        <v>6</v>
      </c>
      <c r="P2219">
        <v>1</v>
      </c>
      <c r="Q2219">
        <v>0</v>
      </c>
      <c r="R2219">
        <v>33700000</v>
      </c>
      <c r="S2219">
        <v>56864.59</v>
      </c>
      <c r="T2219">
        <v>33643135.409999996</v>
      </c>
      <c r="U2219">
        <v>33643135.409999996</v>
      </c>
      <c r="V2219">
        <v>0</v>
      </c>
      <c r="W2219">
        <v>0</v>
      </c>
    </row>
    <row r="2220" spans="1:23" x14ac:dyDescent="0.35">
      <c r="A2220" t="s">
        <v>0</v>
      </c>
      <c r="B2220">
        <v>3000</v>
      </c>
      <c r="C2220">
        <v>5</v>
      </c>
      <c r="D2220">
        <v>34</v>
      </c>
      <c r="E2220">
        <v>0</v>
      </c>
      <c r="F2220">
        <v>1176200000</v>
      </c>
      <c r="G2220">
        <v>2030496.57</v>
      </c>
      <c r="H2220">
        <v>1174169503.4300001</v>
      </c>
      <c r="I2220">
        <v>1174169503.4300001</v>
      </c>
      <c r="J2220">
        <v>0</v>
      </c>
      <c r="K2220">
        <v>0</v>
      </c>
      <c r="M2220" t="s">
        <v>0</v>
      </c>
      <c r="N2220">
        <v>3500</v>
      </c>
      <c r="O2220">
        <v>5</v>
      </c>
      <c r="P2220">
        <v>483</v>
      </c>
      <c r="Q2220">
        <v>0</v>
      </c>
      <c r="R2220">
        <v>17720100000</v>
      </c>
      <c r="S2220">
        <v>28292211.48</v>
      </c>
      <c r="T2220">
        <v>17691807788.52</v>
      </c>
      <c r="U2220">
        <v>17691807788.52</v>
      </c>
      <c r="V2220">
        <v>0</v>
      </c>
      <c r="W2220">
        <v>0</v>
      </c>
    </row>
    <row r="2221" spans="1:23" x14ac:dyDescent="0.35">
      <c r="A2221" t="s">
        <v>1</v>
      </c>
      <c r="B2221">
        <v>3000</v>
      </c>
      <c r="C2221">
        <v>5</v>
      </c>
      <c r="D2221">
        <v>5</v>
      </c>
      <c r="E2221">
        <v>0</v>
      </c>
      <c r="F2221">
        <v>232100000</v>
      </c>
      <c r="G2221">
        <v>404676.53</v>
      </c>
      <c r="H2221">
        <v>231695323.47</v>
      </c>
      <c r="I2221">
        <v>231695323.47</v>
      </c>
      <c r="J2221">
        <v>0</v>
      </c>
      <c r="K2221">
        <v>0</v>
      </c>
      <c r="M2221" t="s">
        <v>1</v>
      </c>
      <c r="N2221">
        <v>3250</v>
      </c>
      <c r="O2221">
        <v>5</v>
      </c>
      <c r="P2221">
        <v>59</v>
      </c>
      <c r="Q2221">
        <v>0</v>
      </c>
      <c r="R2221">
        <v>2075200000</v>
      </c>
      <c r="S2221">
        <v>3448684.88</v>
      </c>
      <c r="T2221">
        <v>2071751315.1199999</v>
      </c>
      <c r="U2221">
        <v>2071751315.1199999</v>
      </c>
      <c r="V2221">
        <v>0</v>
      </c>
      <c r="W2221">
        <v>0</v>
      </c>
    </row>
    <row r="2222" spans="1:23" x14ac:dyDescent="0.35">
      <c r="A2222" t="s">
        <v>2</v>
      </c>
      <c r="B2222">
        <v>3750</v>
      </c>
      <c r="C2222">
        <v>5</v>
      </c>
      <c r="D2222">
        <v>31</v>
      </c>
      <c r="E2222">
        <v>0</v>
      </c>
      <c r="F2222">
        <v>962000000</v>
      </c>
      <c r="G2222">
        <v>1487341.56</v>
      </c>
      <c r="H2222">
        <v>960512658.44000006</v>
      </c>
      <c r="I2222">
        <v>960512658.44000006</v>
      </c>
      <c r="J2222">
        <v>0</v>
      </c>
      <c r="K2222">
        <v>0</v>
      </c>
      <c r="M2222" t="s">
        <v>2</v>
      </c>
      <c r="N2222">
        <v>4250</v>
      </c>
      <c r="O2222">
        <v>5</v>
      </c>
      <c r="P2222">
        <v>58</v>
      </c>
      <c r="Q2222">
        <v>0</v>
      </c>
      <c r="R2222">
        <v>1629800000</v>
      </c>
      <c r="S2222">
        <v>2272031.98</v>
      </c>
      <c r="T2222">
        <v>1627527968.02</v>
      </c>
      <c r="U2222">
        <v>1627527968.02</v>
      </c>
      <c r="V2222">
        <v>0</v>
      </c>
      <c r="W2222">
        <v>0</v>
      </c>
    </row>
    <row r="2223" spans="1:23" x14ac:dyDescent="0.35">
      <c r="A2223" t="s">
        <v>2</v>
      </c>
      <c r="B2223">
        <v>4250</v>
      </c>
      <c r="C2223">
        <v>5</v>
      </c>
      <c r="D2223">
        <v>67</v>
      </c>
      <c r="E2223">
        <v>0</v>
      </c>
      <c r="F2223">
        <v>1874500000</v>
      </c>
      <c r="G2223">
        <v>2620075.73</v>
      </c>
      <c r="H2223">
        <v>1871879924.27</v>
      </c>
      <c r="I2223">
        <v>1871879924.27</v>
      </c>
      <c r="J2223">
        <v>0</v>
      </c>
      <c r="K2223">
        <v>0</v>
      </c>
      <c r="M2223" t="s">
        <v>2</v>
      </c>
      <c r="N2223">
        <v>4500</v>
      </c>
      <c r="O2223">
        <v>5</v>
      </c>
      <c r="P2223">
        <v>100</v>
      </c>
      <c r="Q2223">
        <v>0</v>
      </c>
      <c r="R2223">
        <v>2816600000</v>
      </c>
      <c r="S2223">
        <v>3754734.77</v>
      </c>
      <c r="T2223">
        <v>2812845265.23</v>
      </c>
      <c r="U2223">
        <v>2812845265.23</v>
      </c>
      <c r="V2223">
        <v>0</v>
      </c>
      <c r="W2223">
        <v>0</v>
      </c>
    </row>
    <row r="2224" spans="1:23" x14ac:dyDescent="0.35">
      <c r="A2224" t="s">
        <v>2</v>
      </c>
      <c r="B2224">
        <v>7750</v>
      </c>
      <c r="C2224">
        <v>5</v>
      </c>
      <c r="D2224">
        <v>19</v>
      </c>
      <c r="E2224">
        <v>0</v>
      </c>
      <c r="F2224">
        <v>254200000</v>
      </c>
      <c r="G2224">
        <v>183000.49</v>
      </c>
      <c r="H2224">
        <v>254016999.50999999</v>
      </c>
      <c r="I2224">
        <v>254016999.50999999</v>
      </c>
      <c r="J2224">
        <v>0</v>
      </c>
      <c r="K2224">
        <v>0</v>
      </c>
      <c r="M2224" t="s">
        <v>2</v>
      </c>
      <c r="N2224">
        <v>7750</v>
      </c>
      <c r="O2224">
        <v>5</v>
      </c>
      <c r="P2224">
        <v>18</v>
      </c>
      <c r="Q2224">
        <v>0</v>
      </c>
      <c r="R2224">
        <v>257900000</v>
      </c>
      <c r="S2224">
        <v>187112.56</v>
      </c>
      <c r="T2224">
        <v>257712887.44</v>
      </c>
      <c r="U2224">
        <v>257712887.44</v>
      </c>
      <c r="V2224">
        <v>0</v>
      </c>
      <c r="W2224">
        <v>0</v>
      </c>
    </row>
    <row r="2225" spans="1:23" x14ac:dyDescent="0.35">
      <c r="A2225" t="s">
        <v>1</v>
      </c>
      <c r="B2225">
        <v>8000</v>
      </c>
      <c r="C2225">
        <v>5</v>
      </c>
      <c r="D2225">
        <v>3</v>
      </c>
      <c r="E2225">
        <v>0</v>
      </c>
      <c r="F2225">
        <v>155300000</v>
      </c>
      <c r="G2225">
        <v>108683.81</v>
      </c>
      <c r="H2225">
        <v>155191316.19</v>
      </c>
      <c r="I2225">
        <v>155191316.19</v>
      </c>
      <c r="J2225">
        <v>0</v>
      </c>
      <c r="K2225">
        <v>0</v>
      </c>
      <c r="M2225" t="s">
        <v>2</v>
      </c>
      <c r="N2225">
        <v>7500</v>
      </c>
      <c r="O2225">
        <v>5</v>
      </c>
      <c r="P2225">
        <v>10</v>
      </c>
      <c r="Q2225">
        <v>0</v>
      </c>
      <c r="R2225">
        <v>164000000</v>
      </c>
      <c r="S2225">
        <v>143177.57</v>
      </c>
      <c r="T2225">
        <v>163856822.43000001</v>
      </c>
      <c r="U2225">
        <v>163856822.43000001</v>
      </c>
      <c r="V2225">
        <v>0</v>
      </c>
      <c r="W2225">
        <v>0</v>
      </c>
    </row>
    <row r="2226" spans="1:23" x14ac:dyDescent="0.35">
      <c r="A2226" t="s">
        <v>3</v>
      </c>
      <c r="B2226">
        <v>4250</v>
      </c>
      <c r="C2226">
        <v>5</v>
      </c>
      <c r="D2226">
        <v>1</v>
      </c>
      <c r="E2226">
        <v>0</v>
      </c>
      <c r="F2226">
        <v>21900000</v>
      </c>
      <c r="G2226">
        <v>30172.34</v>
      </c>
      <c r="H2226">
        <v>21869827.66</v>
      </c>
      <c r="I2226">
        <v>21869827.66</v>
      </c>
      <c r="J2226">
        <v>0</v>
      </c>
      <c r="K2226">
        <v>0</v>
      </c>
      <c r="M2226" t="s">
        <v>1</v>
      </c>
      <c r="N2226">
        <v>8000</v>
      </c>
      <c r="O2226">
        <v>5</v>
      </c>
      <c r="P2226">
        <v>4</v>
      </c>
      <c r="Q2226">
        <v>0</v>
      </c>
      <c r="R2226">
        <v>104800000</v>
      </c>
      <c r="S2226">
        <v>73996.160000000003</v>
      </c>
      <c r="T2226">
        <v>104726003.84</v>
      </c>
      <c r="U2226">
        <v>104726003.84</v>
      </c>
      <c r="V2226">
        <v>0</v>
      </c>
      <c r="W2226">
        <v>0</v>
      </c>
    </row>
    <row r="2227" spans="1:23" x14ac:dyDescent="0.35">
      <c r="A2227" t="s">
        <v>3</v>
      </c>
      <c r="B2227">
        <v>4750</v>
      </c>
      <c r="C2227">
        <v>36</v>
      </c>
      <c r="D2227">
        <v>1</v>
      </c>
      <c r="E2227">
        <v>0</v>
      </c>
      <c r="F2227">
        <v>8800000</v>
      </c>
      <c r="G2227">
        <v>13269.56</v>
      </c>
      <c r="H2227">
        <v>8786730.4399999995</v>
      </c>
      <c r="I2227">
        <v>8786730.4399999995</v>
      </c>
      <c r="J2227">
        <v>0</v>
      </c>
      <c r="K2227">
        <v>0</v>
      </c>
      <c r="M2227" t="s">
        <v>1</v>
      </c>
      <c r="N2227">
        <v>8250</v>
      </c>
      <c r="O2227">
        <v>5</v>
      </c>
      <c r="P2227">
        <v>10</v>
      </c>
      <c r="Q2227">
        <v>0</v>
      </c>
      <c r="R2227">
        <v>347700000</v>
      </c>
      <c r="S2227">
        <v>224299.69</v>
      </c>
      <c r="T2227">
        <v>347475700.31</v>
      </c>
      <c r="U2227">
        <v>347475700.31</v>
      </c>
      <c r="V2227">
        <v>0</v>
      </c>
      <c r="W2227">
        <v>0</v>
      </c>
    </row>
    <row r="2228" spans="1:23" x14ac:dyDescent="0.35">
      <c r="M2228" t="s">
        <v>1</v>
      </c>
      <c r="N2228">
        <v>2500</v>
      </c>
      <c r="O2228">
        <v>5</v>
      </c>
      <c r="P2228">
        <v>5</v>
      </c>
      <c r="Q2228">
        <v>0</v>
      </c>
      <c r="R2228">
        <v>267400000</v>
      </c>
      <c r="S2228">
        <v>534927.37</v>
      </c>
      <c r="T2228">
        <v>266865072.63</v>
      </c>
      <c r="U2228">
        <v>266865072.63</v>
      </c>
      <c r="V2228">
        <v>0</v>
      </c>
      <c r="W2228">
        <v>0</v>
      </c>
    </row>
    <row r="2229" spans="1:23" x14ac:dyDescent="0.35">
      <c r="M2229" t="s">
        <v>1</v>
      </c>
      <c r="N2229">
        <v>2500</v>
      </c>
      <c r="O2229">
        <v>6</v>
      </c>
      <c r="P2229">
        <v>1</v>
      </c>
      <c r="Q2229">
        <v>0</v>
      </c>
      <c r="R2229">
        <v>46600000</v>
      </c>
      <c r="S2229">
        <v>89140.97</v>
      </c>
      <c r="T2229">
        <v>46510859.030000001</v>
      </c>
      <c r="U2229">
        <v>46510859.030000001</v>
      </c>
      <c r="V2229">
        <v>0</v>
      </c>
      <c r="W2229">
        <v>0</v>
      </c>
    </row>
    <row r="2230" spans="1:23" x14ac:dyDescent="0.35">
      <c r="M2230" t="s">
        <v>0</v>
      </c>
      <c r="N2230">
        <v>3000</v>
      </c>
      <c r="O2230">
        <v>5</v>
      </c>
      <c r="P2230">
        <v>18</v>
      </c>
      <c r="Q2230">
        <v>0</v>
      </c>
      <c r="R2230">
        <v>589000000</v>
      </c>
      <c r="S2230">
        <v>1018713.3</v>
      </c>
      <c r="T2230">
        <v>587981286.70000005</v>
      </c>
      <c r="U2230">
        <v>587981286.70000005</v>
      </c>
      <c r="V2230">
        <v>0</v>
      </c>
      <c r="W2230">
        <v>0</v>
      </c>
    </row>
    <row r="2231" spans="1:23" x14ac:dyDescent="0.35">
      <c r="M2231" t="s">
        <v>1</v>
      </c>
      <c r="N2231">
        <v>2750</v>
      </c>
      <c r="O2231">
        <v>5</v>
      </c>
      <c r="P2231">
        <v>5</v>
      </c>
      <c r="Q2231">
        <v>0</v>
      </c>
      <c r="R2231">
        <v>205300000</v>
      </c>
      <c r="S2231">
        <v>371878.88</v>
      </c>
      <c r="T2231">
        <v>204928121.12</v>
      </c>
      <c r="U2231">
        <v>204928121.12</v>
      </c>
      <c r="V2231">
        <v>0</v>
      </c>
      <c r="W2231">
        <v>0</v>
      </c>
    </row>
    <row r="2232" spans="1:23" x14ac:dyDescent="0.35">
      <c r="M2232" t="s">
        <v>0</v>
      </c>
      <c r="N2232">
        <v>3000</v>
      </c>
      <c r="O2232">
        <v>6</v>
      </c>
      <c r="P2232">
        <v>1</v>
      </c>
      <c r="Q2232">
        <v>0</v>
      </c>
      <c r="R2232">
        <v>8800000</v>
      </c>
      <c r="S2232">
        <v>15489.58</v>
      </c>
      <c r="T2232">
        <v>8784510.4199999999</v>
      </c>
      <c r="U2232">
        <v>8784510.4199999999</v>
      </c>
      <c r="V2232">
        <v>0</v>
      </c>
      <c r="W2232">
        <v>0</v>
      </c>
    </row>
    <row r="2233" spans="1:23" x14ac:dyDescent="0.35">
      <c r="M2233" t="s">
        <v>3</v>
      </c>
      <c r="N2233">
        <v>4750</v>
      </c>
      <c r="O2233">
        <v>5</v>
      </c>
      <c r="P2233">
        <v>9</v>
      </c>
      <c r="Q2233">
        <v>0</v>
      </c>
      <c r="R2233">
        <v>338600000</v>
      </c>
      <c r="S2233">
        <v>429333.29</v>
      </c>
      <c r="T2233">
        <v>338170666.70999998</v>
      </c>
      <c r="U2233">
        <v>338170666.70999998</v>
      </c>
      <c r="V2233">
        <v>0</v>
      </c>
      <c r="W2233">
        <v>0</v>
      </c>
    </row>
    <row r="2234" spans="1:23" x14ac:dyDescent="0.35">
      <c r="M2234" t="s">
        <v>0</v>
      </c>
      <c r="N2234">
        <v>2750</v>
      </c>
      <c r="O2234">
        <v>14</v>
      </c>
      <c r="P2234">
        <v>1</v>
      </c>
      <c r="Q2234">
        <v>0</v>
      </c>
      <c r="R2234">
        <v>27300000</v>
      </c>
      <c r="S2234">
        <v>51581.42</v>
      </c>
      <c r="T2234">
        <v>27248418.579999998</v>
      </c>
      <c r="U2234">
        <v>27248418.579999998</v>
      </c>
      <c r="V2234">
        <v>0</v>
      </c>
      <c r="W2234">
        <v>0</v>
      </c>
    </row>
    <row r="2250" spans="22:35" x14ac:dyDescent="0.35">
      <c r="V2250" s="1"/>
      <c r="W2250" s="1"/>
      <c r="AH2250" s="1"/>
      <c r="AI2250" s="1"/>
    </row>
    <row r="2251" spans="22:35" x14ac:dyDescent="0.35">
      <c r="V2251" s="1"/>
      <c r="W2251" s="1"/>
      <c r="AH2251" s="1"/>
      <c r="AI2251" s="1"/>
    </row>
    <row r="2252" spans="22:35" x14ac:dyDescent="0.35">
      <c r="V2252" s="1"/>
      <c r="W2252" s="1"/>
      <c r="AH2252" s="1"/>
      <c r="AI2252" s="1"/>
    </row>
    <row r="2253" spans="22:35" x14ac:dyDescent="0.35">
      <c r="V2253" s="1"/>
      <c r="W2253" s="1"/>
      <c r="AH2253" s="1"/>
      <c r="AI2253" s="1"/>
    </row>
    <row r="2254" spans="22:35" x14ac:dyDescent="0.35">
      <c r="V2254" s="1"/>
      <c r="W2254" s="1"/>
      <c r="AH2254" s="1"/>
      <c r="AI2254" s="1"/>
    </row>
    <row r="2255" spans="22:35" x14ac:dyDescent="0.35">
      <c r="V2255" s="1"/>
      <c r="W2255" s="1"/>
      <c r="AH2255" s="1"/>
      <c r="AI2255" s="1"/>
    </row>
    <row r="2256" spans="22:35" x14ac:dyDescent="0.35">
      <c r="V2256" s="1"/>
      <c r="W2256" s="1"/>
      <c r="AH2256" s="1"/>
      <c r="AI2256" s="1"/>
    </row>
    <row r="2257" spans="22:35" x14ac:dyDescent="0.35">
      <c r="V2257" s="1"/>
      <c r="W2257" s="1"/>
      <c r="AH2257" s="1"/>
      <c r="AI2257" s="1"/>
    </row>
    <row r="2258" spans="22:35" x14ac:dyDescent="0.35">
      <c r="V2258" s="1"/>
      <c r="W2258" s="1"/>
      <c r="AH2258" s="1"/>
      <c r="AI2258" s="1"/>
    </row>
    <row r="2259" spans="22:35" x14ac:dyDescent="0.35">
      <c r="V2259" s="1"/>
      <c r="W2259" s="1"/>
      <c r="AH2259" s="1"/>
      <c r="AI2259" s="1"/>
    </row>
    <row r="2260" spans="22:35" x14ac:dyDescent="0.35">
      <c r="V2260" s="1"/>
      <c r="W2260" s="1"/>
      <c r="AH2260" s="1"/>
      <c r="AI2260" s="1"/>
    </row>
    <row r="2261" spans="22:35" x14ac:dyDescent="0.35">
      <c r="V2261" s="1"/>
      <c r="W2261" s="1"/>
      <c r="AH2261" s="1"/>
      <c r="AI2261" s="1"/>
    </row>
    <row r="2262" spans="22:35" x14ac:dyDescent="0.35">
      <c r="V2262" s="1"/>
      <c r="W2262" s="1"/>
    </row>
    <row r="2263" spans="22:35" x14ac:dyDescent="0.35">
      <c r="V2263" s="1"/>
      <c r="W2263" s="1"/>
    </row>
    <row r="2264" spans="22:35" x14ac:dyDescent="0.35">
      <c r="V2264" s="1"/>
      <c r="W2264" s="1"/>
    </row>
    <row r="2265" spans="22:35" x14ac:dyDescent="0.35">
      <c r="V2265" s="1"/>
      <c r="W2265" s="1"/>
    </row>
    <row r="2266" spans="22:35" x14ac:dyDescent="0.35">
      <c r="V2266" s="1"/>
      <c r="W2266" s="1"/>
    </row>
    <row r="2267" spans="22:35" x14ac:dyDescent="0.35">
      <c r="V2267" s="1"/>
      <c r="W2267" s="1"/>
    </row>
    <row r="2268" spans="22:35" x14ac:dyDescent="0.35">
      <c r="V2268" s="1"/>
      <c r="W2268" s="1"/>
    </row>
    <row r="2269" spans="22:35" x14ac:dyDescent="0.35">
      <c r="V2269" s="1"/>
      <c r="W2269" s="1"/>
    </row>
    <row r="2270" spans="22:35" x14ac:dyDescent="0.35">
      <c r="V2270" s="1"/>
      <c r="W2270" s="1"/>
    </row>
    <row r="2271" spans="22:35" x14ac:dyDescent="0.35">
      <c r="V2271" s="1"/>
      <c r="W2271" s="1"/>
    </row>
    <row r="2272" spans="22:35" x14ac:dyDescent="0.35">
      <c r="V2272" s="1"/>
      <c r="W2272" s="1"/>
    </row>
    <row r="2273" spans="22:23" x14ac:dyDescent="0.35">
      <c r="V2273" s="1"/>
      <c r="W2273" s="1"/>
    </row>
    <row r="2274" spans="22:23" x14ac:dyDescent="0.35">
      <c r="V2274" s="1"/>
      <c r="W2274" s="1"/>
    </row>
    <row r="2275" spans="22:23" x14ac:dyDescent="0.35">
      <c r="V2275" s="1"/>
      <c r="W2275" s="1"/>
    </row>
    <row r="2276" spans="22:23" x14ac:dyDescent="0.35">
      <c r="V2276" s="1"/>
      <c r="W2276" s="1"/>
    </row>
    <row r="2277" spans="22:23" x14ac:dyDescent="0.35">
      <c r="V2277" s="1"/>
      <c r="W2277" s="1"/>
    </row>
    <row r="2278" spans="22:23" x14ac:dyDescent="0.35">
      <c r="V2278" s="1"/>
      <c r="W2278" s="1"/>
    </row>
    <row r="2279" spans="22:23" x14ac:dyDescent="0.35">
      <c r="V2279" s="1"/>
      <c r="W2279" s="1"/>
    </row>
    <row r="2280" spans="22:23" x14ac:dyDescent="0.35">
      <c r="V2280" s="1"/>
      <c r="W2280" s="1"/>
    </row>
    <row r="2281" spans="22:23" x14ac:dyDescent="0.35">
      <c r="V2281" s="1"/>
      <c r="W2281" s="1"/>
    </row>
    <row r="2282" spans="22:23" x14ac:dyDescent="0.35">
      <c r="V2282" s="1"/>
      <c r="W2282" s="1"/>
    </row>
    <row r="2283" spans="22:23" x14ac:dyDescent="0.35">
      <c r="V2283" s="1"/>
      <c r="W2283" s="1"/>
    </row>
    <row r="2284" spans="22:23" x14ac:dyDescent="0.35">
      <c r="V2284" s="1"/>
      <c r="W2284" s="1"/>
    </row>
    <row r="2285" spans="22:23" x14ac:dyDescent="0.35">
      <c r="V2285" s="1"/>
      <c r="W2285" s="1"/>
    </row>
    <row r="2286" spans="22:23" x14ac:dyDescent="0.35">
      <c r="V2286" s="1"/>
      <c r="W2286" s="1"/>
    </row>
    <row r="2287" spans="22:23" x14ac:dyDescent="0.35">
      <c r="V2287" s="1"/>
      <c r="W2287" s="1"/>
    </row>
    <row r="2288" spans="22:23" x14ac:dyDescent="0.35">
      <c r="V2288" s="1"/>
      <c r="W2288" s="1"/>
    </row>
    <row r="2289" spans="22:23" x14ac:dyDescent="0.35">
      <c r="V2289" s="1"/>
      <c r="W2289" s="1"/>
    </row>
    <row r="2290" spans="22:23" x14ac:dyDescent="0.35">
      <c r="V2290" s="1"/>
      <c r="W2290" s="1"/>
    </row>
    <row r="2291" spans="22:23" x14ac:dyDescent="0.35">
      <c r="V2291" s="1"/>
      <c r="W2291" s="1"/>
    </row>
    <row r="2292" spans="22:23" x14ac:dyDescent="0.35">
      <c r="V2292" s="1"/>
      <c r="W2292" s="1"/>
    </row>
    <row r="2293" spans="22:23" x14ac:dyDescent="0.35">
      <c r="V2293" s="1"/>
      <c r="W2293" s="1"/>
    </row>
    <row r="2294" spans="22:23" x14ac:dyDescent="0.35">
      <c r="V2294" s="1"/>
      <c r="W2294" s="1"/>
    </row>
    <row r="2295" spans="22:23" x14ac:dyDescent="0.35">
      <c r="V2295" s="1"/>
      <c r="W2295" s="1"/>
    </row>
    <row r="2296" spans="22:23" x14ac:dyDescent="0.35">
      <c r="V2296" s="1"/>
      <c r="W2296" s="1"/>
    </row>
    <row r="2297" spans="22:23" x14ac:dyDescent="0.35">
      <c r="V2297" s="1"/>
      <c r="W2297" s="1"/>
    </row>
    <row r="2298" spans="22:23" x14ac:dyDescent="0.35">
      <c r="V2298" s="1"/>
      <c r="W2298" s="1"/>
    </row>
    <row r="2299" spans="22:23" x14ac:dyDescent="0.35">
      <c r="V2299" s="1"/>
      <c r="W2299" s="1"/>
    </row>
    <row r="2300" spans="22:23" x14ac:dyDescent="0.35">
      <c r="V2300" s="1"/>
      <c r="W2300" s="1"/>
    </row>
    <row r="2301" spans="22:23" x14ac:dyDescent="0.35">
      <c r="V2301" s="1"/>
      <c r="W2301" s="1"/>
    </row>
    <row r="2302" spans="22:23" x14ac:dyDescent="0.35">
      <c r="V2302" s="1"/>
      <c r="W2302" s="1"/>
    </row>
    <row r="2303" spans="22:23" x14ac:dyDescent="0.35">
      <c r="V2303" s="1"/>
      <c r="W2303" s="1"/>
    </row>
    <row r="2304" spans="22:23" x14ac:dyDescent="0.35">
      <c r="V2304" s="1"/>
      <c r="W2304" s="1"/>
    </row>
    <row r="2305" spans="22:23" x14ac:dyDescent="0.35">
      <c r="V2305" s="1"/>
      <c r="W2305" s="1"/>
    </row>
    <row r="2306" spans="22:23" x14ac:dyDescent="0.35">
      <c r="V2306" s="1"/>
      <c r="W2306" s="1"/>
    </row>
    <row r="2307" spans="22:23" x14ac:dyDescent="0.35">
      <c r="V2307" s="1"/>
      <c r="W2307" s="1"/>
    </row>
    <row r="2308" spans="22:23" x14ac:dyDescent="0.35">
      <c r="V2308" s="1"/>
      <c r="W2308" s="1"/>
    </row>
    <row r="2309" spans="22:23" x14ac:dyDescent="0.35">
      <c r="V2309" s="1"/>
      <c r="W2309" s="1"/>
    </row>
    <row r="2310" spans="22:23" x14ac:dyDescent="0.35">
      <c r="V2310" s="1"/>
      <c r="W2310" s="1"/>
    </row>
    <row r="2311" spans="22:23" x14ac:dyDescent="0.35">
      <c r="V2311" s="1"/>
      <c r="W2311" s="1"/>
    </row>
    <row r="2312" spans="22:23" x14ac:dyDescent="0.35">
      <c r="V2312" s="1"/>
      <c r="W2312" s="1"/>
    </row>
    <row r="2313" spans="22:23" x14ac:dyDescent="0.35">
      <c r="V2313" s="1"/>
      <c r="W2313" s="1"/>
    </row>
    <row r="2314" spans="22:23" x14ac:dyDescent="0.35">
      <c r="V2314" s="1"/>
      <c r="W2314" s="1"/>
    </row>
    <row r="2315" spans="22:23" x14ac:dyDescent="0.35">
      <c r="V2315" s="1"/>
      <c r="W2315" s="1"/>
    </row>
    <row r="2316" spans="22:23" x14ac:dyDescent="0.35">
      <c r="V2316" s="1"/>
      <c r="W2316" s="1"/>
    </row>
    <row r="2317" spans="22:23" x14ac:dyDescent="0.35">
      <c r="V2317" s="1"/>
      <c r="W2317" s="1"/>
    </row>
    <row r="2318" spans="22:23" x14ac:dyDescent="0.35">
      <c r="V2318" s="1"/>
      <c r="W2318" s="1"/>
    </row>
    <row r="2319" spans="22:23" x14ac:dyDescent="0.35">
      <c r="V2319" s="1"/>
      <c r="W2319" s="1"/>
    </row>
    <row r="2320" spans="22:23" x14ac:dyDescent="0.35">
      <c r="V2320" s="1"/>
      <c r="W2320" s="1"/>
    </row>
    <row r="2321" spans="22:23" x14ac:dyDescent="0.35">
      <c r="V2321" s="1"/>
      <c r="W2321" s="1"/>
    </row>
    <row r="2322" spans="22:23" x14ac:dyDescent="0.35">
      <c r="V2322" s="1"/>
      <c r="W2322" s="1"/>
    </row>
    <row r="2323" spans="22:23" x14ac:dyDescent="0.35">
      <c r="V2323" s="1"/>
      <c r="W2323" s="1"/>
    </row>
    <row r="2324" spans="22:23" x14ac:dyDescent="0.35">
      <c r="V2324" s="1"/>
      <c r="W2324" s="1"/>
    </row>
    <row r="2325" spans="22:23" x14ac:dyDescent="0.35">
      <c r="V2325" s="1"/>
      <c r="W2325" s="1"/>
    </row>
    <row r="2326" spans="22:23" x14ac:dyDescent="0.35">
      <c r="V2326" s="1"/>
      <c r="W2326" s="1"/>
    </row>
    <row r="2327" spans="22:23" x14ac:dyDescent="0.35">
      <c r="V2327" s="1"/>
      <c r="W2327" s="1"/>
    </row>
    <row r="2328" spans="22:23" x14ac:dyDescent="0.35">
      <c r="V2328" s="1"/>
      <c r="W2328" s="1"/>
    </row>
    <row r="2329" spans="22:23" x14ac:dyDescent="0.35">
      <c r="V2329" s="1"/>
      <c r="W2329" s="1"/>
    </row>
    <row r="2330" spans="22:23" x14ac:dyDescent="0.35">
      <c r="V2330" s="1"/>
      <c r="W2330" s="1"/>
    </row>
    <row r="2331" spans="22:23" x14ac:dyDescent="0.35">
      <c r="V2331" s="1"/>
      <c r="W2331" s="1"/>
    </row>
    <row r="2332" spans="22:23" x14ac:dyDescent="0.35">
      <c r="V2332" s="1"/>
      <c r="W2332" s="1"/>
    </row>
    <row r="2333" spans="22:23" x14ac:dyDescent="0.35">
      <c r="V2333" s="1"/>
      <c r="W2333" s="1"/>
    </row>
    <row r="2334" spans="22:23" x14ac:dyDescent="0.35">
      <c r="V2334" s="1"/>
      <c r="W2334" s="1"/>
    </row>
    <row r="2335" spans="22:23" x14ac:dyDescent="0.35">
      <c r="V2335" s="1"/>
      <c r="W2335" s="1"/>
    </row>
    <row r="2336" spans="22:23" x14ac:dyDescent="0.35">
      <c r="V2336" s="1"/>
      <c r="W2336" s="1"/>
    </row>
    <row r="2337" spans="22:23" x14ac:dyDescent="0.35">
      <c r="V2337" s="1"/>
      <c r="W2337" s="1"/>
    </row>
    <row r="2338" spans="22:23" x14ac:dyDescent="0.35">
      <c r="V2338" s="1"/>
      <c r="W2338" s="1"/>
    </row>
    <row r="2339" spans="22:23" x14ac:dyDescent="0.35">
      <c r="V2339" s="1"/>
      <c r="W2339" s="1"/>
    </row>
    <row r="2340" spans="22:23" x14ac:dyDescent="0.35">
      <c r="V2340" s="1"/>
      <c r="W2340" s="1"/>
    </row>
    <row r="2341" spans="22:23" x14ac:dyDescent="0.35">
      <c r="V2341" s="1"/>
      <c r="W2341" s="1"/>
    </row>
    <row r="2342" spans="22:23" x14ac:dyDescent="0.35">
      <c r="V2342" s="1"/>
      <c r="W2342" s="1"/>
    </row>
  </sheetData>
  <sortState xmlns:xlrd2="http://schemas.microsoft.com/office/spreadsheetml/2017/richdata2" ref="A4:K2255">
    <sortCondition descending="1" ref="A4:A2255"/>
    <sortCondition ref="C4:C2255"/>
    <sortCondition ref="B4:B2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 Act vs Jun Act</vt:lpstr>
      <vt:lpstr>Grid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Rios</dc:creator>
  <cp:lastModifiedBy>micha</cp:lastModifiedBy>
  <dcterms:created xsi:type="dcterms:W3CDTF">2025-09-11T15:16:19Z</dcterms:created>
  <dcterms:modified xsi:type="dcterms:W3CDTF">2026-07-16T11:10:29Z</dcterms:modified>
</cp:coreProperties>
</file>