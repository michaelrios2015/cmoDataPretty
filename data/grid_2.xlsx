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ha\Downloads\"/>
    </mc:Choice>
  </mc:AlternateContent>
  <xr:revisionPtr revIDLastSave="0" documentId="8_{D0066B09-4E57-40F2-91D2-D99CBC087BBE}" xr6:coauthVersionLast="47" xr6:coauthVersionMax="47" xr10:uidLastSave="{00000000-0000-0000-0000-000000000000}"/>
  <bookViews>
    <workbookView xWindow="3750" yWindow="30" windowWidth="27650" windowHeight="20850" xr2:uid="{CDF70340-9C56-4D52-B77F-011FD0FB57C6}"/>
  </bookViews>
  <sheets>
    <sheet name="May Act vs Apr Act" sheetId="19" r:id="rId1"/>
    <sheet name="Grid 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96" i="19" l="1"/>
  <c r="AH65" i="19" s="1"/>
  <c r="AG96" i="19"/>
  <c r="AG65" i="19" s="1"/>
  <c r="AF96" i="19"/>
  <c r="AF65" i="19" s="1"/>
  <c r="AE96" i="19"/>
  <c r="AE65" i="19" s="1"/>
  <c r="AD96" i="19"/>
  <c r="AD65" i="19" s="1"/>
  <c r="AC96" i="19"/>
  <c r="AC65" i="19" s="1"/>
  <c r="AB96" i="19"/>
  <c r="AB65" i="19" s="1"/>
  <c r="AA96" i="19"/>
  <c r="AA65" i="19" s="1"/>
  <c r="Z96" i="19"/>
  <c r="Z65" i="19" s="1"/>
  <c r="Y96" i="19"/>
  <c r="Y65" i="19" s="1"/>
  <c r="X96" i="19"/>
  <c r="X65" i="19" s="1"/>
  <c r="W96" i="19"/>
  <c r="W65" i="19" s="1"/>
  <c r="V96" i="19"/>
  <c r="V65" i="19" s="1"/>
  <c r="U96" i="19"/>
  <c r="U65" i="19" s="1"/>
  <c r="T96" i="19"/>
  <c r="T65" i="19" s="1"/>
  <c r="S96" i="19"/>
  <c r="S65" i="19" s="1"/>
  <c r="R96" i="19"/>
  <c r="R65" i="19" s="1"/>
  <c r="Q96" i="19"/>
  <c r="Q65" i="19" s="1"/>
  <c r="P96" i="19"/>
  <c r="P65" i="19" s="1"/>
  <c r="O96" i="19"/>
  <c r="O65" i="19" s="1"/>
  <c r="N96" i="19"/>
  <c r="N65" i="19" s="1"/>
  <c r="M96" i="19"/>
  <c r="M65" i="19" s="1"/>
  <c r="L96" i="19"/>
  <c r="L65" i="19" s="1"/>
  <c r="K96" i="19"/>
  <c r="K65" i="19" s="1"/>
  <c r="J96" i="19"/>
  <c r="J65" i="19" s="1"/>
  <c r="I96" i="19"/>
  <c r="I65" i="19" s="1"/>
  <c r="H96" i="19"/>
  <c r="H65" i="19" s="1"/>
  <c r="G96" i="19"/>
  <c r="G65" i="19" s="1"/>
  <c r="F96" i="19"/>
  <c r="F65" i="19" s="1"/>
  <c r="E96" i="19"/>
  <c r="E65" i="19" s="1"/>
  <c r="AH95" i="19"/>
  <c r="AG95" i="19"/>
  <c r="AG32" i="19" s="1"/>
  <c r="AF95" i="19"/>
  <c r="AF64" i="19" s="1"/>
  <c r="AE95" i="19"/>
  <c r="AE64" i="19" s="1"/>
  <c r="AD95" i="19"/>
  <c r="AD64" i="19" s="1"/>
  <c r="AC95" i="19"/>
  <c r="AC64" i="19" s="1"/>
  <c r="AB95" i="19"/>
  <c r="AB64" i="19" s="1"/>
  <c r="AA95" i="19"/>
  <c r="AA64" i="19" s="1"/>
  <c r="Z95" i="19"/>
  <c r="Z64" i="19" s="1"/>
  <c r="Y95" i="19"/>
  <c r="Y64" i="19" s="1"/>
  <c r="X95" i="19"/>
  <c r="X64" i="19" s="1"/>
  <c r="W95" i="19"/>
  <c r="W64" i="19" s="1"/>
  <c r="V95" i="19"/>
  <c r="V64" i="19" s="1"/>
  <c r="U95" i="19"/>
  <c r="U64" i="19" s="1"/>
  <c r="T95" i="19"/>
  <c r="T64" i="19" s="1"/>
  <c r="S95" i="19"/>
  <c r="S64" i="19" s="1"/>
  <c r="R95" i="19"/>
  <c r="R64" i="19" s="1"/>
  <c r="Q95" i="19"/>
  <c r="P95" i="19"/>
  <c r="P32" i="19" s="1"/>
  <c r="O95" i="19"/>
  <c r="O64" i="19" s="1"/>
  <c r="N95" i="19"/>
  <c r="N64" i="19" s="1"/>
  <c r="M95" i="19"/>
  <c r="M64" i="19" s="1"/>
  <c r="L95" i="19"/>
  <c r="L64" i="19" s="1"/>
  <c r="K95" i="19"/>
  <c r="K64" i="19" s="1"/>
  <c r="J95" i="19"/>
  <c r="J64" i="19" s="1"/>
  <c r="I95" i="19"/>
  <c r="I64" i="19" s="1"/>
  <c r="H95" i="19"/>
  <c r="H64" i="19" s="1"/>
  <c r="G95" i="19"/>
  <c r="G64" i="19" s="1"/>
  <c r="F95" i="19"/>
  <c r="F64" i="19" s="1"/>
  <c r="E95" i="19"/>
  <c r="E64" i="19" s="1"/>
  <c r="AH94" i="19"/>
  <c r="AG94" i="19"/>
  <c r="AG31" i="19" s="1"/>
  <c r="AF94" i="19"/>
  <c r="AF63" i="19" s="1"/>
  <c r="AE94" i="19"/>
  <c r="AE63" i="19" s="1"/>
  <c r="AD94" i="19"/>
  <c r="AD63" i="19" s="1"/>
  <c r="AC94" i="19"/>
  <c r="AC63" i="19" s="1"/>
  <c r="AB94" i="19"/>
  <c r="AB63" i="19" s="1"/>
  <c r="AA94" i="19"/>
  <c r="AA63" i="19" s="1"/>
  <c r="Z94" i="19"/>
  <c r="Z63" i="19" s="1"/>
  <c r="Y94" i="19"/>
  <c r="Y63" i="19" s="1"/>
  <c r="X94" i="19"/>
  <c r="X63" i="19" s="1"/>
  <c r="W94" i="19"/>
  <c r="W63" i="19" s="1"/>
  <c r="V94" i="19"/>
  <c r="V63" i="19" s="1"/>
  <c r="U94" i="19"/>
  <c r="U63" i="19" s="1"/>
  <c r="T94" i="19"/>
  <c r="T63" i="19" s="1"/>
  <c r="S94" i="19"/>
  <c r="S63" i="19" s="1"/>
  <c r="R94" i="19"/>
  <c r="R63" i="19" s="1"/>
  <c r="Q94" i="19"/>
  <c r="Q31" i="19" s="1"/>
  <c r="P94" i="19"/>
  <c r="O94" i="19"/>
  <c r="O63" i="19" s="1"/>
  <c r="N94" i="19"/>
  <c r="N63" i="19" s="1"/>
  <c r="M94" i="19"/>
  <c r="M63" i="19" s="1"/>
  <c r="L94" i="19"/>
  <c r="L63" i="19" s="1"/>
  <c r="K94" i="19"/>
  <c r="K63" i="19" s="1"/>
  <c r="J94" i="19"/>
  <c r="J63" i="19" s="1"/>
  <c r="I94" i="19"/>
  <c r="I63" i="19" s="1"/>
  <c r="H94" i="19"/>
  <c r="H63" i="19" s="1"/>
  <c r="G94" i="19"/>
  <c r="G63" i="19" s="1"/>
  <c r="F94" i="19"/>
  <c r="F63" i="19" s="1"/>
  <c r="E94" i="19"/>
  <c r="E63" i="19" s="1"/>
  <c r="AH93" i="19"/>
  <c r="AH30" i="19" s="1"/>
  <c r="AG93" i="19"/>
  <c r="AF93" i="19"/>
  <c r="AF62" i="19" s="1"/>
  <c r="AE93" i="19"/>
  <c r="AE62" i="19" s="1"/>
  <c r="AD93" i="19"/>
  <c r="AD62" i="19" s="1"/>
  <c r="AC93" i="19"/>
  <c r="AC62" i="19" s="1"/>
  <c r="AB93" i="19"/>
  <c r="AB62" i="19" s="1"/>
  <c r="AA93" i="19"/>
  <c r="AA62" i="19" s="1"/>
  <c r="Z93" i="19"/>
  <c r="Z62" i="19" s="1"/>
  <c r="Y93" i="19"/>
  <c r="Y62" i="19" s="1"/>
  <c r="X93" i="19"/>
  <c r="X62" i="19" s="1"/>
  <c r="W93" i="19"/>
  <c r="W62" i="19" s="1"/>
  <c r="V93" i="19"/>
  <c r="V62" i="19" s="1"/>
  <c r="U93" i="19"/>
  <c r="U62" i="19" s="1"/>
  <c r="T93" i="19"/>
  <c r="T62" i="19" s="1"/>
  <c r="S93" i="19"/>
  <c r="S62" i="19" s="1"/>
  <c r="R93" i="19"/>
  <c r="R30" i="19" s="1"/>
  <c r="Q93" i="19"/>
  <c r="P93" i="19"/>
  <c r="O93" i="19"/>
  <c r="N93" i="19"/>
  <c r="N30" i="19" s="1"/>
  <c r="M93" i="19"/>
  <c r="M30" i="19" s="1"/>
  <c r="L93" i="19"/>
  <c r="L30" i="19" s="1"/>
  <c r="K93" i="19"/>
  <c r="J93" i="19"/>
  <c r="J30" i="19" s="1"/>
  <c r="I93" i="19"/>
  <c r="H93" i="19"/>
  <c r="G93" i="19"/>
  <c r="G30" i="19" s="1"/>
  <c r="F93" i="19"/>
  <c r="E93" i="19"/>
  <c r="E30" i="19" s="1"/>
  <c r="AH92" i="19"/>
  <c r="AH29" i="19" s="1"/>
  <c r="AG92" i="19"/>
  <c r="AF92" i="19"/>
  <c r="AF61" i="19" s="1"/>
  <c r="AE92" i="19"/>
  <c r="AE61" i="19" s="1"/>
  <c r="AD92" i="19"/>
  <c r="AD61" i="19" s="1"/>
  <c r="AC92" i="19"/>
  <c r="AC61" i="19" s="1"/>
  <c r="AB92" i="19"/>
  <c r="AB61" i="19" s="1"/>
  <c r="AA92" i="19"/>
  <c r="AA61" i="19" s="1"/>
  <c r="Z92" i="19"/>
  <c r="Z61" i="19" s="1"/>
  <c r="Y92" i="19"/>
  <c r="Y61" i="19" s="1"/>
  <c r="X92" i="19"/>
  <c r="X61" i="19" s="1"/>
  <c r="W92" i="19"/>
  <c r="W61" i="19" s="1"/>
  <c r="V92" i="19"/>
  <c r="V61" i="19" s="1"/>
  <c r="U92" i="19"/>
  <c r="U61" i="19" s="1"/>
  <c r="T92" i="19"/>
  <c r="T61" i="19" s="1"/>
  <c r="S92" i="19"/>
  <c r="S61" i="19" s="1"/>
  <c r="R92" i="19"/>
  <c r="R29" i="19" s="1"/>
  <c r="Q92" i="19"/>
  <c r="P92" i="19"/>
  <c r="P29" i="19" s="1"/>
  <c r="P61" i="19" s="1"/>
  <c r="O92" i="19"/>
  <c r="N92" i="19"/>
  <c r="M92" i="19"/>
  <c r="M29" i="19" s="1"/>
  <c r="L92" i="19"/>
  <c r="L29" i="19" s="1"/>
  <c r="K92" i="19"/>
  <c r="K29" i="19" s="1"/>
  <c r="J92" i="19"/>
  <c r="J29" i="19" s="1"/>
  <c r="I92" i="19"/>
  <c r="I61" i="19" s="1"/>
  <c r="H92" i="19"/>
  <c r="H29" i="19" s="1"/>
  <c r="G92" i="19"/>
  <c r="F92" i="19"/>
  <c r="E92" i="19"/>
  <c r="E29" i="19" s="1"/>
  <c r="AH91" i="19"/>
  <c r="AG91" i="19"/>
  <c r="AG28" i="19" s="1"/>
  <c r="AF91" i="19"/>
  <c r="AF60" i="19" s="1"/>
  <c r="AE91" i="19"/>
  <c r="AE60" i="19" s="1"/>
  <c r="AD91" i="19"/>
  <c r="AD60" i="19" s="1"/>
  <c r="AC91" i="19"/>
  <c r="AC60" i="19" s="1"/>
  <c r="AB91" i="19"/>
  <c r="AB60" i="19" s="1"/>
  <c r="AA91" i="19"/>
  <c r="AA60" i="19" s="1"/>
  <c r="Z91" i="19"/>
  <c r="Z60" i="19" s="1"/>
  <c r="Y91" i="19"/>
  <c r="Y60" i="19" s="1"/>
  <c r="X91" i="19"/>
  <c r="X60" i="19" s="1"/>
  <c r="W91" i="19"/>
  <c r="W60" i="19" s="1"/>
  <c r="V91" i="19"/>
  <c r="V60" i="19" s="1"/>
  <c r="U91" i="19"/>
  <c r="U60" i="19" s="1"/>
  <c r="T91" i="19"/>
  <c r="T60" i="19" s="1"/>
  <c r="S91" i="19"/>
  <c r="S28" i="19" s="1"/>
  <c r="R91" i="19"/>
  <c r="R28" i="19" s="1"/>
  <c r="Q91" i="19"/>
  <c r="Q28" i="19" s="1"/>
  <c r="P91" i="19"/>
  <c r="P28" i="19" s="1"/>
  <c r="O91" i="19"/>
  <c r="N91" i="19"/>
  <c r="N28" i="19" s="1"/>
  <c r="M91" i="19"/>
  <c r="L91" i="19"/>
  <c r="K91" i="19"/>
  <c r="J91" i="19"/>
  <c r="J28" i="19" s="1"/>
  <c r="I91" i="19"/>
  <c r="I28" i="19" s="1"/>
  <c r="H91" i="19"/>
  <c r="H28" i="19" s="1"/>
  <c r="G91" i="19"/>
  <c r="F91" i="19"/>
  <c r="F28" i="19" s="1"/>
  <c r="E91" i="19"/>
  <c r="E28" i="19" s="1"/>
  <c r="AH90" i="19"/>
  <c r="AG90" i="19"/>
  <c r="AG27" i="19" s="1"/>
  <c r="AF90" i="19"/>
  <c r="AF27" i="19" s="1"/>
  <c r="AE90" i="19"/>
  <c r="AE27" i="19" s="1"/>
  <c r="AD90" i="19"/>
  <c r="AD59" i="19" s="1"/>
  <c r="AC90" i="19"/>
  <c r="AC59" i="19" s="1"/>
  <c r="AB90" i="19"/>
  <c r="AB59" i="19" s="1"/>
  <c r="AA90" i="19"/>
  <c r="AA59" i="19" s="1"/>
  <c r="Z90" i="19"/>
  <c r="Z59" i="19" s="1"/>
  <c r="Y90" i="19"/>
  <c r="Y59" i="19" s="1"/>
  <c r="X90" i="19"/>
  <c r="X59" i="19" s="1"/>
  <c r="W90" i="19"/>
  <c r="W59" i="19" s="1"/>
  <c r="V90" i="19"/>
  <c r="V59" i="19" s="1"/>
  <c r="U90" i="19"/>
  <c r="U59" i="19" s="1"/>
  <c r="T90" i="19"/>
  <c r="T59" i="19" s="1"/>
  <c r="S90" i="19"/>
  <c r="R90" i="19"/>
  <c r="Q90" i="19"/>
  <c r="P90" i="19"/>
  <c r="P27" i="19" s="1"/>
  <c r="O90" i="19"/>
  <c r="O27" i="19" s="1"/>
  <c r="N90" i="19"/>
  <c r="N27" i="19" s="1"/>
  <c r="M90" i="19"/>
  <c r="L90" i="19"/>
  <c r="L27" i="19" s="1"/>
  <c r="L59" i="19" s="1"/>
  <c r="K90" i="19"/>
  <c r="J90" i="19"/>
  <c r="I90" i="19"/>
  <c r="I27" i="19" s="1"/>
  <c r="H90" i="19"/>
  <c r="H27" i="19" s="1"/>
  <c r="G90" i="19"/>
  <c r="G27" i="19" s="1"/>
  <c r="F90" i="19"/>
  <c r="F27" i="19" s="1"/>
  <c r="E90" i="19"/>
  <c r="AH89" i="19"/>
  <c r="AH26" i="19" s="1"/>
  <c r="AG89" i="19"/>
  <c r="AF89" i="19"/>
  <c r="AE89" i="19"/>
  <c r="AE26" i="19" s="1"/>
  <c r="AD89" i="19"/>
  <c r="AD58" i="19" s="1"/>
  <c r="AC89" i="19"/>
  <c r="AC58" i="19" s="1"/>
  <c r="AB89" i="19"/>
  <c r="AB58" i="19" s="1"/>
  <c r="AA89" i="19"/>
  <c r="AA58" i="19" s="1"/>
  <c r="Z89" i="19"/>
  <c r="Z58" i="19" s="1"/>
  <c r="Y89" i="19"/>
  <c r="Y58" i="19" s="1"/>
  <c r="X89" i="19"/>
  <c r="X58" i="19" s="1"/>
  <c r="W89" i="19"/>
  <c r="W58" i="19" s="1"/>
  <c r="V89" i="19"/>
  <c r="V58" i="19" s="1"/>
  <c r="U89" i="19"/>
  <c r="U58" i="19" s="1"/>
  <c r="T89" i="19"/>
  <c r="T58" i="19" s="1"/>
  <c r="S89" i="19"/>
  <c r="R89" i="19"/>
  <c r="R26" i="19" s="1"/>
  <c r="Q89" i="19"/>
  <c r="Q26" i="19" s="1"/>
  <c r="P89" i="19"/>
  <c r="P26" i="19" s="1"/>
  <c r="O89" i="19"/>
  <c r="O26" i="19" s="1"/>
  <c r="N89" i="19"/>
  <c r="N26" i="19" s="1"/>
  <c r="M89" i="19"/>
  <c r="M26" i="19" s="1"/>
  <c r="L89" i="19"/>
  <c r="L26" i="19" s="1"/>
  <c r="K89" i="19"/>
  <c r="J89" i="19"/>
  <c r="J26" i="19" s="1"/>
  <c r="I89" i="19"/>
  <c r="H89" i="19"/>
  <c r="G89" i="19"/>
  <c r="G26" i="19" s="1"/>
  <c r="F89" i="19"/>
  <c r="F26" i="19" s="1"/>
  <c r="E89" i="19"/>
  <c r="E26" i="19" s="1"/>
  <c r="AH88" i="19"/>
  <c r="AH25" i="19" s="1"/>
  <c r="AG88" i="19"/>
  <c r="AG25" i="19" s="1"/>
  <c r="AF88" i="19"/>
  <c r="AF25" i="19" s="1"/>
  <c r="AE88" i="19"/>
  <c r="AD88" i="19"/>
  <c r="AD57" i="19" s="1"/>
  <c r="AC88" i="19"/>
  <c r="AC57" i="19" s="1"/>
  <c r="AB88" i="19"/>
  <c r="AB57" i="19" s="1"/>
  <c r="AA88" i="19"/>
  <c r="AA57" i="19" s="1"/>
  <c r="Z88" i="19"/>
  <c r="Z57" i="19" s="1"/>
  <c r="Y88" i="19"/>
  <c r="Y57" i="19" s="1"/>
  <c r="X88" i="19"/>
  <c r="X57" i="19" s="1"/>
  <c r="W88" i="19"/>
  <c r="W57" i="19" s="1"/>
  <c r="V88" i="19"/>
  <c r="V57" i="19" s="1"/>
  <c r="U88" i="19"/>
  <c r="U57" i="19" s="1"/>
  <c r="T88" i="19"/>
  <c r="T57" i="19" s="1"/>
  <c r="S88" i="19"/>
  <c r="S25" i="19" s="1"/>
  <c r="R88" i="19"/>
  <c r="R25" i="19" s="1"/>
  <c r="Q88" i="19"/>
  <c r="P88" i="19"/>
  <c r="P25" i="19" s="1"/>
  <c r="O88" i="19"/>
  <c r="O25" i="19" s="1"/>
  <c r="N88" i="19"/>
  <c r="M88" i="19"/>
  <c r="L88" i="19"/>
  <c r="L25" i="19" s="1"/>
  <c r="K88" i="19"/>
  <c r="K25" i="19" s="1"/>
  <c r="J88" i="19"/>
  <c r="J25" i="19" s="1"/>
  <c r="I88" i="19"/>
  <c r="I25" i="19" s="1"/>
  <c r="H88" i="19"/>
  <c r="H25" i="19" s="1"/>
  <c r="G88" i="19"/>
  <c r="F88" i="19"/>
  <c r="E88" i="19"/>
  <c r="E25" i="19" s="1"/>
  <c r="AH87" i="19"/>
  <c r="AG87" i="19"/>
  <c r="AG24" i="19" s="1"/>
  <c r="AF87" i="19"/>
  <c r="AF24" i="19" s="1"/>
  <c r="AE87" i="19"/>
  <c r="AD87" i="19"/>
  <c r="AD56" i="19" s="1"/>
  <c r="AC87" i="19"/>
  <c r="AC56" i="19" s="1"/>
  <c r="AB87" i="19"/>
  <c r="AB56" i="19" s="1"/>
  <c r="AA87" i="19"/>
  <c r="AA56" i="19" s="1"/>
  <c r="Z87" i="19"/>
  <c r="Z56" i="19" s="1"/>
  <c r="Y87" i="19"/>
  <c r="Y56" i="19" s="1"/>
  <c r="X87" i="19"/>
  <c r="X56" i="19" s="1"/>
  <c r="W87" i="19"/>
  <c r="W56" i="19" s="1"/>
  <c r="V87" i="19"/>
  <c r="V56" i="19" s="1"/>
  <c r="U87" i="19"/>
  <c r="U56" i="19" s="1"/>
  <c r="T87" i="19"/>
  <c r="S87" i="19"/>
  <c r="R87" i="19"/>
  <c r="R24" i="19" s="1"/>
  <c r="Q87" i="19"/>
  <c r="Q24" i="19" s="1"/>
  <c r="P87" i="19"/>
  <c r="P24" i="19" s="1"/>
  <c r="O87" i="19"/>
  <c r="N87" i="19"/>
  <c r="N24" i="19" s="1"/>
  <c r="M87" i="19"/>
  <c r="M24" i="19" s="1"/>
  <c r="L87" i="19"/>
  <c r="L24" i="19" s="1"/>
  <c r="K87" i="19"/>
  <c r="K24" i="19" s="1"/>
  <c r="J87" i="19"/>
  <c r="J24" i="19" s="1"/>
  <c r="I87" i="19"/>
  <c r="I24" i="19" s="1"/>
  <c r="H87" i="19"/>
  <c r="H24" i="19" s="1"/>
  <c r="G87" i="19"/>
  <c r="G24" i="19" s="1"/>
  <c r="F87" i="19"/>
  <c r="E87" i="19"/>
  <c r="AH86" i="19"/>
  <c r="AG86" i="19"/>
  <c r="AG23" i="19" s="1"/>
  <c r="AF86" i="19"/>
  <c r="AF23" i="19" s="1"/>
  <c r="AE86" i="19"/>
  <c r="AE23" i="19" s="1"/>
  <c r="AD86" i="19"/>
  <c r="AD23" i="19" s="1"/>
  <c r="AC86" i="19"/>
  <c r="AB86" i="19"/>
  <c r="AB55" i="19" s="1"/>
  <c r="AA86" i="19"/>
  <c r="AA55" i="19" s="1"/>
  <c r="Z86" i="19"/>
  <c r="Z55" i="19" s="1"/>
  <c r="Y86" i="19"/>
  <c r="Y55" i="19" s="1"/>
  <c r="X86" i="19"/>
  <c r="X23" i="19" s="1"/>
  <c r="W86" i="19"/>
  <c r="W55" i="19" s="1"/>
  <c r="V86" i="19"/>
  <c r="V55" i="19" s="1"/>
  <c r="U86" i="19"/>
  <c r="U55" i="19" s="1"/>
  <c r="T86" i="19"/>
  <c r="T23" i="19" s="1"/>
  <c r="S86" i="19"/>
  <c r="R86" i="19"/>
  <c r="R23" i="19" s="1"/>
  <c r="Q86" i="19"/>
  <c r="Q23" i="19" s="1"/>
  <c r="P86" i="19"/>
  <c r="P23" i="19" s="1"/>
  <c r="O86" i="19"/>
  <c r="O23" i="19" s="1"/>
  <c r="N86" i="19"/>
  <c r="N23" i="19" s="1"/>
  <c r="M86" i="19"/>
  <c r="L86" i="19"/>
  <c r="L23" i="19" s="1"/>
  <c r="K86" i="19"/>
  <c r="J86" i="19"/>
  <c r="J23" i="19" s="1"/>
  <c r="I86" i="19"/>
  <c r="I23" i="19" s="1"/>
  <c r="H86" i="19"/>
  <c r="G86" i="19"/>
  <c r="G23" i="19" s="1"/>
  <c r="F86" i="19"/>
  <c r="F23" i="19" s="1"/>
  <c r="E86" i="19"/>
  <c r="AH85" i="19"/>
  <c r="AH22" i="19" s="1"/>
  <c r="AG85" i="19"/>
  <c r="AG22" i="19" s="1"/>
  <c r="AF85" i="19"/>
  <c r="AE85" i="19"/>
  <c r="AD85" i="19"/>
  <c r="AD22" i="19" s="1"/>
  <c r="AC85" i="19"/>
  <c r="AC54" i="19" s="1"/>
  <c r="AB85" i="19"/>
  <c r="AB54" i="19" s="1"/>
  <c r="AA85" i="19"/>
  <c r="AA54" i="19" s="1"/>
  <c r="Z85" i="19"/>
  <c r="Z54" i="19" s="1"/>
  <c r="Y85" i="19"/>
  <c r="X85" i="19"/>
  <c r="X22" i="19" s="1"/>
  <c r="W85" i="19"/>
  <c r="W54" i="19" s="1"/>
  <c r="V85" i="19"/>
  <c r="V54" i="19" s="1"/>
  <c r="U85" i="19"/>
  <c r="U54" i="19" s="1"/>
  <c r="T85" i="19"/>
  <c r="T22" i="19" s="1"/>
  <c r="S85" i="19"/>
  <c r="R85" i="19"/>
  <c r="R22" i="19" s="1"/>
  <c r="Q85" i="19"/>
  <c r="Q22" i="19" s="1"/>
  <c r="P85" i="19"/>
  <c r="O85" i="19"/>
  <c r="O22" i="19" s="1"/>
  <c r="N85" i="19"/>
  <c r="N22" i="19" s="1"/>
  <c r="M85" i="19"/>
  <c r="M22" i="19" s="1"/>
  <c r="L85" i="19"/>
  <c r="L22" i="19" s="1"/>
  <c r="K85" i="19"/>
  <c r="J85" i="19"/>
  <c r="J22" i="19" s="1"/>
  <c r="I85" i="19"/>
  <c r="H85" i="19"/>
  <c r="H22" i="19" s="1"/>
  <c r="G85" i="19"/>
  <c r="G22" i="19" s="1"/>
  <c r="F85" i="19"/>
  <c r="F22" i="19" s="1"/>
  <c r="E85" i="19"/>
  <c r="E22" i="19" s="1"/>
  <c r="AH84" i="19"/>
  <c r="AH21" i="19" s="1"/>
  <c r="AG84" i="19"/>
  <c r="AF84" i="19"/>
  <c r="AE84" i="19"/>
  <c r="AD84" i="19"/>
  <c r="AD21" i="19" s="1"/>
  <c r="AC84" i="19"/>
  <c r="AC53" i="19" s="1"/>
  <c r="AB84" i="19"/>
  <c r="AB53" i="19" s="1"/>
  <c r="AA84" i="19"/>
  <c r="AA53" i="19" s="1"/>
  <c r="Z84" i="19"/>
  <c r="Z53" i="19" s="1"/>
  <c r="Y84" i="19"/>
  <c r="X84" i="19"/>
  <c r="X21" i="19" s="1"/>
  <c r="W84" i="19"/>
  <c r="W53" i="19" s="1"/>
  <c r="V84" i="19"/>
  <c r="V53" i="19" s="1"/>
  <c r="U84" i="19"/>
  <c r="U53" i="19" s="1"/>
  <c r="T84" i="19"/>
  <c r="S84" i="19"/>
  <c r="S21" i="19" s="1"/>
  <c r="R84" i="19"/>
  <c r="R21" i="19" s="1"/>
  <c r="Q84" i="19"/>
  <c r="P84" i="19"/>
  <c r="P21" i="19" s="1"/>
  <c r="O84" i="19"/>
  <c r="N84" i="19"/>
  <c r="N21" i="19" s="1"/>
  <c r="M84" i="19"/>
  <c r="M21" i="19" s="1"/>
  <c r="L84" i="19"/>
  <c r="L21" i="19" s="1"/>
  <c r="K84" i="19"/>
  <c r="K21" i="19" s="1"/>
  <c r="J84" i="19"/>
  <c r="J21" i="19" s="1"/>
  <c r="I84" i="19"/>
  <c r="H84" i="19"/>
  <c r="H21" i="19" s="1"/>
  <c r="G84" i="19"/>
  <c r="F84" i="19"/>
  <c r="F21" i="19" s="1"/>
  <c r="E84" i="19"/>
  <c r="E21" i="19" s="1"/>
  <c r="AH83" i="19"/>
  <c r="AG83" i="19"/>
  <c r="AG20" i="19" s="1"/>
  <c r="AF83" i="19"/>
  <c r="AF20" i="19" s="1"/>
  <c r="AE83" i="19"/>
  <c r="AD83" i="19"/>
  <c r="AD20" i="19" s="1"/>
  <c r="AC83" i="19"/>
  <c r="AB83" i="19"/>
  <c r="AB20" i="19" s="1"/>
  <c r="AA83" i="19"/>
  <c r="AA52" i="19" s="1"/>
  <c r="Z83" i="19"/>
  <c r="Y83" i="19"/>
  <c r="Y20" i="19" s="1"/>
  <c r="X83" i="19"/>
  <c r="X20" i="19" s="1"/>
  <c r="W83" i="19"/>
  <c r="V83" i="19"/>
  <c r="V52" i="19" s="1"/>
  <c r="U83" i="19"/>
  <c r="U52" i="19" s="1"/>
  <c r="T83" i="19"/>
  <c r="T20" i="19" s="1"/>
  <c r="S83" i="19"/>
  <c r="S20" i="19" s="1"/>
  <c r="R83" i="19"/>
  <c r="R20" i="19" s="1"/>
  <c r="Q83" i="19"/>
  <c r="Q20" i="19" s="1"/>
  <c r="P83" i="19"/>
  <c r="P20" i="19" s="1"/>
  <c r="O83" i="19"/>
  <c r="O20" i="19" s="1"/>
  <c r="N83" i="19"/>
  <c r="N20" i="19" s="1"/>
  <c r="M83" i="19"/>
  <c r="L83" i="19"/>
  <c r="L20" i="19" s="1"/>
  <c r="K83" i="19"/>
  <c r="K20" i="19" s="1"/>
  <c r="J83" i="19"/>
  <c r="J20" i="19" s="1"/>
  <c r="I83" i="19"/>
  <c r="I20" i="19" s="1"/>
  <c r="H83" i="19"/>
  <c r="H20" i="19" s="1"/>
  <c r="G83" i="19"/>
  <c r="G20" i="19" s="1"/>
  <c r="F83" i="19"/>
  <c r="F20" i="19" s="1"/>
  <c r="E83" i="19"/>
  <c r="AH82" i="19"/>
  <c r="AH51" i="19" s="1"/>
  <c r="AG82" i="19"/>
  <c r="AG19" i="19" s="1"/>
  <c r="AF82" i="19"/>
  <c r="AF19" i="19" s="1"/>
  <c r="AE82" i="19"/>
  <c r="AE19" i="19" s="1"/>
  <c r="AD82" i="19"/>
  <c r="AD19" i="19" s="1"/>
  <c r="AC82" i="19"/>
  <c r="AC19" i="19" s="1"/>
  <c r="AB82" i="19"/>
  <c r="AA82" i="19"/>
  <c r="Z82" i="19"/>
  <c r="Z19" i="19" s="1"/>
  <c r="Y82" i="19"/>
  <c r="X82" i="19"/>
  <c r="X19" i="19" s="1"/>
  <c r="W82" i="19"/>
  <c r="W19" i="19" s="1"/>
  <c r="V82" i="19"/>
  <c r="V51" i="19" s="1"/>
  <c r="U82" i="19"/>
  <c r="U51" i="19" s="1"/>
  <c r="T82" i="19"/>
  <c r="T19" i="19" s="1"/>
  <c r="S82" i="19"/>
  <c r="R82" i="19"/>
  <c r="R19" i="19" s="1"/>
  <c r="Q82" i="19"/>
  <c r="Q19" i="19" s="1"/>
  <c r="P82" i="19"/>
  <c r="P19" i="19" s="1"/>
  <c r="O82" i="19"/>
  <c r="O19" i="19" s="1"/>
  <c r="N82" i="19"/>
  <c r="N19" i="19" s="1"/>
  <c r="M82" i="19"/>
  <c r="L82" i="19"/>
  <c r="L19" i="19" s="1"/>
  <c r="K82" i="19"/>
  <c r="K19" i="19" s="1"/>
  <c r="J82" i="19"/>
  <c r="J19" i="19" s="1"/>
  <c r="I82" i="19"/>
  <c r="I19" i="19" s="1"/>
  <c r="H82" i="19"/>
  <c r="H19" i="19" s="1"/>
  <c r="G82" i="19"/>
  <c r="G19" i="19" s="1"/>
  <c r="F82" i="19"/>
  <c r="F19" i="19" s="1"/>
  <c r="E82" i="19"/>
  <c r="AH81" i="19"/>
  <c r="AH50" i="19" s="1"/>
  <c r="AG81" i="19"/>
  <c r="AF81" i="19"/>
  <c r="AF18" i="19" s="1"/>
  <c r="AE81" i="19"/>
  <c r="AD81" i="19"/>
  <c r="AD18" i="19" s="1"/>
  <c r="AC81" i="19"/>
  <c r="AC18" i="19" s="1"/>
  <c r="AB81" i="19"/>
  <c r="AB18" i="19" s="1"/>
  <c r="AA81" i="19"/>
  <c r="AA18" i="19" s="1"/>
  <c r="Z81" i="19"/>
  <c r="Z18" i="19" s="1"/>
  <c r="Y81" i="19"/>
  <c r="Y18" i="19" s="1"/>
  <c r="X81" i="19"/>
  <c r="X18" i="19" s="1"/>
  <c r="W81" i="19"/>
  <c r="V81" i="19"/>
  <c r="U81" i="19"/>
  <c r="U18" i="19" s="1"/>
  <c r="T81" i="19"/>
  <c r="T18" i="19" s="1"/>
  <c r="S81" i="19"/>
  <c r="S18" i="19" s="1"/>
  <c r="R81" i="19"/>
  <c r="R18" i="19" s="1"/>
  <c r="Q81" i="19"/>
  <c r="P81" i="19"/>
  <c r="P18" i="19" s="1"/>
  <c r="O81" i="19"/>
  <c r="O18" i="19" s="1"/>
  <c r="N81" i="19"/>
  <c r="N18" i="19" s="1"/>
  <c r="M81" i="19"/>
  <c r="M18" i="19" s="1"/>
  <c r="L81" i="19"/>
  <c r="L18" i="19" s="1"/>
  <c r="K81" i="19"/>
  <c r="J81" i="19"/>
  <c r="J18" i="19" s="1"/>
  <c r="I81" i="19"/>
  <c r="I18" i="19" s="1"/>
  <c r="H81" i="19"/>
  <c r="H18" i="19" s="1"/>
  <c r="G81" i="19"/>
  <c r="G18" i="19" s="1"/>
  <c r="F81" i="19"/>
  <c r="F18" i="19" s="1"/>
  <c r="E81" i="19"/>
  <c r="E18" i="19" s="1"/>
  <c r="AH80" i="19"/>
  <c r="AH49" i="19" s="1"/>
  <c r="AG80" i="19"/>
  <c r="AF80" i="19"/>
  <c r="AF17" i="19" s="1"/>
  <c r="AE80" i="19"/>
  <c r="AD80" i="19"/>
  <c r="AD17" i="19" s="1"/>
  <c r="AC80" i="19"/>
  <c r="AB80" i="19"/>
  <c r="AB17" i="19" s="1"/>
  <c r="AA80" i="19"/>
  <c r="AA17" i="19" s="1"/>
  <c r="Z80" i="19"/>
  <c r="Z17" i="19" s="1"/>
  <c r="Y80" i="19"/>
  <c r="X80" i="19"/>
  <c r="W80" i="19"/>
  <c r="V80" i="19"/>
  <c r="V17" i="19" s="1"/>
  <c r="U80" i="19"/>
  <c r="U17" i="19" s="1"/>
  <c r="T80" i="19"/>
  <c r="T17" i="19" s="1"/>
  <c r="S80" i="19"/>
  <c r="S17" i="19" s="1"/>
  <c r="R80" i="19"/>
  <c r="R17" i="19" s="1"/>
  <c r="Q80" i="19"/>
  <c r="Q17" i="19" s="1"/>
  <c r="P80" i="19"/>
  <c r="P17" i="19" s="1"/>
  <c r="O80" i="19"/>
  <c r="N80" i="19"/>
  <c r="N17" i="19" s="1"/>
  <c r="M80" i="19"/>
  <c r="M17" i="19" s="1"/>
  <c r="L80" i="19"/>
  <c r="L17" i="19" s="1"/>
  <c r="K80" i="19"/>
  <c r="K17" i="19" s="1"/>
  <c r="J80" i="19"/>
  <c r="J17" i="19" s="1"/>
  <c r="I80" i="19"/>
  <c r="I17" i="19" s="1"/>
  <c r="H80" i="19"/>
  <c r="H17" i="19" s="1"/>
  <c r="G80" i="19"/>
  <c r="F80" i="19"/>
  <c r="F17" i="19" s="1"/>
  <c r="E80" i="19"/>
  <c r="E17" i="19" s="1"/>
  <c r="AH79" i="19"/>
  <c r="AH48" i="19" s="1"/>
  <c r="AG79" i="19"/>
  <c r="AG16" i="19" s="1"/>
  <c r="AF79" i="19"/>
  <c r="AF48" i="19" s="1"/>
  <c r="AE79" i="19"/>
  <c r="AE16" i="19" s="1"/>
  <c r="AD79" i="19"/>
  <c r="AD16" i="19" s="1"/>
  <c r="AC79" i="19"/>
  <c r="AB79" i="19"/>
  <c r="AB16" i="19" s="1"/>
  <c r="AA79" i="19"/>
  <c r="Z79" i="19"/>
  <c r="Z16" i="19" s="1"/>
  <c r="Y79" i="19"/>
  <c r="Y16" i="19" s="1"/>
  <c r="X79" i="19"/>
  <c r="X16" i="19" s="1"/>
  <c r="W79" i="19"/>
  <c r="V79" i="19"/>
  <c r="V16" i="19" s="1"/>
  <c r="U79" i="19"/>
  <c r="T79" i="19"/>
  <c r="T16" i="19" s="1"/>
  <c r="S79" i="19"/>
  <c r="S16" i="19" s="1"/>
  <c r="R79" i="19"/>
  <c r="R16" i="19" s="1"/>
  <c r="Q79" i="19"/>
  <c r="Q16" i="19" s="1"/>
  <c r="P79" i="19"/>
  <c r="P16" i="19" s="1"/>
  <c r="O79" i="19"/>
  <c r="N79" i="19"/>
  <c r="N16" i="19" s="1"/>
  <c r="M79" i="19"/>
  <c r="L79" i="19"/>
  <c r="L16" i="19" s="1"/>
  <c r="K79" i="19"/>
  <c r="K16" i="19" s="1"/>
  <c r="J79" i="19"/>
  <c r="J16" i="19" s="1"/>
  <c r="I79" i="19"/>
  <c r="I16" i="19" s="1"/>
  <c r="H79" i="19"/>
  <c r="H16" i="19" s="1"/>
  <c r="G79" i="19"/>
  <c r="F79" i="19"/>
  <c r="F16" i="19" s="1"/>
  <c r="E79" i="19"/>
  <c r="AH78" i="19"/>
  <c r="AH47" i="19" s="1"/>
  <c r="AG78" i="19"/>
  <c r="AG15" i="19" s="1"/>
  <c r="AF78" i="19"/>
  <c r="AF47" i="19" s="1"/>
  <c r="AE78" i="19"/>
  <c r="AE15" i="19" s="1"/>
  <c r="AD78" i="19"/>
  <c r="AD15" i="19" s="1"/>
  <c r="AC78" i="19"/>
  <c r="AC15" i="19" s="1"/>
  <c r="AB78" i="19"/>
  <c r="AB15" i="19" s="1"/>
  <c r="AA78" i="19"/>
  <c r="Z78" i="19"/>
  <c r="Z15" i="19" s="1"/>
  <c r="Y78" i="19"/>
  <c r="X78" i="19"/>
  <c r="X15" i="19" s="1"/>
  <c r="W78" i="19"/>
  <c r="W15" i="19" s="1"/>
  <c r="V78" i="19"/>
  <c r="V15" i="19" s="1"/>
  <c r="U78" i="19"/>
  <c r="U15" i="19" s="1"/>
  <c r="T78" i="19"/>
  <c r="S78" i="19"/>
  <c r="R78" i="19"/>
  <c r="R15" i="19" s="1"/>
  <c r="Q78" i="19"/>
  <c r="Q15" i="19" s="1"/>
  <c r="P78" i="19"/>
  <c r="P15" i="19" s="1"/>
  <c r="O78" i="19"/>
  <c r="O15" i="19" s="1"/>
  <c r="N78" i="19"/>
  <c r="N15" i="19" s="1"/>
  <c r="M78" i="19"/>
  <c r="L78" i="19"/>
  <c r="L15" i="19" s="1"/>
  <c r="K78" i="19"/>
  <c r="J78" i="19"/>
  <c r="J15" i="19" s="1"/>
  <c r="I78" i="19"/>
  <c r="I15" i="19" s="1"/>
  <c r="H78" i="19"/>
  <c r="H15" i="19" s="1"/>
  <c r="G78" i="19"/>
  <c r="G15" i="19" s="1"/>
  <c r="F78" i="19"/>
  <c r="F15" i="19" s="1"/>
  <c r="E78" i="19"/>
  <c r="E15" i="19" s="1"/>
  <c r="AH77" i="19"/>
  <c r="AH46" i="19" s="1"/>
  <c r="AG77" i="19"/>
  <c r="AG14" i="19" s="1"/>
  <c r="AF77" i="19"/>
  <c r="AF46" i="19" s="1"/>
  <c r="AE77" i="19"/>
  <c r="AD77" i="19"/>
  <c r="AD14" i="19" s="1"/>
  <c r="AC77" i="19"/>
  <c r="AC14" i="19" s="1"/>
  <c r="AB77" i="19"/>
  <c r="AB14" i="19" s="1"/>
  <c r="AA77" i="19"/>
  <c r="Z77" i="19"/>
  <c r="Z14" i="19" s="1"/>
  <c r="Y77" i="19"/>
  <c r="X77" i="19"/>
  <c r="X14" i="19" s="1"/>
  <c r="W77" i="19"/>
  <c r="V77" i="19"/>
  <c r="V14" i="19" s="1"/>
  <c r="U77" i="19"/>
  <c r="U14" i="19" s="1"/>
  <c r="T77" i="19"/>
  <c r="T14" i="19" s="1"/>
  <c r="S77" i="19"/>
  <c r="S14" i="19" s="1"/>
  <c r="R77" i="19"/>
  <c r="R14" i="19" s="1"/>
  <c r="Q77" i="19"/>
  <c r="Q14" i="19" s="1"/>
  <c r="P77" i="19"/>
  <c r="P14" i="19" s="1"/>
  <c r="O77" i="19"/>
  <c r="O14" i="19" s="1"/>
  <c r="N77" i="19"/>
  <c r="N14" i="19" s="1"/>
  <c r="M77" i="19"/>
  <c r="M14" i="19" s="1"/>
  <c r="L77" i="19"/>
  <c r="L14" i="19" s="1"/>
  <c r="K77" i="19"/>
  <c r="K14" i="19" s="1"/>
  <c r="J77" i="19"/>
  <c r="J14" i="19" s="1"/>
  <c r="I77" i="19"/>
  <c r="H77" i="19"/>
  <c r="H14" i="19" s="1"/>
  <c r="G77" i="19"/>
  <c r="G14" i="19" s="1"/>
  <c r="F77" i="19"/>
  <c r="F14" i="19" s="1"/>
  <c r="E77" i="19"/>
  <c r="E14" i="19" s="1"/>
  <c r="AH76" i="19"/>
  <c r="AH45" i="19" s="1"/>
  <c r="AG76" i="19"/>
  <c r="AG45" i="19" s="1"/>
  <c r="AF76" i="19"/>
  <c r="AF45" i="19" s="1"/>
  <c r="AE76" i="19"/>
  <c r="AE13" i="19" s="1"/>
  <c r="AD76" i="19"/>
  <c r="AD13" i="19" s="1"/>
  <c r="AC76" i="19"/>
  <c r="AB76" i="19"/>
  <c r="AB13" i="19" s="1"/>
  <c r="AA76" i="19"/>
  <c r="AA13" i="19" s="1"/>
  <c r="Z76" i="19"/>
  <c r="Z13" i="19" s="1"/>
  <c r="Y76" i="19"/>
  <c r="Y13" i="19" s="1"/>
  <c r="X76" i="19"/>
  <c r="X13" i="19" s="1"/>
  <c r="W76" i="19"/>
  <c r="W13" i="19" s="1"/>
  <c r="V76" i="19"/>
  <c r="V13" i="19" s="1"/>
  <c r="U76" i="19"/>
  <c r="T76" i="19"/>
  <c r="T13" i="19" s="1"/>
  <c r="S76" i="19"/>
  <c r="S13" i="19" s="1"/>
  <c r="R76" i="19"/>
  <c r="R13" i="19" s="1"/>
  <c r="Q76" i="19"/>
  <c r="Q45" i="19" s="1"/>
  <c r="P76" i="19"/>
  <c r="P45" i="19" s="1"/>
  <c r="O76" i="19"/>
  <c r="O45" i="19" s="1"/>
  <c r="N76" i="19"/>
  <c r="M76" i="19"/>
  <c r="M13" i="19" s="1"/>
  <c r="L76" i="19"/>
  <c r="L13" i="19" s="1"/>
  <c r="K76" i="19"/>
  <c r="K13" i="19" s="1"/>
  <c r="J76" i="19"/>
  <c r="J13" i="19" s="1"/>
  <c r="I76" i="19"/>
  <c r="I13" i="19" s="1"/>
  <c r="H76" i="19"/>
  <c r="H13" i="19" s="1"/>
  <c r="G76" i="19"/>
  <c r="G13" i="19" s="1"/>
  <c r="F76" i="19"/>
  <c r="F13" i="19" s="1"/>
  <c r="E76" i="19"/>
  <c r="E13" i="19" s="1"/>
  <c r="AH75" i="19"/>
  <c r="AH44" i="19" s="1"/>
  <c r="AG75" i="19"/>
  <c r="AG44" i="19" s="1"/>
  <c r="AF75" i="19"/>
  <c r="AF44" i="19" s="1"/>
  <c r="AE75" i="19"/>
  <c r="AE44" i="19" s="1"/>
  <c r="AD75" i="19"/>
  <c r="AD12" i="19" s="1"/>
  <c r="AC75" i="19"/>
  <c r="AB75" i="19"/>
  <c r="AB12" i="19" s="1"/>
  <c r="AA75" i="19"/>
  <c r="AA12" i="19" s="1"/>
  <c r="Z75" i="19"/>
  <c r="Z12" i="19" s="1"/>
  <c r="Y75" i="19"/>
  <c r="Y12" i="19" s="1"/>
  <c r="X75" i="19"/>
  <c r="X12" i="19" s="1"/>
  <c r="W75" i="19"/>
  <c r="W12" i="19" s="1"/>
  <c r="V75" i="19"/>
  <c r="V12" i="19" s="1"/>
  <c r="U75" i="19"/>
  <c r="U12" i="19" s="1"/>
  <c r="T75" i="19"/>
  <c r="T12" i="19" s="1"/>
  <c r="S75" i="19"/>
  <c r="R75" i="19"/>
  <c r="R12" i="19" s="1"/>
  <c r="Q75" i="19"/>
  <c r="Q44" i="19" s="1"/>
  <c r="P75" i="19"/>
  <c r="P44" i="19" s="1"/>
  <c r="O75" i="19"/>
  <c r="O44" i="19" s="1"/>
  <c r="N75" i="19"/>
  <c r="N44" i="19" s="1"/>
  <c r="M75" i="19"/>
  <c r="L75" i="19"/>
  <c r="L12" i="19" s="1"/>
  <c r="K75" i="19"/>
  <c r="K12" i="19" s="1"/>
  <c r="J75" i="19"/>
  <c r="I75" i="19"/>
  <c r="H75" i="19"/>
  <c r="G75" i="19"/>
  <c r="F75" i="19"/>
  <c r="F12" i="19" s="1"/>
  <c r="E75" i="19"/>
  <c r="E12" i="19" s="1"/>
  <c r="AH74" i="19"/>
  <c r="AH43" i="19" s="1"/>
  <c r="AG74" i="19"/>
  <c r="AG43" i="19" s="1"/>
  <c r="AF74" i="19"/>
  <c r="AF43" i="19" s="1"/>
  <c r="AE74" i="19"/>
  <c r="AE43" i="19" s="1"/>
  <c r="AD74" i="19"/>
  <c r="AD11" i="19" s="1"/>
  <c r="AC74" i="19"/>
  <c r="AC11" i="19" s="1"/>
  <c r="AB74" i="19"/>
  <c r="AB11" i="19" s="1"/>
  <c r="AA74" i="19"/>
  <c r="Z74" i="19"/>
  <c r="Z11" i="19" s="1"/>
  <c r="Y74" i="19"/>
  <c r="Y11" i="19" s="1"/>
  <c r="X74" i="19"/>
  <c r="X11" i="19" s="1"/>
  <c r="W74" i="19"/>
  <c r="W11" i="19" s="1"/>
  <c r="V74" i="19"/>
  <c r="V11" i="19" s="1"/>
  <c r="U74" i="19"/>
  <c r="T74" i="19"/>
  <c r="T11" i="19" s="1"/>
  <c r="S74" i="19"/>
  <c r="R74" i="19"/>
  <c r="R11" i="19" s="1"/>
  <c r="Q74" i="19"/>
  <c r="Q43" i="19" s="1"/>
  <c r="P74" i="19"/>
  <c r="P43" i="19" s="1"/>
  <c r="O74" i="19"/>
  <c r="O43" i="19" s="1"/>
  <c r="N74" i="19"/>
  <c r="N43" i="19" s="1"/>
  <c r="M74" i="19"/>
  <c r="M43" i="19" s="1"/>
  <c r="L74" i="19"/>
  <c r="L43" i="19" s="1"/>
  <c r="K74" i="19"/>
  <c r="K43" i="19" s="1"/>
  <c r="J74" i="19"/>
  <c r="J43" i="19" s="1"/>
  <c r="I74" i="19"/>
  <c r="I43" i="19" s="1"/>
  <c r="H74" i="19"/>
  <c r="H43" i="19" s="1"/>
  <c r="G74" i="19"/>
  <c r="G43" i="19" s="1"/>
  <c r="F74" i="19"/>
  <c r="F43" i="19" s="1"/>
  <c r="E74" i="19"/>
  <c r="E11" i="19" s="1"/>
  <c r="AH73" i="19"/>
  <c r="AH42" i="19" s="1"/>
  <c r="AG73" i="19"/>
  <c r="AG42" i="19" s="1"/>
  <c r="AF73" i="19"/>
  <c r="AF42" i="19" s="1"/>
  <c r="AE73" i="19"/>
  <c r="AE42" i="19" s="1"/>
  <c r="AD73" i="19"/>
  <c r="AC73" i="19"/>
  <c r="AC10" i="19" s="1"/>
  <c r="AB73" i="19"/>
  <c r="AB10" i="19" s="1"/>
  <c r="AA73" i="19"/>
  <c r="AA10" i="19" s="1"/>
  <c r="Z73" i="19"/>
  <c r="Z10" i="19" s="1"/>
  <c r="Y73" i="19"/>
  <c r="X73" i="19"/>
  <c r="X10" i="19" s="1"/>
  <c r="W73" i="19"/>
  <c r="W10" i="19" s="1"/>
  <c r="V73" i="19"/>
  <c r="V10" i="19" s="1"/>
  <c r="U73" i="19"/>
  <c r="U10" i="19" s="1"/>
  <c r="T73" i="19"/>
  <c r="T10" i="19" s="1"/>
  <c r="S73" i="19"/>
  <c r="R73" i="19"/>
  <c r="R10" i="19" s="1"/>
  <c r="Q73" i="19"/>
  <c r="Q42" i="19" s="1"/>
  <c r="P73" i="19"/>
  <c r="P42" i="19" s="1"/>
  <c r="O73" i="19"/>
  <c r="O42" i="19" s="1"/>
  <c r="N73" i="19"/>
  <c r="N42" i="19" s="1"/>
  <c r="M73" i="19"/>
  <c r="M42" i="19" s="1"/>
  <c r="L73" i="19"/>
  <c r="L42" i="19" s="1"/>
  <c r="K73" i="19"/>
  <c r="K42" i="19" s="1"/>
  <c r="J73" i="19"/>
  <c r="J42" i="19" s="1"/>
  <c r="I73" i="19"/>
  <c r="I42" i="19" s="1"/>
  <c r="H73" i="19"/>
  <c r="H42" i="19" s="1"/>
  <c r="G73" i="19"/>
  <c r="G42" i="19" s="1"/>
  <c r="F73" i="19"/>
  <c r="F42" i="19" s="1"/>
  <c r="E73" i="19"/>
  <c r="AH72" i="19"/>
  <c r="AH41" i="19" s="1"/>
  <c r="AG72" i="19"/>
  <c r="AG41" i="19" s="1"/>
  <c r="AF72" i="19"/>
  <c r="AF41" i="19" s="1"/>
  <c r="AE72" i="19"/>
  <c r="AE41" i="19" s="1"/>
  <c r="AD72" i="19"/>
  <c r="AD9" i="19" s="1"/>
  <c r="AC72" i="19"/>
  <c r="AB72" i="19"/>
  <c r="AB9" i="19" s="1"/>
  <c r="AA72" i="19"/>
  <c r="AA9" i="19" s="1"/>
  <c r="Z72" i="19"/>
  <c r="Z9" i="19" s="1"/>
  <c r="Y72" i="19"/>
  <c r="Y41" i="19" s="1"/>
  <c r="X72" i="19"/>
  <c r="X9" i="19" s="1"/>
  <c r="W72" i="19"/>
  <c r="W9" i="19" s="1"/>
  <c r="V72" i="19"/>
  <c r="V9" i="19" s="1"/>
  <c r="U72" i="19"/>
  <c r="U9" i="19" s="1"/>
  <c r="T72" i="19"/>
  <c r="T9" i="19" s="1"/>
  <c r="S72" i="19"/>
  <c r="S9" i="19" s="1"/>
  <c r="R72" i="19"/>
  <c r="R41" i="19" s="1"/>
  <c r="Q72" i="19"/>
  <c r="Q41" i="19" s="1"/>
  <c r="P72" i="19"/>
  <c r="P41" i="19" s="1"/>
  <c r="O72" i="19"/>
  <c r="O41" i="19" s="1"/>
  <c r="N72" i="19"/>
  <c r="N41" i="19" s="1"/>
  <c r="M72" i="19"/>
  <c r="M41" i="19" s="1"/>
  <c r="L72" i="19"/>
  <c r="L41" i="19" s="1"/>
  <c r="K72" i="19"/>
  <c r="K41" i="19" s="1"/>
  <c r="J72" i="19"/>
  <c r="J41" i="19" s="1"/>
  <c r="I72" i="19"/>
  <c r="I41" i="19" s="1"/>
  <c r="H72" i="19"/>
  <c r="H41" i="19" s="1"/>
  <c r="G72" i="19"/>
  <c r="G41" i="19" s="1"/>
  <c r="F72" i="19"/>
  <c r="F41" i="19" s="1"/>
  <c r="E72" i="19"/>
  <c r="E41" i="19" s="1"/>
  <c r="AH71" i="19"/>
  <c r="AH40" i="19" s="1"/>
  <c r="AG71" i="19"/>
  <c r="AG40" i="19" s="1"/>
  <c r="AF71" i="19"/>
  <c r="AF40" i="19" s="1"/>
  <c r="AE71" i="19"/>
  <c r="AE40" i="19" s="1"/>
  <c r="AD71" i="19"/>
  <c r="AD40" i="19" s="1"/>
  <c r="AC71" i="19"/>
  <c r="AC8" i="19" s="1"/>
  <c r="AB71" i="19"/>
  <c r="AB8" i="19" s="1"/>
  <c r="AA71" i="19"/>
  <c r="AA8" i="19" s="1"/>
  <c r="Z71" i="19"/>
  <c r="Z8" i="19" s="1"/>
  <c r="Y71" i="19"/>
  <c r="Y40" i="19" s="1"/>
  <c r="X71" i="19"/>
  <c r="X8" i="19" s="1"/>
  <c r="W71" i="19"/>
  <c r="W8" i="19" s="1"/>
  <c r="V71" i="19"/>
  <c r="V8" i="19" s="1"/>
  <c r="U71" i="19"/>
  <c r="U8" i="19" s="1"/>
  <c r="T71" i="19"/>
  <c r="T8" i="19" s="1"/>
  <c r="S71" i="19"/>
  <c r="S8" i="19" s="1"/>
  <c r="R71" i="19"/>
  <c r="R40" i="19" s="1"/>
  <c r="Q71" i="19"/>
  <c r="Q40" i="19" s="1"/>
  <c r="P71" i="19"/>
  <c r="P40" i="19" s="1"/>
  <c r="O71" i="19"/>
  <c r="O40" i="19" s="1"/>
  <c r="N71" i="19"/>
  <c r="N40" i="19" s="1"/>
  <c r="M71" i="19"/>
  <c r="M40" i="19" s="1"/>
  <c r="L71" i="19"/>
  <c r="L40" i="19" s="1"/>
  <c r="K71" i="19"/>
  <c r="K40" i="19" s="1"/>
  <c r="J71" i="19"/>
  <c r="J40" i="19" s="1"/>
  <c r="I71" i="19"/>
  <c r="I40" i="19" s="1"/>
  <c r="H71" i="19"/>
  <c r="H40" i="19" s="1"/>
  <c r="G71" i="19"/>
  <c r="G40" i="19" s="1"/>
  <c r="F71" i="19"/>
  <c r="F40" i="19" s="1"/>
  <c r="E71" i="19"/>
  <c r="E40" i="19" s="1"/>
  <c r="AH70" i="19"/>
  <c r="AH39" i="19" s="1"/>
  <c r="AG70" i="19"/>
  <c r="AG39" i="19" s="1"/>
  <c r="AF70" i="19"/>
  <c r="AF39" i="19" s="1"/>
  <c r="AE70" i="19"/>
  <c r="AE39" i="19" s="1"/>
  <c r="AD70" i="19"/>
  <c r="AD39" i="19" s="1"/>
  <c r="AC70" i="19"/>
  <c r="AC7" i="19" s="1"/>
  <c r="AB70" i="19"/>
  <c r="AB39" i="19" s="1"/>
  <c r="AA70" i="19"/>
  <c r="Z70" i="19"/>
  <c r="Z39" i="19" s="1"/>
  <c r="Y70" i="19"/>
  <c r="Y39" i="19" s="1"/>
  <c r="X70" i="19"/>
  <c r="X39" i="19" s="1"/>
  <c r="W70" i="19"/>
  <c r="W7" i="19" s="1"/>
  <c r="V70" i="19"/>
  <c r="V7" i="19" s="1"/>
  <c r="U70" i="19"/>
  <c r="U7" i="19" s="1"/>
  <c r="T70" i="19"/>
  <c r="T7" i="19" s="1"/>
  <c r="S70" i="19"/>
  <c r="R70" i="19"/>
  <c r="R39" i="19" s="1"/>
  <c r="Q70" i="19"/>
  <c r="Q39" i="19" s="1"/>
  <c r="P70" i="19"/>
  <c r="P39" i="19" s="1"/>
  <c r="O70" i="19"/>
  <c r="O39" i="19" s="1"/>
  <c r="N70" i="19"/>
  <c r="N39" i="19" s="1"/>
  <c r="M70" i="19"/>
  <c r="M39" i="19" s="1"/>
  <c r="L70" i="19"/>
  <c r="L39" i="19" s="1"/>
  <c r="K70" i="19"/>
  <c r="K39" i="19" s="1"/>
  <c r="J70" i="19"/>
  <c r="J39" i="19" s="1"/>
  <c r="I70" i="19"/>
  <c r="I39" i="19" s="1"/>
  <c r="H70" i="19"/>
  <c r="H39" i="19" s="1"/>
  <c r="G70" i="19"/>
  <c r="G39" i="19" s="1"/>
  <c r="F70" i="19"/>
  <c r="F39" i="19" s="1"/>
  <c r="E70" i="19"/>
  <c r="E39" i="19" s="1"/>
  <c r="AH69" i="19"/>
  <c r="AH38" i="19" s="1"/>
  <c r="AG69" i="19"/>
  <c r="AG38" i="19" s="1"/>
  <c r="AF69" i="19"/>
  <c r="AF38" i="19" s="1"/>
  <c r="AE69" i="19"/>
  <c r="AE38" i="19" s="1"/>
  <c r="AD69" i="19"/>
  <c r="AD38" i="19" s="1"/>
  <c r="AC69" i="19"/>
  <c r="AC38" i="19" s="1"/>
  <c r="AB69" i="19"/>
  <c r="AB38" i="19" s="1"/>
  <c r="AA69" i="19"/>
  <c r="AA38" i="19" s="1"/>
  <c r="Z69" i="19"/>
  <c r="Z38" i="19" s="1"/>
  <c r="Y69" i="19"/>
  <c r="Y38" i="19" s="1"/>
  <c r="X69" i="19"/>
  <c r="X38" i="19" s="1"/>
  <c r="W69" i="19"/>
  <c r="W6" i="19" s="1"/>
  <c r="V69" i="19"/>
  <c r="V6" i="19" s="1"/>
  <c r="U69" i="19"/>
  <c r="U6" i="19" s="1"/>
  <c r="T69" i="19"/>
  <c r="T6" i="19" s="1"/>
  <c r="S69" i="19"/>
  <c r="S6" i="19" s="1"/>
  <c r="R69" i="19"/>
  <c r="R38" i="19" s="1"/>
  <c r="Q69" i="19"/>
  <c r="Q38" i="19" s="1"/>
  <c r="P69" i="19"/>
  <c r="P38" i="19" s="1"/>
  <c r="O69" i="19"/>
  <c r="O38" i="19" s="1"/>
  <c r="N69" i="19"/>
  <c r="N38" i="19" s="1"/>
  <c r="M69" i="19"/>
  <c r="M38" i="19" s="1"/>
  <c r="L69" i="19"/>
  <c r="L38" i="19" s="1"/>
  <c r="K69" i="19"/>
  <c r="K38" i="19" s="1"/>
  <c r="J69" i="19"/>
  <c r="J38" i="19" s="1"/>
  <c r="I69" i="19"/>
  <c r="I38" i="19" s="1"/>
  <c r="H69" i="19"/>
  <c r="H38" i="19" s="1"/>
  <c r="G69" i="19"/>
  <c r="G38" i="19" s="1"/>
  <c r="F69" i="19"/>
  <c r="F38" i="19" s="1"/>
  <c r="E69" i="19"/>
  <c r="E38" i="19" s="1"/>
  <c r="AH68" i="19"/>
  <c r="AH37" i="19" s="1"/>
  <c r="AG68" i="19"/>
  <c r="AG37" i="19" s="1"/>
  <c r="AF68" i="19"/>
  <c r="AF37" i="19" s="1"/>
  <c r="AE68" i="19"/>
  <c r="AE37" i="19" s="1"/>
  <c r="AD68" i="19"/>
  <c r="AD37" i="19" s="1"/>
  <c r="AC68" i="19"/>
  <c r="AC37" i="19" s="1"/>
  <c r="AB68" i="19"/>
  <c r="AB37" i="19" s="1"/>
  <c r="AA68" i="19"/>
  <c r="AA37" i="19" s="1"/>
  <c r="Z68" i="19"/>
  <c r="Z37" i="19" s="1"/>
  <c r="Y68" i="19"/>
  <c r="Y37" i="19" s="1"/>
  <c r="X68" i="19"/>
  <c r="X37" i="19" s="1"/>
  <c r="W68" i="19"/>
  <c r="V68" i="19"/>
  <c r="V5" i="19" s="1"/>
  <c r="U68" i="19"/>
  <c r="U5" i="19" s="1"/>
  <c r="T68" i="19"/>
  <c r="T5" i="19" s="1"/>
  <c r="S68" i="19"/>
  <c r="S37" i="19" s="1"/>
  <c r="R68" i="19"/>
  <c r="R37" i="19" s="1"/>
  <c r="Q68" i="19"/>
  <c r="Q37" i="19" s="1"/>
  <c r="P68" i="19"/>
  <c r="P37" i="19" s="1"/>
  <c r="O68" i="19"/>
  <c r="O37" i="19" s="1"/>
  <c r="N68" i="19"/>
  <c r="N37" i="19" s="1"/>
  <c r="M68" i="19"/>
  <c r="M37" i="19" s="1"/>
  <c r="L68" i="19"/>
  <c r="L37" i="19" s="1"/>
  <c r="K68" i="19"/>
  <c r="K37" i="19" s="1"/>
  <c r="J68" i="19"/>
  <c r="J37" i="19" s="1"/>
  <c r="I68" i="19"/>
  <c r="I37" i="19" s="1"/>
  <c r="H68" i="19"/>
  <c r="H37" i="19" s="1"/>
  <c r="G68" i="19"/>
  <c r="G37" i="19" s="1"/>
  <c r="F68" i="19"/>
  <c r="F37" i="19" s="1"/>
  <c r="E68" i="19"/>
  <c r="E37" i="19" s="1"/>
  <c r="AG33" i="19"/>
  <c r="AF33" i="19"/>
  <c r="AD33" i="19"/>
  <c r="AC33" i="19"/>
  <c r="Y33" i="19"/>
  <c r="V33" i="19"/>
  <c r="U33" i="19"/>
  <c r="Q33" i="19"/>
  <c r="P33" i="19"/>
  <c r="N33" i="19"/>
  <c r="I33" i="19"/>
  <c r="F33" i="19"/>
  <c r="AE32" i="19"/>
  <c r="AD32" i="19"/>
  <c r="AB32" i="19"/>
  <c r="AA32" i="19"/>
  <c r="W32" i="19"/>
  <c r="T32" i="19"/>
  <c r="O32" i="19"/>
  <c r="N32" i="19"/>
  <c r="L32" i="19"/>
  <c r="K32" i="19"/>
  <c r="G32" i="19"/>
  <c r="AH31" i="19"/>
  <c r="AC31" i="19"/>
  <c r="AB31" i="19"/>
  <c r="Z31" i="19"/>
  <c r="Y31" i="19"/>
  <c r="U31" i="19"/>
  <c r="R31" i="19"/>
  <c r="M31" i="19"/>
  <c r="L31" i="19"/>
  <c r="J31" i="19"/>
  <c r="E31" i="19"/>
  <c r="AF30" i="19"/>
  <c r="AE30" i="19"/>
  <c r="AA30" i="19"/>
  <c r="X30" i="19"/>
  <c r="S30" i="19"/>
  <c r="P30" i="19"/>
  <c r="O30" i="19"/>
  <c r="K30" i="19"/>
  <c r="H30" i="19"/>
  <c r="AG29" i="19"/>
  <c r="AD29" i="19"/>
  <c r="Y29" i="19"/>
  <c r="V29" i="19"/>
  <c r="U29" i="19"/>
  <c r="Q29" i="19"/>
  <c r="N29" i="19"/>
  <c r="I29" i="19"/>
  <c r="F29" i="19"/>
  <c r="AE28" i="19"/>
  <c r="AB28" i="19"/>
  <c r="AA28" i="19"/>
  <c r="W28" i="19"/>
  <c r="T28" i="19"/>
  <c r="O28" i="19"/>
  <c r="L28" i="19"/>
  <c r="K28" i="19"/>
  <c r="G28" i="19"/>
  <c r="AH27" i="19"/>
  <c r="AC27" i="19"/>
  <c r="Z27" i="19"/>
  <c r="U27" i="19"/>
  <c r="R27" i="19"/>
  <c r="Q27" i="19"/>
  <c r="M27" i="19"/>
  <c r="J27" i="19"/>
  <c r="E27" i="19"/>
  <c r="AF26" i="19"/>
  <c r="AA26" i="19"/>
  <c r="X26" i="19"/>
  <c r="W26" i="19"/>
  <c r="S26" i="19"/>
  <c r="K26" i="19"/>
  <c r="H26" i="19"/>
  <c r="AD25" i="19"/>
  <c r="AC25" i="19"/>
  <c r="Y25" i="19"/>
  <c r="V25" i="19"/>
  <c r="Q25" i="19"/>
  <c r="N25" i="19"/>
  <c r="M25" i="19"/>
  <c r="F25" i="19"/>
  <c r="AE24" i="19"/>
  <c r="AB24" i="19"/>
  <c r="W24" i="19"/>
  <c r="T24" i="19"/>
  <c r="S24" i="19"/>
  <c r="O24" i="19"/>
  <c r="F24" i="19"/>
  <c r="AH23" i="19"/>
  <c r="AC23" i="19"/>
  <c r="Y23" i="19"/>
  <c r="U23" i="19"/>
  <c r="M23" i="19"/>
  <c r="E23" i="19"/>
  <c r="AF22" i="19"/>
  <c r="AE22" i="19"/>
  <c r="AA22" i="19"/>
  <c r="W22" i="19"/>
  <c r="S22" i="19"/>
  <c r="P22" i="19"/>
  <c r="K22" i="19"/>
  <c r="AG21" i="19"/>
  <c r="AF21" i="19"/>
  <c r="AC21" i="19"/>
  <c r="Y21" i="19"/>
  <c r="Q21" i="19"/>
  <c r="I21" i="19"/>
  <c r="AE20" i="19"/>
  <c r="AA20" i="19"/>
  <c r="W20" i="19"/>
  <c r="AB19" i="19"/>
  <c r="Y19" i="19"/>
  <c r="U19" i="19"/>
  <c r="M19" i="19"/>
  <c r="E19" i="19"/>
  <c r="AE18" i="19"/>
  <c r="W18" i="19"/>
  <c r="K18" i="19"/>
  <c r="AG17" i="19"/>
  <c r="AC17" i="19"/>
  <c r="Y17" i="19"/>
  <c r="X17" i="19"/>
  <c r="AA16" i="19"/>
  <c r="W16" i="19"/>
  <c r="O16" i="19"/>
  <c r="G16" i="19"/>
  <c r="Y15" i="19"/>
  <c r="T15" i="19"/>
  <c r="M15" i="19"/>
  <c r="AE14" i="19"/>
  <c r="AA14" i="19"/>
  <c r="W14" i="19"/>
  <c r="AC13" i="19"/>
  <c r="U13" i="19"/>
  <c r="Q13" i="19"/>
  <c r="P13" i="19"/>
  <c r="S12" i="19"/>
  <c r="U11" i="19"/>
  <c r="M11" i="19"/>
  <c r="I11" i="19"/>
  <c r="AE10" i="19"/>
  <c r="S10" i="19"/>
  <c r="S42" i="19" s="1"/>
  <c r="G10" i="19"/>
  <c r="AC9" i="19"/>
  <c r="G8" i="19"/>
  <c r="Y7" i="19"/>
  <c r="I5" i="19" l="1"/>
  <c r="AE8" i="19"/>
  <c r="AG13" i="19"/>
  <c r="Q5" i="19"/>
  <c r="I9" i="19"/>
  <c r="AE12" i="19"/>
  <c r="K6" i="19"/>
  <c r="Q9" i="19"/>
  <c r="K10" i="19"/>
  <c r="O12" i="19"/>
  <c r="J11" i="19"/>
  <c r="AC5" i="19"/>
  <c r="I31" i="19"/>
  <c r="G6" i="19"/>
  <c r="O10" i="19"/>
  <c r="AA24" i="19"/>
  <c r="Y27" i="19"/>
  <c r="AC29" i="19"/>
  <c r="E33" i="19"/>
  <c r="E9" i="19"/>
  <c r="U25" i="19"/>
  <c r="W30" i="19"/>
  <c r="S32" i="19"/>
  <c r="U21" i="19"/>
  <c r="M33" i="19"/>
  <c r="I7" i="19"/>
  <c r="E5" i="19"/>
  <c r="Q7" i="19"/>
  <c r="AA6" i="19"/>
  <c r="AH11" i="19"/>
  <c r="Z6" i="19"/>
  <c r="N8" i="19"/>
  <c r="H57" i="19"/>
  <c r="AD24" i="19"/>
  <c r="V28" i="19"/>
  <c r="Z30" i="19"/>
  <c r="AF13" i="19"/>
  <c r="H5" i="19"/>
  <c r="AH18" i="19"/>
  <c r="V24" i="19"/>
  <c r="X25" i="19"/>
  <c r="Z26" i="19"/>
  <c r="AB27" i="19"/>
  <c r="AD28" i="19"/>
  <c r="AF29" i="19"/>
  <c r="T31" i="19"/>
  <c r="F32" i="19"/>
  <c r="V32" i="19"/>
  <c r="H33" i="19"/>
  <c r="X33" i="19"/>
  <c r="V20" i="19"/>
  <c r="AH14" i="19"/>
  <c r="T27" i="19"/>
  <c r="X29" i="19"/>
  <c r="AB23" i="19"/>
  <c r="J6" i="19"/>
  <c r="AF5" i="19"/>
  <c r="AD8" i="19"/>
  <c r="AF9" i="19"/>
  <c r="AH6" i="19"/>
  <c r="G62" i="19"/>
  <c r="H61" i="19"/>
  <c r="R62" i="19"/>
  <c r="Z5" i="19"/>
  <c r="R7" i="19"/>
  <c r="O6" i="19"/>
  <c r="AG11" i="19"/>
  <c r="P6" i="19"/>
  <c r="J7" i="19"/>
  <c r="AH7" i="19"/>
  <c r="Z23" i="19"/>
  <c r="L7" i="19"/>
  <c r="F8" i="19"/>
  <c r="AF10" i="19"/>
  <c r="AH19" i="19"/>
  <c r="V21" i="19"/>
  <c r="Z22" i="19"/>
  <c r="F5" i="19"/>
  <c r="AD5" i="19"/>
  <c r="X6" i="19"/>
  <c r="L8" i="19"/>
  <c r="T56" i="19"/>
  <c r="T55" i="19"/>
  <c r="AD41" i="19"/>
  <c r="N5" i="19"/>
  <c r="AF6" i="19"/>
  <c r="N13" i="19"/>
  <c r="N45" i="19" s="1"/>
  <c r="AF14" i="19"/>
  <c r="AH15" i="19"/>
  <c r="Z7" i="19"/>
  <c r="N9" i="19"/>
  <c r="X5" i="19"/>
  <c r="P9" i="19"/>
  <c r="J10" i="19"/>
  <c r="N12" i="19"/>
  <c r="T30" i="19"/>
  <c r="Z29" i="19"/>
  <c r="AF16" i="19"/>
  <c r="F31" i="19"/>
  <c r="V27" i="19"/>
  <c r="AB26" i="19"/>
  <c r="AF28" i="19"/>
  <c r="AH33" i="19"/>
  <c r="J5" i="19"/>
  <c r="R9" i="19"/>
  <c r="M45" i="19"/>
  <c r="S60" i="19"/>
  <c r="Q63" i="19"/>
  <c r="R33" i="19"/>
  <c r="F11" i="19"/>
  <c r="AH13" i="19"/>
  <c r="AH5" i="19"/>
  <c r="P8" i="19"/>
  <c r="AF8" i="19"/>
  <c r="V19" i="19"/>
  <c r="Z21" i="19"/>
  <c r="V31" i="19"/>
  <c r="F61" i="19"/>
  <c r="F7" i="19"/>
  <c r="AH9" i="19"/>
  <c r="H8" i="19"/>
  <c r="H12" i="19"/>
  <c r="H44" i="19" s="1"/>
  <c r="R5" i="19"/>
  <c r="P12" i="19"/>
  <c r="AH17" i="19"/>
  <c r="V23" i="19"/>
  <c r="Z25" i="19"/>
  <c r="AD27" i="19"/>
  <c r="T54" i="19"/>
  <c r="X24" i="19"/>
  <c r="AD7" i="19"/>
  <c r="T26" i="19"/>
  <c r="X28" i="19"/>
  <c r="AB30" i="19"/>
  <c r="L10" i="19"/>
  <c r="AB6" i="19"/>
  <c r="J9" i="19"/>
  <c r="N11" i="19"/>
  <c r="AF12" i="19"/>
  <c r="AB22" i="19"/>
  <c r="N31" i="19"/>
  <c r="P5" i="19"/>
  <c r="Y5" i="19"/>
  <c r="H6" i="19"/>
  <c r="E7" i="19"/>
  <c r="AG7" i="19"/>
  <c r="O8" i="19"/>
  <c r="M9" i="19"/>
  <c r="Y9" i="19"/>
  <c r="H10" i="19"/>
  <c r="AH10" i="19"/>
  <c r="Q11" i="19"/>
  <c r="G31" i="19"/>
  <c r="S5" i="19"/>
  <c r="AG5" i="19"/>
  <c r="R6" i="19"/>
  <c r="AE6" i="19"/>
  <c r="M7" i="19"/>
  <c r="AB7" i="19"/>
  <c r="K8" i="19"/>
  <c r="H9" i="19"/>
  <c r="AG9" i="19"/>
  <c r="P10" i="19"/>
  <c r="L11" i="19"/>
  <c r="G12" i="19"/>
  <c r="G44" i="19" s="1"/>
  <c r="M5" i="19"/>
  <c r="X32" i="19"/>
  <c r="AD31" i="19"/>
  <c r="J33" i="19"/>
  <c r="Z33" i="19"/>
  <c r="AF32" i="19"/>
  <c r="H32" i="19"/>
  <c r="AA25" i="19"/>
  <c r="AE11" i="19"/>
  <c r="Y24" i="19"/>
  <c r="K33" i="19"/>
  <c r="AC26" i="19"/>
  <c r="I32" i="19"/>
  <c r="AG12" i="19"/>
  <c r="AA5" i="19"/>
  <c r="AC6" i="19"/>
  <c r="AE7" i="19"/>
  <c r="AG8" i="19"/>
  <c r="U22" i="19"/>
  <c r="W23" i="19"/>
  <c r="K5" i="19"/>
  <c r="L6" i="19"/>
  <c r="N7" i="19"/>
  <c r="U26" i="19"/>
  <c r="W27" i="19"/>
  <c r="Y28" i="19"/>
  <c r="AA29" i="19"/>
  <c r="AC30" i="19"/>
  <c r="AE31" i="19"/>
  <c r="M6" i="19"/>
  <c r="O7" i="19"/>
  <c r="Q8" i="19"/>
  <c r="O11" i="19"/>
  <c r="Q12" i="19"/>
  <c r="S29" i="19"/>
  <c r="U30" i="19"/>
  <c r="W31" i="19"/>
  <c r="Y32" i="19"/>
  <c r="AA33" i="19"/>
  <c r="Y8" i="19"/>
  <c r="M10" i="19"/>
  <c r="E6" i="19"/>
  <c r="G7" i="19"/>
  <c r="I8" i="19"/>
  <c r="AC22" i="19"/>
  <c r="K9" i="19"/>
  <c r="E10" i="19"/>
  <c r="E42" i="19" s="1"/>
  <c r="G11" i="19"/>
  <c r="I12" i="19"/>
  <c r="I44" i="19" s="1"/>
  <c r="AA21" i="19"/>
  <c r="O31" i="19"/>
  <c r="Q32" i="19"/>
  <c r="Q64" i="19" s="1"/>
  <c r="S33" i="19"/>
  <c r="AG64" i="19"/>
  <c r="AF7" i="19"/>
  <c r="X7" i="19"/>
  <c r="AF15" i="19"/>
  <c r="AB33" i="19"/>
  <c r="R32" i="19"/>
  <c r="AF11" i="19"/>
  <c r="AB5" i="19"/>
  <c r="N62" i="19"/>
  <c r="L5" i="19"/>
  <c r="P7" i="19"/>
  <c r="L9" i="19"/>
  <c r="P11" i="19"/>
  <c r="AB25" i="19"/>
  <c r="F30" i="19"/>
  <c r="F62" i="19" s="1"/>
  <c r="J32" i="19"/>
  <c r="AE46" i="19"/>
  <c r="U49" i="19"/>
  <c r="AE58" i="19"/>
  <c r="E61" i="19"/>
  <c r="O62" i="19"/>
  <c r="AB21" i="19"/>
  <c r="T25" i="19"/>
  <c r="X27" i="19"/>
  <c r="AB29" i="19"/>
  <c r="AF31" i="19"/>
  <c r="L44" i="19"/>
  <c r="V49" i="19"/>
  <c r="AF50" i="19"/>
  <c r="Z51" i="19"/>
  <c r="T52" i="19"/>
  <c r="AB52" i="19"/>
  <c r="AD53" i="19"/>
  <c r="X54" i="19"/>
  <c r="AF58" i="19"/>
  <c r="H62" i="19"/>
  <c r="T29" i="19"/>
  <c r="X31" i="19"/>
  <c r="H11" i="19"/>
  <c r="AH16" i="19"/>
  <c r="AH24" i="19"/>
  <c r="AH56" i="19" s="1"/>
  <c r="P31" i="19"/>
  <c r="P63" i="19" s="1"/>
  <c r="T33" i="19"/>
  <c r="F44" i="19"/>
  <c r="AF49" i="19"/>
  <c r="T51" i="19"/>
  <c r="AB51" i="19"/>
  <c r="X53" i="19"/>
  <c r="AH54" i="19"/>
  <c r="J62" i="19"/>
  <c r="AH62" i="19"/>
  <c r="X55" i="19"/>
  <c r="AD10" i="19"/>
  <c r="AD42" i="19" s="1"/>
  <c r="AH12" i="19"/>
  <c r="T21" i="19"/>
  <c r="T53" i="19" s="1"/>
  <c r="N6" i="19"/>
  <c r="R8" i="19"/>
  <c r="N10" i="19"/>
  <c r="AH20" i="19"/>
  <c r="AH52" i="19" s="1"/>
  <c r="Z24" i="19"/>
  <c r="AD26" i="19"/>
  <c r="AH28" i="19"/>
  <c r="AH60" i="19" s="1"/>
  <c r="H31" i="19"/>
  <c r="L33" i="19"/>
  <c r="AC39" i="19"/>
  <c r="E43" i="19"/>
  <c r="AA50" i="19"/>
  <c r="AC51" i="19"/>
  <c r="W52" i="19"/>
  <c r="Y53" i="19"/>
  <c r="AC55" i="19"/>
  <c r="S58" i="19"/>
  <c r="Q61" i="19"/>
  <c r="K62" i="19"/>
  <c r="AD54" i="19"/>
  <c r="AF59" i="19"/>
  <c r="H7" i="19"/>
  <c r="AD6" i="19"/>
  <c r="AH8" i="19"/>
  <c r="F6" i="19"/>
  <c r="J8" i="19"/>
  <c r="F10" i="19"/>
  <c r="J12" i="19"/>
  <c r="J44" i="19" s="1"/>
  <c r="V18" i="19"/>
  <c r="V50" i="19" s="1"/>
  <c r="Z20" i="19"/>
  <c r="Z52" i="19" s="1"/>
  <c r="V22" i="19"/>
  <c r="V26" i="19"/>
  <c r="Z28" i="19"/>
  <c r="AD30" i="19"/>
  <c r="AH32" i="19"/>
  <c r="AH64" i="19" s="1"/>
  <c r="AD43" i="19"/>
  <c r="AH53" i="19"/>
  <c r="AD55" i="19"/>
  <c r="J61" i="19"/>
  <c r="R61" i="19"/>
  <c r="L62" i="19"/>
  <c r="P64" i="19"/>
  <c r="F9" i="19"/>
  <c r="V30" i="19"/>
  <c r="Z32" i="19"/>
  <c r="AG48" i="19"/>
  <c r="AC50" i="19"/>
  <c r="W51" i="19"/>
  <c r="S57" i="19"/>
  <c r="AE59" i="19"/>
  <c r="AG60" i="19"/>
  <c r="K61" i="19"/>
  <c r="E62" i="19"/>
  <c r="M62" i="19"/>
  <c r="S38" i="19"/>
  <c r="U39" i="19"/>
  <c r="W40" i="19"/>
  <c r="AA42" i="19"/>
  <c r="T39" i="19"/>
  <c r="V40" i="19"/>
  <c r="X41" i="19"/>
  <c r="R42" i="19"/>
  <c r="Z42" i="19"/>
  <c r="T43" i="19"/>
  <c r="AB43" i="19"/>
  <c r="V44" i="19"/>
  <c r="AD44" i="19"/>
  <c r="H45" i="19"/>
  <c r="X45" i="19"/>
  <c r="J46" i="19"/>
  <c r="R46" i="19"/>
  <c r="Z46" i="19"/>
  <c r="L47" i="19"/>
  <c r="T47" i="19"/>
  <c r="AB47" i="19"/>
  <c r="F48" i="19"/>
  <c r="N48" i="19"/>
  <c r="V48" i="19"/>
  <c r="AD48" i="19"/>
  <c r="H49" i="19"/>
  <c r="P49" i="19"/>
  <c r="X49" i="19"/>
  <c r="J50" i="19"/>
  <c r="R50" i="19"/>
  <c r="Z50" i="19"/>
  <c r="L51" i="19"/>
  <c r="F52" i="19"/>
  <c r="N52" i="19"/>
  <c r="AD52" i="19"/>
  <c r="H53" i="19"/>
  <c r="P53" i="19"/>
  <c r="AF53" i="19"/>
  <c r="J54" i="19"/>
  <c r="R54" i="19"/>
  <c r="L55" i="19"/>
  <c r="F56" i="19"/>
  <c r="N56" i="19"/>
  <c r="P57" i="19"/>
  <c r="AF57" i="19"/>
  <c r="J58" i="19"/>
  <c r="R58" i="19"/>
  <c r="AH58" i="19"/>
  <c r="F60" i="19"/>
  <c r="N60" i="19"/>
  <c r="Q46" i="19"/>
  <c r="Y50" i="19"/>
  <c r="AG54" i="19"/>
  <c r="E60" i="19"/>
  <c r="AE45" i="19"/>
  <c r="Q54" i="19"/>
  <c r="K23" i="19"/>
  <c r="S23" i="19"/>
  <c r="S55" i="19" s="1"/>
  <c r="AA23" i="19"/>
  <c r="E24" i="19"/>
  <c r="U24" i="19"/>
  <c r="AC24" i="19"/>
  <c r="G25" i="19"/>
  <c r="W25" i="19"/>
  <c r="AE25" i="19"/>
  <c r="AE57" i="19" s="1"/>
  <c r="I26" i="19"/>
  <c r="Y26" i="19"/>
  <c r="AG26" i="19"/>
  <c r="AG58" i="19" s="1"/>
  <c r="K27" i="19"/>
  <c r="K59" i="19" s="1"/>
  <c r="S27" i="19"/>
  <c r="S59" i="19" s="1"/>
  <c r="AA27" i="19"/>
  <c r="M28" i="19"/>
  <c r="M60" i="19" s="1"/>
  <c r="U28" i="19"/>
  <c r="AC28" i="19"/>
  <c r="G29" i="19"/>
  <c r="G61" i="19" s="1"/>
  <c r="O29" i="19"/>
  <c r="O61" i="19" s="1"/>
  <c r="W29" i="19"/>
  <c r="AE29" i="19"/>
  <c r="I30" i="19"/>
  <c r="I62" i="19" s="1"/>
  <c r="Q30" i="19"/>
  <c r="Q62" i="19" s="1"/>
  <c r="Y30" i="19"/>
  <c r="AG30" i="19"/>
  <c r="AG62" i="19" s="1"/>
  <c r="K31" i="19"/>
  <c r="S31" i="19"/>
  <c r="AA31" i="19"/>
  <c r="E32" i="19"/>
  <c r="M32" i="19"/>
  <c r="U32" i="19"/>
  <c r="AC32" i="19"/>
  <c r="G33" i="19"/>
  <c r="O33" i="19"/>
  <c r="W33" i="19"/>
  <c r="AE33" i="19"/>
  <c r="U43" i="19"/>
  <c r="AC43" i="19"/>
  <c r="W44" i="19"/>
  <c r="I45" i="19"/>
  <c r="Y45" i="19"/>
  <c r="K46" i="19"/>
  <c r="S46" i="19"/>
  <c r="AA46" i="19"/>
  <c r="E47" i="19"/>
  <c r="M47" i="19"/>
  <c r="U47" i="19"/>
  <c r="AC47" i="19"/>
  <c r="G48" i="19"/>
  <c r="O48" i="19"/>
  <c r="W48" i="19"/>
  <c r="AE48" i="19"/>
  <c r="I49" i="19"/>
  <c r="Q49" i="19"/>
  <c r="Y49" i="19"/>
  <c r="AG49" i="19"/>
  <c r="K50" i="19"/>
  <c r="AG46" i="19"/>
  <c r="K51" i="19"/>
  <c r="M56" i="19"/>
  <c r="O57" i="19"/>
  <c r="Q58" i="19"/>
  <c r="I50" i="19"/>
  <c r="G5" i="19"/>
  <c r="O5" i="19"/>
  <c r="W5" i="19"/>
  <c r="W37" i="19" s="1"/>
  <c r="AE5" i="19"/>
  <c r="I6" i="19"/>
  <c r="Q6" i="19"/>
  <c r="Y6" i="19"/>
  <c r="AG6" i="19"/>
  <c r="K7" i="19"/>
  <c r="S7" i="19"/>
  <c r="S39" i="19" s="1"/>
  <c r="AA7" i="19"/>
  <c r="AA39" i="19" s="1"/>
  <c r="E8" i="19"/>
  <c r="M8" i="19"/>
  <c r="G9" i="19"/>
  <c r="O9" i="19"/>
  <c r="AE9" i="19"/>
  <c r="I10" i="19"/>
  <c r="Q10" i="19"/>
  <c r="Y10" i="19"/>
  <c r="Y42" i="19" s="1"/>
  <c r="AG10" i="19"/>
  <c r="K11" i="19"/>
  <c r="S11" i="19"/>
  <c r="S43" i="19" s="1"/>
  <c r="AA11" i="19"/>
  <c r="AA43" i="19" s="1"/>
  <c r="M12" i="19"/>
  <c r="M44" i="19" s="1"/>
  <c r="AC12" i="19"/>
  <c r="AC44" i="19" s="1"/>
  <c r="O13" i="19"/>
  <c r="I14" i="19"/>
  <c r="I46" i="19" s="1"/>
  <c r="Y14" i="19"/>
  <c r="Y46" i="19" s="1"/>
  <c r="K15" i="19"/>
  <c r="K47" i="19" s="1"/>
  <c r="S15" i="19"/>
  <c r="S47" i="19" s="1"/>
  <c r="AA15" i="19"/>
  <c r="AA47" i="19" s="1"/>
  <c r="E16" i="19"/>
  <c r="E48" i="19" s="1"/>
  <c r="M16" i="19"/>
  <c r="M48" i="19" s="1"/>
  <c r="U16" i="19"/>
  <c r="U48" i="19" s="1"/>
  <c r="AC16" i="19"/>
  <c r="AC48" i="19" s="1"/>
  <c r="G17" i="19"/>
  <c r="G49" i="19" s="1"/>
  <c r="O17" i="19"/>
  <c r="O49" i="19" s="1"/>
  <c r="W17" i="19"/>
  <c r="W49" i="19" s="1"/>
  <c r="AE17" i="19"/>
  <c r="AE49" i="19" s="1"/>
  <c r="Q18" i="19"/>
  <c r="Q50" i="19" s="1"/>
  <c r="AG18" i="19"/>
  <c r="AG50" i="19" s="1"/>
  <c r="S19" i="19"/>
  <c r="S51" i="19" s="1"/>
  <c r="AA19" i="19"/>
  <c r="AA51" i="19" s="1"/>
  <c r="E20" i="19"/>
  <c r="M20" i="19"/>
  <c r="M52" i="19" s="1"/>
  <c r="U20" i="19"/>
  <c r="AC20" i="19"/>
  <c r="AC52" i="19" s="1"/>
  <c r="G21" i="19"/>
  <c r="O21" i="19"/>
  <c r="O53" i="19" s="1"/>
  <c r="W21" i="19"/>
  <c r="AE21" i="19"/>
  <c r="AE53" i="19" s="1"/>
  <c r="I22" i="19"/>
  <c r="Y22" i="19"/>
  <c r="Y54" i="19" s="1"/>
  <c r="T38" i="19"/>
  <c r="V39" i="19"/>
  <c r="X40" i="19"/>
  <c r="Z41" i="19"/>
  <c r="T42" i="19"/>
  <c r="AB42" i="19"/>
  <c r="V43" i="19"/>
  <c r="X44" i="19"/>
  <c r="J45" i="19"/>
  <c r="R45" i="19"/>
  <c r="Z45" i="19"/>
  <c r="L46" i="19"/>
  <c r="T46" i="19"/>
  <c r="AB46" i="19"/>
  <c r="F47" i="19"/>
  <c r="N47" i="19"/>
  <c r="V47" i="19"/>
  <c r="AD47" i="19"/>
  <c r="H48" i="19"/>
  <c r="P48" i="19"/>
  <c r="X48" i="19"/>
  <c r="J49" i="19"/>
  <c r="R49" i="19"/>
  <c r="Z49" i="19"/>
  <c r="L50" i="19"/>
  <c r="T50" i="19"/>
  <c r="AB50" i="19"/>
  <c r="F51" i="19"/>
  <c r="N51" i="19"/>
  <c r="AD51" i="19"/>
  <c r="H52" i="19"/>
  <c r="P52" i="19"/>
  <c r="X52" i="19"/>
  <c r="AF52" i="19"/>
  <c r="J53" i="19"/>
  <c r="W41" i="19"/>
  <c r="G45" i="19"/>
  <c r="U38" i="19"/>
  <c r="W39" i="19"/>
  <c r="S41" i="19"/>
  <c r="AA41" i="19"/>
  <c r="U42" i="19"/>
  <c r="AC42" i="19"/>
  <c r="W43" i="19"/>
  <c r="Y44" i="19"/>
  <c r="K45" i="19"/>
  <c r="S45" i="19"/>
  <c r="AA45" i="19"/>
  <c r="E46" i="19"/>
  <c r="M46" i="19"/>
  <c r="U46" i="19"/>
  <c r="AC46" i="19"/>
  <c r="G47" i="19"/>
  <c r="O47" i="19"/>
  <c r="W47" i="19"/>
  <c r="AE47" i="19"/>
  <c r="I48" i="19"/>
  <c r="Q48" i="19"/>
  <c r="Y48" i="19"/>
  <c r="K49" i="19"/>
  <c r="S49" i="19"/>
  <c r="AA49" i="19"/>
  <c r="E50" i="19"/>
  <c r="M50" i="19"/>
  <c r="U50" i="19"/>
  <c r="G51" i="19"/>
  <c r="O51" i="19"/>
  <c r="AE51" i="19"/>
  <c r="I52" i="19"/>
  <c r="Q52" i="19"/>
  <c r="Y52" i="19"/>
  <c r="AG52" i="19"/>
  <c r="K53" i="19"/>
  <c r="S53" i="19"/>
  <c r="E54" i="19"/>
  <c r="M54" i="19"/>
  <c r="G55" i="19"/>
  <c r="O55" i="19"/>
  <c r="AE55" i="19"/>
  <c r="I56" i="19"/>
  <c r="Q56" i="19"/>
  <c r="AG56" i="19"/>
  <c r="K57" i="19"/>
  <c r="E58" i="19"/>
  <c r="M58" i="19"/>
  <c r="G59" i="19"/>
  <c r="O59" i="19"/>
  <c r="I60" i="19"/>
  <c r="Q60" i="19"/>
  <c r="AC40" i="19"/>
  <c r="W45" i="19"/>
  <c r="T37" i="19"/>
  <c r="V38" i="19"/>
  <c r="Z40" i="19"/>
  <c r="T41" i="19"/>
  <c r="AB41" i="19"/>
  <c r="V42" i="19"/>
  <c r="X43" i="19"/>
  <c r="R44" i="19"/>
  <c r="Z44" i="19"/>
  <c r="L45" i="19"/>
  <c r="T45" i="19"/>
  <c r="AB45" i="19"/>
  <c r="F46" i="19"/>
  <c r="N46" i="19"/>
  <c r="V46" i="19"/>
  <c r="AD46" i="19"/>
  <c r="H47" i="19"/>
  <c r="P47" i="19"/>
  <c r="X47" i="19"/>
  <c r="J48" i="19"/>
  <c r="R48" i="19"/>
  <c r="Z48" i="19"/>
  <c r="L49" i="19"/>
  <c r="T49" i="19"/>
  <c r="AB49" i="19"/>
  <c r="F50" i="19"/>
  <c r="N50" i="19"/>
  <c r="AD50" i="19"/>
  <c r="H51" i="19"/>
  <c r="P51" i="19"/>
  <c r="X51" i="19"/>
  <c r="AF51" i="19"/>
  <c r="J52" i="19"/>
  <c r="U44" i="19"/>
  <c r="U37" i="19"/>
  <c r="W38" i="19"/>
  <c r="S40" i="19"/>
  <c r="AA40" i="19"/>
  <c r="U41" i="19"/>
  <c r="AC41" i="19"/>
  <c r="W42" i="19"/>
  <c r="Y43" i="19"/>
  <c r="K44" i="19"/>
  <c r="S44" i="19"/>
  <c r="AA44" i="19"/>
  <c r="E45" i="19"/>
  <c r="U45" i="19"/>
  <c r="AC45" i="19"/>
  <c r="G46" i="19"/>
  <c r="O46" i="19"/>
  <c r="W46" i="19"/>
  <c r="I47" i="19"/>
  <c r="Q47" i="19"/>
  <c r="Y47" i="19"/>
  <c r="AG47" i="19"/>
  <c r="K48" i="19"/>
  <c r="S48" i="19"/>
  <c r="AA48" i="19"/>
  <c r="E49" i="19"/>
  <c r="M49" i="19"/>
  <c r="AC49" i="19"/>
  <c r="G50" i="19"/>
  <c r="O50" i="19"/>
  <c r="W50" i="19"/>
  <c r="AE50" i="19"/>
  <c r="I51" i="19"/>
  <c r="Q51" i="19"/>
  <c r="Y51" i="19"/>
  <c r="AG51" i="19"/>
  <c r="K52" i="19"/>
  <c r="S52" i="19"/>
  <c r="E53" i="19"/>
  <c r="M53" i="19"/>
  <c r="G54" i="19"/>
  <c r="O54" i="19"/>
  <c r="AE54" i="19"/>
  <c r="I55" i="19"/>
  <c r="Q55" i="19"/>
  <c r="AG55" i="19"/>
  <c r="K56" i="19"/>
  <c r="S56" i="19"/>
  <c r="U40" i="19"/>
  <c r="E44" i="19"/>
  <c r="V37" i="19"/>
  <c r="T40" i="19"/>
  <c r="AB40" i="19"/>
  <c r="V41" i="19"/>
  <c r="X42" i="19"/>
  <c r="R43" i="19"/>
  <c r="Z43" i="19"/>
  <c r="T44" i="19"/>
  <c r="AB44" i="19"/>
  <c r="F45" i="19"/>
  <c r="V45" i="19"/>
  <c r="AD45" i="19"/>
  <c r="H46" i="19"/>
  <c r="P46" i="19"/>
  <c r="X46" i="19"/>
  <c r="J47" i="19"/>
  <c r="R47" i="19"/>
  <c r="Z47" i="19"/>
  <c r="L48" i="19"/>
  <c r="T48" i="19"/>
  <c r="AB48" i="19"/>
  <c r="F49" i="19"/>
  <c r="N49" i="19"/>
  <c r="AD49" i="19"/>
  <c r="H50" i="19"/>
  <c r="P50" i="19"/>
  <c r="X50" i="19"/>
  <c r="J51" i="19"/>
  <c r="R51" i="19"/>
  <c r="S50" i="19"/>
  <c r="E51" i="19"/>
  <c r="M51" i="19"/>
  <c r="G52" i="19"/>
  <c r="O52" i="19"/>
  <c r="AE52" i="19"/>
  <c r="I53" i="19"/>
  <c r="Q53" i="19"/>
  <c r="AG53" i="19"/>
  <c r="K54" i="19"/>
  <c r="S54" i="19"/>
  <c r="E55" i="19"/>
  <c r="M55" i="19"/>
  <c r="G56" i="19"/>
  <c r="O56" i="19"/>
  <c r="AE56" i="19"/>
  <c r="I57" i="19"/>
  <c r="Q57" i="19"/>
  <c r="AG57" i="19"/>
  <c r="K58" i="19"/>
  <c r="E59" i="19"/>
  <c r="M59" i="19"/>
  <c r="G60" i="19"/>
  <c r="O60" i="19"/>
  <c r="AG61" i="19"/>
  <c r="R53" i="19"/>
  <c r="L54" i="19"/>
  <c r="F55" i="19"/>
  <c r="N55" i="19"/>
  <c r="H56" i="19"/>
  <c r="P56" i="19"/>
  <c r="AF56" i="19"/>
  <c r="J57" i="19"/>
  <c r="R57" i="19"/>
  <c r="AH57" i="19"/>
  <c r="L58" i="19"/>
  <c r="F59" i="19"/>
  <c r="N59" i="19"/>
  <c r="H60" i="19"/>
  <c r="P60" i="19"/>
  <c r="AH61" i="19"/>
  <c r="R52" i="19"/>
  <c r="L53" i="19"/>
  <c r="F54" i="19"/>
  <c r="N54" i="19"/>
  <c r="H23" i="19"/>
  <c r="P55" i="19"/>
  <c r="AF55" i="19"/>
  <c r="J56" i="19"/>
  <c r="R56" i="19"/>
  <c r="L57" i="19"/>
  <c r="F58" i="19"/>
  <c r="N58" i="19"/>
  <c r="H59" i="19"/>
  <c r="P59" i="19"/>
  <c r="J60" i="19"/>
  <c r="R60" i="19"/>
  <c r="L61" i="19"/>
  <c r="E57" i="19"/>
  <c r="M57" i="19"/>
  <c r="G58" i="19"/>
  <c r="O58" i="19"/>
  <c r="I59" i="19"/>
  <c r="Q59" i="19"/>
  <c r="AG59" i="19"/>
  <c r="K60" i="19"/>
  <c r="M61" i="19"/>
  <c r="AG63" i="19"/>
  <c r="L52" i="19"/>
  <c r="F53" i="19"/>
  <c r="N53" i="19"/>
  <c r="H54" i="19"/>
  <c r="P54" i="19"/>
  <c r="AF54" i="19"/>
  <c r="J55" i="19"/>
  <c r="R55" i="19"/>
  <c r="AH55" i="19"/>
  <c r="L56" i="19"/>
  <c r="F57" i="19"/>
  <c r="N57" i="19"/>
  <c r="H58" i="19"/>
  <c r="P58" i="19"/>
  <c r="J59" i="19"/>
  <c r="R59" i="19"/>
  <c r="AH59" i="19"/>
  <c r="L60" i="19"/>
  <c r="N61" i="19"/>
  <c r="P62" i="19"/>
  <c r="AH63" i="19"/>
  <c r="I58" i="19" l="1"/>
  <c r="I54" i="19"/>
  <c r="K55" i="19"/>
  <c r="E56" i="19"/>
  <c r="G53" i="19"/>
  <c r="G57" i="19"/>
  <c r="E52" i="19"/>
  <c r="H55" i="19"/>
</calcChain>
</file>

<file path=xl/sharedStrings.xml><?xml version="1.0" encoding="utf-8"?>
<sst xmlns="http://schemas.openxmlformats.org/spreadsheetml/2006/main" count="4496" uniqueCount="19">
  <si>
    <t>F</t>
  </si>
  <si>
    <t>V</t>
  </si>
  <si>
    <t>R</t>
  </si>
  <si>
    <t>N</t>
  </si>
  <si>
    <t>CPR</t>
  </si>
  <si>
    <t>CDR</t>
  </si>
  <si>
    <t>Change</t>
  </si>
  <si>
    <t>Red Means Faster</t>
  </si>
  <si>
    <t>Ln Count</t>
  </si>
  <si>
    <t>program</t>
  </si>
  <si>
    <t>x</t>
  </si>
  <si>
    <t>Actual</t>
  </si>
  <si>
    <t>Report</t>
  </si>
  <si>
    <t>min Cnt</t>
  </si>
  <si>
    <t>Jan</t>
  </si>
  <si>
    <t>v</t>
  </si>
  <si>
    <t>apr</t>
  </si>
  <si>
    <t>Actual Apr</t>
  </si>
  <si>
    <t>Actual 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</si>
</sst>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#,##0.0;[Red]#,##0;&quot;--&quot;"/>
    <numFmt numFmtId="166" formatCode="#,##0.0;[Red]#,##0.0;&quot;--&quot;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0" fontId="0" fillId="2" borderId="1" xfId="0" applyFill="1" applyBorder="1"/>
    <xf numFmtId="0" fontId="0" fillId="2" borderId="2" xfId="0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5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1E67-D286-483A-B217-D9D1AFEE7169}">
  <dimension ref="C1:AH96"/>
  <sheetViews>
    <sheetView tabSelected="1" workbookViewId="0">
      <selection activeCell="K50" sqref="K50"/>
    </sheetView>
  </sheetViews>
  <sheetFormatPr defaultRowHeight="14.5" x14ac:dyDescent="0.35"/>
  <cols>
    <col min="5" max="20" width="9.26953125" bestFit="1" customWidth="1"/>
    <col min="21" max="22" width="10.1796875" bestFit="1" customWidth="1"/>
    <col min="23" max="34" width="9.26953125" bestFit="1" customWidth="1"/>
  </cols>
  <sheetData>
    <row r="1" spans="4:34" x14ac:dyDescent="0.35">
      <c r="D1" s="7" t="s">
        <v>9</v>
      </c>
      <c r="E1" s="8" t="s">
        <v>13</v>
      </c>
      <c r="F1" s="11"/>
      <c r="G1" s="8" t="s">
        <v>12</v>
      </c>
    </row>
    <row r="2" spans="4:34" ht="15" thickBot="1" x14ac:dyDescent="0.4">
      <c r="D2" s="9" t="s">
        <v>15</v>
      </c>
      <c r="E2" s="10">
        <v>100</v>
      </c>
      <c r="F2" s="11"/>
      <c r="G2" s="10" t="s">
        <v>4</v>
      </c>
    </row>
    <row r="4" spans="4:34" x14ac:dyDescent="0.35">
      <c r="D4" s="3" t="s">
        <v>11</v>
      </c>
      <c r="E4">
        <v>5</v>
      </c>
      <c r="F4">
        <v>6</v>
      </c>
      <c r="G4">
        <v>7</v>
      </c>
      <c r="H4">
        <v>8</v>
      </c>
      <c r="I4">
        <v>9</v>
      </c>
      <c r="J4">
        <v>10</v>
      </c>
      <c r="K4">
        <v>12</v>
      </c>
      <c r="L4">
        <v>14</v>
      </c>
      <c r="M4">
        <v>16</v>
      </c>
      <c r="N4">
        <v>18</v>
      </c>
      <c r="O4">
        <v>20</v>
      </c>
      <c r="P4">
        <v>24</v>
      </c>
      <c r="Q4">
        <v>30</v>
      </c>
      <c r="R4">
        <v>36</v>
      </c>
      <c r="S4">
        <v>42</v>
      </c>
      <c r="T4">
        <v>48</v>
      </c>
      <c r="U4">
        <v>54</v>
      </c>
      <c r="V4">
        <v>60</v>
      </c>
      <c r="W4">
        <v>72</v>
      </c>
      <c r="X4">
        <v>84</v>
      </c>
      <c r="Y4">
        <v>96</v>
      </c>
      <c r="Z4">
        <v>108</v>
      </c>
      <c r="AA4">
        <v>120</v>
      </c>
      <c r="AB4">
        <v>144</v>
      </c>
      <c r="AC4">
        <v>168</v>
      </c>
      <c r="AD4">
        <v>192</v>
      </c>
      <c r="AE4">
        <v>216</v>
      </c>
      <c r="AF4">
        <v>240</v>
      </c>
      <c r="AG4">
        <v>320</v>
      </c>
      <c r="AH4">
        <v>360</v>
      </c>
    </row>
    <row r="5" spans="4:34" x14ac:dyDescent="0.35">
      <c r="D5">
        <v>2000</v>
      </c>
      <c r="E5" s="4">
        <f>IF(  E68&gt;$E$2, SUMIFS(IF($G$2="CPR",'Grid Data'!$J$4:$J$2342,'Grid Data'!$K$4:$K$2342),'Grid Data'!$B$4:$B$2342,$D5,'Grid Data'!$C$4:$C$2342,E$4,'Grid Data'!$A$4:$A$2342,$D$2)*100, 0)</f>
        <v>0</v>
      </c>
      <c r="F5" s="4">
        <f>IF(  F68&gt;$E$2, SUMIFS(IF($G$2="CPR",'Grid Data'!$J$4:$J$2342,'Grid Data'!$K$4:$K$2342),'Grid Data'!$B$4:$B$2342,$D5,'Grid Data'!$C$4:$C$2342,F$4,'Grid Data'!$A$4:$A$2342,$D$2)*100, 0)</f>
        <v>0</v>
      </c>
      <c r="G5" s="4">
        <f>IF(  G68&gt;$E$2, SUMIFS(IF($G$2="CPR",'Grid Data'!$J$4:$J$2342,'Grid Data'!$K$4:$K$2342),'Grid Data'!$B$4:$B$2342,$D5,'Grid Data'!$C$4:$C$2342,G$4,'Grid Data'!$A$4:$A$2342,$D$2)*100, 0)</f>
        <v>0</v>
      </c>
      <c r="H5" s="4">
        <f>IF(  H68&gt;$E$2, SUMIFS(IF($G$2="CPR",'Grid Data'!$J$4:$J$2342,'Grid Data'!$K$4:$K$2342),'Grid Data'!$B$4:$B$2342,$D5,'Grid Data'!$C$4:$C$2342,H$4,'Grid Data'!$A$4:$A$2342,$D$2)*100, 0)</f>
        <v>0</v>
      </c>
      <c r="I5" s="4">
        <f>IF(  I68&gt;$E$2, SUMIFS(IF($G$2="CPR",'Grid Data'!$J$4:$J$2342,'Grid Data'!$K$4:$K$2342),'Grid Data'!$B$4:$B$2342,$D5,'Grid Data'!$C$4:$C$2342,I$4,'Grid Data'!$A$4:$A$2342,$D$2)*100, 0)</f>
        <v>0</v>
      </c>
      <c r="J5" s="4">
        <f>IF(  J68&gt;$E$2, SUMIFS(IF($G$2="CPR",'Grid Data'!$J$4:$J$2342,'Grid Data'!$K$4:$K$2342),'Grid Data'!$B$4:$B$2342,$D5,'Grid Data'!$C$4:$C$2342,J$4,'Grid Data'!$A$4:$A$2342,$D$2)*100, 0)</f>
        <v>0</v>
      </c>
      <c r="K5" s="4">
        <f>IF(  K68&gt;$E$2, SUMIFS(IF($G$2="CPR",'Grid Data'!$J$4:$J$2342,'Grid Data'!$K$4:$K$2342),'Grid Data'!$B$4:$B$2342,$D5,'Grid Data'!$C$4:$C$2342,K$4,'Grid Data'!$A$4:$A$2342,$D$2)*100, 0)</f>
        <v>0</v>
      </c>
      <c r="L5" s="4">
        <f>IF(  L68&gt;$E$2, SUMIFS(IF($G$2="CPR",'Grid Data'!$J$4:$J$2342,'Grid Data'!$K$4:$K$2342),'Grid Data'!$B$4:$B$2342,$D5,'Grid Data'!$C$4:$C$2342,L$4,'Grid Data'!$A$4:$A$2342,$D$2)*100, 0)</f>
        <v>0</v>
      </c>
      <c r="M5" s="4">
        <f>IF(  M68&gt;$E$2, SUMIFS(IF($G$2="CPR",'Grid Data'!$J$4:$J$2342,'Grid Data'!$K$4:$K$2342),'Grid Data'!$B$4:$B$2342,$D5,'Grid Data'!$C$4:$C$2342,M$4,'Grid Data'!$A$4:$A$2342,$D$2)*100, 0)</f>
        <v>0</v>
      </c>
      <c r="N5" s="4">
        <f>IF(  N68&gt;$E$2, SUMIFS(IF($G$2="CPR",'Grid Data'!$J$4:$J$2342,'Grid Data'!$K$4:$K$2342),'Grid Data'!$B$4:$B$2342,$D5,'Grid Data'!$C$4:$C$2342,N$4,'Grid Data'!$A$4:$A$2342,$D$2)*100, 0)</f>
        <v>0</v>
      </c>
      <c r="O5" s="4">
        <f>IF(  O68&gt;$E$2, SUMIFS(IF($G$2="CPR",'Grid Data'!$J$4:$J$2342,'Grid Data'!$K$4:$K$2342),'Grid Data'!$B$4:$B$2342,$D5,'Grid Data'!$C$4:$C$2342,O$4,'Grid Data'!$A$4:$A$2342,$D$2)*100, 0)</f>
        <v>0</v>
      </c>
      <c r="P5" s="4">
        <f>IF(  P68&gt;$E$2, SUMIFS(IF($G$2="CPR",'Grid Data'!$J$4:$J$2342,'Grid Data'!$K$4:$K$2342),'Grid Data'!$B$4:$B$2342,$D5,'Grid Data'!$C$4:$C$2342,P$4,'Grid Data'!$A$4:$A$2342,$D$2)*100, 0)</f>
        <v>0</v>
      </c>
      <c r="Q5" s="4">
        <f>IF(  Q68&gt;$E$2, SUMIFS(IF($G$2="CPR",'Grid Data'!$J$4:$J$2342,'Grid Data'!$K$4:$K$2342),'Grid Data'!$B$4:$B$2342,$D5,'Grid Data'!$C$4:$C$2342,Q$4,'Grid Data'!$A$4:$A$2342,$D$2)*100, 0)</f>
        <v>0</v>
      </c>
      <c r="R5" s="4">
        <f>IF(  R68&gt;$E$2, SUMIFS(IF($G$2="CPR",'Grid Data'!$J$4:$J$2342,'Grid Data'!$K$4:$K$2342),'Grid Data'!$B$4:$B$2342,$D5,'Grid Data'!$C$4:$C$2342,R$4,'Grid Data'!$A$4:$A$2342,$D$2)*100, 0)</f>
        <v>0</v>
      </c>
      <c r="S5" s="4">
        <f>IF(  S68&gt;$E$2, SUMIFS(IF($G$2="CPR",'Grid Data'!$J$4:$J$2342,'Grid Data'!$K$4:$K$2342),'Grid Data'!$B$4:$B$2342,$D5,'Grid Data'!$C$4:$C$2342,S$4,'Grid Data'!$A$4:$A$2342,$D$2)*100, 0)</f>
        <v>0</v>
      </c>
      <c r="T5" s="4">
        <f>IF(  T68&gt;$E$2, SUMIFS(IF($G$2="CPR",'Grid Data'!$J$4:$J$2342,'Grid Data'!$K$4:$K$2342),'Grid Data'!$B$4:$B$2342,$D5,'Grid Data'!$C$4:$C$2342,T$4,'Grid Data'!$A$4:$A$2342,$D$2)*100, 0)</f>
        <v>0</v>
      </c>
      <c r="U5" s="4">
        <f>IF(  U68&gt;$E$2, SUMIFS(IF($G$2="CPR",'Grid Data'!$J$4:$J$2342,'Grid Data'!$K$4:$K$2342),'Grid Data'!$B$4:$B$2342,$D5,'Grid Data'!$C$4:$C$2342,U$4,'Grid Data'!$A$4:$A$2342,$D$2)*100, 0)</f>
        <v>5.5358999999999998</v>
      </c>
      <c r="V5" s="4">
        <f>IF(  V68&gt;$E$2, SUMIFS(IF($G$2="CPR",'Grid Data'!$J$4:$J$2342,'Grid Data'!$K$4:$K$2342),'Grid Data'!$B$4:$B$2342,$D5,'Grid Data'!$C$4:$C$2342,V$4,'Grid Data'!$A$4:$A$2342,$D$2)*100, 0)</f>
        <v>4.4240000000000004</v>
      </c>
      <c r="W5" s="4">
        <f>IF(  W68&gt;$E$2, SUMIFS(IF($G$2="CPR",'Grid Data'!$J$4:$J$2342,'Grid Data'!$K$4:$K$2342),'Grid Data'!$B$4:$B$2342,$D5,'Grid Data'!$C$4:$C$2342,W$4,'Grid Data'!$A$4:$A$2342,$D$2)*100, 0)</f>
        <v>6.5002000000000004</v>
      </c>
      <c r="X5" s="4">
        <f>IF(  X68&gt;$E$2, SUMIFS(IF($G$2="CPR",'Grid Data'!$J$4:$J$2342,'Grid Data'!$K$4:$K$2342),'Grid Data'!$B$4:$B$2342,$D5,'Grid Data'!$C$4:$C$2342,X$4,'Grid Data'!$A$4:$A$2342,$D$2)*100, 0)</f>
        <v>0</v>
      </c>
      <c r="Y5" s="4">
        <f>IF(  Y68&gt;$E$2, SUMIFS(IF($G$2="CPR",'Grid Data'!$J$4:$J$2342,'Grid Data'!$K$4:$K$2342),'Grid Data'!$B$4:$B$2342,$D5,'Grid Data'!$C$4:$C$2342,Y$4,'Grid Data'!$A$4:$A$2342,$D$2)*100, 0)</f>
        <v>0</v>
      </c>
      <c r="Z5" s="4">
        <f>IF(  Z68&gt;$E$2, SUMIFS(IF($G$2="CPR",'Grid Data'!$J$4:$J$2342,'Grid Data'!$K$4:$K$2342),'Grid Data'!$B$4:$B$2342,$D5,'Grid Data'!$C$4:$C$2342,Z$4,'Grid Data'!$A$4:$A$2342,$D$2)*100, 0)</f>
        <v>0</v>
      </c>
      <c r="AA5" s="4">
        <f>IF(  AA68&gt;$E$2, SUMIFS(IF($G$2="CPR",'Grid Data'!$J$4:$J$2342,'Grid Data'!$K$4:$K$2342),'Grid Data'!$B$4:$B$2342,$D5,'Grid Data'!$C$4:$C$2342,AA$4,'Grid Data'!$A$4:$A$2342,$D$2)*100, 0)</f>
        <v>0</v>
      </c>
      <c r="AB5" s="4">
        <f>IF(  AB68&gt;$E$2, SUMIFS(IF($G$2="CPR",'Grid Data'!$J$4:$J$2342,'Grid Data'!$K$4:$K$2342),'Grid Data'!$B$4:$B$2342,$D5,'Grid Data'!$C$4:$C$2342,AB$4,'Grid Data'!$A$4:$A$2342,$D$2)*100, 0)</f>
        <v>0</v>
      </c>
      <c r="AC5" s="4">
        <f>IF(  AC68&gt;$E$2, SUMIFS(IF($G$2="CPR",'Grid Data'!$J$4:$J$2342,'Grid Data'!$K$4:$K$2342),'Grid Data'!$B$4:$B$2342,$D5,'Grid Data'!$C$4:$C$2342,AC$4,'Grid Data'!$A$4:$A$2342,$D$2)*100, 0)</f>
        <v>0</v>
      </c>
      <c r="AD5" s="4">
        <f>IF(  AD68&gt;$E$2, SUMIFS(IF($G$2="CPR",'Grid Data'!$J$4:$J$2342,'Grid Data'!$K$4:$K$2342),'Grid Data'!$B$4:$B$2342,$D5,'Grid Data'!$C$4:$C$2342,AD$4,'Grid Data'!$A$4:$A$2342,$D$2)*100, 0)</f>
        <v>0</v>
      </c>
      <c r="AE5" s="4">
        <f>IF(  AE68&gt;$E$2, SUMIFS(IF($G$2="CPR",'Grid Data'!$J$4:$J$2342,'Grid Data'!$K$4:$K$2342),'Grid Data'!$B$4:$B$2342,$D5,'Grid Data'!$C$4:$C$2342,AE$4,'Grid Data'!$A$4:$A$2342,$D$2)*100, 0)</f>
        <v>0</v>
      </c>
      <c r="AF5" s="4">
        <f>IF(  AF68&gt;$E$2, SUMIFS(IF($G$2="CPR",'Grid Data'!$J$4:$J$2342,'Grid Data'!$K$4:$K$2342),'Grid Data'!$B$4:$B$2342,$D5,'Grid Data'!$C$4:$C$2342,AF$4,'Grid Data'!$A$4:$A$2342,$D$2)*100, 0)</f>
        <v>0</v>
      </c>
      <c r="AG5" s="4">
        <f>IF(  AG68&gt;$E$2, SUMIFS(IF($G$2="CPR",'Grid Data'!$J$4:$J$2342,'Grid Data'!$K$4:$K$2342),'Grid Data'!$B$4:$B$2342,$D5,'Grid Data'!$C$4:$C$2342,AG$4,'Grid Data'!$A$4:$A$2342,$D$2)*100, 0)</f>
        <v>0</v>
      </c>
      <c r="AH5" s="4">
        <f>IF(  AH68&gt;$E$2, SUMIFS(IF($G$2="CPR",'Grid Data'!$J$4:$J$2342,'Grid Data'!$K$4:$K$2342),'Grid Data'!$B$4:$B$2342,$D5,'Grid Data'!$C$4:$C$2342,AH$4,'Grid Data'!$A$4:$A$2342,$D$2)*100, 0)</f>
        <v>0</v>
      </c>
    </row>
    <row r="6" spans="4:34" x14ac:dyDescent="0.35">
      <c r="D6">
        <v>2250</v>
      </c>
      <c r="E6" s="4">
        <f>IF(  E69&gt;$E$2, SUMIFS(IF($G$2="CPR",'Grid Data'!$J$4:$J$2342,'Grid Data'!$K$4:$K$2342),'Grid Data'!$B$4:$B$2342,$D6,'Grid Data'!$C$4:$C$2342,E$4,'Grid Data'!$A$4:$A$2342,$D$2)*100, 0)</f>
        <v>0</v>
      </c>
      <c r="F6" s="4">
        <f>IF(  F69&gt;$E$2, SUMIFS(IF($G$2="CPR",'Grid Data'!$J$4:$J$2342,'Grid Data'!$K$4:$K$2342),'Grid Data'!$B$4:$B$2342,$D6,'Grid Data'!$C$4:$C$2342,F$4,'Grid Data'!$A$4:$A$2342,$D$2)*100, 0)</f>
        <v>0</v>
      </c>
      <c r="G6" s="4">
        <f>IF(  G69&gt;$E$2, SUMIFS(IF($G$2="CPR",'Grid Data'!$J$4:$J$2342,'Grid Data'!$K$4:$K$2342),'Grid Data'!$B$4:$B$2342,$D6,'Grid Data'!$C$4:$C$2342,G$4,'Grid Data'!$A$4:$A$2342,$D$2)*100, 0)</f>
        <v>0</v>
      </c>
      <c r="H6" s="4">
        <f>IF(  H69&gt;$E$2, SUMIFS(IF($G$2="CPR",'Grid Data'!$J$4:$J$2342,'Grid Data'!$K$4:$K$2342),'Grid Data'!$B$4:$B$2342,$D6,'Grid Data'!$C$4:$C$2342,H$4,'Grid Data'!$A$4:$A$2342,$D$2)*100, 0)</f>
        <v>0</v>
      </c>
      <c r="I6" s="4">
        <f>IF(  I69&gt;$E$2, SUMIFS(IF($G$2="CPR",'Grid Data'!$J$4:$J$2342,'Grid Data'!$K$4:$K$2342),'Grid Data'!$B$4:$B$2342,$D6,'Grid Data'!$C$4:$C$2342,I$4,'Grid Data'!$A$4:$A$2342,$D$2)*100, 0)</f>
        <v>0</v>
      </c>
      <c r="J6" s="4">
        <f>IF(  J69&gt;$E$2, SUMIFS(IF($G$2="CPR",'Grid Data'!$J$4:$J$2342,'Grid Data'!$K$4:$K$2342),'Grid Data'!$B$4:$B$2342,$D6,'Grid Data'!$C$4:$C$2342,J$4,'Grid Data'!$A$4:$A$2342,$D$2)*100, 0)</f>
        <v>0</v>
      </c>
      <c r="K6" s="4">
        <f>IF(  K69&gt;$E$2, SUMIFS(IF($G$2="CPR",'Grid Data'!$J$4:$J$2342,'Grid Data'!$K$4:$K$2342),'Grid Data'!$B$4:$B$2342,$D6,'Grid Data'!$C$4:$C$2342,K$4,'Grid Data'!$A$4:$A$2342,$D$2)*100, 0)</f>
        <v>0</v>
      </c>
      <c r="L6" s="4">
        <f>IF(  L69&gt;$E$2, SUMIFS(IF($G$2="CPR",'Grid Data'!$J$4:$J$2342,'Grid Data'!$K$4:$K$2342),'Grid Data'!$B$4:$B$2342,$D6,'Grid Data'!$C$4:$C$2342,L$4,'Grid Data'!$A$4:$A$2342,$D$2)*100, 0)</f>
        <v>0</v>
      </c>
      <c r="M6" s="4">
        <f>IF(  M69&gt;$E$2, SUMIFS(IF($G$2="CPR",'Grid Data'!$J$4:$J$2342,'Grid Data'!$K$4:$K$2342),'Grid Data'!$B$4:$B$2342,$D6,'Grid Data'!$C$4:$C$2342,M$4,'Grid Data'!$A$4:$A$2342,$D$2)*100, 0)</f>
        <v>0</v>
      </c>
      <c r="N6" s="4">
        <f>IF(  N69&gt;$E$2, SUMIFS(IF($G$2="CPR",'Grid Data'!$J$4:$J$2342,'Grid Data'!$K$4:$K$2342),'Grid Data'!$B$4:$B$2342,$D6,'Grid Data'!$C$4:$C$2342,N$4,'Grid Data'!$A$4:$A$2342,$D$2)*100, 0)</f>
        <v>0</v>
      </c>
      <c r="O6" s="4">
        <f>IF(  O69&gt;$E$2, SUMIFS(IF($G$2="CPR",'Grid Data'!$J$4:$J$2342,'Grid Data'!$K$4:$K$2342),'Grid Data'!$B$4:$B$2342,$D6,'Grid Data'!$C$4:$C$2342,O$4,'Grid Data'!$A$4:$A$2342,$D$2)*100, 0)</f>
        <v>0</v>
      </c>
      <c r="P6" s="4">
        <f>IF(  P69&gt;$E$2, SUMIFS(IF($G$2="CPR",'Grid Data'!$J$4:$J$2342,'Grid Data'!$K$4:$K$2342),'Grid Data'!$B$4:$B$2342,$D6,'Grid Data'!$C$4:$C$2342,P$4,'Grid Data'!$A$4:$A$2342,$D$2)*100, 0)</f>
        <v>0</v>
      </c>
      <c r="Q6" s="4">
        <f>IF(  Q69&gt;$E$2, SUMIFS(IF($G$2="CPR",'Grid Data'!$J$4:$J$2342,'Grid Data'!$K$4:$K$2342),'Grid Data'!$B$4:$B$2342,$D6,'Grid Data'!$C$4:$C$2342,Q$4,'Grid Data'!$A$4:$A$2342,$D$2)*100, 0)</f>
        <v>0</v>
      </c>
      <c r="R6" s="4">
        <f>IF(  R69&gt;$E$2, SUMIFS(IF($G$2="CPR",'Grid Data'!$J$4:$J$2342,'Grid Data'!$K$4:$K$2342),'Grid Data'!$B$4:$B$2342,$D6,'Grid Data'!$C$4:$C$2342,R$4,'Grid Data'!$A$4:$A$2342,$D$2)*100, 0)</f>
        <v>0</v>
      </c>
      <c r="S6" s="4">
        <f>IF(  S69&gt;$E$2, SUMIFS(IF($G$2="CPR",'Grid Data'!$J$4:$J$2342,'Grid Data'!$K$4:$K$2342),'Grid Data'!$B$4:$B$2342,$D6,'Grid Data'!$C$4:$C$2342,S$4,'Grid Data'!$A$4:$A$2342,$D$2)*100, 0)</f>
        <v>0</v>
      </c>
      <c r="T6" s="4">
        <f>IF(  T69&gt;$E$2, SUMIFS(IF($G$2="CPR",'Grid Data'!$J$4:$J$2342,'Grid Data'!$K$4:$K$2342),'Grid Data'!$B$4:$B$2342,$D6,'Grid Data'!$C$4:$C$2342,T$4,'Grid Data'!$A$4:$A$2342,$D$2)*100, 0)</f>
        <v>7.2817000000000007</v>
      </c>
      <c r="U6" s="4">
        <f>IF(  U69&gt;$E$2, SUMIFS(IF($G$2="CPR",'Grid Data'!$J$4:$J$2342,'Grid Data'!$K$4:$K$2342),'Grid Data'!$B$4:$B$2342,$D6,'Grid Data'!$C$4:$C$2342,U$4,'Grid Data'!$A$4:$A$2342,$D$2)*100, 0)</f>
        <v>6.1988000000000003</v>
      </c>
      <c r="V6" s="4">
        <f>IF(  V69&gt;$E$2, SUMIFS(IF($G$2="CPR",'Grid Data'!$J$4:$J$2342,'Grid Data'!$K$4:$K$2342),'Grid Data'!$B$4:$B$2342,$D6,'Grid Data'!$C$4:$C$2342,V$4,'Grid Data'!$A$4:$A$2342,$D$2)*100, 0)</f>
        <v>6.3418000000000001</v>
      </c>
      <c r="W6" s="4">
        <f>IF(  W69&gt;$E$2, SUMIFS(IF($G$2="CPR",'Grid Data'!$J$4:$J$2342,'Grid Data'!$K$4:$K$2342),'Grid Data'!$B$4:$B$2342,$D6,'Grid Data'!$C$4:$C$2342,W$4,'Grid Data'!$A$4:$A$2342,$D$2)*100, 0)</f>
        <v>6.0069999999999997</v>
      </c>
      <c r="X6" s="4">
        <f>IF(  X69&gt;$E$2, SUMIFS(IF($G$2="CPR",'Grid Data'!$J$4:$J$2342,'Grid Data'!$K$4:$K$2342),'Grid Data'!$B$4:$B$2342,$D6,'Grid Data'!$C$4:$C$2342,X$4,'Grid Data'!$A$4:$A$2342,$D$2)*100, 0)</f>
        <v>0</v>
      </c>
      <c r="Y6" s="4">
        <f>IF(  Y69&gt;$E$2, SUMIFS(IF($G$2="CPR",'Grid Data'!$J$4:$J$2342,'Grid Data'!$K$4:$K$2342),'Grid Data'!$B$4:$B$2342,$D6,'Grid Data'!$C$4:$C$2342,Y$4,'Grid Data'!$A$4:$A$2342,$D$2)*100, 0)</f>
        <v>0</v>
      </c>
      <c r="Z6" s="4">
        <f>IF(  Z69&gt;$E$2, SUMIFS(IF($G$2="CPR",'Grid Data'!$J$4:$J$2342,'Grid Data'!$K$4:$K$2342),'Grid Data'!$B$4:$B$2342,$D6,'Grid Data'!$C$4:$C$2342,Z$4,'Grid Data'!$A$4:$A$2342,$D$2)*100, 0)</f>
        <v>0</v>
      </c>
      <c r="AA6" s="4">
        <f>IF(  AA69&gt;$E$2, SUMIFS(IF($G$2="CPR",'Grid Data'!$J$4:$J$2342,'Grid Data'!$K$4:$K$2342),'Grid Data'!$B$4:$B$2342,$D6,'Grid Data'!$C$4:$C$2342,AA$4,'Grid Data'!$A$4:$A$2342,$D$2)*100, 0)</f>
        <v>0</v>
      </c>
      <c r="AB6" s="4">
        <f>IF(  AB69&gt;$E$2, SUMIFS(IF($G$2="CPR",'Grid Data'!$J$4:$J$2342,'Grid Data'!$K$4:$K$2342),'Grid Data'!$B$4:$B$2342,$D6,'Grid Data'!$C$4:$C$2342,AB$4,'Grid Data'!$A$4:$A$2342,$D$2)*100, 0)</f>
        <v>0</v>
      </c>
      <c r="AC6" s="4">
        <f>IF(  AC69&gt;$E$2, SUMIFS(IF($G$2="CPR",'Grid Data'!$J$4:$J$2342,'Grid Data'!$K$4:$K$2342),'Grid Data'!$B$4:$B$2342,$D6,'Grid Data'!$C$4:$C$2342,AC$4,'Grid Data'!$A$4:$A$2342,$D$2)*100, 0)</f>
        <v>0</v>
      </c>
      <c r="AD6" s="4">
        <f>IF(  AD69&gt;$E$2, SUMIFS(IF($G$2="CPR",'Grid Data'!$J$4:$J$2342,'Grid Data'!$K$4:$K$2342),'Grid Data'!$B$4:$B$2342,$D6,'Grid Data'!$C$4:$C$2342,AD$4,'Grid Data'!$A$4:$A$2342,$D$2)*100, 0)</f>
        <v>0</v>
      </c>
      <c r="AE6" s="4">
        <f>IF(  AE69&gt;$E$2, SUMIFS(IF($G$2="CPR",'Grid Data'!$J$4:$J$2342,'Grid Data'!$K$4:$K$2342),'Grid Data'!$B$4:$B$2342,$D6,'Grid Data'!$C$4:$C$2342,AE$4,'Grid Data'!$A$4:$A$2342,$D$2)*100, 0)</f>
        <v>0</v>
      </c>
      <c r="AF6" s="4">
        <f>IF(  AF69&gt;$E$2, SUMIFS(IF($G$2="CPR",'Grid Data'!$J$4:$J$2342,'Grid Data'!$K$4:$K$2342),'Grid Data'!$B$4:$B$2342,$D6,'Grid Data'!$C$4:$C$2342,AF$4,'Grid Data'!$A$4:$A$2342,$D$2)*100, 0)</f>
        <v>0</v>
      </c>
      <c r="AG6" s="4">
        <f>IF(  AG69&gt;$E$2, SUMIFS(IF($G$2="CPR",'Grid Data'!$J$4:$J$2342,'Grid Data'!$K$4:$K$2342),'Grid Data'!$B$4:$B$2342,$D6,'Grid Data'!$C$4:$C$2342,AG$4,'Grid Data'!$A$4:$A$2342,$D$2)*100, 0)</f>
        <v>0</v>
      </c>
      <c r="AH6" s="4">
        <f>IF(  AH69&gt;$E$2, SUMIFS(IF($G$2="CPR",'Grid Data'!$J$4:$J$2342,'Grid Data'!$K$4:$K$2342),'Grid Data'!$B$4:$B$2342,$D6,'Grid Data'!$C$4:$C$2342,AH$4,'Grid Data'!$A$4:$A$2342,$D$2)*100, 0)</f>
        <v>0</v>
      </c>
    </row>
    <row r="7" spans="4:34" x14ac:dyDescent="0.35">
      <c r="D7">
        <v>2500</v>
      </c>
      <c r="E7" s="4">
        <f>IF(  E70&gt;$E$2, SUMIFS(IF($G$2="CPR",'Grid Data'!$J$4:$J$2342,'Grid Data'!$K$4:$K$2342),'Grid Data'!$B$4:$B$2342,$D7,'Grid Data'!$C$4:$C$2342,E$4,'Grid Data'!$A$4:$A$2342,$D$2)*100, 0)</f>
        <v>0</v>
      </c>
      <c r="F7" s="4">
        <f>IF(  F70&gt;$E$2, SUMIFS(IF($G$2="CPR",'Grid Data'!$J$4:$J$2342,'Grid Data'!$K$4:$K$2342),'Grid Data'!$B$4:$B$2342,$D7,'Grid Data'!$C$4:$C$2342,F$4,'Grid Data'!$A$4:$A$2342,$D$2)*100, 0)</f>
        <v>0</v>
      </c>
      <c r="G7" s="4">
        <f>IF(  G70&gt;$E$2, SUMIFS(IF($G$2="CPR",'Grid Data'!$J$4:$J$2342,'Grid Data'!$K$4:$K$2342),'Grid Data'!$B$4:$B$2342,$D7,'Grid Data'!$C$4:$C$2342,G$4,'Grid Data'!$A$4:$A$2342,$D$2)*100, 0)</f>
        <v>0</v>
      </c>
      <c r="H7" s="4">
        <f>IF(  H70&gt;$E$2, SUMIFS(IF($G$2="CPR",'Grid Data'!$J$4:$J$2342,'Grid Data'!$K$4:$K$2342),'Grid Data'!$B$4:$B$2342,$D7,'Grid Data'!$C$4:$C$2342,H$4,'Grid Data'!$A$4:$A$2342,$D$2)*100, 0)</f>
        <v>0</v>
      </c>
      <c r="I7" s="4">
        <f>IF(  I70&gt;$E$2, SUMIFS(IF($G$2="CPR",'Grid Data'!$J$4:$J$2342,'Grid Data'!$K$4:$K$2342),'Grid Data'!$B$4:$B$2342,$D7,'Grid Data'!$C$4:$C$2342,I$4,'Grid Data'!$A$4:$A$2342,$D$2)*100, 0)</f>
        <v>0</v>
      </c>
      <c r="J7" s="4">
        <f>IF(  J70&gt;$E$2, SUMIFS(IF($G$2="CPR",'Grid Data'!$J$4:$J$2342,'Grid Data'!$K$4:$K$2342),'Grid Data'!$B$4:$B$2342,$D7,'Grid Data'!$C$4:$C$2342,J$4,'Grid Data'!$A$4:$A$2342,$D$2)*100, 0)</f>
        <v>0</v>
      </c>
      <c r="K7" s="4">
        <f>IF(  K70&gt;$E$2, SUMIFS(IF($G$2="CPR",'Grid Data'!$J$4:$J$2342,'Grid Data'!$K$4:$K$2342),'Grid Data'!$B$4:$B$2342,$D7,'Grid Data'!$C$4:$C$2342,K$4,'Grid Data'!$A$4:$A$2342,$D$2)*100, 0)</f>
        <v>0</v>
      </c>
      <c r="L7" s="4">
        <f>IF(  L70&gt;$E$2, SUMIFS(IF($G$2="CPR",'Grid Data'!$J$4:$J$2342,'Grid Data'!$K$4:$K$2342),'Grid Data'!$B$4:$B$2342,$D7,'Grid Data'!$C$4:$C$2342,L$4,'Grid Data'!$A$4:$A$2342,$D$2)*100, 0)</f>
        <v>0</v>
      </c>
      <c r="M7" s="4">
        <f>IF(  M70&gt;$E$2, SUMIFS(IF($G$2="CPR",'Grid Data'!$J$4:$J$2342,'Grid Data'!$K$4:$K$2342),'Grid Data'!$B$4:$B$2342,$D7,'Grid Data'!$C$4:$C$2342,M$4,'Grid Data'!$A$4:$A$2342,$D$2)*100, 0)</f>
        <v>0</v>
      </c>
      <c r="N7" s="4">
        <f>IF(  N70&gt;$E$2, SUMIFS(IF($G$2="CPR",'Grid Data'!$J$4:$J$2342,'Grid Data'!$K$4:$K$2342),'Grid Data'!$B$4:$B$2342,$D7,'Grid Data'!$C$4:$C$2342,N$4,'Grid Data'!$A$4:$A$2342,$D$2)*100, 0)</f>
        <v>0</v>
      </c>
      <c r="O7" s="4">
        <f>IF(  O70&gt;$E$2, SUMIFS(IF($G$2="CPR",'Grid Data'!$J$4:$J$2342,'Grid Data'!$K$4:$K$2342),'Grid Data'!$B$4:$B$2342,$D7,'Grid Data'!$C$4:$C$2342,O$4,'Grid Data'!$A$4:$A$2342,$D$2)*100, 0)</f>
        <v>0</v>
      </c>
      <c r="P7" s="4">
        <f>IF(  P70&gt;$E$2, SUMIFS(IF($G$2="CPR",'Grid Data'!$J$4:$J$2342,'Grid Data'!$K$4:$K$2342),'Grid Data'!$B$4:$B$2342,$D7,'Grid Data'!$C$4:$C$2342,P$4,'Grid Data'!$A$4:$A$2342,$D$2)*100, 0)</f>
        <v>0</v>
      </c>
      <c r="Q7" s="4">
        <f>IF(  Q70&gt;$E$2, SUMIFS(IF($G$2="CPR",'Grid Data'!$J$4:$J$2342,'Grid Data'!$K$4:$K$2342),'Grid Data'!$B$4:$B$2342,$D7,'Grid Data'!$C$4:$C$2342,Q$4,'Grid Data'!$A$4:$A$2342,$D$2)*100, 0)</f>
        <v>0</v>
      </c>
      <c r="R7" s="4">
        <f>IF(  R70&gt;$E$2, SUMIFS(IF($G$2="CPR",'Grid Data'!$J$4:$J$2342,'Grid Data'!$K$4:$K$2342),'Grid Data'!$B$4:$B$2342,$D7,'Grid Data'!$C$4:$C$2342,R$4,'Grid Data'!$A$4:$A$2342,$D$2)*100, 0)</f>
        <v>0</v>
      </c>
      <c r="S7" s="4">
        <f>IF(  S70&gt;$E$2, SUMIFS(IF($G$2="CPR",'Grid Data'!$J$4:$J$2342,'Grid Data'!$K$4:$K$2342),'Grid Data'!$B$4:$B$2342,$D7,'Grid Data'!$C$4:$C$2342,S$4,'Grid Data'!$A$4:$A$2342,$D$2)*100, 0)</f>
        <v>0</v>
      </c>
      <c r="T7" s="4">
        <f>IF(  T70&gt;$E$2, SUMIFS(IF($G$2="CPR",'Grid Data'!$J$4:$J$2342,'Grid Data'!$K$4:$K$2342),'Grid Data'!$B$4:$B$2342,$D7,'Grid Data'!$C$4:$C$2342,T$4,'Grid Data'!$A$4:$A$2342,$D$2)*100, 0)</f>
        <v>7.5076000000000001</v>
      </c>
      <c r="U7" s="4">
        <f>IF(  U70&gt;$E$2, SUMIFS(IF($G$2="CPR",'Grid Data'!$J$4:$J$2342,'Grid Data'!$K$4:$K$2342),'Grid Data'!$B$4:$B$2342,$D7,'Grid Data'!$C$4:$C$2342,U$4,'Grid Data'!$A$4:$A$2342,$D$2)*100, 0)</f>
        <v>6.7873000000000001</v>
      </c>
      <c r="V7" s="4">
        <f>IF(  V70&gt;$E$2, SUMIFS(IF($G$2="CPR",'Grid Data'!$J$4:$J$2342,'Grid Data'!$K$4:$K$2342),'Grid Data'!$B$4:$B$2342,$D7,'Grid Data'!$C$4:$C$2342,V$4,'Grid Data'!$A$4:$A$2342,$D$2)*100, 0)</f>
        <v>6.3171000000000008</v>
      </c>
      <c r="W7" s="4">
        <f>IF(  W70&gt;$E$2, SUMIFS(IF($G$2="CPR",'Grid Data'!$J$4:$J$2342,'Grid Data'!$K$4:$K$2342),'Grid Data'!$B$4:$B$2342,$D7,'Grid Data'!$C$4:$C$2342,W$4,'Grid Data'!$A$4:$A$2342,$D$2)*100, 0)</f>
        <v>5.9790000000000001</v>
      </c>
      <c r="X7" s="4">
        <f>IF(  X70&gt;$E$2, SUMIFS(IF($G$2="CPR",'Grid Data'!$J$4:$J$2342,'Grid Data'!$K$4:$K$2342),'Grid Data'!$B$4:$B$2342,$D7,'Grid Data'!$C$4:$C$2342,X$4,'Grid Data'!$A$4:$A$2342,$D$2)*100, 0)</f>
        <v>0</v>
      </c>
      <c r="Y7" s="4">
        <f>IF(  Y70&gt;$E$2, SUMIFS(IF($G$2="CPR",'Grid Data'!$J$4:$J$2342,'Grid Data'!$K$4:$K$2342),'Grid Data'!$B$4:$B$2342,$D7,'Grid Data'!$C$4:$C$2342,Y$4,'Grid Data'!$A$4:$A$2342,$D$2)*100, 0)</f>
        <v>0</v>
      </c>
      <c r="Z7" s="4">
        <f>IF(  Z70&gt;$E$2, SUMIFS(IF($G$2="CPR",'Grid Data'!$J$4:$J$2342,'Grid Data'!$K$4:$K$2342),'Grid Data'!$B$4:$B$2342,$D7,'Grid Data'!$C$4:$C$2342,Z$4,'Grid Data'!$A$4:$A$2342,$D$2)*100, 0)</f>
        <v>0</v>
      </c>
      <c r="AA7" s="4">
        <f>IF(  AA70&gt;$E$2, SUMIFS(IF($G$2="CPR",'Grid Data'!$J$4:$J$2342,'Grid Data'!$K$4:$K$2342),'Grid Data'!$B$4:$B$2342,$D7,'Grid Data'!$C$4:$C$2342,AA$4,'Grid Data'!$A$4:$A$2342,$D$2)*100, 0)</f>
        <v>0</v>
      </c>
      <c r="AB7" s="4">
        <f>IF(  AB70&gt;$E$2, SUMIFS(IF($G$2="CPR",'Grid Data'!$J$4:$J$2342,'Grid Data'!$K$4:$K$2342),'Grid Data'!$B$4:$B$2342,$D7,'Grid Data'!$C$4:$C$2342,AB$4,'Grid Data'!$A$4:$A$2342,$D$2)*100, 0)</f>
        <v>0</v>
      </c>
      <c r="AC7" s="4">
        <f>IF(  AC70&gt;$E$2, SUMIFS(IF($G$2="CPR",'Grid Data'!$J$4:$J$2342,'Grid Data'!$K$4:$K$2342),'Grid Data'!$B$4:$B$2342,$D7,'Grid Data'!$C$4:$C$2342,AC$4,'Grid Data'!$A$4:$A$2342,$D$2)*100, 0)</f>
        <v>0</v>
      </c>
      <c r="AD7" s="4">
        <f>IF(  AD70&gt;$E$2, SUMIFS(IF($G$2="CPR",'Grid Data'!$J$4:$J$2342,'Grid Data'!$K$4:$K$2342),'Grid Data'!$B$4:$B$2342,$D7,'Grid Data'!$C$4:$C$2342,AD$4,'Grid Data'!$A$4:$A$2342,$D$2)*100, 0)</f>
        <v>0</v>
      </c>
      <c r="AE7" s="4">
        <f>IF(  AE70&gt;$E$2, SUMIFS(IF($G$2="CPR",'Grid Data'!$J$4:$J$2342,'Grid Data'!$K$4:$K$2342),'Grid Data'!$B$4:$B$2342,$D7,'Grid Data'!$C$4:$C$2342,AE$4,'Grid Data'!$A$4:$A$2342,$D$2)*100, 0)</f>
        <v>0</v>
      </c>
      <c r="AF7" s="4">
        <f>IF(  AF70&gt;$E$2, SUMIFS(IF($G$2="CPR",'Grid Data'!$J$4:$J$2342,'Grid Data'!$K$4:$K$2342),'Grid Data'!$B$4:$B$2342,$D7,'Grid Data'!$C$4:$C$2342,AF$4,'Grid Data'!$A$4:$A$2342,$D$2)*100, 0)</f>
        <v>0</v>
      </c>
      <c r="AG7" s="4">
        <f>IF(  AG70&gt;$E$2, SUMIFS(IF($G$2="CPR",'Grid Data'!$J$4:$J$2342,'Grid Data'!$K$4:$K$2342),'Grid Data'!$B$4:$B$2342,$D7,'Grid Data'!$C$4:$C$2342,AG$4,'Grid Data'!$A$4:$A$2342,$D$2)*100, 0)</f>
        <v>0</v>
      </c>
      <c r="AH7" s="4">
        <f>IF(  AH70&gt;$E$2, SUMIFS(IF($G$2="CPR",'Grid Data'!$J$4:$J$2342,'Grid Data'!$K$4:$K$2342),'Grid Data'!$B$4:$B$2342,$D7,'Grid Data'!$C$4:$C$2342,AH$4,'Grid Data'!$A$4:$A$2342,$D$2)*100, 0)</f>
        <v>0</v>
      </c>
    </row>
    <row r="8" spans="4:34" x14ac:dyDescent="0.35">
      <c r="D8">
        <v>2750</v>
      </c>
      <c r="E8" s="4">
        <f>IF(  E71&gt;$E$2, SUMIFS(IF($G$2="CPR",'Grid Data'!$J$4:$J$2342,'Grid Data'!$K$4:$K$2342),'Grid Data'!$B$4:$B$2342,$D8,'Grid Data'!$C$4:$C$2342,E$4,'Grid Data'!$A$4:$A$2342,$D$2)*100, 0)</f>
        <v>0</v>
      </c>
      <c r="F8" s="4">
        <f>IF(  F71&gt;$E$2, SUMIFS(IF($G$2="CPR",'Grid Data'!$J$4:$J$2342,'Grid Data'!$K$4:$K$2342),'Grid Data'!$B$4:$B$2342,$D8,'Grid Data'!$C$4:$C$2342,F$4,'Grid Data'!$A$4:$A$2342,$D$2)*100, 0)</f>
        <v>0</v>
      </c>
      <c r="G8" s="4">
        <f>IF(  G71&gt;$E$2, SUMIFS(IF($G$2="CPR",'Grid Data'!$J$4:$J$2342,'Grid Data'!$K$4:$K$2342),'Grid Data'!$B$4:$B$2342,$D8,'Grid Data'!$C$4:$C$2342,G$4,'Grid Data'!$A$4:$A$2342,$D$2)*100, 0)</f>
        <v>0</v>
      </c>
      <c r="H8" s="4">
        <f>IF(  H71&gt;$E$2, SUMIFS(IF($G$2="CPR",'Grid Data'!$J$4:$J$2342,'Grid Data'!$K$4:$K$2342),'Grid Data'!$B$4:$B$2342,$D8,'Grid Data'!$C$4:$C$2342,H$4,'Grid Data'!$A$4:$A$2342,$D$2)*100, 0)</f>
        <v>0</v>
      </c>
      <c r="I8" s="4">
        <f>IF(  I71&gt;$E$2, SUMIFS(IF($G$2="CPR",'Grid Data'!$J$4:$J$2342,'Grid Data'!$K$4:$K$2342),'Grid Data'!$B$4:$B$2342,$D8,'Grid Data'!$C$4:$C$2342,I$4,'Grid Data'!$A$4:$A$2342,$D$2)*100, 0)</f>
        <v>0</v>
      </c>
      <c r="J8" s="4">
        <f>IF(  J71&gt;$E$2, SUMIFS(IF($G$2="CPR",'Grid Data'!$J$4:$J$2342,'Grid Data'!$K$4:$K$2342),'Grid Data'!$B$4:$B$2342,$D8,'Grid Data'!$C$4:$C$2342,J$4,'Grid Data'!$A$4:$A$2342,$D$2)*100, 0)</f>
        <v>0</v>
      </c>
      <c r="K8" s="4">
        <f>IF(  K71&gt;$E$2, SUMIFS(IF($G$2="CPR",'Grid Data'!$J$4:$J$2342,'Grid Data'!$K$4:$K$2342),'Grid Data'!$B$4:$B$2342,$D8,'Grid Data'!$C$4:$C$2342,K$4,'Grid Data'!$A$4:$A$2342,$D$2)*100, 0)</f>
        <v>0</v>
      </c>
      <c r="L8" s="4">
        <f>IF(  L71&gt;$E$2, SUMIFS(IF($G$2="CPR",'Grid Data'!$J$4:$J$2342,'Grid Data'!$K$4:$K$2342),'Grid Data'!$B$4:$B$2342,$D8,'Grid Data'!$C$4:$C$2342,L$4,'Grid Data'!$A$4:$A$2342,$D$2)*100, 0)</f>
        <v>0</v>
      </c>
      <c r="M8" s="4">
        <f>IF(  M71&gt;$E$2, SUMIFS(IF($G$2="CPR",'Grid Data'!$J$4:$J$2342,'Grid Data'!$K$4:$K$2342),'Grid Data'!$B$4:$B$2342,$D8,'Grid Data'!$C$4:$C$2342,M$4,'Grid Data'!$A$4:$A$2342,$D$2)*100, 0)</f>
        <v>0</v>
      </c>
      <c r="N8" s="4">
        <f>IF(  N71&gt;$E$2, SUMIFS(IF($G$2="CPR",'Grid Data'!$J$4:$J$2342,'Grid Data'!$K$4:$K$2342),'Grid Data'!$B$4:$B$2342,$D8,'Grid Data'!$C$4:$C$2342,N$4,'Grid Data'!$A$4:$A$2342,$D$2)*100, 0)</f>
        <v>0</v>
      </c>
      <c r="O8" s="4">
        <f>IF(  O71&gt;$E$2, SUMIFS(IF($G$2="CPR",'Grid Data'!$J$4:$J$2342,'Grid Data'!$K$4:$K$2342),'Grid Data'!$B$4:$B$2342,$D8,'Grid Data'!$C$4:$C$2342,O$4,'Grid Data'!$A$4:$A$2342,$D$2)*100, 0)</f>
        <v>0</v>
      </c>
      <c r="P8" s="4">
        <f>IF(  P71&gt;$E$2, SUMIFS(IF($G$2="CPR",'Grid Data'!$J$4:$J$2342,'Grid Data'!$K$4:$K$2342),'Grid Data'!$B$4:$B$2342,$D8,'Grid Data'!$C$4:$C$2342,P$4,'Grid Data'!$A$4:$A$2342,$D$2)*100, 0)</f>
        <v>0</v>
      </c>
      <c r="Q8" s="4">
        <f>IF(  Q71&gt;$E$2, SUMIFS(IF($G$2="CPR",'Grid Data'!$J$4:$J$2342,'Grid Data'!$K$4:$K$2342),'Grid Data'!$B$4:$B$2342,$D8,'Grid Data'!$C$4:$C$2342,Q$4,'Grid Data'!$A$4:$A$2342,$D$2)*100, 0)</f>
        <v>0</v>
      </c>
      <c r="R8" s="4">
        <f>IF(  R71&gt;$E$2, SUMIFS(IF($G$2="CPR",'Grid Data'!$J$4:$J$2342,'Grid Data'!$K$4:$K$2342),'Grid Data'!$B$4:$B$2342,$D8,'Grid Data'!$C$4:$C$2342,R$4,'Grid Data'!$A$4:$A$2342,$D$2)*100, 0)</f>
        <v>0</v>
      </c>
      <c r="S8" s="4">
        <f>IF(  S71&gt;$E$2, SUMIFS(IF($G$2="CPR",'Grid Data'!$J$4:$J$2342,'Grid Data'!$K$4:$K$2342),'Grid Data'!$B$4:$B$2342,$D8,'Grid Data'!$C$4:$C$2342,S$4,'Grid Data'!$A$4:$A$2342,$D$2)*100, 0)</f>
        <v>36.288699999999999</v>
      </c>
      <c r="T8" s="4">
        <f>IF(  T71&gt;$E$2, SUMIFS(IF($G$2="CPR",'Grid Data'!$J$4:$J$2342,'Grid Data'!$K$4:$K$2342),'Grid Data'!$B$4:$B$2342,$D8,'Grid Data'!$C$4:$C$2342,T$4,'Grid Data'!$A$4:$A$2342,$D$2)*100, 0)</f>
        <v>7.1020000000000003</v>
      </c>
      <c r="U8" s="4">
        <f>IF(  U71&gt;$E$2, SUMIFS(IF($G$2="CPR",'Grid Data'!$J$4:$J$2342,'Grid Data'!$K$4:$K$2342),'Grid Data'!$B$4:$B$2342,$D8,'Grid Data'!$C$4:$C$2342,U$4,'Grid Data'!$A$4:$A$2342,$D$2)*100, 0)</f>
        <v>7.9771999999999998</v>
      </c>
      <c r="V8" s="4">
        <f>IF(  V71&gt;$E$2, SUMIFS(IF($G$2="CPR",'Grid Data'!$J$4:$J$2342,'Grid Data'!$K$4:$K$2342),'Grid Data'!$B$4:$B$2342,$D8,'Grid Data'!$C$4:$C$2342,V$4,'Grid Data'!$A$4:$A$2342,$D$2)*100, 0)</f>
        <v>7.7216999999999993</v>
      </c>
      <c r="W8" s="4">
        <f>IF(  W71&gt;$E$2, SUMIFS(IF($G$2="CPR",'Grid Data'!$J$4:$J$2342,'Grid Data'!$K$4:$K$2342),'Grid Data'!$B$4:$B$2342,$D8,'Grid Data'!$C$4:$C$2342,W$4,'Grid Data'!$A$4:$A$2342,$D$2)*100, 0)</f>
        <v>7.2053000000000003</v>
      </c>
      <c r="X8" s="4">
        <f>IF(  X71&gt;$E$2, SUMIFS(IF($G$2="CPR",'Grid Data'!$J$4:$J$2342,'Grid Data'!$K$4:$K$2342),'Grid Data'!$B$4:$B$2342,$D8,'Grid Data'!$C$4:$C$2342,X$4,'Grid Data'!$A$4:$A$2342,$D$2)*100, 0)</f>
        <v>4.4386000000000001</v>
      </c>
      <c r="Y8" s="4">
        <f>IF(  Y71&gt;$E$2, SUMIFS(IF($G$2="CPR",'Grid Data'!$J$4:$J$2342,'Grid Data'!$K$4:$K$2342),'Grid Data'!$B$4:$B$2342,$D8,'Grid Data'!$C$4:$C$2342,Y$4,'Grid Data'!$A$4:$A$2342,$D$2)*100, 0)</f>
        <v>0</v>
      </c>
      <c r="Z8" s="4">
        <f>IF(  Z71&gt;$E$2, SUMIFS(IF($G$2="CPR",'Grid Data'!$J$4:$J$2342,'Grid Data'!$K$4:$K$2342),'Grid Data'!$B$4:$B$2342,$D8,'Grid Data'!$C$4:$C$2342,Z$4,'Grid Data'!$A$4:$A$2342,$D$2)*100, 0)</f>
        <v>0</v>
      </c>
      <c r="AA8" s="4">
        <f>IF(  AA71&gt;$E$2, SUMIFS(IF($G$2="CPR",'Grid Data'!$J$4:$J$2342,'Grid Data'!$K$4:$K$2342),'Grid Data'!$B$4:$B$2342,$D8,'Grid Data'!$C$4:$C$2342,AA$4,'Grid Data'!$A$4:$A$2342,$D$2)*100, 0)</f>
        <v>6.7009999999999996</v>
      </c>
      <c r="AB8" s="4">
        <f>IF(  AB71&gt;$E$2, SUMIFS(IF($G$2="CPR",'Grid Data'!$J$4:$J$2342,'Grid Data'!$K$4:$K$2342),'Grid Data'!$B$4:$B$2342,$D8,'Grid Data'!$C$4:$C$2342,AB$4,'Grid Data'!$A$4:$A$2342,$D$2)*100, 0)</f>
        <v>2.4775</v>
      </c>
      <c r="AC8" s="4">
        <f>IF(  AC71&gt;$E$2, SUMIFS(IF($G$2="CPR",'Grid Data'!$J$4:$J$2342,'Grid Data'!$K$4:$K$2342),'Grid Data'!$B$4:$B$2342,$D8,'Grid Data'!$C$4:$C$2342,AC$4,'Grid Data'!$A$4:$A$2342,$D$2)*100, 0)</f>
        <v>5.3479999999999999</v>
      </c>
      <c r="AD8" s="4">
        <f>IF(  AD71&gt;$E$2, SUMIFS(IF($G$2="CPR",'Grid Data'!$J$4:$J$2342,'Grid Data'!$K$4:$K$2342),'Grid Data'!$B$4:$B$2342,$D8,'Grid Data'!$C$4:$C$2342,AD$4,'Grid Data'!$A$4:$A$2342,$D$2)*100, 0)</f>
        <v>0</v>
      </c>
      <c r="AE8" s="4">
        <f>IF(  AE71&gt;$E$2, SUMIFS(IF($G$2="CPR",'Grid Data'!$J$4:$J$2342,'Grid Data'!$K$4:$K$2342),'Grid Data'!$B$4:$B$2342,$D8,'Grid Data'!$C$4:$C$2342,AE$4,'Grid Data'!$A$4:$A$2342,$D$2)*100, 0)</f>
        <v>0</v>
      </c>
      <c r="AF8" s="4">
        <f>IF(  AF71&gt;$E$2, SUMIFS(IF($G$2="CPR",'Grid Data'!$J$4:$J$2342,'Grid Data'!$K$4:$K$2342),'Grid Data'!$B$4:$B$2342,$D8,'Grid Data'!$C$4:$C$2342,AF$4,'Grid Data'!$A$4:$A$2342,$D$2)*100, 0)</f>
        <v>0</v>
      </c>
      <c r="AG8" s="4">
        <f>IF(  AG71&gt;$E$2, SUMIFS(IF($G$2="CPR",'Grid Data'!$J$4:$J$2342,'Grid Data'!$K$4:$K$2342),'Grid Data'!$B$4:$B$2342,$D8,'Grid Data'!$C$4:$C$2342,AG$4,'Grid Data'!$A$4:$A$2342,$D$2)*100, 0)</f>
        <v>0</v>
      </c>
      <c r="AH8" s="4">
        <f>IF(  AH71&gt;$E$2, SUMIFS(IF($G$2="CPR",'Grid Data'!$J$4:$J$2342,'Grid Data'!$K$4:$K$2342),'Grid Data'!$B$4:$B$2342,$D8,'Grid Data'!$C$4:$C$2342,AH$4,'Grid Data'!$A$4:$A$2342,$D$2)*100, 0)</f>
        <v>0</v>
      </c>
    </row>
    <row r="9" spans="4:34" x14ac:dyDescent="0.35">
      <c r="D9">
        <v>3000</v>
      </c>
      <c r="E9" s="4">
        <f>IF(  E72&gt;$E$2, SUMIFS(IF($G$2="CPR",'Grid Data'!$J$4:$J$2342,'Grid Data'!$K$4:$K$2342),'Grid Data'!$B$4:$B$2342,$D9,'Grid Data'!$C$4:$C$2342,E$4,'Grid Data'!$A$4:$A$2342,$D$2)*100, 0)</f>
        <v>0</v>
      </c>
      <c r="F9" s="4">
        <f>IF(  F72&gt;$E$2, SUMIFS(IF($G$2="CPR",'Grid Data'!$J$4:$J$2342,'Grid Data'!$K$4:$K$2342),'Grid Data'!$B$4:$B$2342,$D9,'Grid Data'!$C$4:$C$2342,F$4,'Grid Data'!$A$4:$A$2342,$D$2)*100, 0)</f>
        <v>0</v>
      </c>
      <c r="G9" s="4">
        <f>IF(  G72&gt;$E$2, SUMIFS(IF($G$2="CPR",'Grid Data'!$J$4:$J$2342,'Grid Data'!$K$4:$K$2342),'Grid Data'!$B$4:$B$2342,$D9,'Grid Data'!$C$4:$C$2342,G$4,'Grid Data'!$A$4:$A$2342,$D$2)*100, 0)</f>
        <v>0</v>
      </c>
      <c r="H9" s="4">
        <f>IF(  H72&gt;$E$2, SUMIFS(IF($G$2="CPR",'Grid Data'!$J$4:$J$2342,'Grid Data'!$K$4:$K$2342),'Grid Data'!$B$4:$B$2342,$D9,'Grid Data'!$C$4:$C$2342,H$4,'Grid Data'!$A$4:$A$2342,$D$2)*100, 0)</f>
        <v>0</v>
      </c>
      <c r="I9" s="4">
        <f>IF(  I72&gt;$E$2, SUMIFS(IF($G$2="CPR",'Grid Data'!$J$4:$J$2342,'Grid Data'!$K$4:$K$2342),'Grid Data'!$B$4:$B$2342,$D9,'Grid Data'!$C$4:$C$2342,I$4,'Grid Data'!$A$4:$A$2342,$D$2)*100, 0)</f>
        <v>0</v>
      </c>
      <c r="J9" s="4">
        <f>IF(  J72&gt;$E$2, SUMIFS(IF($G$2="CPR",'Grid Data'!$J$4:$J$2342,'Grid Data'!$K$4:$K$2342),'Grid Data'!$B$4:$B$2342,$D9,'Grid Data'!$C$4:$C$2342,J$4,'Grid Data'!$A$4:$A$2342,$D$2)*100, 0)</f>
        <v>0</v>
      </c>
      <c r="K9" s="4">
        <f>IF(  K72&gt;$E$2, SUMIFS(IF($G$2="CPR",'Grid Data'!$J$4:$J$2342,'Grid Data'!$K$4:$K$2342),'Grid Data'!$B$4:$B$2342,$D9,'Grid Data'!$C$4:$C$2342,K$4,'Grid Data'!$A$4:$A$2342,$D$2)*100, 0)</f>
        <v>0</v>
      </c>
      <c r="L9" s="4">
        <f>IF(  L72&gt;$E$2, SUMIFS(IF($G$2="CPR",'Grid Data'!$J$4:$J$2342,'Grid Data'!$K$4:$K$2342),'Grid Data'!$B$4:$B$2342,$D9,'Grid Data'!$C$4:$C$2342,L$4,'Grid Data'!$A$4:$A$2342,$D$2)*100, 0)</f>
        <v>0</v>
      </c>
      <c r="M9" s="4">
        <f>IF(  M72&gt;$E$2, SUMIFS(IF($G$2="CPR",'Grid Data'!$J$4:$J$2342,'Grid Data'!$K$4:$K$2342),'Grid Data'!$B$4:$B$2342,$D9,'Grid Data'!$C$4:$C$2342,M$4,'Grid Data'!$A$4:$A$2342,$D$2)*100, 0)</f>
        <v>0</v>
      </c>
      <c r="N9" s="4">
        <f>IF(  N72&gt;$E$2, SUMIFS(IF($G$2="CPR",'Grid Data'!$J$4:$J$2342,'Grid Data'!$K$4:$K$2342),'Grid Data'!$B$4:$B$2342,$D9,'Grid Data'!$C$4:$C$2342,N$4,'Grid Data'!$A$4:$A$2342,$D$2)*100, 0)</f>
        <v>0</v>
      </c>
      <c r="O9" s="4">
        <f>IF(  O72&gt;$E$2, SUMIFS(IF($G$2="CPR",'Grid Data'!$J$4:$J$2342,'Grid Data'!$K$4:$K$2342),'Grid Data'!$B$4:$B$2342,$D9,'Grid Data'!$C$4:$C$2342,O$4,'Grid Data'!$A$4:$A$2342,$D$2)*100, 0)</f>
        <v>0</v>
      </c>
      <c r="P9" s="4">
        <f>IF(  P72&gt;$E$2, SUMIFS(IF($G$2="CPR",'Grid Data'!$J$4:$J$2342,'Grid Data'!$K$4:$K$2342),'Grid Data'!$B$4:$B$2342,$D9,'Grid Data'!$C$4:$C$2342,P$4,'Grid Data'!$A$4:$A$2342,$D$2)*100, 0)</f>
        <v>0</v>
      </c>
      <c r="Q9" s="4">
        <f>IF(  Q72&gt;$E$2, SUMIFS(IF($G$2="CPR",'Grid Data'!$J$4:$J$2342,'Grid Data'!$K$4:$K$2342),'Grid Data'!$B$4:$B$2342,$D9,'Grid Data'!$C$4:$C$2342,Q$4,'Grid Data'!$A$4:$A$2342,$D$2)*100, 0)</f>
        <v>0</v>
      </c>
      <c r="R9" s="4">
        <f>IF(  R72&gt;$E$2, SUMIFS(IF($G$2="CPR",'Grid Data'!$J$4:$J$2342,'Grid Data'!$K$4:$K$2342),'Grid Data'!$B$4:$B$2342,$D9,'Grid Data'!$C$4:$C$2342,R$4,'Grid Data'!$A$4:$A$2342,$D$2)*100, 0)</f>
        <v>0</v>
      </c>
      <c r="S9" s="4">
        <f>IF(  S72&gt;$E$2, SUMIFS(IF($G$2="CPR",'Grid Data'!$J$4:$J$2342,'Grid Data'!$K$4:$K$2342),'Grid Data'!$B$4:$B$2342,$D9,'Grid Data'!$C$4:$C$2342,S$4,'Grid Data'!$A$4:$A$2342,$D$2)*100, 0)</f>
        <v>5.8231999999999999</v>
      </c>
      <c r="T9" s="4">
        <f>IF(  T72&gt;$E$2, SUMIFS(IF($G$2="CPR",'Grid Data'!$J$4:$J$2342,'Grid Data'!$K$4:$K$2342),'Grid Data'!$B$4:$B$2342,$D9,'Grid Data'!$C$4:$C$2342,T$4,'Grid Data'!$A$4:$A$2342,$D$2)*100, 0)</f>
        <v>7.2103000000000002</v>
      </c>
      <c r="U9" s="4">
        <f>IF(  U72&gt;$E$2, SUMIFS(IF($G$2="CPR",'Grid Data'!$J$4:$J$2342,'Grid Data'!$K$4:$K$2342),'Grid Data'!$B$4:$B$2342,$D9,'Grid Data'!$C$4:$C$2342,U$4,'Grid Data'!$A$4:$A$2342,$D$2)*100, 0)</f>
        <v>8.8961000000000006</v>
      </c>
      <c r="V9" s="4">
        <f>IF(  V72&gt;$E$2, SUMIFS(IF($G$2="CPR",'Grid Data'!$J$4:$J$2342,'Grid Data'!$K$4:$K$2342),'Grid Data'!$B$4:$B$2342,$D9,'Grid Data'!$C$4:$C$2342,V$4,'Grid Data'!$A$4:$A$2342,$D$2)*100, 0)</f>
        <v>7.4889000000000001</v>
      </c>
      <c r="W9" s="4">
        <f>IF(  W72&gt;$E$2, SUMIFS(IF($G$2="CPR",'Grid Data'!$J$4:$J$2342,'Grid Data'!$K$4:$K$2342),'Grid Data'!$B$4:$B$2342,$D9,'Grid Data'!$C$4:$C$2342,W$4,'Grid Data'!$A$4:$A$2342,$D$2)*100, 0)</f>
        <v>7.1792999999999996</v>
      </c>
      <c r="X9" s="4">
        <f>IF(  X72&gt;$E$2, SUMIFS(IF($G$2="CPR",'Grid Data'!$J$4:$J$2342,'Grid Data'!$K$4:$K$2342),'Grid Data'!$B$4:$B$2342,$D9,'Grid Data'!$C$4:$C$2342,X$4,'Grid Data'!$A$4:$A$2342,$D$2)*100, 0)</f>
        <v>6.7705000000000002</v>
      </c>
      <c r="Y9" s="4">
        <f>IF(  Y72&gt;$E$2, SUMIFS(IF($G$2="CPR",'Grid Data'!$J$4:$J$2342,'Grid Data'!$K$4:$K$2342),'Grid Data'!$B$4:$B$2342,$D9,'Grid Data'!$C$4:$C$2342,Y$4,'Grid Data'!$A$4:$A$2342,$D$2)*100, 0)</f>
        <v>0</v>
      </c>
      <c r="Z9" s="4">
        <f>IF(  Z72&gt;$E$2, SUMIFS(IF($G$2="CPR",'Grid Data'!$J$4:$J$2342,'Grid Data'!$K$4:$K$2342),'Grid Data'!$B$4:$B$2342,$D9,'Grid Data'!$C$4:$C$2342,Z$4,'Grid Data'!$A$4:$A$2342,$D$2)*100, 0)</f>
        <v>1.2399</v>
      </c>
      <c r="AA9" s="4">
        <f>IF(  AA72&gt;$E$2, SUMIFS(IF($G$2="CPR",'Grid Data'!$J$4:$J$2342,'Grid Data'!$K$4:$K$2342),'Grid Data'!$B$4:$B$2342,$D9,'Grid Data'!$C$4:$C$2342,AA$4,'Grid Data'!$A$4:$A$2342,$D$2)*100, 0)</f>
        <v>6.3836000000000004</v>
      </c>
      <c r="AB9" s="4">
        <f>IF(  AB72&gt;$E$2, SUMIFS(IF($G$2="CPR",'Grid Data'!$J$4:$J$2342,'Grid Data'!$K$4:$K$2342),'Grid Data'!$B$4:$B$2342,$D9,'Grid Data'!$C$4:$C$2342,AB$4,'Grid Data'!$A$4:$A$2342,$D$2)*100, 0)</f>
        <v>1.1063999999999998</v>
      </c>
      <c r="AC9" s="4">
        <f>IF(  AC72&gt;$E$2, SUMIFS(IF($G$2="CPR",'Grid Data'!$J$4:$J$2342,'Grid Data'!$K$4:$K$2342),'Grid Data'!$B$4:$B$2342,$D9,'Grid Data'!$C$4:$C$2342,AC$4,'Grid Data'!$A$4:$A$2342,$D$2)*100, 0)</f>
        <v>6.1555</v>
      </c>
      <c r="AD9" s="4">
        <f>IF(  AD72&gt;$E$2, SUMIFS(IF($G$2="CPR",'Grid Data'!$J$4:$J$2342,'Grid Data'!$K$4:$K$2342),'Grid Data'!$B$4:$B$2342,$D9,'Grid Data'!$C$4:$C$2342,AD$4,'Grid Data'!$A$4:$A$2342,$D$2)*100, 0)</f>
        <v>0</v>
      </c>
      <c r="AE9" s="4">
        <f>IF(  AE72&gt;$E$2, SUMIFS(IF($G$2="CPR",'Grid Data'!$J$4:$J$2342,'Grid Data'!$K$4:$K$2342),'Grid Data'!$B$4:$B$2342,$D9,'Grid Data'!$C$4:$C$2342,AE$4,'Grid Data'!$A$4:$A$2342,$D$2)*100, 0)</f>
        <v>0</v>
      </c>
      <c r="AF9" s="4">
        <f>IF(  AF72&gt;$E$2, SUMIFS(IF($G$2="CPR",'Grid Data'!$J$4:$J$2342,'Grid Data'!$K$4:$K$2342),'Grid Data'!$B$4:$B$2342,$D9,'Grid Data'!$C$4:$C$2342,AF$4,'Grid Data'!$A$4:$A$2342,$D$2)*100, 0)</f>
        <v>0</v>
      </c>
      <c r="AG9" s="4">
        <f>IF(  AG72&gt;$E$2, SUMIFS(IF($G$2="CPR",'Grid Data'!$J$4:$J$2342,'Grid Data'!$K$4:$K$2342),'Grid Data'!$B$4:$B$2342,$D9,'Grid Data'!$C$4:$C$2342,AG$4,'Grid Data'!$A$4:$A$2342,$D$2)*100, 0)</f>
        <v>0</v>
      </c>
      <c r="AH9" s="4">
        <f>IF(  AH72&gt;$E$2, SUMIFS(IF($G$2="CPR",'Grid Data'!$J$4:$J$2342,'Grid Data'!$K$4:$K$2342),'Grid Data'!$B$4:$B$2342,$D9,'Grid Data'!$C$4:$C$2342,AH$4,'Grid Data'!$A$4:$A$2342,$D$2)*100, 0)</f>
        <v>0</v>
      </c>
    </row>
    <row r="10" spans="4:34" x14ac:dyDescent="0.35">
      <c r="D10">
        <v>3250</v>
      </c>
      <c r="E10" s="4">
        <f>IF(  E73&gt;$E$2, SUMIFS(IF($G$2="CPR",'Grid Data'!$J$4:$J$2342,'Grid Data'!$K$4:$K$2342),'Grid Data'!$B$4:$B$2342,$D10,'Grid Data'!$C$4:$C$2342,E$4,'Grid Data'!$A$4:$A$2342,$D$2)*100, 0)</f>
        <v>0</v>
      </c>
      <c r="F10" s="4">
        <f>IF(  F73&gt;$E$2, SUMIFS(IF($G$2="CPR",'Grid Data'!$J$4:$J$2342,'Grid Data'!$K$4:$K$2342),'Grid Data'!$B$4:$B$2342,$D10,'Grid Data'!$C$4:$C$2342,F$4,'Grid Data'!$A$4:$A$2342,$D$2)*100, 0)</f>
        <v>0</v>
      </c>
      <c r="G10" s="4">
        <f>IF(  G73&gt;$E$2, SUMIFS(IF($G$2="CPR",'Grid Data'!$J$4:$J$2342,'Grid Data'!$K$4:$K$2342),'Grid Data'!$B$4:$B$2342,$D10,'Grid Data'!$C$4:$C$2342,G$4,'Grid Data'!$A$4:$A$2342,$D$2)*100, 0)</f>
        <v>0</v>
      </c>
      <c r="H10" s="4">
        <f>IF(  H73&gt;$E$2, SUMIFS(IF($G$2="CPR",'Grid Data'!$J$4:$J$2342,'Grid Data'!$K$4:$K$2342),'Grid Data'!$B$4:$B$2342,$D10,'Grid Data'!$C$4:$C$2342,H$4,'Grid Data'!$A$4:$A$2342,$D$2)*100, 0)</f>
        <v>0</v>
      </c>
      <c r="I10" s="4">
        <f>IF(  I73&gt;$E$2, SUMIFS(IF($G$2="CPR",'Grid Data'!$J$4:$J$2342,'Grid Data'!$K$4:$K$2342),'Grid Data'!$B$4:$B$2342,$D10,'Grid Data'!$C$4:$C$2342,I$4,'Grid Data'!$A$4:$A$2342,$D$2)*100, 0)</f>
        <v>0</v>
      </c>
      <c r="J10" s="4">
        <f>IF(  J73&gt;$E$2, SUMIFS(IF($G$2="CPR",'Grid Data'!$J$4:$J$2342,'Grid Data'!$K$4:$K$2342),'Grid Data'!$B$4:$B$2342,$D10,'Grid Data'!$C$4:$C$2342,J$4,'Grid Data'!$A$4:$A$2342,$D$2)*100, 0)</f>
        <v>0</v>
      </c>
      <c r="K10" s="4">
        <f>IF(  K73&gt;$E$2, SUMIFS(IF($G$2="CPR",'Grid Data'!$J$4:$J$2342,'Grid Data'!$K$4:$K$2342),'Grid Data'!$B$4:$B$2342,$D10,'Grid Data'!$C$4:$C$2342,K$4,'Grid Data'!$A$4:$A$2342,$D$2)*100, 0)</f>
        <v>0</v>
      </c>
      <c r="L10" s="4">
        <f>IF(  L73&gt;$E$2, SUMIFS(IF($G$2="CPR",'Grid Data'!$J$4:$J$2342,'Grid Data'!$K$4:$K$2342),'Grid Data'!$B$4:$B$2342,$D10,'Grid Data'!$C$4:$C$2342,L$4,'Grid Data'!$A$4:$A$2342,$D$2)*100, 0)</f>
        <v>0</v>
      </c>
      <c r="M10" s="4">
        <f>IF(  M73&gt;$E$2, SUMIFS(IF($G$2="CPR",'Grid Data'!$J$4:$J$2342,'Grid Data'!$K$4:$K$2342),'Grid Data'!$B$4:$B$2342,$D10,'Grid Data'!$C$4:$C$2342,M$4,'Grid Data'!$A$4:$A$2342,$D$2)*100, 0)</f>
        <v>0</v>
      </c>
      <c r="N10" s="4">
        <f>IF(  N73&gt;$E$2, SUMIFS(IF($G$2="CPR",'Grid Data'!$J$4:$J$2342,'Grid Data'!$K$4:$K$2342),'Grid Data'!$B$4:$B$2342,$D10,'Grid Data'!$C$4:$C$2342,N$4,'Grid Data'!$A$4:$A$2342,$D$2)*100, 0)</f>
        <v>0</v>
      </c>
      <c r="O10" s="4">
        <f>IF(  O73&gt;$E$2, SUMIFS(IF($G$2="CPR",'Grid Data'!$J$4:$J$2342,'Grid Data'!$K$4:$K$2342),'Grid Data'!$B$4:$B$2342,$D10,'Grid Data'!$C$4:$C$2342,O$4,'Grid Data'!$A$4:$A$2342,$D$2)*100, 0)</f>
        <v>0</v>
      </c>
      <c r="P10" s="4">
        <f>IF(  P73&gt;$E$2, SUMIFS(IF($G$2="CPR",'Grid Data'!$J$4:$J$2342,'Grid Data'!$K$4:$K$2342),'Grid Data'!$B$4:$B$2342,$D10,'Grid Data'!$C$4:$C$2342,P$4,'Grid Data'!$A$4:$A$2342,$D$2)*100, 0)</f>
        <v>0</v>
      </c>
      <c r="Q10" s="4">
        <f>IF(  Q73&gt;$E$2, SUMIFS(IF($G$2="CPR",'Grid Data'!$J$4:$J$2342,'Grid Data'!$K$4:$K$2342),'Grid Data'!$B$4:$B$2342,$D10,'Grid Data'!$C$4:$C$2342,Q$4,'Grid Data'!$A$4:$A$2342,$D$2)*100, 0)</f>
        <v>0</v>
      </c>
      <c r="R10" s="4">
        <f>IF(  R73&gt;$E$2, SUMIFS(IF($G$2="CPR",'Grid Data'!$J$4:$J$2342,'Grid Data'!$K$4:$K$2342),'Grid Data'!$B$4:$B$2342,$D10,'Grid Data'!$C$4:$C$2342,R$4,'Grid Data'!$A$4:$A$2342,$D$2)*100, 0)</f>
        <v>19.384899999999998</v>
      </c>
      <c r="S10" s="4">
        <f>IF(  S73&gt;$E$2, SUMIFS(IF($G$2="CPR",'Grid Data'!$J$4:$J$2342,'Grid Data'!$K$4:$K$2342),'Grid Data'!$B$4:$B$2342,$D10,'Grid Data'!$C$4:$C$2342,S$4,'Grid Data'!$A$4:$A$2342,$D$2)*100, 0)</f>
        <v>8.7407000000000004</v>
      </c>
      <c r="T10" s="4">
        <f>IF(  T73&gt;$E$2, SUMIFS(IF($G$2="CPR",'Grid Data'!$J$4:$J$2342,'Grid Data'!$K$4:$K$2342),'Grid Data'!$B$4:$B$2342,$D10,'Grid Data'!$C$4:$C$2342,T$4,'Grid Data'!$A$4:$A$2342,$D$2)*100, 0)</f>
        <v>9.16</v>
      </c>
      <c r="U10" s="4">
        <f>IF(  U73&gt;$E$2, SUMIFS(IF($G$2="CPR",'Grid Data'!$J$4:$J$2342,'Grid Data'!$K$4:$K$2342),'Grid Data'!$B$4:$B$2342,$D10,'Grid Data'!$C$4:$C$2342,U$4,'Grid Data'!$A$4:$A$2342,$D$2)*100, 0)</f>
        <v>11.629399999999999</v>
      </c>
      <c r="V10" s="4">
        <f>IF(  V73&gt;$E$2, SUMIFS(IF($G$2="CPR",'Grid Data'!$J$4:$J$2342,'Grid Data'!$K$4:$K$2342),'Grid Data'!$B$4:$B$2342,$D10,'Grid Data'!$C$4:$C$2342,V$4,'Grid Data'!$A$4:$A$2342,$D$2)*100, 0)</f>
        <v>9.5893000000000015</v>
      </c>
      <c r="W10" s="4">
        <f>IF(  W73&gt;$E$2, SUMIFS(IF($G$2="CPR",'Grid Data'!$J$4:$J$2342,'Grid Data'!$K$4:$K$2342),'Grid Data'!$B$4:$B$2342,$D10,'Grid Data'!$C$4:$C$2342,W$4,'Grid Data'!$A$4:$A$2342,$D$2)*100, 0)</f>
        <v>9.3344000000000005</v>
      </c>
      <c r="X10" s="4">
        <f>IF(  X73&gt;$E$2, SUMIFS(IF($G$2="CPR",'Grid Data'!$J$4:$J$2342,'Grid Data'!$K$4:$K$2342),'Grid Data'!$B$4:$B$2342,$D10,'Grid Data'!$C$4:$C$2342,X$4,'Grid Data'!$A$4:$A$2342,$D$2)*100, 0)</f>
        <v>8.0767000000000007</v>
      </c>
      <c r="Y10" s="4">
        <f>IF(  Y73&gt;$E$2, SUMIFS(IF($G$2="CPR",'Grid Data'!$J$4:$J$2342,'Grid Data'!$K$4:$K$2342),'Grid Data'!$B$4:$B$2342,$D10,'Grid Data'!$C$4:$C$2342,Y$4,'Grid Data'!$A$4:$A$2342,$D$2)*100, 0)</f>
        <v>3.9038999999999997</v>
      </c>
      <c r="Z10" s="4">
        <f>IF(  Z73&gt;$E$2, SUMIFS(IF($G$2="CPR",'Grid Data'!$J$4:$J$2342,'Grid Data'!$K$4:$K$2342),'Grid Data'!$B$4:$B$2342,$D10,'Grid Data'!$C$4:$C$2342,Z$4,'Grid Data'!$A$4:$A$2342,$D$2)*100, 0)</f>
        <v>6.7185999999999995</v>
      </c>
      <c r="AA10" s="4">
        <f>IF(  AA73&gt;$E$2, SUMIFS(IF($G$2="CPR",'Grid Data'!$J$4:$J$2342,'Grid Data'!$K$4:$K$2342),'Grid Data'!$B$4:$B$2342,$D10,'Grid Data'!$C$4:$C$2342,AA$4,'Grid Data'!$A$4:$A$2342,$D$2)*100, 0)</f>
        <v>7.5185000000000004</v>
      </c>
      <c r="AB10" s="4">
        <f>IF(  AB73&gt;$E$2, SUMIFS(IF($G$2="CPR",'Grid Data'!$J$4:$J$2342,'Grid Data'!$K$4:$K$2342),'Grid Data'!$B$4:$B$2342,$D10,'Grid Data'!$C$4:$C$2342,AB$4,'Grid Data'!$A$4:$A$2342,$D$2)*100, 0)</f>
        <v>6.0983000000000001</v>
      </c>
      <c r="AC10" s="4">
        <f>IF(  AC73&gt;$E$2, SUMIFS(IF($G$2="CPR",'Grid Data'!$J$4:$J$2342,'Grid Data'!$K$4:$K$2342),'Grid Data'!$B$4:$B$2342,$D10,'Grid Data'!$C$4:$C$2342,AC$4,'Grid Data'!$A$4:$A$2342,$D$2)*100, 0)</f>
        <v>8.2242999999999995</v>
      </c>
      <c r="AD10" s="4">
        <f>IF(  AD73&gt;$E$2, SUMIFS(IF($G$2="CPR",'Grid Data'!$J$4:$J$2342,'Grid Data'!$K$4:$K$2342),'Grid Data'!$B$4:$B$2342,$D10,'Grid Data'!$C$4:$C$2342,AD$4,'Grid Data'!$A$4:$A$2342,$D$2)*100, 0)</f>
        <v>0</v>
      </c>
      <c r="AE10" s="4">
        <f>IF(  AE73&gt;$E$2, SUMIFS(IF($G$2="CPR",'Grid Data'!$J$4:$J$2342,'Grid Data'!$K$4:$K$2342),'Grid Data'!$B$4:$B$2342,$D10,'Grid Data'!$C$4:$C$2342,AE$4,'Grid Data'!$A$4:$A$2342,$D$2)*100, 0)</f>
        <v>0</v>
      </c>
      <c r="AF10" s="4">
        <f>IF(  AF73&gt;$E$2, SUMIFS(IF($G$2="CPR",'Grid Data'!$J$4:$J$2342,'Grid Data'!$K$4:$K$2342),'Grid Data'!$B$4:$B$2342,$D10,'Grid Data'!$C$4:$C$2342,AF$4,'Grid Data'!$A$4:$A$2342,$D$2)*100, 0)</f>
        <v>0</v>
      </c>
      <c r="AG10" s="4">
        <f>IF(  AG73&gt;$E$2, SUMIFS(IF($G$2="CPR",'Grid Data'!$J$4:$J$2342,'Grid Data'!$K$4:$K$2342),'Grid Data'!$B$4:$B$2342,$D10,'Grid Data'!$C$4:$C$2342,AG$4,'Grid Data'!$A$4:$A$2342,$D$2)*100, 0)</f>
        <v>0</v>
      </c>
      <c r="AH10" s="4">
        <f>IF(  AH73&gt;$E$2, SUMIFS(IF($G$2="CPR",'Grid Data'!$J$4:$J$2342,'Grid Data'!$K$4:$K$2342),'Grid Data'!$B$4:$B$2342,$D10,'Grid Data'!$C$4:$C$2342,AH$4,'Grid Data'!$A$4:$A$2342,$D$2)*100, 0)</f>
        <v>0</v>
      </c>
    </row>
    <row r="11" spans="4:34" x14ac:dyDescent="0.35">
      <c r="D11">
        <v>3500</v>
      </c>
      <c r="E11" s="4">
        <f>IF(  E74&gt;$E$2, SUMIFS(IF($G$2="CPR",'Grid Data'!$J$4:$J$2342,'Grid Data'!$K$4:$K$2342),'Grid Data'!$B$4:$B$2342,$D11,'Grid Data'!$C$4:$C$2342,E$4,'Grid Data'!$A$4:$A$2342,$D$2)*100, 0)</f>
        <v>-1.5273999999999999</v>
      </c>
      <c r="F11" s="4">
        <f>IF(  F74&gt;$E$2, SUMIFS(IF($G$2="CPR",'Grid Data'!$J$4:$J$2342,'Grid Data'!$K$4:$K$2342),'Grid Data'!$B$4:$B$2342,$D11,'Grid Data'!$C$4:$C$2342,F$4,'Grid Data'!$A$4:$A$2342,$D$2)*100, 0)</f>
        <v>0</v>
      </c>
      <c r="G11" s="4">
        <f>IF(  G74&gt;$E$2, SUMIFS(IF($G$2="CPR",'Grid Data'!$J$4:$J$2342,'Grid Data'!$K$4:$K$2342),'Grid Data'!$B$4:$B$2342,$D11,'Grid Data'!$C$4:$C$2342,G$4,'Grid Data'!$A$4:$A$2342,$D$2)*100, 0)</f>
        <v>0</v>
      </c>
      <c r="H11" s="4">
        <f>IF(  H74&gt;$E$2, SUMIFS(IF($G$2="CPR",'Grid Data'!$J$4:$J$2342,'Grid Data'!$K$4:$K$2342),'Grid Data'!$B$4:$B$2342,$D11,'Grid Data'!$C$4:$C$2342,H$4,'Grid Data'!$A$4:$A$2342,$D$2)*100, 0)</f>
        <v>0</v>
      </c>
      <c r="I11" s="4">
        <f>IF(  I74&gt;$E$2, SUMIFS(IF($G$2="CPR",'Grid Data'!$J$4:$J$2342,'Grid Data'!$K$4:$K$2342),'Grid Data'!$B$4:$B$2342,$D11,'Grid Data'!$C$4:$C$2342,I$4,'Grid Data'!$A$4:$A$2342,$D$2)*100, 0)</f>
        <v>0</v>
      </c>
      <c r="J11" s="4">
        <f>IF(  J74&gt;$E$2, SUMIFS(IF($G$2="CPR",'Grid Data'!$J$4:$J$2342,'Grid Data'!$K$4:$K$2342),'Grid Data'!$B$4:$B$2342,$D11,'Grid Data'!$C$4:$C$2342,J$4,'Grid Data'!$A$4:$A$2342,$D$2)*100, 0)</f>
        <v>0</v>
      </c>
      <c r="K11" s="4">
        <f>IF(  K74&gt;$E$2, SUMIFS(IF($G$2="CPR",'Grid Data'!$J$4:$J$2342,'Grid Data'!$K$4:$K$2342),'Grid Data'!$B$4:$B$2342,$D11,'Grid Data'!$C$4:$C$2342,K$4,'Grid Data'!$A$4:$A$2342,$D$2)*100, 0)</f>
        <v>0</v>
      </c>
      <c r="L11" s="4">
        <f>IF(  L74&gt;$E$2, SUMIFS(IF($G$2="CPR",'Grid Data'!$J$4:$J$2342,'Grid Data'!$K$4:$K$2342),'Grid Data'!$B$4:$B$2342,$D11,'Grid Data'!$C$4:$C$2342,L$4,'Grid Data'!$A$4:$A$2342,$D$2)*100, 0)</f>
        <v>0</v>
      </c>
      <c r="M11" s="4">
        <f>IF(  M74&gt;$E$2, SUMIFS(IF($G$2="CPR",'Grid Data'!$J$4:$J$2342,'Grid Data'!$K$4:$K$2342),'Grid Data'!$B$4:$B$2342,$D11,'Grid Data'!$C$4:$C$2342,M$4,'Grid Data'!$A$4:$A$2342,$D$2)*100, 0)</f>
        <v>0</v>
      </c>
      <c r="N11" s="4">
        <f>IF(  N74&gt;$E$2, SUMIFS(IF($G$2="CPR",'Grid Data'!$J$4:$J$2342,'Grid Data'!$K$4:$K$2342),'Grid Data'!$B$4:$B$2342,$D11,'Grid Data'!$C$4:$C$2342,N$4,'Grid Data'!$A$4:$A$2342,$D$2)*100, 0)</f>
        <v>0</v>
      </c>
      <c r="O11" s="4">
        <f>IF(  O74&gt;$E$2, SUMIFS(IF($G$2="CPR",'Grid Data'!$J$4:$J$2342,'Grid Data'!$K$4:$K$2342),'Grid Data'!$B$4:$B$2342,$D11,'Grid Data'!$C$4:$C$2342,O$4,'Grid Data'!$A$4:$A$2342,$D$2)*100, 0)</f>
        <v>0</v>
      </c>
      <c r="P11" s="4">
        <f>IF(  P74&gt;$E$2, SUMIFS(IF($G$2="CPR",'Grid Data'!$J$4:$J$2342,'Grid Data'!$K$4:$K$2342),'Grid Data'!$B$4:$B$2342,$D11,'Grid Data'!$C$4:$C$2342,P$4,'Grid Data'!$A$4:$A$2342,$D$2)*100, 0)</f>
        <v>0</v>
      </c>
      <c r="Q11" s="4">
        <f>IF(  Q74&gt;$E$2, SUMIFS(IF($G$2="CPR",'Grid Data'!$J$4:$J$2342,'Grid Data'!$K$4:$K$2342),'Grid Data'!$B$4:$B$2342,$D11,'Grid Data'!$C$4:$C$2342,Q$4,'Grid Data'!$A$4:$A$2342,$D$2)*100, 0)</f>
        <v>0</v>
      </c>
      <c r="R11" s="4">
        <f>IF(  R74&gt;$E$2, SUMIFS(IF($G$2="CPR",'Grid Data'!$J$4:$J$2342,'Grid Data'!$K$4:$K$2342),'Grid Data'!$B$4:$B$2342,$D11,'Grid Data'!$C$4:$C$2342,R$4,'Grid Data'!$A$4:$A$2342,$D$2)*100, 0)</f>
        <v>0</v>
      </c>
      <c r="S11" s="4">
        <f>IF(  S74&gt;$E$2, SUMIFS(IF($G$2="CPR",'Grid Data'!$J$4:$J$2342,'Grid Data'!$K$4:$K$2342),'Grid Data'!$B$4:$B$2342,$D11,'Grid Data'!$C$4:$C$2342,S$4,'Grid Data'!$A$4:$A$2342,$D$2)*100, 0)</f>
        <v>2.8121</v>
      </c>
      <c r="T11" s="4">
        <f>IF(  T74&gt;$E$2, SUMIFS(IF($G$2="CPR",'Grid Data'!$J$4:$J$2342,'Grid Data'!$K$4:$K$2342),'Grid Data'!$B$4:$B$2342,$D11,'Grid Data'!$C$4:$C$2342,T$4,'Grid Data'!$A$4:$A$2342,$D$2)*100, 0)</f>
        <v>9.775599999999999</v>
      </c>
      <c r="U11" s="4">
        <f>IF(  U74&gt;$E$2, SUMIFS(IF($G$2="CPR",'Grid Data'!$J$4:$J$2342,'Grid Data'!$K$4:$K$2342),'Grid Data'!$B$4:$B$2342,$D11,'Grid Data'!$C$4:$C$2342,U$4,'Grid Data'!$A$4:$A$2342,$D$2)*100, 0)</f>
        <v>11.643000000000001</v>
      </c>
      <c r="V11" s="4">
        <f>IF(  V74&gt;$E$2, SUMIFS(IF($G$2="CPR",'Grid Data'!$J$4:$J$2342,'Grid Data'!$K$4:$K$2342),'Grid Data'!$B$4:$B$2342,$D11,'Grid Data'!$C$4:$C$2342,V$4,'Grid Data'!$A$4:$A$2342,$D$2)*100, 0)</f>
        <v>12.282</v>
      </c>
      <c r="W11" s="4">
        <f>IF(  W74&gt;$E$2, SUMIFS(IF($G$2="CPR",'Grid Data'!$J$4:$J$2342,'Grid Data'!$K$4:$K$2342),'Grid Data'!$B$4:$B$2342,$D11,'Grid Data'!$C$4:$C$2342,W$4,'Grid Data'!$A$4:$A$2342,$D$2)*100, 0)</f>
        <v>7.4923000000000002</v>
      </c>
      <c r="X11" s="4">
        <f>IF(  X74&gt;$E$2, SUMIFS(IF($G$2="CPR",'Grid Data'!$J$4:$J$2342,'Grid Data'!$K$4:$K$2342),'Grid Data'!$B$4:$B$2342,$D11,'Grid Data'!$C$4:$C$2342,X$4,'Grid Data'!$A$4:$A$2342,$D$2)*100, 0)</f>
        <v>8.7547999999999995</v>
      </c>
      <c r="Y11" s="4">
        <f>IF(  Y74&gt;$E$2, SUMIFS(IF($G$2="CPR",'Grid Data'!$J$4:$J$2342,'Grid Data'!$K$4:$K$2342),'Grid Data'!$B$4:$B$2342,$D11,'Grid Data'!$C$4:$C$2342,Y$4,'Grid Data'!$A$4:$A$2342,$D$2)*100, 0)</f>
        <v>8.5458999999999996</v>
      </c>
      <c r="Z11" s="4">
        <f>IF(  Z74&gt;$E$2, SUMIFS(IF($G$2="CPR",'Grid Data'!$J$4:$J$2342,'Grid Data'!$K$4:$K$2342),'Grid Data'!$B$4:$B$2342,$D11,'Grid Data'!$C$4:$C$2342,Z$4,'Grid Data'!$A$4:$A$2342,$D$2)*100, 0)</f>
        <v>6.9630999999999998</v>
      </c>
      <c r="AA11" s="4">
        <f>IF(  AA74&gt;$E$2, SUMIFS(IF($G$2="CPR",'Grid Data'!$J$4:$J$2342,'Grid Data'!$K$4:$K$2342),'Grid Data'!$B$4:$B$2342,$D11,'Grid Data'!$C$4:$C$2342,AA$4,'Grid Data'!$A$4:$A$2342,$D$2)*100, 0)</f>
        <v>7.1525000000000007</v>
      </c>
      <c r="AB11" s="4">
        <f>IF(  AB74&gt;$E$2, SUMIFS(IF($G$2="CPR",'Grid Data'!$J$4:$J$2342,'Grid Data'!$K$4:$K$2342),'Grid Data'!$B$4:$B$2342,$D11,'Grid Data'!$C$4:$C$2342,AB$4,'Grid Data'!$A$4:$A$2342,$D$2)*100, 0)</f>
        <v>7.7236000000000002</v>
      </c>
      <c r="AC11" s="4">
        <f>IF(  AC74&gt;$E$2, SUMIFS(IF($G$2="CPR",'Grid Data'!$J$4:$J$2342,'Grid Data'!$K$4:$K$2342),'Grid Data'!$B$4:$B$2342,$D11,'Grid Data'!$C$4:$C$2342,AC$4,'Grid Data'!$A$4:$A$2342,$D$2)*100, 0)</f>
        <v>8.0993999999999993</v>
      </c>
      <c r="AD11" s="4">
        <f>IF(  AD74&gt;$E$2, SUMIFS(IF($G$2="CPR",'Grid Data'!$J$4:$J$2342,'Grid Data'!$K$4:$K$2342),'Grid Data'!$B$4:$B$2342,$D11,'Grid Data'!$C$4:$C$2342,AD$4,'Grid Data'!$A$4:$A$2342,$D$2)*100, 0)</f>
        <v>0</v>
      </c>
      <c r="AE11" s="4">
        <f>IF(  AE74&gt;$E$2, SUMIFS(IF($G$2="CPR",'Grid Data'!$J$4:$J$2342,'Grid Data'!$K$4:$K$2342),'Grid Data'!$B$4:$B$2342,$D11,'Grid Data'!$C$4:$C$2342,AE$4,'Grid Data'!$A$4:$A$2342,$D$2)*100, 0)</f>
        <v>0</v>
      </c>
      <c r="AF11" s="4">
        <f>IF(  AF74&gt;$E$2, SUMIFS(IF($G$2="CPR",'Grid Data'!$J$4:$J$2342,'Grid Data'!$K$4:$K$2342),'Grid Data'!$B$4:$B$2342,$D11,'Grid Data'!$C$4:$C$2342,AF$4,'Grid Data'!$A$4:$A$2342,$D$2)*100, 0)</f>
        <v>0</v>
      </c>
      <c r="AG11" s="4">
        <f>IF(  AG74&gt;$E$2, SUMIFS(IF($G$2="CPR",'Grid Data'!$J$4:$J$2342,'Grid Data'!$K$4:$K$2342),'Grid Data'!$B$4:$B$2342,$D11,'Grid Data'!$C$4:$C$2342,AG$4,'Grid Data'!$A$4:$A$2342,$D$2)*100, 0)</f>
        <v>0</v>
      </c>
      <c r="AH11" s="4">
        <f>IF(  AH74&gt;$E$2, SUMIFS(IF($G$2="CPR",'Grid Data'!$J$4:$J$2342,'Grid Data'!$K$4:$K$2342),'Grid Data'!$B$4:$B$2342,$D11,'Grid Data'!$C$4:$C$2342,AH$4,'Grid Data'!$A$4:$A$2342,$D$2)*100, 0)</f>
        <v>0</v>
      </c>
    </row>
    <row r="12" spans="4:34" x14ac:dyDescent="0.35">
      <c r="D12">
        <v>3750</v>
      </c>
      <c r="E12" s="4">
        <f>IF(  E75&gt;$E$2, SUMIFS(IF($G$2="CPR",'Grid Data'!$J$4:$J$2342,'Grid Data'!$K$4:$K$2342),'Grid Data'!$B$4:$B$2342,$D12,'Grid Data'!$C$4:$C$2342,E$4,'Grid Data'!$A$4:$A$2342,$D$2)*100, 0)</f>
        <v>-0.70889999999999997</v>
      </c>
      <c r="F12" s="4">
        <f>IF(  F75&gt;$E$2, SUMIFS(IF($G$2="CPR",'Grid Data'!$J$4:$J$2342,'Grid Data'!$K$4:$K$2342),'Grid Data'!$B$4:$B$2342,$D12,'Grid Data'!$C$4:$C$2342,F$4,'Grid Data'!$A$4:$A$2342,$D$2)*100, 0)</f>
        <v>0</v>
      </c>
      <c r="G12" s="4">
        <f>IF(  G75&gt;$E$2, SUMIFS(IF($G$2="CPR",'Grid Data'!$J$4:$J$2342,'Grid Data'!$K$4:$K$2342),'Grid Data'!$B$4:$B$2342,$D12,'Grid Data'!$C$4:$C$2342,G$4,'Grid Data'!$A$4:$A$2342,$D$2)*100, 0)</f>
        <v>0</v>
      </c>
      <c r="H12" s="4">
        <f>IF(  H75&gt;$E$2, SUMIFS(IF($G$2="CPR",'Grid Data'!$J$4:$J$2342,'Grid Data'!$K$4:$K$2342),'Grid Data'!$B$4:$B$2342,$D12,'Grid Data'!$C$4:$C$2342,H$4,'Grid Data'!$A$4:$A$2342,$D$2)*100, 0)</f>
        <v>0</v>
      </c>
      <c r="I12" s="4">
        <f>IF(  I75&gt;$E$2, SUMIFS(IF($G$2="CPR",'Grid Data'!$J$4:$J$2342,'Grid Data'!$K$4:$K$2342),'Grid Data'!$B$4:$B$2342,$D12,'Grid Data'!$C$4:$C$2342,I$4,'Grid Data'!$A$4:$A$2342,$D$2)*100, 0)</f>
        <v>0</v>
      </c>
      <c r="J12" s="4">
        <f>IF(  J75&gt;$E$2, SUMIFS(IF($G$2="CPR",'Grid Data'!$J$4:$J$2342,'Grid Data'!$K$4:$K$2342),'Grid Data'!$B$4:$B$2342,$D12,'Grid Data'!$C$4:$C$2342,J$4,'Grid Data'!$A$4:$A$2342,$D$2)*100, 0)</f>
        <v>0</v>
      </c>
      <c r="K12" s="4">
        <f>IF(  K75&gt;$E$2, SUMIFS(IF($G$2="CPR",'Grid Data'!$J$4:$J$2342,'Grid Data'!$K$4:$K$2342),'Grid Data'!$B$4:$B$2342,$D12,'Grid Data'!$C$4:$C$2342,K$4,'Grid Data'!$A$4:$A$2342,$D$2)*100, 0)</f>
        <v>0</v>
      </c>
      <c r="L12" s="4">
        <f>IF(  L75&gt;$E$2, SUMIFS(IF($G$2="CPR",'Grid Data'!$J$4:$J$2342,'Grid Data'!$K$4:$K$2342),'Grid Data'!$B$4:$B$2342,$D12,'Grid Data'!$C$4:$C$2342,L$4,'Grid Data'!$A$4:$A$2342,$D$2)*100, 0)</f>
        <v>0</v>
      </c>
      <c r="M12" s="4">
        <f>IF(  M75&gt;$E$2, SUMIFS(IF($G$2="CPR",'Grid Data'!$J$4:$J$2342,'Grid Data'!$K$4:$K$2342),'Grid Data'!$B$4:$B$2342,$D12,'Grid Data'!$C$4:$C$2342,M$4,'Grid Data'!$A$4:$A$2342,$D$2)*100, 0)</f>
        <v>5.5883000000000003</v>
      </c>
      <c r="N12" s="4">
        <f>IF(  N75&gt;$E$2, SUMIFS(IF($G$2="CPR",'Grid Data'!$J$4:$J$2342,'Grid Data'!$K$4:$K$2342),'Grid Data'!$B$4:$B$2342,$D12,'Grid Data'!$C$4:$C$2342,N$4,'Grid Data'!$A$4:$A$2342,$D$2)*100, 0)</f>
        <v>0</v>
      </c>
      <c r="O12" s="4">
        <f>IF(  O75&gt;$E$2, SUMIFS(IF($G$2="CPR",'Grid Data'!$J$4:$J$2342,'Grid Data'!$K$4:$K$2342),'Grid Data'!$B$4:$B$2342,$D12,'Grid Data'!$C$4:$C$2342,O$4,'Grid Data'!$A$4:$A$2342,$D$2)*100, 0)</f>
        <v>0</v>
      </c>
      <c r="P12" s="4">
        <f>IF(  P75&gt;$E$2, SUMIFS(IF($G$2="CPR",'Grid Data'!$J$4:$J$2342,'Grid Data'!$K$4:$K$2342),'Grid Data'!$B$4:$B$2342,$D12,'Grid Data'!$C$4:$C$2342,P$4,'Grid Data'!$A$4:$A$2342,$D$2)*100, 0)</f>
        <v>0</v>
      </c>
      <c r="Q12" s="4">
        <f>IF(  Q75&gt;$E$2, SUMIFS(IF($G$2="CPR",'Grid Data'!$J$4:$J$2342,'Grid Data'!$K$4:$K$2342),'Grid Data'!$B$4:$B$2342,$D12,'Grid Data'!$C$4:$C$2342,Q$4,'Grid Data'!$A$4:$A$2342,$D$2)*100, 0)</f>
        <v>0</v>
      </c>
      <c r="R12" s="4">
        <f>IF(  R75&gt;$E$2, SUMIFS(IF($G$2="CPR",'Grid Data'!$J$4:$J$2342,'Grid Data'!$K$4:$K$2342),'Grid Data'!$B$4:$B$2342,$D12,'Grid Data'!$C$4:$C$2342,R$4,'Grid Data'!$A$4:$A$2342,$D$2)*100, 0)</f>
        <v>0.24789999999999998</v>
      </c>
      <c r="S12" s="4">
        <f>IF(  S75&gt;$E$2, SUMIFS(IF($G$2="CPR",'Grid Data'!$J$4:$J$2342,'Grid Data'!$K$4:$K$2342),'Grid Data'!$B$4:$B$2342,$D12,'Grid Data'!$C$4:$C$2342,S$4,'Grid Data'!$A$4:$A$2342,$D$2)*100, 0)</f>
        <v>7.1449999999999996</v>
      </c>
      <c r="T12" s="4">
        <f>IF(  T75&gt;$E$2, SUMIFS(IF($G$2="CPR",'Grid Data'!$J$4:$J$2342,'Grid Data'!$K$4:$K$2342),'Grid Data'!$B$4:$B$2342,$D12,'Grid Data'!$C$4:$C$2342,T$4,'Grid Data'!$A$4:$A$2342,$D$2)*100, 0)</f>
        <v>10.240200000000002</v>
      </c>
      <c r="U12" s="4">
        <f>IF(  U75&gt;$E$2, SUMIFS(IF($G$2="CPR",'Grid Data'!$J$4:$J$2342,'Grid Data'!$K$4:$K$2342),'Grid Data'!$B$4:$B$2342,$D12,'Grid Data'!$C$4:$C$2342,U$4,'Grid Data'!$A$4:$A$2342,$D$2)*100, 0)</f>
        <v>13.074199999999999</v>
      </c>
      <c r="V12" s="4">
        <f>IF(  V75&gt;$E$2, SUMIFS(IF($G$2="CPR",'Grid Data'!$J$4:$J$2342,'Grid Data'!$K$4:$K$2342),'Grid Data'!$B$4:$B$2342,$D12,'Grid Data'!$C$4:$C$2342,V$4,'Grid Data'!$A$4:$A$2342,$D$2)*100, 0)</f>
        <v>12.5725</v>
      </c>
      <c r="W12" s="4">
        <f>IF(  W75&gt;$E$2, SUMIFS(IF($G$2="CPR",'Grid Data'!$J$4:$J$2342,'Grid Data'!$K$4:$K$2342),'Grid Data'!$B$4:$B$2342,$D12,'Grid Data'!$C$4:$C$2342,W$4,'Grid Data'!$A$4:$A$2342,$D$2)*100, 0)</f>
        <v>9.0660000000000007</v>
      </c>
      <c r="X12" s="4">
        <f>IF(  X75&gt;$E$2, SUMIFS(IF($G$2="CPR",'Grid Data'!$J$4:$J$2342,'Grid Data'!$K$4:$K$2342),'Grid Data'!$B$4:$B$2342,$D12,'Grid Data'!$C$4:$C$2342,X$4,'Grid Data'!$A$4:$A$2342,$D$2)*100, 0)</f>
        <v>9.9773999999999994</v>
      </c>
      <c r="Y12" s="4">
        <f>IF(  Y75&gt;$E$2, SUMIFS(IF($G$2="CPR",'Grid Data'!$J$4:$J$2342,'Grid Data'!$K$4:$K$2342),'Grid Data'!$B$4:$B$2342,$D12,'Grid Data'!$C$4:$C$2342,Y$4,'Grid Data'!$A$4:$A$2342,$D$2)*100, 0)</f>
        <v>6.579699999999999</v>
      </c>
      <c r="Z12" s="4">
        <f>IF(  Z75&gt;$E$2, SUMIFS(IF($G$2="CPR",'Grid Data'!$J$4:$J$2342,'Grid Data'!$K$4:$K$2342),'Grid Data'!$B$4:$B$2342,$D12,'Grid Data'!$C$4:$C$2342,Z$4,'Grid Data'!$A$4:$A$2342,$D$2)*100, 0)</f>
        <v>9.2332000000000001</v>
      </c>
      <c r="AA12" s="4">
        <f>IF(  AA75&gt;$E$2, SUMIFS(IF($G$2="CPR",'Grid Data'!$J$4:$J$2342,'Grid Data'!$K$4:$K$2342),'Grid Data'!$B$4:$B$2342,$D12,'Grid Data'!$C$4:$C$2342,AA$4,'Grid Data'!$A$4:$A$2342,$D$2)*100, 0)</f>
        <v>7.5111999999999997</v>
      </c>
      <c r="AB12" s="4">
        <f>IF(  AB75&gt;$E$2, SUMIFS(IF($G$2="CPR",'Grid Data'!$J$4:$J$2342,'Grid Data'!$K$4:$K$2342),'Grid Data'!$B$4:$B$2342,$D12,'Grid Data'!$C$4:$C$2342,AB$4,'Grid Data'!$A$4:$A$2342,$D$2)*100, 0)</f>
        <v>7.9001000000000001</v>
      </c>
      <c r="AC12" s="4">
        <f>IF(  AC75&gt;$E$2, SUMIFS(IF($G$2="CPR",'Grid Data'!$J$4:$J$2342,'Grid Data'!$K$4:$K$2342),'Grid Data'!$B$4:$B$2342,$D12,'Grid Data'!$C$4:$C$2342,AC$4,'Grid Data'!$A$4:$A$2342,$D$2)*100, 0)</f>
        <v>7.9937999999999994</v>
      </c>
      <c r="AD12" s="4">
        <f>IF(  AD75&gt;$E$2, SUMIFS(IF($G$2="CPR",'Grid Data'!$J$4:$J$2342,'Grid Data'!$K$4:$K$2342),'Grid Data'!$B$4:$B$2342,$D12,'Grid Data'!$C$4:$C$2342,AD$4,'Grid Data'!$A$4:$A$2342,$D$2)*100, 0)</f>
        <v>8.1318999999999999</v>
      </c>
      <c r="AE12" s="4">
        <f>IF(  AE75&gt;$E$2, SUMIFS(IF($G$2="CPR",'Grid Data'!$J$4:$J$2342,'Grid Data'!$K$4:$K$2342),'Grid Data'!$B$4:$B$2342,$D12,'Grid Data'!$C$4:$C$2342,AE$4,'Grid Data'!$A$4:$A$2342,$D$2)*100, 0)</f>
        <v>0</v>
      </c>
      <c r="AF12" s="4">
        <f>IF(  AF75&gt;$E$2, SUMIFS(IF($G$2="CPR",'Grid Data'!$J$4:$J$2342,'Grid Data'!$K$4:$K$2342),'Grid Data'!$B$4:$B$2342,$D12,'Grid Data'!$C$4:$C$2342,AF$4,'Grid Data'!$A$4:$A$2342,$D$2)*100, 0)</f>
        <v>0</v>
      </c>
      <c r="AG12" s="4">
        <f>IF(  AG75&gt;$E$2, SUMIFS(IF($G$2="CPR",'Grid Data'!$J$4:$J$2342,'Grid Data'!$K$4:$K$2342),'Grid Data'!$B$4:$B$2342,$D12,'Grid Data'!$C$4:$C$2342,AG$4,'Grid Data'!$A$4:$A$2342,$D$2)*100, 0)</f>
        <v>0</v>
      </c>
      <c r="AH12" s="4">
        <f>IF(  AH75&gt;$E$2, SUMIFS(IF($G$2="CPR",'Grid Data'!$J$4:$J$2342,'Grid Data'!$K$4:$K$2342),'Grid Data'!$B$4:$B$2342,$D12,'Grid Data'!$C$4:$C$2342,AH$4,'Grid Data'!$A$4:$A$2342,$D$2)*100, 0)</f>
        <v>0</v>
      </c>
    </row>
    <row r="13" spans="4:34" x14ac:dyDescent="0.35">
      <c r="D13">
        <v>4000</v>
      </c>
      <c r="E13" s="4">
        <f>IF(  E76&gt;$E$2, SUMIFS(IF($G$2="CPR",'Grid Data'!$J$4:$J$2342,'Grid Data'!$K$4:$K$2342),'Grid Data'!$B$4:$B$2342,$D13,'Grid Data'!$C$4:$C$2342,E$4,'Grid Data'!$A$4:$A$2342,$D$2)*100, 0)</f>
        <v>0.54679999999999995</v>
      </c>
      <c r="F13" s="4">
        <f>IF(  F76&gt;$E$2, SUMIFS(IF($G$2="CPR",'Grid Data'!$J$4:$J$2342,'Grid Data'!$K$4:$K$2342),'Grid Data'!$B$4:$B$2342,$D13,'Grid Data'!$C$4:$C$2342,F$4,'Grid Data'!$A$4:$A$2342,$D$2)*100, 0)</f>
        <v>3.88</v>
      </c>
      <c r="G13" s="4">
        <f>IF(  G76&gt;$E$2, SUMIFS(IF($G$2="CPR",'Grid Data'!$J$4:$J$2342,'Grid Data'!$K$4:$K$2342),'Grid Data'!$B$4:$B$2342,$D13,'Grid Data'!$C$4:$C$2342,G$4,'Grid Data'!$A$4:$A$2342,$D$2)*100, 0)</f>
        <v>0.17930000000000001</v>
      </c>
      <c r="H13" s="4">
        <f>IF(  H76&gt;$E$2, SUMIFS(IF($G$2="CPR",'Grid Data'!$J$4:$J$2342,'Grid Data'!$K$4:$K$2342),'Grid Data'!$B$4:$B$2342,$D13,'Grid Data'!$C$4:$C$2342,H$4,'Grid Data'!$A$4:$A$2342,$D$2)*100, 0)</f>
        <v>3.0720999999999998</v>
      </c>
      <c r="I13" s="4">
        <f>IF(  I76&gt;$E$2, SUMIFS(IF($G$2="CPR",'Grid Data'!$J$4:$J$2342,'Grid Data'!$K$4:$K$2342),'Grid Data'!$B$4:$B$2342,$D13,'Grid Data'!$C$4:$C$2342,I$4,'Grid Data'!$A$4:$A$2342,$D$2)*100, 0)</f>
        <v>0.25639999999999996</v>
      </c>
      <c r="J13" s="4">
        <f>IF(  J76&gt;$E$2, SUMIFS(IF($G$2="CPR",'Grid Data'!$J$4:$J$2342,'Grid Data'!$K$4:$K$2342),'Grid Data'!$B$4:$B$2342,$D13,'Grid Data'!$C$4:$C$2342,J$4,'Grid Data'!$A$4:$A$2342,$D$2)*100, 0)</f>
        <v>1.7100000000000001E-2</v>
      </c>
      <c r="K13" s="4">
        <f>IF(  K76&gt;$E$2, SUMIFS(IF($G$2="CPR",'Grid Data'!$J$4:$J$2342,'Grid Data'!$K$4:$K$2342),'Grid Data'!$B$4:$B$2342,$D13,'Grid Data'!$C$4:$C$2342,K$4,'Grid Data'!$A$4:$A$2342,$D$2)*100, 0)</f>
        <v>3.6580000000000004</v>
      </c>
      <c r="L13" s="4">
        <f>IF(  L76&gt;$E$2, SUMIFS(IF($G$2="CPR",'Grid Data'!$J$4:$J$2342,'Grid Data'!$K$4:$K$2342),'Grid Data'!$B$4:$B$2342,$D13,'Grid Data'!$C$4:$C$2342,L$4,'Grid Data'!$A$4:$A$2342,$D$2)*100, 0)</f>
        <v>1.2791000000000001</v>
      </c>
      <c r="M13" s="4">
        <f>IF(  M76&gt;$E$2, SUMIFS(IF($G$2="CPR",'Grid Data'!$J$4:$J$2342,'Grid Data'!$K$4:$K$2342),'Grid Data'!$B$4:$B$2342,$D13,'Grid Data'!$C$4:$C$2342,M$4,'Grid Data'!$A$4:$A$2342,$D$2)*100, 0)</f>
        <v>2.5116000000000001</v>
      </c>
      <c r="N13" s="4">
        <f>IF(  N76&gt;$E$2, SUMIFS(IF($G$2="CPR",'Grid Data'!$J$4:$J$2342,'Grid Data'!$K$4:$K$2342),'Grid Data'!$B$4:$B$2342,$D13,'Grid Data'!$C$4:$C$2342,N$4,'Grid Data'!$A$4:$A$2342,$D$2)*100, 0)</f>
        <v>2.6686000000000001</v>
      </c>
      <c r="O13" s="4">
        <f>IF(  O76&gt;$E$2, SUMIFS(IF($G$2="CPR",'Grid Data'!$J$4:$J$2342,'Grid Data'!$K$4:$K$2342),'Grid Data'!$B$4:$B$2342,$D13,'Grid Data'!$C$4:$C$2342,O$4,'Grid Data'!$A$4:$A$2342,$D$2)*100, 0)</f>
        <v>0</v>
      </c>
      <c r="P13" s="4">
        <f>IF(  P76&gt;$E$2, SUMIFS(IF($G$2="CPR",'Grid Data'!$J$4:$J$2342,'Grid Data'!$K$4:$K$2342),'Grid Data'!$B$4:$B$2342,$D13,'Grid Data'!$C$4:$C$2342,P$4,'Grid Data'!$A$4:$A$2342,$D$2)*100, 0)</f>
        <v>0</v>
      </c>
      <c r="Q13" s="4">
        <f>IF(  Q76&gt;$E$2, SUMIFS(IF($G$2="CPR",'Grid Data'!$J$4:$J$2342,'Grid Data'!$K$4:$K$2342),'Grid Data'!$B$4:$B$2342,$D13,'Grid Data'!$C$4:$C$2342,Q$4,'Grid Data'!$A$4:$A$2342,$D$2)*100, 0)</f>
        <v>0</v>
      </c>
      <c r="R13" s="4">
        <f>IF(  R76&gt;$E$2, SUMIFS(IF($G$2="CPR",'Grid Data'!$J$4:$J$2342,'Grid Data'!$K$4:$K$2342),'Grid Data'!$B$4:$B$2342,$D13,'Grid Data'!$C$4:$C$2342,R$4,'Grid Data'!$A$4:$A$2342,$D$2)*100, 0)</f>
        <v>24.0794</v>
      </c>
      <c r="S13" s="4">
        <f>IF(  S76&gt;$E$2, SUMIFS(IF($G$2="CPR",'Grid Data'!$J$4:$J$2342,'Grid Data'!$K$4:$K$2342),'Grid Data'!$B$4:$B$2342,$D13,'Grid Data'!$C$4:$C$2342,S$4,'Grid Data'!$A$4:$A$2342,$D$2)*100, 0)</f>
        <v>9.6905000000000001</v>
      </c>
      <c r="T13" s="4">
        <f>IF(  T76&gt;$E$2, SUMIFS(IF($G$2="CPR",'Grid Data'!$J$4:$J$2342,'Grid Data'!$K$4:$K$2342),'Grid Data'!$B$4:$B$2342,$D13,'Grid Data'!$C$4:$C$2342,T$4,'Grid Data'!$A$4:$A$2342,$D$2)*100, 0)</f>
        <v>10.2935</v>
      </c>
      <c r="U13" s="4">
        <f>IF(  U76&gt;$E$2, SUMIFS(IF($G$2="CPR",'Grid Data'!$J$4:$J$2342,'Grid Data'!$K$4:$K$2342),'Grid Data'!$B$4:$B$2342,$D13,'Grid Data'!$C$4:$C$2342,U$4,'Grid Data'!$A$4:$A$2342,$D$2)*100, 0)</f>
        <v>14.405799999999999</v>
      </c>
      <c r="V13" s="4">
        <f>IF(  V76&gt;$E$2, SUMIFS(IF($G$2="CPR",'Grid Data'!$J$4:$J$2342,'Grid Data'!$K$4:$K$2342),'Grid Data'!$B$4:$B$2342,$D13,'Grid Data'!$C$4:$C$2342,V$4,'Grid Data'!$A$4:$A$2342,$D$2)*100, 0)</f>
        <v>7.4441999999999995</v>
      </c>
      <c r="W13" s="4">
        <f>IF(  W76&gt;$E$2, SUMIFS(IF($G$2="CPR",'Grid Data'!$J$4:$J$2342,'Grid Data'!$K$4:$K$2342),'Grid Data'!$B$4:$B$2342,$D13,'Grid Data'!$C$4:$C$2342,W$4,'Grid Data'!$A$4:$A$2342,$D$2)*100, 0)</f>
        <v>11.7666</v>
      </c>
      <c r="X13" s="4">
        <f>IF(  X76&gt;$E$2, SUMIFS(IF($G$2="CPR",'Grid Data'!$J$4:$J$2342,'Grid Data'!$K$4:$K$2342),'Grid Data'!$B$4:$B$2342,$D13,'Grid Data'!$C$4:$C$2342,X$4,'Grid Data'!$A$4:$A$2342,$D$2)*100, 0)</f>
        <v>9.8280000000000012</v>
      </c>
      <c r="Y13" s="4">
        <f>IF(  Y76&gt;$E$2, SUMIFS(IF($G$2="CPR",'Grid Data'!$J$4:$J$2342,'Grid Data'!$K$4:$K$2342),'Grid Data'!$B$4:$B$2342,$D13,'Grid Data'!$C$4:$C$2342,Y$4,'Grid Data'!$A$4:$A$2342,$D$2)*100, 0)</f>
        <v>7.4075000000000006</v>
      </c>
      <c r="Z13" s="4">
        <f>IF(  Z76&gt;$E$2, SUMIFS(IF($G$2="CPR",'Grid Data'!$J$4:$J$2342,'Grid Data'!$K$4:$K$2342),'Grid Data'!$B$4:$B$2342,$D13,'Grid Data'!$C$4:$C$2342,Z$4,'Grid Data'!$A$4:$A$2342,$D$2)*100, 0)</f>
        <v>9.5231999999999992</v>
      </c>
      <c r="AA13" s="4">
        <f>IF(  AA76&gt;$E$2, SUMIFS(IF($G$2="CPR",'Grid Data'!$J$4:$J$2342,'Grid Data'!$K$4:$K$2342),'Grid Data'!$B$4:$B$2342,$D13,'Grid Data'!$C$4:$C$2342,AA$4,'Grid Data'!$A$4:$A$2342,$D$2)*100, 0)</f>
        <v>9.7577999999999996</v>
      </c>
      <c r="AB13" s="4">
        <f>IF(  AB76&gt;$E$2, SUMIFS(IF($G$2="CPR",'Grid Data'!$J$4:$J$2342,'Grid Data'!$K$4:$K$2342),'Grid Data'!$B$4:$B$2342,$D13,'Grid Data'!$C$4:$C$2342,AB$4,'Grid Data'!$A$4:$A$2342,$D$2)*100, 0)</f>
        <v>8.2449999999999992</v>
      </c>
      <c r="AC13" s="4">
        <f>IF(  AC76&gt;$E$2, SUMIFS(IF($G$2="CPR",'Grid Data'!$J$4:$J$2342,'Grid Data'!$K$4:$K$2342),'Grid Data'!$B$4:$B$2342,$D13,'Grid Data'!$C$4:$C$2342,AC$4,'Grid Data'!$A$4:$A$2342,$D$2)*100, 0)</f>
        <v>9.3604000000000003</v>
      </c>
      <c r="AD13" s="4">
        <f>IF(  AD76&gt;$E$2, SUMIFS(IF($G$2="CPR",'Grid Data'!$J$4:$J$2342,'Grid Data'!$K$4:$K$2342),'Grid Data'!$B$4:$B$2342,$D13,'Grid Data'!$C$4:$C$2342,AD$4,'Grid Data'!$A$4:$A$2342,$D$2)*100, 0)</f>
        <v>8.2721999999999998</v>
      </c>
      <c r="AE13" s="4">
        <f>IF(  AE76&gt;$E$2, SUMIFS(IF($G$2="CPR",'Grid Data'!$J$4:$J$2342,'Grid Data'!$K$4:$K$2342),'Grid Data'!$B$4:$B$2342,$D13,'Grid Data'!$C$4:$C$2342,AE$4,'Grid Data'!$A$4:$A$2342,$D$2)*100, 0)</f>
        <v>0</v>
      </c>
      <c r="AF13" s="4">
        <f>IF(  AF76&gt;$E$2, SUMIFS(IF($G$2="CPR",'Grid Data'!$J$4:$J$2342,'Grid Data'!$K$4:$K$2342),'Grid Data'!$B$4:$B$2342,$D13,'Grid Data'!$C$4:$C$2342,AF$4,'Grid Data'!$A$4:$A$2342,$D$2)*100, 0)</f>
        <v>0</v>
      </c>
      <c r="AG13" s="4">
        <f>IF(  AG76&gt;$E$2, SUMIFS(IF($G$2="CPR",'Grid Data'!$J$4:$J$2342,'Grid Data'!$K$4:$K$2342),'Grid Data'!$B$4:$B$2342,$D13,'Grid Data'!$C$4:$C$2342,AG$4,'Grid Data'!$A$4:$A$2342,$D$2)*100, 0)</f>
        <v>0</v>
      </c>
      <c r="AH13" s="4">
        <f>IF(  AH76&gt;$E$2, SUMIFS(IF($G$2="CPR",'Grid Data'!$J$4:$J$2342,'Grid Data'!$K$4:$K$2342),'Grid Data'!$B$4:$B$2342,$D13,'Grid Data'!$C$4:$C$2342,AH$4,'Grid Data'!$A$4:$A$2342,$D$2)*100, 0)</f>
        <v>0</v>
      </c>
    </row>
    <row r="14" spans="4:34" x14ac:dyDescent="0.35">
      <c r="D14">
        <v>4250</v>
      </c>
      <c r="E14" s="4">
        <f>IF(  E77&gt;$E$2, SUMIFS(IF($G$2="CPR",'Grid Data'!$J$4:$J$2342,'Grid Data'!$K$4:$K$2342),'Grid Data'!$B$4:$B$2342,$D14,'Grid Data'!$C$4:$C$2342,E$4,'Grid Data'!$A$4:$A$2342,$D$2)*100, 0)</f>
        <v>-0.33890000000000003</v>
      </c>
      <c r="F14" s="4">
        <f>IF(  F77&gt;$E$2, SUMIFS(IF($G$2="CPR",'Grid Data'!$J$4:$J$2342,'Grid Data'!$K$4:$K$2342),'Grid Data'!$B$4:$B$2342,$D14,'Grid Data'!$C$4:$C$2342,F$4,'Grid Data'!$A$4:$A$2342,$D$2)*100, 0)</f>
        <v>2.2765</v>
      </c>
      <c r="G14" s="4">
        <f>IF(  G77&gt;$E$2, SUMIFS(IF($G$2="CPR",'Grid Data'!$J$4:$J$2342,'Grid Data'!$K$4:$K$2342),'Grid Data'!$B$4:$B$2342,$D14,'Grid Data'!$C$4:$C$2342,G$4,'Grid Data'!$A$4:$A$2342,$D$2)*100, 0)</f>
        <v>0.16440000000000002</v>
      </c>
      <c r="H14" s="4">
        <f>IF(  H77&gt;$E$2, SUMIFS(IF($G$2="CPR",'Grid Data'!$J$4:$J$2342,'Grid Data'!$K$4:$K$2342),'Grid Data'!$B$4:$B$2342,$D14,'Grid Data'!$C$4:$C$2342,H$4,'Grid Data'!$A$4:$A$2342,$D$2)*100, 0)</f>
        <v>-1.9400000000000001E-2</v>
      </c>
      <c r="I14" s="4">
        <f>IF(  I77&gt;$E$2, SUMIFS(IF($G$2="CPR",'Grid Data'!$J$4:$J$2342,'Grid Data'!$K$4:$K$2342),'Grid Data'!$B$4:$B$2342,$D14,'Grid Data'!$C$4:$C$2342,I$4,'Grid Data'!$A$4:$A$2342,$D$2)*100, 0)</f>
        <v>5.8200000000000002E-2</v>
      </c>
      <c r="J14" s="4">
        <f>IF(  J77&gt;$E$2, SUMIFS(IF($G$2="CPR",'Grid Data'!$J$4:$J$2342,'Grid Data'!$K$4:$K$2342),'Grid Data'!$B$4:$B$2342,$D14,'Grid Data'!$C$4:$C$2342,J$4,'Grid Data'!$A$4:$A$2342,$D$2)*100, 0)</f>
        <v>0.1164</v>
      </c>
      <c r="K14" s="4">
        <f>IF(  K77&gt;$E$2, SUMIFS(IF($G$2="CPR",'Grid Data'!$J$4:$J$2342,'Grid Data'!$K$4:$K$2342),'Grid Data'!$B$4:$B$2342,$D14,'Grid Data'!$C$4:$C$2342,K$4,'Grid Data'!$A$4:$A$2342,$D$2)*100, 0)</f>
        <v>3.5840999999999998</v>
      </c>
      <c r="L14" s="4">
        <f>IF(  L77&gt;$E$2, SUMIFS(IF($G$2="CPR",'Grid Data'!$J$4:$J$2342,'Grid Data'!$K$4:$K$2342),'Grid Data'!$B$4:$B$2342,$D14,'Grid Data'!$C$4:$C$2342,L$4,'Grid Data'!$A$4:$A$2342,$D$2)*100, 0)</f>
        <v>0.20710000000000001</v>
      </c>
      <c r="M14" s="4">
        <f>IF(  M77&gt;$E$2, SUMIFS(IF($G$2="CPR",'Grid Data'!$J$4:$J$2342,'Grid Data'!$K$4:$K$2342),'Grid Data'!$B$4:$B$2342,$D14,'Grid Data'!$C$4:$C$2342,M$4,'Grid Data'!$A$4:$A$2342,$D$2)*100, 0)</f>
        <v>4.8955000000000002</v>
      </c>
      <c r="N14" s="4">
        <f>IF(  N77&gt;$E$2, SUMIFS(IF($G$2="CPR",'Grid Data'!$J$4:$J$2342,'Grid Data'!$K$4:$K$2342),'Grid Data'!$B$4:$B$2342,$D14,'Grid Data'!$C$4:$C$2342,N$4,'Grid Data'!$A$4:$A$2342,$D$2)*100, 0)</f>
        <v>9.1417999999999999</v>
      </c>
      <c r="O14" s="4">
        <f>IF(  O77&gt;$E$2, SUMIFS(IF($G$2="CPR",'Grid Data'!$J$4:$J$2342,'Grid Data'!$K$4:$K$2342),'Grid Data'!$B$4:$B$2342,$D14,'Grid Data'!$C$4:$C$2342,O$4,'Grid Data'!$A$4:$A$2342,$D$2)*100, 0)</f>
        <v>0.18509999999999999</v>
      </c>
      <c r="P14" s="4">
        <f>IF(  P77&gt;$E$2, SUMIFS(IF($G$2="CPR",'Grid Data'!$J$4:$J$2342,'Grid Data'!$K$4:$K$2342),'Grid Data'!$B$4:$B$2342,$D14,'Grid Data'!$C$4:$C$2342,P$4,'Grid Data'!$A$4:$A$2342,$D$2)*100, 0)</f>
        <v>6.3904000000000005</v>
      </c>
      <c r="Q14" s="4">
        <f>IF(  Q77&gt;$E$2, SUMIFS(IF($G$2="CPR",'Grid Data'!$J$4:$J$2342,'Grid Data'!$K$4:$K$2342),'Grid Data'!$B$4:$B$2342,$D14,'Grid Data'!$C$4:$C$2342,Q$4,'Grid Data'!$A$4:$A$2342,$D$2)*100, 0)</f>
        <v>20.5092</v>
      </c>
      <c r="R14" s="4">
        <f>IF(  R77&gt;$E$2, SUMIFS(IF($G$2="CPR",'Grid Data'!$J$4:$J$2342,'Grid Data'!$K$4:$K$2342),'Grid Data'!$B$4:$B$2342,$D14,'Grid Data'!$C$4:$C$2342,R$4,'Grid Data'!$A$4:$A$2342,$D$2)*100, 0)</f>
        <v>2.4883999999999999</v>
      </c>
      <c r="S14" s="4">
        <f>IF(  S77&gt;$E$2, SUMIFS(IF($G$2="CPR",'Grid Data'!$J$4:$J$2342,'Grid Data'!$K$4:$K$2342),'Grid Data'!$B$4:$B$2342,$D14,'Grid Data'!$C$4:$C$2342,S$4,'Grid Data'!$A$4:$A$2342,$D$2)*100, 0)</f>
        <v>8.7882999999999996</v>
      </c>
      <c r="T14" s="4">
        <f>IF(  T77&gt;$E$2, SUMIFS(IF($G$2="CPR",'Grid Data'!$J$4:$J$2342,'Grid Data'!$K$4:$K$2342),'Grid Data'!$B$4:$B$2342,$D14,'Grid Data'!$C$4:$C$2342,T$4,'Grid Data'!$A$4:$A$2342,$D$2)*100, 0)</f>
        <v>8.1392000000000007</v>
      </c>
      <c r="U14" s="4">
        <f>IF(  U77&gt;$E$2, SUMIFS(IF($G$2="CPR",'Grid Data'!$J$4:$J$2342,'Grid Data'!$K$4:$K$2342),'Grid Data'!$B$4:$B$2342,$D14,'Grid Data'!$C$4:$C$2342,U$4,'Grid Data'!$A$4:$A$2342,$D$2)*100, 0)</f>
        <v>18.798100000000002</v>
      </c>
      <c r="V14" s="4">
        <f>IF(  V77&gt;$E$2, SUMIFS(IF($G$2="CPR",'Grid Data'!$J$4:$J$2342,'Grid Data'!$K$4:$K$2342),'Grid Data'!$B$4:$B$2342,$D14,'Grid Data'!$C$4:$C$2342,V$4,'Grid Data'!$A$4:$A$2342,$D$2)*100, 0)</f>
        <v>18.7743</v>
      </c>
      <c r="W14" s="4">
        <f>IF(  W77&gt;$E$2, SUMIFS(IF($G$2="CPR",'Grid Data'!$J$4:$J$2342,'Grid Data'!$K$4:$K$2342),'Grid Data'!$B$4:$B$2342,$D14,'Grid Data'!$C$4:$C$2342,W$4,'Grid Data'!$A$4:$A$2342,$D$2)*100, 0)</f>
        <v>12.5831</v>
      </c>
      <c r="X14" s="4">
        <f>IF(  X77&gt;$E$2, SUMIFS(IF($G$2="CPR",'Grid Data'!$J$4:$J$2342,'Grid Data'!$K$4:$K$2342),'Grid Data'!$B$4:$B$2342,$D14,'Grid Data'!$C$4:$C$2342,X$4,'Grid Data'!$A$4:$A$2342,$D$2)*100, 0)</f>
        <v>9.2304999999999993</v>
      </c>
      <c r="Y14" s="4">
        <f>IF(  Y77&gt;$E$2, SUMIFS(IF($G$2="CPR",'Grid Data'!$J$4:$J$2342,'Grid Data'!$K$4:$K$2342),'Grid Data'!$B$4:$B$2342,$D14,'Grid Data'!$C$4:$C$2342,Y$4,'Grid Data'!$A$4:$A$2342,$D$2)*100, 0)</f>
        <v>9.3576999999999995</v>
      </c>
      <c r="Z14" s="4">
        <f>IF(  Z77&gt;$E$2, SUMIFS(IF($G$2="CPR",'Grid Data'!$J$4:$J$2342,'Grid Data'!$K$4:$K$2342),'Grid Data'!$B$4:$B$2342,$D14,'Grid Data'!$C$4:$C$2342,Z$4,'Grid Data'!$A$4:$A$2342,$D$2)*100, 0)</f>
        <v>8.6098999999999997</v>
      </c>
      <c r="AA14" s="4">
        <f>IF(  AA77&gt;$E$2, SUMIFS(IF($G$2="CPR",'Grid Data'!$J$4:$J$2342,'Grid Data'!$K$4:$K$2342),'Grid Data'!$B$4:$B$2342,$D14,'Grid Data'!$C$4:$C$2342,AA$4,'Grid Data'!$A$4:$A$2342,$D$2)*100, 0)</f>
        <v>14.664299999999999</v>
      </c>
      <c r="AB14" s="4">
        <f>IF(  AB77&gt;$E$2, SUMIFS(IF($G$2="CPR",'Grid Data'!$J$4:$J$2342,'Grid Data'!$K$4:$K$2342),'Grid Data'!$B$4:$B$2342,$D14,'Grid Data'!$C$4:$C$2342,AB$4,'Grid Data'!$A$4:$A$2342,$D$2)*100, 0)</f>
        <v>8.6489999999999991</v>
      </c>
      <c r="AC14" s="4">
        <f>IF(  AC77&gt;$E$2, SUMIFS(IF($G$2="CPR",'Grid Data'!$J$4:$J$2342,'Grid Data'!$K$4:$K$2342),'Grid Data'!$B$4:$B$2342,$D14,'Grid Data'!$C$4:$C$2342,AC$4,'Grid Data'!$A$4:$A$2342,$D$2)*100, 0)</f>
        <v>7.2446999999999999</v>
      </c>
      <c r="AD14" s="4">
        <f>IF(  AD77&gt;$E$2, SUMIFS(IF($G$2="CPR",'Grid Data'!$J$4:$J$2342,'Grid Data'!$K$4:$K$2342),'Grid Data'!$B$4:$B$2342,$D14,'Grid Data'!$C$4:$C$2342,AD$4,'Grid Data'!$A$4:$A$2342,$D$2)*100, 0)</f>
        <v>9.0860000000000003</v>
      </c>
      <c r="AE14" s="4">
        <f>IF(  AE77&gt;$E$2, SUMIFS(IF($G$2="CPR",'Grid Data'!$J$4:$J$2342,'Grid Data'!$K$4:$K$2342),'Grid Data'!$B$4:$B$2342,$D14,'Grid Data'!$C$4:$C$2342,AE$4,'Grid Data'!$A$4:$A$2342,$D$2)*100, 0)</f>
        <v>0</v>
      </c>
      <c r="AF14" s="4">
        <f>IF(  AF77&gt;$E$2, SUMIFS(IF($G$2="CPR",'Grid Data'!$J$4:$J$2342,'Grid Data'!$K$4:$K$2342),'Grid Data'!$B$4:$B$2342,$D14,'Grid Data'!$C$4:$C$2342,AF$4,'Grid Data'!$A$4:$A$2342,$D$2)*100, 0)</f>
        <v>0</v>
      </c>
      <c r="AG14" s="4">
        <f>IF(  AG77&gt;$E$2, SUMIFS(IF($G$2="CPR",'Grid Data'!$J$4:$J$2342,'Grid Data'!$K$4:$K$2342),'Grid Data'!$B$4:$B$2342,$D14,'Grid Data'!$C$4:$C$2342,AG$4,'Grid Data'!$A$4:$A$2342,$D$2)*100, 0)</f>
        <v>0</v>
      </c>
      <c r="AH14" s="4">
        <f>IF(  AH77&gt;$E$2, SUMIFS(IF($G$2="CPR",'Grid Data'!$J$4:$J$2342,'Grid Data'!$K$4:$K$2342),'Grid Data'!$B$4:$B$2342,$D14,'Grid Data'!$C$4:$C$2342,AH$4,'Grid Data'!$A$4:$A$2342,$D$2)*100, 0)</f>
        <v>0</v>
      </c>
    </row>
    <row r="15" spans="4:34" x14ac:dyDescent="0.35">
      <c r="D15">
        <v>4500</v>
      </c>
      <c r="E15" s="4">
        <f>IF(  E78&gt;$E$2, SUMIFS(IF($G$2="CPR",'Grid Data'!$J$4:$J$2342,'Grid Data'!$K$4:$K$2342),'Grid Data'!$B$4:$B$2342,$D15,'Grid Data'!$C$4:$C$2342,E$4,'Grid Data'!$A$4:$A$2342,$D$2)*100, 0)</f>
        <v>-0.72399999999999998</v>
      </c>
      <c r="F15" s="4">
        <f>IF(  F78&gt;$E$2, SUMIFS(IF($G$2="CPR",'Grid Data'!$J$4:$J$2342,'Grid Data'!$K$4:$K$2342),'Grid Data'!$B$4:$B$2342,$D15,'Grid Data'!$C$4:$C$2342,F$4,'Grid Data'!$A$4:$A$2342,$D$2)*100, 0)</f>
        <v>3.5556999999999999</v>
      </c>
      <c r="G15" s="4">
        <f>IF(  G78&gt;$E$2, SUMIFS(IF($G$2="CPR",'Grid Data'!$J$4:$J$2342,'Grid Data'!$K$4:$K$2342),'Grid Data'!$B$4:$B$2342,$D15,'Grid Data'!$C$4:$C$2342,G$4,'Grid Data'!$A$4:$A$2342,$D$2)*100, 0)</f>
        <v>0.30509999999999998</v>
      </c>
      <c r="H15" s="4">
        <f>IF(  H78&gt;$E$2, SUMIFS(IF($G$2="CPR",'Grid Data'!$J$4:$J$2342,'Grid Data'!$K$4:$K$2342),'Grid Data'!$B$4:$B$2342,$D15,'Grid Data'!$C$4:$C$2342,H$4,'Grid Data'!$A$4:$A$2342,$D$2)*100, 0)</f>
        <v>2.3016999999999999</v>
      </c>
      <c r="I15" s="4">
        <f>IF(  I78&gt;$E$2, SUMIFS(IF($G$2="CPR",'Grid Data'!$J$4:$J$2342,'Grid Data'!$K$4:$K$2342),'Grid Data'!$B$4:$B$2342,$D15,'Grid Data'!$C$4:$C$2342,I$4,'Grid Data'!$A$4:$A$2342,$D$2)*100, 0)</f>
        <v>5.5400000000000005E-2</v>
      </c>
      <c r="J15" s="4">
        <f>IF(  J78&gt;$E$2, SUMIFS(IF($G$2="CPR",'Grid Data'!$J$4:$J$2342,'Grid Data'!$K$4:$K$2342),'Grid Data'!$B$4:$B$2342,$D15,'Grid Data'!$C$4:$C$2342,J$4,'Grid Data'!$A$4:$A$2342,$D$2)*100, 0)</f>
        <v>0.18810000000000002</v>
      </c>
      <c r="K15" s="4">
        <f>IF(  K78&gt;$E$2, SUMIFS(IF($G$2="CPR",'Grid Data'!$J$4:$J$2342,'Grid Data'!$K$4:$K$2342),'Grid Data'!$B$4:$B$2342,$D15,'Grid Data'!$C$4:$C$2342,K$4,'Grid Data'!$A$4:$A$2342,$D$2)*100, 0)</f>
        <v>3.2767999999999997</v>
      </c>
      <c r="L15" s="4">
        <f>IF(  L78&gt;$E$2, SUMIFS(IF($G$2="CPR",'Grid Data'!$J$4:$J$2342,'Grid Data'!$K$4:$K$2342),'Grid Data'!$B$4:$B$2342,$D15,'Grid Data'!$C$4:$C$2342,L$4,'Grid Data'!$A$4:$A$2342,$D$2)*100, 0)</f>
        <v>1.6113999999999999</v>
      </c>
      <c r="M15" s="4">
        <f>IF(  M78&gt;$E$2, SUMIFS(IF($G$2="CPR",'Grid Data'!$J$4:$J$2342,'Grid Data'!$K$4:$K$2342),'Grid Data'!$B$4:$B$2342,$D15,'Grid Data'!$C$4:$C$2342,M$4,'Grid Data'!$A$4:$A$2342,$D$2)*100, 0)</f>
        <v>6.3309000000000006</v>
      </c>
      <c r="N15" s="4">
        <f>IF(  N78&gt;$E$2, SUMIFS(IF($G$2="CPR",'Grid Data'!$J$4:$J$2342,'Grid Data'!$K$4:$K$2342),'Grid Data'!$B$4:$B$2342,$D15,'Grid Data'!$C$4:$C$2342,N$4,'Grid Data'!$A$4:$A$2342,$D$2)*100, 0)</f>
        <v>2.1699000000000002</v>
      </c>
      <c r="O15" s="4">
        <f>IF(  O78&gt;$E$2, SUMIFS(IF($G$2="CPR",'Grid Data'!$J$4:$J$2342,'Grid Data'!$K$4:$K$2342),'Grid Data'!$B$4:$B$2342,$D15,'Grid Data'!$C$4:$C$2342,O$4,'Grid Data'!$A$4:$A$2342,$D$2)*100, 0)</f>
        <v>4.6395999999999997</v>
      </c>
      <c r="P15" s="4">
        <f>IF(  P78&gt;$E$2, SUMIFS(IF($G$2="CPR",'Grid Data'!$J$4:$J$2342,'Grid Data'!$K$4:$K$2342),'Grid Data'!$B$4:$B$2342,$D15,'Grid Data'!$C$4:$C$2342,P$4,'Grid Data'!$A$4:$A$2342,$D$2)*100, 0)</f>
        <v>4.6299000000000001</v>
      </c>
      <c r="Q15" s="4">
        <f>IF(  Q78&gt;$E$2, SUMIFS(IF($G$2="CPR",'Grid Data'!$J$4:$J$2342,'Grid Data'!$K$4:$K$2342),'Grid Data'!$B$4:$B$2342,$D15,'Grid Data'!$C$4:$C$2342,Q$4,'Grid Data'!$A$4:$A$2342,$D$2)*100, 0)</f>
        <v>13.634499999999999</v>
      </c>
      <c r="R15" s="4">
        <f>IF(  R78&gt;$E$2, SUMIFS(IF($G$2="CPR",'Grid Data'!$J$4:$J$2342,'Grid Data'!$K$4:$K$2342),'Grid Data'!$B$4:$B$2342,$D15,'Grid Data'!$C$4:$C$2342,R$4,'Grid Data'!$A$4:$A$2342,$D$2)*100, 0)</f>
        <v>17.4801</v>
      </c>
      <c r="S15" s="4">
        <f>IF(  S78&gt;$E$2, SUMIFS(IF($G$2="CPR",'Grid Data'!$J$4:$J$2342,'Grid Data'!$K$4:$K$2342),'Grid Data'!$B$4:$B$2342,$D15,'Grid Data'!$C$4:$C$2342,S$4,'Grid Data'!$A$4:$A$2342,$D$2)*100, 0)</f>
        <v>12.502099999999999</v>
      </c>
      <c r="T15" s="4">
        <f>IF(  T78&gt;$E$2, SUMIFS(IF($G$2="CPR",'Grid Data'!$J$4:$J$2342,'Grid Data'!$K$4:$K$2342),'Grid Data'!$B$4:$B$2342,$D15,'Grid Data'!$C$4:$C$2342,T$4,'Grid Data'!$A$4:$A$2342,$D$2)*100, 0)</f>
        <v>12.956100000000001</v>
      </c>
      <c r="U15" s="4">
        <f>IF(  U78&gt;$E$2, SUMIFS(IF($G$2="CPR",'Grid Data'!$J$4:$J$2342,'Grid Data'!$K$4:$K$2342),'Grid Data'!$B$4:$B$2342,$D15,'Grid Data'!$C$4:$C$2342,U$4,'Grid Data'!$A$4:$A$2342,$D$2)*100, 0)</f>
        <v>10.251799999999999</v>
      </c>
      <c r="V15" s="4">
        <f>IF(  V78&gt;$E$2, SUMIFS(IF($G$2="CPR",'Grid Data'!$J$4:$J$2342,'Grid Data'!$K$4:$K$2342),'Grid Data'!$B$4:$B$2342,$D15,'Grid Data'!$C$4:$C$2342,V$4,'Grid Data'!$A$4:$A$2342,$D$2)*100, 0)</f>
        <v>17.734400000000001</v>
      </c>
      <c r="W15" s="4">
        <f>IF(  W78&gt;$E$2, SUMIFS(IF($G$2="CPR",'Grid Data'!$J$4:$J$2342,'Grid Data'!$K$4:$K$2342),'Grid Data'!$B$4:$B$2342,$D15,'Grid Data'!$C$4:$C$2342,W$4,'Grid Data'!$A$4:$A$2342,$D$2)*100, 0)</f>
        <v>18.290699999999998</v>
      </c>
      <c r="X15" s="4">
        <f>IF(  X78&gt;$E$2, SUMIFS(IF($G$2="CPR",'Grid Data'!$J$4:$J$2342,'Grid Data'!$K$4:$K$2342),'Grid Data'!$B$4:$B$2342,$D15,'Grid Data'!$C$4:$C$2342,X$4,'Grid Data'!$A$4:$A$2342,$D$2)*100, 0)</f>
        <v>9.9453999999999994</v>
      </c>
      <c r="Y15" s="4">
        <f>IF(  Y78&gt;$E$2, SUMIFS(IF($G$2="CPR",'Grid Data'!$J$4:$J$2342,'Grid Data'!$K$4:$K$2342),'Grid Data'!$B$4:$B$2342,$D15,'Grid Data'!$C$4:$C$2342,Y$4,'Grid Data'!$A$4:$A$2342,$D$2)*100, 0)</f>
        <v>8.9484999999999992</v>
      </c>
      <c r="Z15" s="4">
        <f>IF(  Z78&gt;$E$2, SUMIFS(IF($G$2="CPR",'Grid Data'!$J$4:$J$2342,'Grid Data'!$K$4:$K$2342),'Grid Data'!$B$4:$B$2342,$D15,'Grid Data'!$C$4:$C$2342,Z$4,'Grid Data'!$A$4:$A$2342,$D$2)*100, 0)</f>
        <v>13.696199999999999</v>
      </c>
      <c r="AA15" s="4">
        <f>IF(  AA78&gt;$E$2, SUMIFS(IF($G$2="CPR",'Grid Data'!$J$4:$J$2342,'Grid Data'!$K$4:$K$2342),'Grid Data'!$B$4:$B$2342,$D15,'Grid Data'!$C$4:$C$2342,AA$4,'Grid Data'!$A$4:$A$2342,$D$2)*100, 0)</f>
        <v>7.553700000000001</v>
      </c>
      <c r="AB15" s="4">
        <f>IF(  AB78&gt;$E$2, SUMIFS(IF($G$2="CPR",'Grid Data'!$J$4:$J$2342,'Grid Data'!$K$4:$K$2342),'Grid Data'!$B$4:$B$2342,$D15,'Grid Data'!$C$4:$C$2342,AB$4,'Grid Data'!$A$4:$A$2342,$D$2)*100, 0)</f>
        <v>8.529399999999999</v>
      </c>
      <c r="AC15" s="4">
        <f>IF(  AC78&gt;$E$2, SUMIFS(IF($G$2="CPR",'Grid Data'!$J$4:$J$2342,'Grid Data'!$K$4:$K$2342),'Grid Data'!$B$4:$B$2342,$D15,'Grid Data'!$C$4:$C$2342,AC$4,'Grid Data'!$A$4:$A$2342,$D$2)*100, 0)</f>
        <v>7.6159000000000008</v>
      </c>
      <c r="AD15" s="4">
        <f>IF(  AD78&gt;$E$2, SUMIFS(IF($G$2="CPR",'Grid Data'!$J$4:$J$2342,'Grid Data'!$K$4:$K$2342),'Grid Data'!$B$4:$B$2342,$D15,'Grid Data'!$C$4:$C$2342,AD$4,'Grid Data'!$A$4:$A$2342,$D$2)*100, 0)</f>
        <v>9.1717000000000013</v>
      </c>
      <c r="AE15" s="4">
        <f>IF(  AE78&gt;$E$2, SUMIFS(IF($G$2="CPR",'Grid Data'!$J$4:$J$2342,'Grid Data'!$K$4:$K$2342),'Grid Data'!$B$4:$B$2342,$D15,'Grid Data'!$C$4:$C$2342,AE$4,'Grid Data'!$A$4:$A$2342,$D$2)*100, 0)</f>
        <v>11.2821</v>
      </c>
      <c r="AF15" s="4">
        <f>IF(  AF78&gt;$E$2, SUMIFS(IF($G$2="CPR",'Grid Data'!$J$4:$J$2342,'Grid Data'!$K$4:$K$2342),'Grid Data'!$B$4:$B$2342,$D15,'Grid Data'!$C$4:$C$2342,AF$4,'Grid Data'!$A$4:$A$2342,$D$2)*100, 0)</f>
        <v>0</v>
      </c>
      <c r="AG15" s="4">
        <f>IF(  AG78&gt;$E$2, SUMIFS(IF($G$2="CPR",'Grid Data'!$J$4:$J$2342,'Grid Data'!$K$4:$K$2342),'Grid Data'!$B$4:$B$2342,$D15,'Grid Data'!$C$4:$C$2342,AG$4,'Grid Data'!$A$4:$A$2342,$D$2)*100, 0)</f>
        <v>0</v>
      </c>
      <c r="AH15" s="4">
        <f>IF(  AH78&gt;$E$2, SUMIFS(IF($G$2="CPR",'Grid Data'!$J$4:$J$2342,'Grid Data'!$K$4:$K$2342),'Grid Data'!$B$4:$B$2342,$D15,'Grid Data'!$C$4:$C$2342,AH$4,'Grid Data'!$A$4:$A$2342,$D$2)*100, 0)</f>
        <v>0</v>
      </c>
    </row>
    <row r="16" spans="4:34" x14ac:dyDescent="0.35">
      <c r="D16">
        <v>4750</v>
      </c>
      <c r="E16" s="4">
        <f>IF(  E79&gt;$E$2, SUMIFS(IF($G$2="CPR",'Grid Data'!$J$4:$J$2342,'Grid Data'!$K$4:$K$2342),'Grid Data'!$B$4:$B$2342,$D16,'Grid Data'!$C$4:$C$2342,E$4,'Grid Data'!$A$4:$A$2342,$D$2)*100, 0)</f>
        <v>0.27590000000000003</v>
      </c>
      <c r="F16" s="4">
        <f>IF(  F79&gt;$E$2, SUMIFS(IF($G$2="CPR",'Grid Data'!$J$4:$J$2342,'Grid Data'!$K$4:$K$2342),'Grid Data'!$B$4:$B$2342,$D16,'Grid Data'!$C$4:$C$2342,F$4,'Grid Data'!$A$4:$A$2342,$D$2)*100, 0)</f>
        <v>5.4774000000000003</v>
      </c>
      <c r="G16" s="4">
        <f>IF(  G79&gt;$E$2, SUMIFS(IF($G$2="CPR",'Grid Data'!$J$4:$J$2342,'Grid Data'!$K$4:$K$2342),'Grid Data'!$B$4:$B$2342,$D16,'Grid Data'!$C$4:$C$2342,G$4,'Grid Data'!$A$4:$A$2342,$D$2)*100, 0)</f>
        <v>5.7550999999999997</v>
      </c>
      <c r="H16" s="4">
        <f>IF(  H79&gt;$E$2, SUMIFS(IF($G$2="CPR",'Grid Data'!$J$4:$J$2342,'Grid Data'!$K$4:$K$2342),'Grid Data'!$B$4:$B$2342,$D16,'Grid Data'!$C$4:$C$2342,H$4,'Grid Data'!$A$4:$A$2342,$D$2)*100, 0)</f>
        <v>4.1452</v>
      </c>
      <c r="I16" s="4">
        <f>IF(  I79&gt;$E$2, SUMIFS(IF($G$2="CPR",'Grid Data'!$J$4:$J$2342,'Grid Data'!$K$4:$K$2342),'Grid Data'!$B$4:$B$2342,$D16,'Grid Data'!$C$4:$C$2342,I$4,'Grid Data'!$A$4:$A$2342,$D$2)*100, 0)</f>
        <v>5.2278000000000002</v>
      </c>
      <c r="J16" s="4">
        <f>IF(  J79&gt;$E$2, SUMIFS(IF($G$2="CPR",'Grid Data'!$J$4:$J$2342,'Grid Data'!$K$4:$K$2342),'Grid Data'!$B$4:$B$2342,$D16,'Grid Data'!$C$4:$C$2342,J$4,'Grid Data'!$A$4:$A$2342,$D$2)*100, 0)</f>
        <v>1.2443</v>
      </c>
      <c r="K16" s="4">
        <f>IF(  K79&gt;$E$2, SUMIFS(IF($G$2="CPR",'Grid Data'!$J$4:$J$2342,'Grid Data'!$K$4:$K$2342),'Grid Data'!$B$4:$B$2342,$D16,'Grid Data'!$C$4:$C$2342,K$4,'Grid Data'!$A$4:$A$2342,$D$2)*100, 0)</f>
        <v>0.22539999999999999</v>
      </c>
      <c r="L16" s="4">
        <f>IF(  L79&gt;$E$2, SUMIFS(IF($G$2="CPR",'Grid Data'!$J$4:$J$2342,'Grid Data'!$K$4:$K$2342),'Grid Data'!$B$4:$B$2342,$D16,'Grid Data'!$C$4:$C$2342,L$4,'Grid Data'!$A$4:$A$2342,$D$2)*100, 0)</f>
        <v>9.770900000000001</v>
      </c>
      <c r="M16" s="4">
        <f>IF(  M79&gt;$E$2, SUMIFS(IF($G$2="CPR",'Grid Data'!$J$4:$J$2342,'Grid Data'!$K$4:$K$2342),'Grid Data'!$B$4:$B$2342,$D16,'Grid Data'!$C$4:$C$2342,M$4,'Grid Data'!$A$4:$A$2342,$D$2)*100, 0)</f>
        <v>4.9729000000000001</v>
      </c>
      <c r="N16" s="4">
        <f>IF(  N79&gt;$E$2, SUMIFS(IF($G$2="CPR",'Grid Data'!$J$4:$J$2342,'Grid Data'!$K$4:$K$2342),'Grid Data'!$B$4:$B$2342,$D16,'Grid Data'!$C$4:$C$2342,N$4,'Grid Data'!$A$4:$A$2342,$D$2)*100, 0)</f>
        <v>7.9051</v>
      </c>
      <c r="O16" s="4">
        <f>IF(  O79&gt;$E$2, SUMIFS(IF($G$2="CPR",'Grid Data'!$J$4:$J$2342,'Grid Data'!$K$4:$K$2342),'Grid Data'!$B$4:$B$2342,$D16,'Grid Data'!$C$4:$C$2342,O$4,'Grid Data'!$A$4:$A$2342,$D$2)*100, 0)</f>
        <v>2.4407000000000001</v>
      </c>
      <c r="P16" s="4">
        <f>IF(  P79&gt;$E$2, SUMIFS(IF($G$2="CPR",'Grid Data'!$J$4:$J$2342,'Grid Data'!$K$4:$K$2342),'Grid Data'!$B$4:$B$2342,$D16,'Grid Data'!$C$4:$C$2342,P$4,'Grid Data'!$A$4:$A$2342,$D$2)*100, 0)</f>
        <v>8.8673000000000002</v>
      </c>
      <c r="Q16" s="4">
        <f>IF(  Q79&gt;$E$2, SUMIFS(IF($G$2="CPR",'Grid Data'!$J$4:$J$2342,'Grid Data'!$K$4:$K$2342),'Grid Data'!$B$4:$B$2342,$D16,'Grid Data'!$C$4:$C$2342,Q$4,'Grid Data'!$A$4:$A$2342,$D$2)*100, 0)</f>
        <v>14.465199999999999</v>
      </c>
      <c r="R16" s="4">
        <f>IF(  R79&gt;$E$2, SUMIFS(IF($G$2="CPR",'Grid Data'!$J$4:$J$2342,'Grid Data'!$K$4:$K$2342),'Grid Data'!$B$4:$B$2342,$D16,'Grid Data'!$C$4:$C$2342,R$4,'Grid Data'!$A$4:$A$2342,$D$2)*100, 0)</f>
        <v>8.8913000000000011</v>
      </c>
      <c r="S16" s="4">
        <f>IF(  S79&gt;$E$2, SUMIFS(IF($G$2="CPR",'Grid Data'!$J$4:$J$2342,'Grid Data'!$K$4:$K$2342),'Grid Data'!$B$4:$B$2342,$D16,'Grid Data'!$C$4:$C$2342,S$4,'Grid Data'!$A$4:$A$2342,$D$2)*100, 0)</f>
        <v>11.901100000000001</v>
      </c>
      <c r="T16" s="4">
        <f>IF(  T79&gt;$E$2, SUMIFS(IF($G$2="CPR",'Grid Data'!$J$4:$J$2342,'Grid Data'!$K$4:$K$2342),'Grid Data'!$B$4:$B$2342,$D16,'Grid Data'!$C$4:$C$2342,T$4,'Grid Data'!$A$4:$A$2342,$D$2)*100, 0)</f>
        <v>12.964</v>
      </c>
      <c r="U16" s="4">
        <f>IF(  U79&gt;$E$2, SUMIFS(IF($G$2="CPR",'Grid Data'!$J$4:$J$2342,'Grid Data'!$K$4:$K$2342),'Grid Data'!$B$4:$B$2342,$D16,'Grid Data'!$C$4:$C$2342,U$4,'Grid Data'!$A$4:$A$2342,$D$2)*100, 0)</f>
        <v>7.1807999999999996</v>
      </c>
      <c r="V16" s="4">
        <f>IF(  V79&gt;$E$2, SUMIFS(IF($G$2="CPR",'Grid Data'!$J$4:$J$2342,'Grid Data'!$K$4:$K$2342),'Grid Data'!$B$4:$B$2342,$D16,'Grid Data'!$C$4:$C$2342,V$4,'Grid Data'!$A$4:$A$2342,$D$2)*100, 0)</f>
        <v>18.310499999999998</v>
      </c>
      <c r="W16" s="4">
        <f>IF(  W79&gt;$E$2, SUMIFS(IF($G$2="CPR",'Grid Data'!$J$4:$J$2342,'Grid Data'!$K$4:$K$2342),'Grid Data'!$B$4:$B$2342,$D16,'Grid Data'!$C$4:$C$2342,W$4,'Grid Data'!$A$4:$A$2342,$D$2)*100, 0)</f>
        <v>15.690200000000001</v>
      </c>
      <c r="X16" s="4">
        <f>IF(  X79&gt;$E$2, SUMIFS(IF($G$2="CPR",'Grid Data'!$J$4:$J$2342,'Grid Data'!$K$4:$K$2342),'Grid Data'!$B$4:$B$2342,$D16,'Grid Data'!$C$4:$C$2342,X$4,'Grid Data'!$A$4:$A$2342,$D$2)*100, 0)</f>
        <v>13.045200000000001</v>
      </c>
      <c r="Y16" s="4">
        <f>IF(  Y79&gt;$E$2, SUMIFS(IF($G$2="CPR",'Grid Data'!$J$4:$J$2342,'Grid Data'!$K$4:$K$2342),'Grid Data'!$B$4:$B$2342,$D16,'Grid Data'!$C$4:$C$2342,Y$4,'Grid Data'!$A$4:$A$2342,$D$2)*100, 0)</f>
        <v>9.2730000000000015</v>
      </c>
      <c r="Z16" s="4">
        <f>IF(  Z79&gt;$E$2, SUMIFS(IF($G$2="CPR",'Grid Data'!$J$4:$J$2342,'Grid Data'!$K$4:$K$2342),'Grid Data'!$B$4:$B$2342,$D16,'Grid Data'!$C$4:$C$2342,Z$4,'Grid Data'!$A$4:$A$2342,$D$2)*100, 0)</f>
        <v>13.041399999999999</v>
      </c>
      <c r="AA16" s="4">
        <f>IF(  AA79&gt;$E$2, SUMIFS(IF($G$2="CPR",'Grid Data'!$J$4:$J$2342,'Grid Data'!$K$4:$K$2342),'Grid Data'!$B$4:$B$2342,$D16,'Grid Data'!$C$4:$C$2342,AA$4,'Grid Data'!$A$4:$A$2342,$D$2)*100, 0)</f>
        <v>15.2258</v>
      </c>
      <c r="AB16" s="4">
        <f>IF(  AB79&gt;$E$2, SUMIFS(IF($G$2="CPR",'Grid Data'!$J$4:$J$2342,'Grid Data'!$K$4:$K$2342),'Grid Data'!$B$4:$B$2342,$D16,'Grid Data'!$C$4:$C$2342,AB$4,'Grid Data'!$A$4:$A$2342,$D$2)*100, 0)</f>
        <v>8.2695000000000007</v>
      </c>
      <c r="AC16" s="4">
        <f>IF(  AC79&gt;$E$2, SUMIFS(IF($G$2="CPR",'Grid Data'!$J$4:$J$2342,'Grid Data'!$K$4:$K$2342),'Grid Data'!$B$4:$B$2342,$D16,'Grid Data'!$C$4:$C$2342,AC$4,'Grid Data'!$A$4:$A$2342,$D$2)*100, 0)</f>
        <v>8.0366</v>
      </c>
      <c r="AD16" s="4">
        <f>IF(  AD79&gt;$E$2, SUMIFS(IF($G$2="CPR",'Grid Data'!$J$4:$J$2342,'Grid Data'!$K$4:$K$2342),'Grid Data'!$B$4:$B$2342,$D16,'Grid Data'!$C$4:$C$2342,AD$4,'Grid Data'!$A$4:$A$2342,$D$2)*100, 0)</f>
        <v>7.6665000000000001</v>
      </c>
      <c r="AE16" s="4">
        <f>IF(  AE79&gt;$E$2, SUMIFS(IF($G$2="CPR",'Grid Data'!$J$4:$J$2342,'Grid Data'!$K$4:$K$2342),'Grid Data'!$B$4:$B$2342,$D16,'Grid Data'!$C$4:$C$2342,AE$4,'Grid Data'!$A$4:$A$2342,$D$2)*100, 0)</f>
        <v>8.1257999999999999</v>
      </c>
      <c r="AF16" s="4">
        <f>IF(  AF79&gt;$E$2, SUMIFS(IF($G$2="CPR",'Grid Data'!$J$4:$J$2342,'Grid Data'!$K$4:$K$2342),'Grid Data'!$B$4:$B$2342,$D16,'Grid Data'!$C$4:$C$2342,AF$4,'Grid Data'!$A$4:$A$2342,$D$2)*100, 0)</f>
        <v>0</v>
      </c>
      <c r="AG16" s="4">
        <f>IF(  AG79&gt;$E$2, SUMIFS(IF($G$2="CPR",'Grid Data'!$J$4:$J$2342,'Grid Data'!$K$4:$K$2342),'Grid Data'!$B$4:$B$2342,$D16,'Grid Data'!$C$4:$C$2342,AG$4,'Grid Data'!$A$4:$A$2342,$D$2)*100, 0)</f>
        <v>0</v>
      </c>
      <c r="AH16" s="4">
        <f>IF(  AH79&gt;$E$2, SUMIFS(IF($G$2="CPR",'Grid Data'!$J$4:$J$2342,'Grid Data'!$K$4:$K$2342),'Grid Data'!$B$4:$B$2342,$D16,'Grid Data'!$C$4:$C$2342,AH$4,'Grid Data'!$A$4:$A$2342,$D$2)*100, 0)</f>
        <v>0</v>
      </c>
    </row>
    <row r="17" spans="4:34" x14ac:dyDescent="0.35">
      <c r="D17">
        <v>5000</v>
      </c>
      <c r="E17" s="4">
        <f>IF(  E80&gt;$E$2, SUMIFS(IF($G$2="CPR",'Grid Data'!$J$4:$J$2342,'Grid Data'!$K$4:$K$2342),'Grid Data'!$B$4:$B$2342,$D17,'Grid Data'!$C$4:$C$2342,E$4,'Grid Data'!$A$4:$A$2342,$D$2)*100, 0)</f>
        <v>0.1016</v>
      </c>
      <c r="F17" s="4">
        <f>IF(  F80&gt;$E$2, SUMIFS(IF($G$2="CPR",'Grid Data'!$J$4:$J$2342,'Grid Data'!$K$4:$K$2342),'Grid Data'!$B$4:$B$2342,$D17,'Grid Data'!$C$4:$C$2342,F$4,'Grid Data'!$A$4:$A$2342,$D$2)*100, 0)</f>
        <v>3.5431999999999997</v>
      </c>
      <c r="G17" s="4">
        <f>IF(  G80&gt;$E$2, SUMIFS(IF($G$2="CPR",'Grid Data'!$J$4:$J$2342,'Grid Data'!$K$4:$K$2342),'Grid Data'!$B$4:$B$2342,$D17,'Grid Data'!$C$4:$C$2342,G$4,'Grid Data'!$A$4:$A$2342,$D$2)*100, 0)</f>
        <v>0.96849999999999992</v>
      </c>
      <c r="H17" s="4">
        <f>IF(  H80&gt;$E$2, SUMIFS(IF($G$2="CPR",'Grid Data'!$J$4:$J$2342,'Grid Data'!$K$4:$K$2342),'Grid Data'!$B$4:$B$2342,$D17,'Grid Data'!$C$4:$C$2342,H$4,'Grid Data'!$A$4:$A$2342,$D$2)*100, 0)</f>
        <v>1.2924</v>
      </c>
      <c r="I17" s="4">
        <f>IF(  I80&gt;$E$2, SUMIFS(IF($G$2="CPR",'Grid Data'!$J$4:$J$2342,'Grid Data'!$K$4:$K$2342),'Grid Data'!$B$4:$B$2342,$D17,'Grid Data'!$C$4:$C$2342,I$4,'Grid Data'!$A$4:$A$2342,$D$2)*100, 0)</f>
        <v>1.5329999999999999</v>
      </c>
      <c r="J17" s="4">
        <f>IF(  J80&gt;$E$2, SUMIFS(IF($G$2="CPR",'Grid Data'!$J$4:$J$2342,'Grid Data'!$K$4:$K$2342),'Grid Data'!$B$4:$B$2342,$D17,'Grid Data'!$C$4:$C$2342,J$4,'Grid Data'!$A$4:$A$2342,$D$2)*100, 0)</f>
        <v>4.1372999999999998</v>
      </c>
      <c r="K17" s="4">
        <f>IF(  K80&gt;$E$2, SUMIFS(IF($G$2="CPR",'Grid Data'!$J$4:$J$2342,'Grid Data'!$K$4:$K$2342),'Grid Data'!$B$4:$B$2342,$D17,'Grid Data'!$C$4:$C$2342,K$4,'Grid Data'!$A$4:$A$2342,$D$2)*100, 0)</f>
        <v>2.3699000000000003</v>
      </c>
      <c r="L17" s="4">
        <f>IF(  L80&gt;$E$2, SUMIFS(IF($G$2="CPR",'Grid Data'!$J$4:$J$2342,'Grid Data'!$K$4:$K$2342),'Grid Data'!$B$4:$B$2342,$D17,'Grid Data'!$C$4:$C$2342,L$4,'Grid Data'!$A$4:$A$2342,$D$2)*100, 0)</f>
        <v>5.3430999999999997</v>
      </c>
      <c r="M17" s="4">
        <f>IF(  M80&gt;$E$2, SUMIFS(IF($G$2="CPR",'Grid Data'!$J$4:$J$2342,'Grid Data'!$K$4:$K$2342),'Grid Data'!$B$4:$B$2342,$D17,'Grid Data'!$C$4:$C$2342,M$4,'Grid Data'!$A$4:$A$2342,$D$2)*100, 0)</f>
        <v>7.0719000000000003</v>
      </c>
      <c r="N17" s="4">
        <f>IF(  N80&gt;$E$2, SUMIFS(IF($G$2="CPR",'Grid Data'!$J$4:$J$2342,'Grid Data'!$K$4:$K$2342),'Grid Data'!$B$4:$B$2342,$D17,'Grid Data'!$C$4:$C$2342,N$4,'Grid Data'!$A$4:$A$2342,$D$2)*100, 0)</f>
        <v>9.6917000000000009</v>
      </c>
      <c r="O17" s="4">
        <f>IF(  O80&gt;$E$2, SUMIFS(IF($G$2="CPR",'Grid Data'!$J$4:$J$2342,'Grid Data'!$K$4:$K$2342),'Grid Data'!$B$4:$B$2342,$D17,'Grid Data'!$C$4:$C$2342,O$4,'Grid Data'!$A$4:$A$2342,$D$2)*100, 0)</f>
        <v>1.6105999999999998</v>
      </c>
      <c r="P17" s="4">
        <f>IF(  P80&gt;$E$2, SUMIFS(IF($G$2="CPR",'Grid Data'!$J$4:$J$2342,'Grid Data'!$K$4:$K$2342),'Grid Data'!$B$4:$B$2342,$D17,'Grid Data'!$C$4:$C$2342,P$4,'Grid Data'!$A$4:$A$2342,$D$2)*100, 0)</f>
        <v>3.0377000000000001</v>
      </c>
      <c r="Q17" s="4">
        <f>IF(  Q80&gt;$E$2, SUMIFS(IF($G$2="CPR",'Grid Data'!$J$4:$J$2342,'Grid Data'!$K$4:$K$2342),'Grid Data'!$B$4:$B$2342,$D17,'Grid Data'!$C$4:$C$2342,Q$4,'Grid Data'!$A$4:$A$2342,$D$2)*100, 0)</f>
        <v>8.9208999999999996</v>
      </c>
      <c r="R17" s="4">
        <f>IF(  R80&gt;$E$2, SUMIFS(IF($G$2="CPR",'Grid Data'!$J$4:$J$2342,'Grid Data'!$K$4:$K$2342),'Grid Data'!$B$4:$B$2342,$D17,'Grid Data'!$C$4:$C$2342,R$4,'Grid Data'!$A$4:$A$2342,$D$2)*100, 0)</f>
        <v>12.600200000000001</v>
      </c>
      <c r="S17" s="4">
        <f>IF(  S80&gt;$E$2, SUMIFS(IF($G$2="CPR",'Grid Data'!$J$4:$J$2342,'Grid Data'!$K$4:$K$2342),'Grid Data'!$B$4:$B$2342,$D17,'Grid Data'!$C$4:$C$2342,S$4,'Grid Data'!$A$4:$A$2342,$D$2)*100, 0)</f>
        <v>11.050599999999999</v>
      </c>
      <c r="T17" s="4">
        <f>IF(  T80&gt;$E$2, SUMIFS(IF($G$2="CPR",'Grid Data'!$J$4:$J$2342,'Grid Data'!$K$4:$K$2342),'Grid Data'!$B$4:$B$2342,$D17,'Grid Data'!$C$4:$C$2342,T$4,'Grid Data'!$A$4:$A$2342,$D$2)*100, 0)</f>
        <v>13.2082</v>
      </c>
      <c r="U17" s="4">
        <f>IF(  U80&gt;$E$2, SUMIFS(IF($G$2="CPR",'Grid Data'!$J$4:$J$2342,'Grid Data'!$K$4:$K$2342),'Grid Data'!$B$4:$B$2342,$D17,'Grid Data'!$C$4:$C$2342,U$4,'Grid Data'!$A$4:$A$2342,$D$2)*100, 0)</f>
        <v>0</v>
      </c>
      <c r="V17" s="4">
        <f>IF(  V80&gt;$E$2, SUMIFS(IF($G$2="CPR",'Grid Data'!$J$4:$J$2342,'Grid Data'!$K$4:$K$2342),'Grid Data'!$B$4:$B$2342,$D17,'Grid Data'!$C$4:$C$2342,V$4,'Grid Data'!$A$4:$A$2342,$D$2)*100, 0)</f>
        <v>0</v>
      </c>
      <c r="W17" s="4">
        <f>IF(  W80&gt;$E$2, SUMIFS(IF($G$2="CPR",'Grid Data'!$J$4:$J$2342,'Grid Data'!$K$4:$K$2342),'Grid Data'!$B$4:$B$2342,$D17,'Grid Data'!$C$4:$C$2342,W$4,'Grid Data'!$A$4:$A$2342,$D$2)*100, 0)</f>
        <v>7.5746999999999991</v>
      </c>
      <c r="X17" s="4">
        <f>IF(  X80&gt;$E$2, SUMIFS(IF($G$2="CPR",'Grid Data'!$J$4:$J$2342,'Grid Data'!$K$4:$K$2342),'Grid Data'!$B$4:$B$2342,$D17,'Grid Data'!$C$4:$C$2342,X$4,'Grid Data'!$A$4:$A$2342,$D$2)*100, 0)</f>
        <v>14.9704</v>
      </c>
      <c r="Y17" s="4">
        <f>IF(  Y80&gt;$E$2, SUMIFS(IF($G$2="CPR",'Grid Data'!$J$4:$J$2342,'Grid Data'!$K$4:$K$2342),'Grid Data'!$B$4:$B$2342,$D17,'Grid Data'!$C$4:$C$2342,Y$4,'Grid Data'!$A$4:$A$2342,$D$2)*100, 0)</f>
        <v>13.380800000000001</v>
      </c>
      <c r="Z17" s="4">
        <f>IF(  Z80&gt;$E$2, SUMIFS(IF($G$2="CPR",'Grid Data'!$J$4:$J$2342,'Grid Data'!$K$4:$K$2342),'Grid Data'!$B$4:$B$2342,$D17,'Grid Data'!$C$4:$C$2342,Z$4,'Grid Data'!$A$4:$A$2342,$D$2)*100, 0)</f>
        <v>12.3941</v>
      </c>
      <c r="AA17" s="4">
        <f>IF(  AA80&gt;$E$2, SUMIFS(IF($G$2="CPR",'Grid Data'!$J$4:$J$2342,'Grid Data'!$K$4:$K$2342),'Grid Data'!$B$4:$B$2342,$D17,'Grid Data'!$C$4:$C$2342,AA$4,'Grid Data'!$A$4:$A$2342,$D$2)*100, 0)</f>
        <v>8.7118000000000002</v>
      </c>
      <c r="AB17" s="4">
        <f>IF(  AB80&gt;$E$2, SUMIFS(IF($G$2="CPR",'Grid Data'!$J$4:$J$2342,'Grid Data'!$K$4:$K$2342),'Grid Data'!$B$4:$B$2342,$D17,'Grid Data'!$C$4:$C$2342,AB$4,'Grid Data'!$A$4:$A$2342,$D$2)*100, 0)</f>
        <v>2.5476999999999999</v>
      </c>
      <c r="AC17" s="4">
        <f>IF(  AC80&gt;$E$2, SUMIFS(IF($G$2="CPR",'Grid Data'!$J$4:$J$2342,'Grid Data'!$K$4:$K$2342),'Grid Data'!$B$4:$B$2342,$D17,'Grid Data'!$C$4:$C$2342,AC$4,'Grid Data'!$A$4:$A$2342,$D$2)*100, 0)</f>
        <v>9.0542999999999996</v>
      </c>
      <c r="AD17" s="4">
        <f>IF(  AD80&gt;$E$2, SUMIFS(IF($G$2="CPR",'Grid Data'!$J$4:$J$2342,'Grid Data'!$K$4:$K$2342),'Grid Data'!$B$4:$B$2342,$D17,'Grid Data'!$C$4:$C$2342,AD$4,'Grid Data'!$A$4:$A$2342,$D$2)*100, 0)</f>
        <v>8.9057999999999993</v>
      </c>
      <c r="AE17" s="4">
        <f>IF(  AE80&gt;$E$2, SUMIFS(IF($G$2="CPR",'Grid Data'!$J$4:$J$2342,'Grid Data'!$K$4:$K$2342),'Grid Data'!$B$4:$B$2342,$D17,'Grid Data'!$C$4:$C$2342,AE$4,'Grid Data'!$A$4:$A$2342,$D$2)*100, 0)</f>
        <v>9.0969999999999995</v>
      </c>
      <c r="AF17" s="4">
        <f>IF(  AF80&gt;$E$2, SUMIFS(IF($G$2="CPR",'Grid Data'!$J$4:$J$2342,'Grid Data'!$K$4:$K$2342),'Grid Data'!$B$4:$B$2342,$D17,'Grid Data'!$C$4:$C$2342,AF$4,'Grid Data'!$A$4:$A$2342,$D$2)*100, 0)</f>
        <v>0</v>
      </c>
      <c r="AG17" s="4">
        <f>IF(  AG80&gt;$E$2, SUMIFS(IF($G$2="CPR",'Grid Data'!$J$4:$J$2342,'Grid Data'!$K$4:$K$2342),'Grid Data'!$B$4:$B$2342,$D17,'Grid Data'!$C$4:$C$2342,AG$4,'Grid Data'!$A$4:$A$2342,$D$2)*100, 0)</f>
        <v>13.5023</v>
      </c>
      <c r="AH17" s="4">
        <f>IF(  AH80&gt;$E$2, SUMIFS(IF($G$2="CPR",'Grid Data'!$J$4:$J$2342,'Grid Data'!$K$4:$K$2342),'Grid Data'!$B$4:$B$2342,$D17,'Grid Data'!$C$4:$C$2342,AH$4,'Grid Data'!$A$4:$A$2342,$D$2)*100, 0)</f>
        <v>0</v>
      </c>
    </row>
    <row r="18" spans="4:34" x14ac:dyDescent="0.35">
      <c r="D18">
        <v>5250</v>
      </c>
      <c r="E18" s="4">
        <f>IF(  E81&gt;$E$2, SUMIFS(IF($G$2="CPR",'Grid Data'!$J$4:$J$2342,'Grid Data'!$K$4:$K$2342),'Grid Data'!$B$4:$B$2342,$D18,'Grid Data'!$C$4:$C$2342,E$4,'Grid Data'!$A$4:$A$2342,$D$2)*100, 0)</f>
        <v>0.27150000000000002</v>
      </c>
      <c r="F18" s="4">
        <f>IF(  F81&gt;$E$2, SUMIFS(IF($G$2="CPR",'Grid Data'!$J$4:$J$2342,'Grid Data'!$K$4:$K$2342),'Grid Data'!$B$4:$B$2342,$D18,'Grid Data'!$C$4:$C$2342,F$4,'Grid Data'!$A$4:$A$2342,$D$2)*100, 0)</f>
        <v>7.2594000000000003</v>
      </c>
      <c r="G18" s="4">
        <f>IF(  G81&gt;$E$2, SUMIFS(IF($G$2="CPR",'Grid Data'!$J$4:$J$2342,'Grid Data'!$K$4:$K$2342),'Grid Data'!$B$4:$B$2342,$D18,'Grid Data'!$C$4:$C$2342,G$4,'Grid Data'!$A$4:$A$2342,$D$2)*100, 0)</f>
        <v>5.6791999999999998</v>
      </c>
      <c r="H18" s="4">
        <f>IF(  H81&gt;$E$2, SUMIFS(IF($G$2="CPR",'Grid Data'!$J$4:$J$2342,'Grid Data'!$K$4:$K$2342),'Grid Data'!$B$4:$B$2342,$D18,'Grid Data'!$C$4:$C$2342,H$4,'Grid Data'!$A$4:$A$2342,$D$2)*100, 0)</f>
        <v>16.1004</v>
      </c>
      <c r="I18" s="4">
        <f>IF(  I81&gt;$E$2, SUMIFS(IF($G$2="CPR",'Grid Data'!$J$4:$J$2342,'Grid Data'!$K$4:$K$2342),'Grid Data'!$B$4:$B$2342,$D18,'Grid Data'!$C$4:$C$2342,I$4,'Grid Data'!$A$4:$A$2342,$D$2)*100, 0)</f>
        <v>6.1400999999999994</v>
      </c>
      <c r="J18" s="4">
        <f>IF(  J81&gt;$E$2, SUMIFS(IF($G$2="CPR",'Grid Data'!$J$4:$J$2342,'Grid Data'!$K$4:$K$2342),'Grid Data'!$B$4:$B$2342,$D18,'Grid Data'!$C$4:$C$2342,J$4,'Grid Data'!$A$4:$A$2342,$D$2)*100, 0)</f>
        <v>4.8571999999999997</v>
      </c>
      <c r="K18" s="4">
        <f>IF(  K81&gt;$E$2, SUMIFS(IF($G$2="CPR",'Grid Data'!$J$4:$J$2342,'Grid Data'!$K$4:$K$2342),'Grid Data'!$B$4:$B$2342,$D18,'Grid Data'!$C$4:$C$2342,K$4,'Grid Data'!$A$4:$A$2342,$D$2)*100, 0)</f>
        <v>2.3696999999999999</v>
      </c>
      <c r="L18" s="4">
        <f>IF(  L81&gt;$E$2, SUMIFS(IF($G$2="CPR",'Grid Data'!$J$4:$J$2342,'Grid Data'!$K$4:$K$2342),'Grid Data'!$B$4:$B$2342,$D18,'Grid Data'!$C$4:$C$2342,L$4,'Grid Data'!$A$4:$A$2342,$D$2)*100, 0)</f>
        <v>12.0936</v>
      </c>
      <c r="M18" s="4">
        <f>IF(  M81&gt;$E$2, SUMIFS(IF($G$2="CPR",'Grid Data'!$J$4:$J$2342,'Grid Data'!$K$4:$K$2342),'Grid Data'!$B$4:$B$2342,$D18,'Grid Data'!$C$4:$C$2342,M$4,'Grid Data'!$A$4:$A$2342,$D$2)*100, 0)</f>
        <v>12.059699999999999</v>
      </c>
      <c r="N18" s="4">
        <f>IF(  N81&gt;$E$2, SUMIFS(IF($G$2="CPR",'Grid Data'!$J$4:$J$2342,'Grid Data'!$K$4:$K$2342),'Grid Data'!$B$4:$B$2342,$D18,'Grid Data'!$C$4:$C$2342,N$4,'Grid Data'!$A$4:$A$2342,$D$2)*100, 0)</f>
        <v>13.886799999999999</v>
      </c>
      <c r="O18" s="4">
        <f>IF(  O81&gt;$E$2, SUMIFS(IF($G$2="CPR",'Grid Data'!$J$4:$J$2342,'Grid Data'!$K$4:$K$2342),'Grid Data'!$B$4:$B$2342,$D18,'Grid Data'!$C$4:$C$2342,O$4,'Grid Data'!$A$4:$A$2342,$D$2)*100, 0)</f>
        <v>5.1734</v>
      </c>
      <c r="P18" s="4">
        <f>IF(  P81&gt;$E$2, SUMIFS(IF($G$2="CPR",'Grid Data'!$J$4:$J$2342,'Grid Data'!$K$4:$K$2342),'Grid Data'!$B$4:$B$2342,$D18,'Grid Data'!$C$4:$C$2342,P$4,'Grid Data'!$A$4:$A$2342,$D$2)*100, 0)</f>
        <v>7.1060999999999996</v>
      </c>
      <c r="Q18" s="4">
        <f>IF(  Q81&gt;$E$2, SUMIFS(IF($G$2="CPR",'Grid Data'!$J$4:$J$2342,'Grid Data'!$K$4:$K$2342),'Grid Data'!$B$4:$B$2342,$D18,'Grid Data'!$C$4:$C$2342,Q$4,'Grid Data'!$A$4:$A$2342,$D$2)*100, 0)</f>
        <v>10.8841</v>
      </c>
      <c r="R18" s="4">
        <f>IF(  R81&gt;$E$2, SUMIFS(IF($G$2="CPR",'Grid Data'!$J$4:$J$2342,'Grid Data'!$K$4:$K$2342),'Grid Data'!$B$4:$B$2342,$D18,'Grid Data'!$C$4:$C$2342,R$4,'Grid Data'!$A$4:$A$2342,$D$2)*100, 0)</f>
        <v>13.826499999999999</v>
      </c>
      <c r="S18" s="4">
        <f>IF(  S81&gt;$E$2, SUMIFS(IF($G$2="CPR",'Grid Data'!$J$4:$J$2342,'Grid Data'!$K$4:$K$2342),'Grid Data'!$B$4:$B$2342,$D18,'Grid Data'!$C$4:$C$2342,S$4,'Grid Data'!$A$4:$A$2342,$D$2)*100, 0)</f>
        <v>14.8459</v>
      </c>
      <c r="T18" s="4">
        <f>IF(  T81&gt;$E$2, SUMIFS(IF($G$2="CPR",'Grid Data'!$J$4:$J$2342,'Grid Data'!$K$4:$K$2342),'Grid Data'!$B$4:$B$2342,$D18,'Grid Data'!$C$4:$C$2342,T$4,'Grid Data'!$A$4:$A$2342,$D$2)*100, 0)</f>
        <v>13.839699999999999</v>
      </c>
      <c r="U18" s="4">
        <f>IF(  U81&gt;$E$2, SUMIFS(IF($G$2="CPR",'Grid Data'!$J$4:$J$2342,'Grid Data'!$K$4:$K$2342),'Grid Data'!$B$4:$B$2342,$D18,'Grid Data'!$C$4:$C$2342,U$4,'Grid Data'!$A$4:$A$2342,$D$2)*100, 0)</f>
        <v>8.5972999999999988</v>
      </c>
      <c r="V18" s="4">
        <f>IF(  V81&gt;$E$2, SUMIFS(IF($G$2="CPR",'Grid Data'!$J$4:$J$2342,'Grid Data'!$K$4:$K$2342),'Grid Data'!$B$4:$B$2342,$D18,'Grid Data'!$C$4:$C$2342,V$4,'Grid Data'!$A$4:$A$2342,$D$2)*100, 0)</f>
        <v>15.443399999999999</v>
      </c>
      <c r="W18" s="4">
        <f>IF(  W81&gt;$E$2, SUMIFS(IF($G$2="CPR",'Grid Data'!$J$4:$J$2342,'Grid Data'!$K$4:$K$2342),'Grid Data'!$B$4:$B$2342,$D18,'Grid Data'!$C$4:$C$2342,W$4,'Grid Data'!$A$4:$A$2342,$D$2)*100, 0)</f>
        <v>31.816400000000002</v>
      </c>
      <c r="X18" s="4">
        <f>IF(  X81&gt;$E$2, SUMIFS(IF($G$2="CPR",'Grid Data'!$J$4:$J$2342,'Grid Data'!$K$4:$K$2342),'Grid Data'!$B$4:$B$2342,$D18,'Grid Data'!$C$4:$C$2342,X$4,'Grid Data'!$A$4:$A$2342,$D$2)*100, 0)</f>
        <v>14.658799999999999</v>
      </c>
      <c r="Y18" s="4">
        <f>IF(  Y81&gt;$E$2, SUMIFS(IF($G$2="CPR",'Grid Data'!$J$4:$J$2342,'Grid Data'!$K$4:$K$2342),'Grid Data'!$B$4:$B$2342,$D18,'Grid Data'!$C$4:$C$2342,Y$4,'Grid Data'!$A$4:$A$2342,$D$2)*100, 0)</f>
        <v>11.453299999999999</v>
      </c>
      <c r="Z18" s="4">
        <f>IF(  Z81&gt;$E$2, SUMIFS(IF($G$2="CPR",'Grid Data'!$J$4:$J$2342,'Grid Data'!$K$4:$K$2342),'Grid Data'!$B$4:$B$2342,$D18,'Grid Data'!$C$4:$C$2342,Z$4,'Grid Data'!$A$4:$A$2342,$D$2)*100, 0)</f>
        <v>18.054500000000001</v>
      </c>
      <c r="AA18" s="4">
        <f>IF(  AA81&gt;$E$2, SUMIFS(IF($G$2="CPR",'Grid Data'!$J$4:$J$2342,'Grid Data'!$K$4:$K$2342),'Grid Data'!$B$4:$B$2342,$D18,'Grid Data'!$C$4:$C$2342,AA$4,'Grid Data'!$A$4:$A$2342,$D$2)*100, 0)</f>
        <v>0</v>
      </c>
      <c r="AB18" s="4">
        <f>IF(  AB81&gt;$E$2, SUMIFS(IF($G$2="CPR",'Grid Data'!$J$4:$J$2342,'Grid Data'!$K$4:$K$2342),'Grid Data'!$B$4:$B$2342,$D18,'Grid Data'!$C$4:$C$2342,AB$4,'Grid Data'!$A$4:$A$2342,$D$2)*100, 0)</f>
        <v>0.93810000000000004</v>
      </c>
      <c r="AC18" s="4">
        <f>IF(  AC81&gt;$E$2, SUMIFS(IF($G$2="CPR",'Grid Data'!$J$4:$J$2342,'Grid Data'!$K$4:$K$2342),'Grid Data'!$B$4:$B$2342,$D18,'Grid Data'!$C$4:$C$2342,AC$4,'Grid Data'!$A$4:$A$2342,$D$2)*100, 0)</f>
        <v>16.753899999999998</v>
      </c>
      <c r="AD18" s="4">
        <f>IF(  AD81&gt;$E$2, SUMIFS(IF($G$2="CPR",'Grid Data'!$J$4:$J$2342,'Grid Data'!$K$4:$K$2342),'Grid Data'!$B$4:$B$2342,$D18,'Grid Data'!$C$4:$C$2342,AD$4,'Grid Data'!$A$4:$A$2342,$D$2)*100, 0)</f>
        <v>4.9735000000000005</v>
      </c>
      <c r="AE18" s="4">
        <f>IF(  AE81&gt;$E$2, SUMIFS(IF($G$2="CPR",'Grid Data'!$J$4:$J$2342,'Grid Data'!$K$4:$K$2342),'Grid Data'!$B$4:$B$2342,$D18,'Grid Data'!$C$4:$C$2342,AE$4,'Grid Data'!$A$4:$A$2342,$D$2)*100, 0)</f>
        <v>7.1286000000000005</v>
      </c>
      <c r="AF18" s="4">
        <f>IF(  AF81&gt;$E$2, SUMIFS(IF($G$2="CPR",'Grid Data'!$J$4:$J$2342,'Grid Data'!$K$4:$K$2342),'Grid Data'!$B$4:$B$2342,$D18,'Grid Data'!$C$4:$C$2342,AF$4,'Grid Data'!$A$4:$A$2342,$D$2)*100, 0)</f>
        <v>0</v>
      </c>
      <c r="AG18" s="4">
        <f>IF(  AG81&gt;$E$2, SUMIFS(IF($G$2="CPR",'Grid Data'!$J$4:$J$2342,'Grid Data'!$K$4:$K$2342),'Grid Data'!$B$4:$B$2342,$D18,'Grid Data'!$C$4:$C$2342,AG$4,'Grid Data'!$A$4:$A$2342,$D$2)*100, 0)</f>
        <v>14.5351</v>
      </c>
      <c r="AH18" s="4">
        <f>IF(  AH81&gt;$E$2, SUMIFS(IF($G$2="CPR",'Grid Data'!$J$4:$J$2342,'Grid Data'!$K$4:$K$2342),'Grid Data'!$B$4:$B$2342,$D18,'Grid Data'!$C$4:$C$2342,AH$4,'Grid Data'!$A$4:$A$2342,$D$2)*100, 0)</f>
        <v>0</v>
      </c>
    </row>
    <row r="19" spans="4:34" x14ac:dyDescent="0.35">
      <c r="D19">
        <v>5500</v>
      </c>
      <c r="E19" s="4">
        <f>IF(  E82&gt;$E$2, SUMIFS(IF($G$2="CPR",'Grid Data'!$J$4:$J$2342,'Grid Data'!$K$4:$K$2342),'Grid Data'!$B$4:$B$2342,$D19,'Grid Data'!$C$4:$C$2342,E$4,'Grid Data'!$A$4:$A$2342,$D$2)*100, 0)</f>
        <v>0.57210000000000005</v>
      </c>
      <c r="F19" s="4">
        <f>IF(  F82&gt;$E$2, SUMIFS(IF($G$2="CPR",'Grid Data'!$J$4:$J$2342,'Grid Data'!$K$4:$K$2342),'Grid Data'!$B$4:$B$2342,$D19,'Grid Data'!$C$4:$C$2342,F$4,'Grid Data'!$A$4:$A$2342,$D$2)*100, 0)</f>
        <v>7.1009000000000002</v>
      </c>
      <c r="G19" s="4">
        <f>IF(  G82&gt;$E$2, SUMIFS(IF($G$2="CPR",'Grid Data'!$J$4:$J$2342,'Grid Data'!$K$4:$K$2342),'Grid Data'!$B$4:$B$2342,$D19,'Grid Data'!$C$4:$C$2342,G$4,'Grid Data'!$A$4:$A$2342,$D$2)*100, 0)</f>
        <v>12.2067</v>
      </c>
      <c r="H19" s="4">
        <f>IF(  H82&gt;$E$2, SUMIFS(IF($G$2="CPR",'Grid Data'!$J$4:$J$2342,'Grid Data'!$K$4:$K$2342),'Grid Data'!$B$4:$B$2342,$D19,'Grid Data'!$C$4:$C$2342,H$4,'Grid Data'!$A$4:$A$2342,$D$2)*100, 0)</f>
        <v>15.7621</v>
      </c>
      <c r="I19" s="4">
        <f>IF(  I82&gt;$E$2, SUMIFS(IF($G$2="CPR",'Grid Data'!$J$4:$J$2342,'Grid Data'!$K$4:$K$2342),'Grid Data'!$B$4:$B$2342,$D19,'Grid Data'!$C$4:$C$2342,I$4,'Grid Data'!$A$4:$A$2342,$D$2)*100, 0)</f>
        <v>13.2547</v>
      </c>
      <c r="J19" s="4">
        <f>IF(  J82&gt;$E$2, SUMIFS(IF($G$2="CPR",'Grid Data'!$J$4:$J$2342,'Grid Data'!$K$4:$K$2342),'Grid Data'!$B$4:$B$2342,$D19,'Grid Data'!$C$4:$C$2342,J$4,'Grid Data'!$A$4:$A$2342,$D$2)*100, 0)</f>
        <v>7.6212</v>
      </c>
      <c r="K19" s="4">
        <f>IF(  K82&gt;$E$2, SUMIFS(IF($G$2="CPR",'Grid Data'!$J$4:$J$2342,'Grid Data'!$K$4:$K$2342),'Grid Data'!$B$4:$B$2342,$D19,'Grid Data'!$C$4:$C$2342,K$4,'Grid Data'!$A$4:$A$2342,$D$2)*100, 0)</f>
        <v>9.42</v>
      </c>
      <c r="L19" s="4">
        <f>IF(  L82&gt;$E$2, SUMIFS(IF($G$2="CPR",'Grid Data'!$J$4:$J$2342,'Grid Data'!$K$4:$K$2342),'Grid Data'!$B$4:$B$2342,$D19,'Grid Data'!$C$4:$C$2342,L$4,'Grid Data'!$A$4:$A$2342,$D$2)*100, 0)</f>
        <v>15.585799999999999</v>
      </c>
      <c r="M19" s="4">
        <f>IF(  M82&gt;$E$2, SUMIFS(IF($G$2="CPR",'Grid Data'!$J$4:$J$2342,'Grid Data'!$K$4:$K$2342),'Grid Data'!$B$4:$B$2342,$D19,'Grid Data'!$C$4:$C$2342,M$4,'Grid Data'!$A$4:$A$2342,$D$2)*100, 0)</f>
        <v>13.186700000000002</v>
      </c>
      <c r="N19" s="4">
        <f>IF(  N82&gt;$E$2, SUMIFS(IF($G$2="CPR",'Grid Data'!$J$4:$J$2342,'Grid Data'!$K$4:$K$2342),'Grid Data'!$B$4:$B$2342,$D19,'Grid Data'!$C$4:$C$2342,N$4,'Grid Data'!$A$4:$A$2342,$D$2)*100, 0)</f>
        <v>13.0465</v>
      </c>
      <c r="O19" s="4">
        <f>IF(  O82&gt;$E$2, SUMIFS(IF($G$2="CPR",'Grid Data'!$J$4:$J$2342,'Grid Data'!$K$4:$K$2342),'Grid Data'!$B$4:$B$2342,$D19,'Grid Data'!$C$4:$C$2342,O$4,'Grid Data'!$A$4:$A$2342,$D$2)*100, 0)</f>
        <v>9.9890000000000008</v>
      </c>
      <c r="P19" s="4">
        <f>IF(  P82&gt;$E$2, SUMIFS(IF($G$2="CPR",'Grid Data'!$J$4:$J$2342,'Grid Data'!$K$4:$K$2342),'Grid Data'!$B$4:$B$2342,$D19,'Grid Data'!$C$4:$C$2342,P$4,'Grid Data'!$A$4:$A$2342,$D$2)*100, 0)</f>
        <v>9.7089999999999996</v>
      </c>
      <c r="Q19" s="4">
        <f>IF(  Q82&gt;$E$2, SUMIFS(IF($G$2="CPR",'Grid Data'!$J$4:$J$2342,'Grid Data'!$K$4:$K$2342),'Grid Data'!$B$4:$B$2342,$D19,'Grid Data'!$C$4:$C$2342,Q$4,'Grid Data'!$A$4:$A$2342,$D$2)*100, 0)</f>
        <v>12.5366</v>
      </c>
      <c r="R19" s="4">
        <f>IF(  R82&gt;$E$2, SUMIFS(IF($G$2="CPR",'Grid Data'!$J$4:$J$2342,'Grid Data'!$K$4:$K$2342),'Grid Data'!$B$4:$B$2342,$D19,'Grid Data'!$C$4:$C$2342,R$4,'Grid Data'!$A$4:$A$2342,$D$2)*100, 0)</f>
        <v>13.2879</v>
      </c>
      <c r="S19" s="4">
        <f>IF(  S82&gt;$E$2, SUMIFS(IF($G$2="CPR",'Grid Data'!$J$4:$J$2342,'Grid Data'!$K$4:$K$2342),'Grid Data'!$B$4:$B$2342,$D19,'Grid Data'!$C$4:$C$2342,S$4,'Grid Data'!$A$4:$A$2342,$D$2)*100, 0)</f>
        <v>16.816400000000002</v>
      </c>
      <c r="T19" s="4">
        <f>IF(  T82&gt;$E$2, SUMIFS(IF($G$2="CPR",'Grid Data'!$J$4:$J$2342,'Grid Data'!$K$4:$K$2342),'Grid Data'!$B$4:$B$2342,$D19,'Grid Data'!$C$4:$C$2342,T$4,'Grid Data'!$A$4:$A$2342,$D$2)*100, 0)</f>
        <v>13.759499999999999</v>
      </c>
      <c r="U19" s="4">
        <f>IF(  U82&gt;$E$2, SUMIFS(IF($G$2="CPR",'Grid Data'!$J$4:$J$2342,'Grid Data'!$K$4:$K$2342),'Grid Data'!$B$4:$B$2342,$D19,'Grid Data'!$C$4:$C$2342,U$4,'Grid Data'!$A$4:$A$2342,$D$2)*100, 0)</f>
        <v>0</v>
      </c>
      <c r="V19" s="4">
        <f>IF(  V82&gt;$E$2, SUMIFS(IF($G$2="CPR",'Grid Data'!$J$4:$J$2342,'Grid Data'!$K$4:$K$2342),'Grid Data'!$B$4:$B$2342,$D19,'Grid Data'!$C$4:$C$2342,V$4,'Grid Data'!$A$4:$A$2342,$D$2)*100, 0)</f>
        <v>0</v>
      </c>
      <c r="W19" s="4">
        <f>IF(  W82&gt;$E$2, SUMIFS(IF($G$2="CPR",'Grid Data'!$J$4:$J$2342,'Grid Data'!$K$4:$K$2342),'Grid Data'!$B$4:$B$2342,$D19,'Grid Data'!$C$4:$C$2342,W$4,'Grid Data'!$A$4:$A$2342,$D$2)*100, 0)</f>
        <v>0</v>
      </c>
      <c r="X19" s="4">
        <f>IF(  X82&gt;$E$2, SUMIFS(IF($G$2="CPR",'Grid Data'!$J$4:$J$2342,'Grid Data'!$K$4:$K$2342),'Grid Data'!$B$4:$B$2342,$D19,'Grid Data'!$C$4:$C$2342,X$4,'Grid Data'!$A$4:$A$2342,$D$2)*100, 0)</f>
        <v>13.011000000000001</v>
      </c>
      <c r="Y19" s="4">
        <f>IF(  Y82&gt;$E$2, SUMIFS(IF($G$2="CPR",'Grid Data'!$J$4:$J$2342,'Grid Data'!$K$4:$K$2342),'Grid Data'!$B$4:$B$2342,$D19,'Grid Data'!$C$4:$C$2342,Y$4,'Grid Data'!$A$4:$A$2342,$D$2)*100, 0)</f>
        <v>9.2469000000000001</v>
      </c>
      <c r="Z19" s="4">
        <f>IF(  Z82&gt;$E$2, SUMIFS(IF($G$2="CPR",'Grid Data'!$J$4:$J$2342,'Grid Data'!$K$4:$K$2342),'Grid Data'!$B$4:$B$2342,$D19,'Grid Data'!$C$4:$C$2342,Z$4,'Grid Data'!$A$4:$A$2342,$D$2)*100, 0)</f>
        <v>0</v>
      </c>
      <c r="AA19" s="4">
        <f>IF(  AA82&gt;$E$2, SUMIFS(IF($G$2="CPR",'Grid Data'!$J$4:$J$2342,'Grid Data'!$K$4:$K$2342),'Grid Data'!$B$4:$B$2342,$D19,'Grid Data'!$C$4:$C$2342,AA$4,'Grid Data'!$A$4:$A$2342,$D$2)*100, 0)</f>
        <v>0</v>
      </c>
      <c r="AB19" s="4">
        <f>IF(  AB82&gt;$E$2, SUMIFS(IF($G$2="CPR",'Grid Data'!$J$4:$J$2342,'Grid Data'!$K$4:$K$2342),'Grid Data'!$B$4:$B$2342,$D19,'Grid Data'!$C$4:$C$2342,AB$4,'Grid Data'!$A$4:$A$2342,$D$2)*100, 0)</f>
        <v>0</v>
      </c>
      <c r="AC19" s="4">
        <f>IF(  AC82&gt;$E$2, SUMIFS(IF($G$2="CPR",'Grid Data'!$J$4:$J$2342,'Grid Data'!$K$4:$K$2342),'Grid Data'!$B$4:$B$2342,$D19,'Grid Data'!$C$4:$C$2342,AC$4,'Grid Data'!$A$4:$A$2342,$D$2)*100, 0)</f>
        <v>0</v>
      </c>
      <c r="AD19" s="4">
        <f>IF(  AD82&gt;$E$2, SUMIFS(IF($G$2="CPR",'Grid Data'!$J$4:$J$2342,'Grid Data'!$K$4:$K$2342),'Grid Data'!$B$4:$B$2342,$D19,'Grid Data'!$C$4:$C$2342,AD$4,'Grid Data'!$A$4:$A$2342,$D$2)*100, 0)</f>
        <v>7.3703000000000003</v>
      </c>
      <c r="AE19" s="4">
        <f>IF(  AE82&gt;$E$2, SUMIFS(IF($G$2="CPR",'Grid Data'!$J$4:$J$2342,'Grid Data'!$K$4:$K$2342),'Grid Data'!$B$4:$B$2342,$D19,'Grid Data'!$C$4:$C$2342,AE$4,'Grid Data'!$A$4:$A$2342,$D$2)*100, 0)</f>
        <v>9.2653999999999996</v>
      </c>
      <c r="AF19" s="4">
        <f>IF(  AF82&gt;$E$2, SUMIFS(IF($G$2="CPR",'Grid Data'!$J$4:$J$2342,'Grid Data'!$K$4:$K$2342),'Grid Data'!$B$4:$B$2342,$D19,'Grid Data'!$C$4:$C$2342,AF$4,'Grid Data'!$A$4:$A$2342,$D$2)*100, 0)</f>
        <v>2.0259</v>
      </c>
      <c r="AG19" s="4">
        <f>IF(  AG82&gt;$E$2, SUMIFS(IF($G$2="CPR",'Grid Data'!$J$4:$J$2342,'Grid Data'!$K$4:$K$2342),'Grid Data'!$B$4:$B$2342,$D19,'Grid Data'!$C$4:$C$2342,AG$4,'Grid Data'!$A$4:$A$2342,$D$2)*100, 0)</f>
        <v>10.3569</v>
      </c>
      <c r="AH19" s="4">
        <f>IF(  AH82&gt;$E$2, SUMIFS(IF($G$2="CPR",'Grid Data'!$J$4:$J$2342,'Grid Data'!$K$4:$K$2342),'Grid Data'!$B$4:$B$2342,$D19,'Grid Data'!$C$4:$C$2342,AH$4,'Grid Data'!$A$4:$A$2342,$D$2)*100, 0)</f>
        <v>0</v>
      </c>
    </row>
    <row r="20" spans="4:34" x14ac:dyDescent="0.35">
      <c r="D20">
        <v>5750</v>
      </c>
      <c r="E20" s="4">
        <f>IF(  E83&gt;$E$2, SUMIFS(IF($G$2="CPR",'Grid Data'!$J$4:$J$2342,'Grid Data'!$K$4:$K$2342),'Grid Data'!$B$4:$B$2342,$D20,'Grid Data'!$C$4:$C$2342,E$4,'Grid Data'!$A$4:$A$2342,$D$2)*100, 0)</f>
        <v>1.5427</v>
      </c>
      <c r="F20" s="4">
        <f>IF(  F83&gt;$E$2, SUMIFS(IF($G$2="CPR",'Grid Data'!$J$4:$J$2342,'Grid Data'!$K$4:$K$2342),'Grid Data'!$B$4:$B$2342,$D20,'Grid Data'!$C$4:$C$2342,F$4,'Grid Data'!$A$4:$A$2342,$D$2)*100, 0)</f>
        <v>5.2526999999999999</v>
      </c>
      <c r="G20" s="4">
        <f>IF(  G83&gt;$E$2, SUMIFS(IF($G$2="CPR",'Grid Data'!$J$4:$J$2342,'Grid Data'!$K$4:$K$2342),'Grid Data'!$B$4:$B$2342,$D20,'Grid Data'!$C$4:$C$2342,G$4,'Grid Data'!$A$4:$A$2342,$D$2)*100, 0)</f>
        <v>74.379099999999994</v>
      </c>
      <c r="H20" s="4">
        <f>IF(  H83&gt;$E$2, SUMIFS(IF($G$2="CPR",'Grid Data'!$J$4:$J$2342,'Grid Data'!$K$4:$K$2342),'Grid Data'!$B$4:$B$2342,$D20,'Grid Data'!$C$4:$C$2342,H$4,'Grid Data'!$A$4:$A$2342,$D$2)*100, 0)</f>
        <v>30.3126</v>
      </c>
      <c r="I20" s="4">
        <f>IF(  I83&gt;$E$2, SUMIFS(IF($G$2="CPR",'Grid Data'!$J$4:$J$2342,'Grid Data'!$K$4:$K$2342),'Grid Data'!$B$4:$B$2342,$D20,'Grid Data'!$C$4:$C$2342,I$4,'Grid Data'!$A$4:$A$2342,$D$2)*100, 0)</f>
        <v>26.875</v>
      </c>
      <c r="J20" s="4">
        <f>IF(  J83&gt;$E$2, SUMIFS(IF($G$2="CPR",'Grid Data'!$J$4:$J$2342,'Grid Data'!$K$4:$K$2342),'Grid Data'!$B$4:$B$2342,$D20,'Grid Data'!$C$4:$C$2342,J$4,'Grid Data'!$A$4:$A$2342,$D$2)*100, 0)</f>
        <v>23.610800000000001</v>
      </c>
      <c r="K20" s="4">
        <f>IF(  K83&gt;$E$2, SUMIFS(IF($G$2="CPR",'Grid Data'!$J$4:$J$2342,'Grid Data'!$K$4:$K$2342),'Grid Data'!$B$4:$B$2342,$D20,'Grid Data'!$C$4:$C$2342,K$4,'Grid Data'!$A$4:$A$2342,$D$2)*100, 0)</f>
        <v>23.666400000000003</v>
      </c>
      <c r="L20" s="4">
        <f>IF(  L83&gt;$E$2, SUMIFS(IF($G$2="CPR",'Grid Data'!$J$4:$J$2342,'Grid Data'!$K$4:$K$2342),'Grid Data'!$B$4:$B$2342,$D20,'Grid Data'!$C$4:$C$2342,L$4,'Grid Data'!$A$4:$A$2342,$D$2)*100, 0)</f>
        <v>23.915300000000002</v>
      </c>
      <c r="M20" s="4">
        <f>IF(  M83&gt;$E$2, SUMIFS(IF($G$2="CPR",'Grid Data'!$J$4:$J$2342,'Grid Data'!$K$4:$K$2342),'Grid Data'!$B$4:$B$2342,$D20,'Grid Data'!$C$4:$C$2342,M$4,'Grid Data'!$A$4:$A$2342,$D$2)*100, 0)</f>
        <v>22.525000000000002</v>
      </c>
      <c r="N20" s="4">
        <f>IF(  N83&gt;$E$2, SUMIFS(IF($G$2="CPR",'Grid Data'!$J$4:$J$2342,'Grid Data'!$K$4:$K$2342),'Grid Data'!$B$4:$B$2342,$D20,'Grid Data'!$C$4:$C$2342,N$4,'Grid Data'!$A$4:$A$2342,$D$2)*100, 0)</f>
        <v>22.310199999999998</v>
      </c>
      <c r="O20" s="4">
        <f>IF(  O83&gt;$E$2, SUMIFS(IF($G$2="CPR",'Grid Data'!$J$4:$J$2342,'Grid Data'!$K$4:$K$2342),'Grid Data'!$B$4:$B$2342,$D20,'Grid Data'!$C$4:$C$2342,O$4,'Grid Data'!$A$4:$A$2342,$D$2)*100, 0)</f>
        <v>26.456699999999998</v>
      </c>
      <c r="P20" s="4">
        <f>IF(  P83&gt;$E$2, SUMIFS(IF($G$2="CPR",'Grid Data'!$J$4:$J$2342,'Grid Data'!$K$4:$K$2342),'Grid Data'!$B$4:$B$2342,$D20,'Grid Data'!$C$4:$C$2342,P$4,'Grid Data'!$A$4:$A$2342,$D$2)*100, 0)</f>
        <v>26.447800000000001</v>
      </c>
      <c r="Q20" s="4">
        <f>IF(  Q83&gt;$E$2, SUMIFS(IF($G$2="CPR",'Grid Data'!$J$4:$J$2342,'Grid Data'!$K$4:$K$2342),'Grid Data'!$B$4:$B$2342,$D20,'Grid Data'!$C$4:$C$2342,Q$4,'Grid Data'!$A$4:$A$2342,$D$2)*100, 0)</f>
        <v>20.3401</v>
      </c>
      <c r="R20" s="4">
        <f>IF(  R83&gt;$E$2, SUMIFS(IF($G$2="CPR",'Grid Data'!$J$4:$J$2342,'Grid Data'!$K$4:$K$2342),'Grid Data'!$B$4:$B$2342,$D20,'Grid Data'!$C$4:$C$2342,R$4,'Grid Data'!$A$4:$A$2342,$D$2)*100, 0)</f>
        <v>21.4649</v>
      </c>
      <c r="S20" s="4">
        <f>IF(  S83&gt;$E$2, SUMIFS(IF($G$2="CPR",'Grid Data'!$J$4:$J$2342,'Grid Data'!$K$4:$K$2342),'Grid Data'!$B$4:$B$2342,$D20,'Grid Data'!$C$4:$C$2342,S$4,'Grid Data'!$A$4:$A$2342,$D$2)*100, 0)</f>
        <v>20.155899999999999</v>
      </c>
      <c r="T20" s="4">
        <f>IF(  T83&gt;$E$2, SUMIFS(IF($G$2="CPR",'Grid Data'!$J$4:$J$2342,'Grid Data'!$K$4:$K$2342),'Grid Data'!$B$4:$B$2342,$D20,'Grid Data'!$C$4:$C$2342,T$4,'Grid Data'!$A$4:$A$2342,$D$2)*100, 0)</f>
        <v>19.9528</v>
      </c>
      <c r="U20" s="4">
        <f>IF(  U83&gt;$E$2, SUMIFS(IF($G$2="CPR",'Grid Data'!$J$4:$J$2342,'Grid Data'!$K$4:$K$2342),'Grid Data'!$B$4:$B$2342,$D20,'Grid Data'!$C$4:$C$2342,U$4,'Grid Data'!$A$4:$A$2342,$D$2)*100, 0)</f>
        <v>0</v>
      </c>
      <c r="V20" s="4">
        <f>IF(  V83&gt;$E$2, SUMIFS(IF($G$2="CPR",'Grid Data'!$J$4:$J$2342,'Grid Data'!$K$4:$K$2342),'Grid Data'!$B$4:$B$2342,$D20,'Grid Data'!$C$4:$C$2342,V$4,'Grid Data'!$A$4:$A$2342,$D$2)*100, 0)</f>
        <v>0</v>
      </c>
      <c r="W20" s="4">
        <f>IF(  W83&gt;$E$2, SUMIFS(IF($G$2="CPR",'Grid Data'!$J$4:$J$2342,'Grid Data'!$K$4:$K$2342),'Grid Data'!$B$4:$B$2342,$D20,'Grid Data'!$C$4:$C$2342,W$4,'Grid Data'!$A$4:$A$2342,$D$2)*100, 0)</f>
        <v>0</v>
      </c>
      <c r="X20" s="4">
        <f>IF(  X83&gt;$E$2, SUMIFS(IF($G$2="CPR",'Grid Data'!$J$4:$J$2342,'Grid Data'!$K$4:$K$2342),'Grid Data'!$B$4:$B$2342,$D20,'Grid Data'!$C$4:$C$2342,X$4,'Grid Data'!$A$4:$A$2342,$D$2)*100, 0)</f>
        <v>11.233500000000001</v>
      </c>
      <c r="Y20" s="4">
        <f>IF(  Y83&gt;$E$2, SUMIFS(IF($G$2="CPR",'Grid Data'!$J$4:$J$2342,'Grid Data'!$K$4:$K$2342),'Grid Data'!$B$4:$B$2342,$D20,'Grid Data'!$C$4:$C$2342,Y$4,'Grid Data'!$A$4:$A$2342,$D$2)*100, 0)</f>
        <v>16.122</v>
      </c>
      <c r="Z20" s="4">
        <f>IF(  Z83&gt;$E$2, SUMIFS(IF($G$2="CPR",'Grid Data'!$J$4:$J$2342,'Grid Data'!$K$4:$K$2342),'Grid Data'!$B$4:$B$2342,$D20,'Grid Data'!$C$4:$C$2342,Z$4,'Grid Data'!$A$4:$A$2342,$D$2)*100, 0)</f>
        <v>0</v>
      </c>
      <c r="AA20" s="4">
        <f>IF(  AA83&gt;$E$2, SUMIFS(IF($G$2="CPR",'Grid Data'!$J$4:$J$2342,'Grid Data'!$K$4:$K$2342),'Grid Data'!$B$4:$B$2342,$D20,'Grid Data'!$C$4:$C$2342,AA$4,'Grid Data'!$A$4:$A$2342,$D$2)*100, 0)</f>
        <v>0</v>
      </c>
      <c r="AB20" s="4">
        <f>IF(  AB83&gt;$E$2, SUMIFS(IF($G$2="CPR",'Grid Data'!$J$4:$J$2342,'Grid Data'!$K$4:$K$2342),'Grid Data'!$B$4:$B$2342,$D20,'Grid Data'!$C$4:$C$2342,AB$4,'Grid Data'!$A$4:$A$2342,$D$2)*100, 0)</f>
        <v>0</v>
      </c>
      <c r="AC20" s="4">
        <f>IF(  AC83&gt;$E$2, SUMIFS(IF($G$2="CPR",'Grid Data'!$J$4:$J$2342,'Grid Data'!$K$4:$K$2342),'Grid Data'!$B$4:$B$2342,$D20,'Grid Data'!$C$4:$C$2342,AC$4,'Grid Data'!$A$4:$A$2342,$D$2)*100, 0)</f>
        <v>0</v>
      </c>
      <c r="AD20" s="4">
        <f>IF(  AD83&gt;$E$2, SUMIFS(IF($G$2="CPR",'Grid Data'!$J$4:$J$2342,'Grid Data'!$K$4:$K$2342),'Grid Data'!$B$4:$B$2342,$D20,'Grid Data'!$C$4:$C$2342,AD$4,'Grid Data'!$A$4:$A$2342,$D$2)*100, 0)</f>
        <v>0</v>
      </c>
      <c r="AE20" s="4">
        <f>IF(  AE83&gt;$E$2, SUMIFS(IF($G$2="CPR",'Grid Data'!$J$4:$J$2342,'Grid Data'!$K$4:$K$2342),'Grid Data'!$B$4:$B$2342,$D20,'Grid Data'!$C$4:$C$2342,AE$4,'Grid Data'!$A$4:$A$2342,$D$2)*100, 0)</f>
        <v>15.526400000000001</v>
      </c>
      <c r="AF20" s="4">
        <f>IF(  AF83&gt;$E$2, SUMIFS(IF($G$2="CPR",'Grid Data'!$J$4:$J$2342,'Grid Data'!$K$4:$K$2342),'Grid Data'!$B$4:$B$2342,$D20,'Grid Data'!$C$4:$C$2342,AF$4,'Grid Data'!$A$4:$A$2342,$D$2)*100, 0)</f>
        <v>3.3462999999999998</v>
      </c>
      <c r="AG20" s="4">
        <f>IF(  AG83&gt;$E$2, SUMIFS(IF($G$2="CPR",'Grid Data'!$J$4:$J$2342,'Grid Data'!$K$4:$K$2342),'Grid Data'!$B$4:$B$2342,$D20,'Grid Data'!$C$4:$C$2342,AG$4,'Grid Data'!$A$4:$A$2342,$D$2)*100, 0)</f>
        <v>13.871700000000001</v>
      </c>
      <c r="AH20" s="4">
        <f>IF(  AH83&gt;$E$2, SUMIFS(IF($G$2="CPR",'Grid Data'!$J$4:$J$2342,'Grid Data'!$K$4:$K$2342),'Grid Data'!$B$4:$B$2342,$D20,'Grid Data'!$C$4:$C$2342,AH$4,'Grid Data'!$A$4:$A$2342,$D$2)*100, 0)</f>
        <v>0</v>
      </c>
    </row>
    <row r="21" spans="4:34" x14ac:dyDescent="0.35">
      <c r="D21">
        <v>6000</v>
      </c>
      <c r="E21" s="4">
        <f>IF(  E84&gt;$E$2, SUMIFS(IF($G$2="CPR",'Grid Data'!$J$4:$J$2342,'Grid Data'!$K$4:$K$2342),'Grid Data'!$B$4:$B$2342,$D21,'Grid Data'!$C$4:$C$2342,E$4,'Grid Data'!$A$4:$A$2342,$D$2)*100, 0)</f>
        <v>4.5325999999999995</v>
      </c>
      <c r="F21" s="4">
        <f>IF(  F84&gt;$E$2, SUMIFS(IF($G$2="CPR",'Grid Data'!$J$4:$J$2342,'Grid Data'!$K$4:$K$2342),'Grid Data'!$B$4:$B$2342,$D21,'Grid Data'!$C$4:$C$2342,F$4,'Grid Data'!$A$4:$A$2342,$D$2)*100, 0)</f>
        <v>4.3328999999999995</v>
      </c>
      <c r="G21" s="4">
        <f>IF(  G84&gt;$E$2, SUMIFS(IF($G$2="CPR",'Grid Data'!$J$4:$J$2342,'Grid Data'!$K$4:$K$2342),'Grid Data'!$B$4:$B$2342,$D21,'Grid Data'!$C$4:$C$2342,G$4,'Grid Data'!$A$4:$A$2342,$D$2)*100, 0)</f>
        <v>71.608999999999995</v>
      </c>
      <c r="H21" s="4">
        <f>IF(  H84&gt;$E$2, SUMIFS(IF($G$2="CPR",'Grid Data'!$J$4:$J$2342,'Grid Data'!$K$4:$K$2342),'Grid Data'!$B$4:$B$2342,$D21,'Grid Data'!$C$4:$C$2342,H$4,'Grid Data'!$A$4:$A$2342,$D$2)*100, 0)</f>
        <v>38.814</v>
      </c>
      <c r="I21" s="4">
        <f>IF(  I84&gt;$E$2, SUMIFS(IF($G$2="CPR",'Grid Data'!$J$4:$J$2342,'Grid Data'!$K$4:$K$2342),'Grid Data'!$B$4:$B$2342,$D21,'Grid Data'!$C$4:$C$2342,I$4,'Grid Data'!$A$4:$A$2342,$D$2)*100, 0)</f>
        <v>30.537799999999997</v>
      </c>
      <c r="J21" s="4">
        <f>IF(  J84&gt;$E$2, SUMIFS(IF($G$2="CPR",'Grid Data'!$J$4:$J$2342,'Grid Data'!$K$4:$K$2342),'Grid Data'!$B$4:$B$2342,$D21,'Grid Data'!$C$4:$C$2342,J$4,'Grid Data'!$A$4:$A$2342,$D$2)*100, 0)</f>
        <v>27.309499999999996</v>
      </c>
      <c r="K21" s="4">
        <f>IF(  K84&gt;$E$2, SUMIFS(IF($G$2="CPR",'Grid Data'!$J$4:$J$2342,'Grid Data'!$K$4:$K$2342),'Grid Data'!$B$4:$B$2342,$D21,'Grid Data'!$C$4:$C$2342,K$4,'Grid Data'!$A$4:$A$2342,$D$2)*100, 0)</f>
        <v>29.504399999999997</v>
      </c>
      <c r="L21" s="4">
        <f>IF(  L84&gt;$E$2, SUMIFS(IF($G$2="CPR",'Grid Data'!$J$4:$J$2342,'Grid Data'!$K$4:$K$2342),'Grid Data'!$B$4:$B$2342,$D21,'Grid Data'!$C$4:$C$2342,L$4,'Grid Data'!$A$4:$A$2342,$D$2)*100, 0)</f>
        <v>31.866399999999999</v>
      </c>
      <c r="M21" s="4">
        <f>IF(  M84&gt;$E$2, SUMIFS(IF($G$2="CPR",'Grid Data'!$J$4:$J$2342,'Grid Data'!$K$4:$K$2342),'Grid Data'!$B$4:$B$2342,$D21,'Grid Data'!$C$4:$C$2342,M$4,'Grid Data'!$A$4:$A$2342,$D$2)*100, 0)</f>
        <v>28.1084</v>
      </c>
      <c r="N21" s="4">
        <f>IF(  N84&gt;$E$2, SUMIFS(IF($G$2="CPR",'Grid Data'!$J$4:$J$2342,'Grid Data'!$K$4:$K$2342),'Grid Data'!$B$4:$B$2342,$D21,'Grid Data'!$C$4:$C$2342,N$4,'Grid Data'!$A$4:$A$2342,$D$2)*100, 0)</f>
        <v>29.825499999999998</v>
      </c>
      <c r="O21" s="4">
        <f>IF(  O84&gt;$E$2, SUMIFS(IF($G$2="CPR",'Grid Data'!$J$4:$J$2342,'Grid Data'!$K$4:$K$2342),'Grid Data'!$B$4:$B$2342,$D21,'Grid Data'!$C$4:$C$2342,O$4,'Grid Data'!$A$4:$A$2342,$D$2)*100, 0)</f>
        <v>36.9056</v>
      </c>
      <c r="P21" s="4">
        <f>IF(  P84&gt;$E$2, SUMIFS(IF($G$2="CPR",'Grid Data'!$J$4:$J$2342,'Grid Data'!$K$4:$K$2342),'Grid Data'!$B$4:$B$2342,$D21,'Grid Data'!$C$4:$C$2342,P$4,'Grid Data'!$A$4:$A$2342,$D$2)*100, 0)</f>
        <v>31.766999999999999</v>
      </c>
      <c r="Q21" s="4">
        <f>IF(  Q84&gt;$E$2, SUMIFS(IF($G$2="CPR",'Grid Data'!$J$4:$J$2342,'Grid Data'!$K$4:$K$2342),'Grid Data'!$B$4:$B$2342,$D21,'Grid Data'!$C$4:$C$2342,Q$4,'Grid Data'!$A$4:$A$2342,$D$2)*100, 0)</f>
        <v>29.984999999999999</v>
      </c>
      <c r="R21" s="4">
        <f>IF(  R84&gt;$E$2, SUMIFS(IF($G$2="CPR",'Grid Data'!$J$4:$J$2342,'Grid Data'!$K$4:$K$2342),'Grid Data'!$B$4:$B$2342,$D21,'Grid Data'!$C$4:$C$2342,R$4,'Grid Data'!$A$4:$A$2342,$D$2)*100, 0)</f>
        <v>29.731200000000001</v>
      </c>
      <c r="S21" s="4">
        <f>IF(  S84&gt;$E$2, SUMIFS(IF($G$2="CPR",'Grid Data'!$J$4:$J$2342,'Grid Data'!$K$4:$K$2342),'Grid Data'!$B$4:$B$2342,$D21,'Grid Data'!$C$4:$C$2342,S$4,'Grid Data'!$A$4:$A$2342,$D$2)*100, 0)</f>
        <v>27.616000000000003</v>
      </c>
      <c r="T21" s="4">
        <f>IF(  T84&gt;$E$2, SUMIFS(IF($G$2="CPR",'Grid Data'!$J$4:$J$2342,'Grid Data'!$K$4:$K$2342),'Grid Data'!$B$4:$B$2342,$D21,'Grid Data'!$C$4:$C$2342,T$4,'Grid Data'!$A$4:$A$2342,$D$2)*100, 0)</f>
        <v>25.027899999999999</v>
      </c>
      <c r="U21" s="4">
        <f>IF(  U84&gt;$E$2, SUMIFS(IF($G$2="CPR",'Grid Data'!$J$4:$J$2342,'Grid Data'!$K$4:$K$2342),'Grid Data'!$B$4:$B$2342,$D21,'Grid Data'!$C$4:$C$2342,U$4,'Grid Data'!$A$4:$A$2342,$D$2)*100, 0)</f>
        <v>0</v>
      </c>
      <c r="V21" s="4">
        <f>IF(  V84&gt;$E$2, SUMIFS(IF($G$2="CPR",'Grid Data'!$J$4:$J$2342,'Grid Data'!$K$4:$K$2342),'Grid Data'!$B$4:$B$2342,$D21,'Grid Data'!$C$4:$C$2342,V$4,'Grid Data'!$A$4:$A$2342,$D$2)*100, 0)</f>
        <v>0</v>
      </c>
      <c r="W21" s="4">
        <f>IF(  W84&gt;$E$2, SUMIFS(IF($G$2="CPR",'Grid Data'!$J$4:$J$2342,'Grid Data'!$K$4:$K$2342),'Grid Data'!$B$4:$B$2342,$D21,'Grid Data'!$C$4:$C$2342,W$4,'Grid Data'!$A$4:$A$2342,$D$2)*100, 0)</f>
        <v>0</v>
      </c>
      <c r="X21" s="4">
        <f>IF(  X84&gt;$E$2, SUMIFS(IF($G$2="CPR",'Grid Data'!$J$4:$J$2342,'Grid Data'!$K$4:$K$2342),'Grid Data'!$B$4:$B$2342,$D21,'Grid Data'!$C$4:$C$2342,X$4,'Grid Data'!$A$4:$A$2342,$D$2)*100, 0)</f>
        <v>0</v>
      </c>
      <c r="Y21" s="4">
        <f>IF(  Y84&gt;$E$2, SUMIFS(IF($G$2="CPR",'Grid Data'!$J$4:$J$2342,'Grid Data'!$K$4:$K$2342),'Grid Data'!$B$4:$B$2342,$D21,'Grid Data'!$C$4:$C$2342,Y$4,'Grid Data'!$A$4:$A$2342,$D$2)*100, 0)</f>
        <v>0</v>
      </c>
      <c r="Z21" s="4">
        <f>IF(  Z84&gt;$E$2, SUMIFS(IF($G$2="CPR",'Grid Data'!$J$4:$J$2342,'Grid Data'!$K$4:$K$2342),'Grid Data'!$B$4:$B$2342,$D21,'Grid Data'!$C$4:$C$2342,Z$4,'Grid Data'!$A$4:$A$2342,$D$2)*100, 0)</f>
        <v>0</v>
      </c>
      <c r="AA21" s="4">
        <f>IF(  AA84&gt;$E$2, SUMIFS(IF($G$2="CPR",'Grid Data'!$J$4:$J$2342,'Grid Data'!$K$4:$K$2342),'Grid Data'!$B$4:$B$2342,$D21,'Grid Data'!$C$4:$C$2342,AA$4,'Grid Data'!$A$4:$A$2342,$D$2)*100, 0)</f>
        <v>0</v>
      </c>
      <c r="AB21" s="4">
        <f>IF(  AB84&gt;$E$2, SUMIFS(IF($G$2="CPR",'Grid Data'!$J$4:$J$2342,'Grid Data'!$K$4:$K$2342),'Grid Data'!$B$4:$B$2342,$D21,'Grid Data'!$C$4:$C$2342,AB$4,'Grid Data'!$A$4:$A$2342,$D$2)*100, 0)</f>
        <v>0</v>
      </c>
      <c r="AC21" s="4">
        <f>IF(  AC84&gt;$E$2, SUMIFS(IF($G$2="CPR",'Grid Data'!$J$4:$J$2342,'Grid Data'!$K$4:$K$2342),'Grid Data'!$B$4:$B$2342,$D21,'Grid Data'!$C$4:$C$2342,AC$4,'Grid Data'!$A$4:$A$2342,$D$2)*100, 0)</f>
        <v>0</v>
      </c>
      <c r="AD21" s="4">
        <f>IF(  AD84&gt;$E$2, SUMIFS(IF($G$2="CPR",'Grid Data'!$J$4:$J$2342,'Grid Data'!$K$4:$K$2342),'Grid Data'!$B$4:$B$2342,$D21,'Grid Data'!$C$4:$C$2342,AD$4,'Grid Data'!$A$4:$A$2342,$D$2)*100, 0)</f>
        <v>0</v>
      </c>
      <c r="AE21" s="4">
        <f>IF(  AE84&gt;$E$2, SUMIFS(IF($G$2="CPR",'Grid Data'!$J$4:$J$2342,'Grid Data'!$K$4:$K$2342),'Grid Data'!$B$4:$B$2342,$D21,'Grid Data'!$C$4:$C$2342,AE$4,'Grid Data'!$A$4:$A$2342,$D$2)*100, 0)</f>
        <v>9.0359999999999996</v>
      </c>
      <c r="AF21" s="4">
        <f>IF(  AF84&gt;$E$2, SUMIFS(IF($G$2="CPR",'Grid Data'!$J$4:$J$2342,'Grid Data'!$K$4:$K$2342),'Grid Data'!$B$4:$B$2342,$D21,'Grid Data'!$C$4:$C$2342,AF$4,'Grid Data'!$A$4:$A$2342,$D$2)*100, 0)</f>
        <v>10.075900000000001</v>
      </c>
      <c r="AG21" s="4">
        <f>IF(  AG84&gt;$E$2, SUMIFS(IF($G$2="CPR",'Grid Data'!$J$4:$J$2342,'Grid Data'!$K$4:$K$2342),'Grid Data'!$B$4:$B$2342,$D21,'Grid Data'!$C$4:$C$2342,AG$4,'Grid Data'!$A$4:$A$2342,$D$2)*100, 0)</f>
        <v>12.367799999999999</v>
      </c>
      <c r="AH21" s="4">
        <f>IF(  AH84&gt;$E$2, SUMIFS(IF($G$2="CPR",'Grid Data'!$J$4:$J$2342,'Grid Data'!$K$4:$K$2342),'Grid Data'!$B$4:$B$2342,$D21,'Grid Data'!$C$4:$C$2342,AH$4,'Grid Data'!$A$4:$A$2342,$D$2)*100, 0)</f>
        <v>0</v>
      </c>
    </row>
    <row r="22" spans="4:34" x14ac:dyDescent="0.35">
      <c r="D22">
        <v>6250</v>
      </c>
      <c r="E22" s="4">
        <f>IF(  E85&gt;$E$2, SUMIFS(IF($G$2="CPR",'Grid Data'!$J$4:$J$2342,'Grid Data'!$K$4:$K$2342),'Grid Data'!$B$4:$B$2342,$D22,'Grid Data'!$C$4:$C$2342,E$4,'Grid Data'!$A$4:$A$2342,$D$2)*100, 0)</f>
        <v>3.8392999999999997</v>
      </c>
      <c r="F22" s="4">
        <f>IF(  F85&gt;$E$2, SUMIFS(IF($G$2="CPR",'Grid Data'!$J$4:$J$2342,'Grid Data'!$K$4:$K$2342),'Grid Data'!$B$4:$B$2342,$D22,'Grid Data'!$C$4:$C$2342,F$4,'Grid Data'!$A$4:$A$2342,$D$2)*100, 0)</f>
        <v>7.6348000000000003</v>
      </c>
      <c r="G22" s="4">
        <f>IF(  G85&gt;$E$2, SUMIFS(IF($G$2="CPR",'Grid Data'!$J$4:$J$2342,'Grid Data'!$K$4:$K$2342),'Grid Data'!$B$4:$B$2342,$D22,'Grid Data'!$C$4:$C$2342,G$4,'Grid Data'!$A$4:$A$2342,$D$2)*100, 0)</f>
        <v>86.371899999999997</v>
      </c>
      <c r="H22" s="4">
        <f>IF(  H85&gt;$E$2, SUMIFS(IF($G$2="CPR",'Grid Data'!$J$4:$J$2342,'Grid Data'!$K$4:$K$2342),'Grid Data'!$B$4:$B$2342,$D22,'Grid Data'!$C$4:$C$2342,H$4,'Grid Data'!$A$4:$A$2342,$D$2)*100, 0)</f>
        <v>52.853000000000009</v>
      </c>
      <c r="I22" s="4">
        <f>IF(  I85&gt;$E$2, SUMIFS(IF($G$2="CPR",'Grid Data'!$J$4:$J$2342,'Grid Data'!$K$4:$K$2342),'Grid Data'!$B$4:$B$2342,$D22,'Grid Data'!$C$4:$C$2342,I$4,'Grid Data'!$A$4:$A$2342,$D$2)*100, 0)</f>
        <v>39.904499999999999</v>
      </c>
      <c r="J22" s="4">
        <f>IF(  J85&gt;$E$2, SUMIFS(IF($G$2="CPR",'Grid Data'!$J$4:$J$2342,'Grid Data'!$K$4:$K$2342),'Grid Data'!$B$4:$B$2342,$D22,'Grid Data'!$C$4:$C$2342,J$4,'Grid Data'!$A$4:$A$2342,$D$2)*100, 0)</f>
        <v>38.334499999999998</v>
      </c>
      <c r="K22" s="4">
        <f>IF(  K85&gt;$E$2, SUMIFS(IF($G$2="CPR",'Grid Data'!$J$4:$J$2342,'Grid Data'!$K$4:$K$2342),'Grid Data'!$B$4:$B$2342,$D22,'Grid Data'!$C$4:$C$2342,K$4,'Grid Data'!$A$4:$A$2342,$D$2)*100, 0)</f>
        <v>37.930799999999998</v>
      </c>
      <c r="L22" s="4">
        <f>IF(  L85&gt;$E$2, SUMIFS(IF($G$2="CPR",'Grid Data'!$J$4:$J$2342,'Grid Data'!$K$4:$K$2342),'Grid Data'!$B$4:$B$2342,$D22,'Grid Data'!$C$4:$C$2342,L$4,'Grid Data'!$A$4:$A$2342,$D$2)*100, 0)</f>
        <v>32.759599999999999</v>
      </c>
      <c r="M22" s="4">
        <f>IF(  M85&gt;$E$2, SUMIFS(IF($G$2="CPR",'Grid Data'!$J$4:$J$2342,'Grid Data'!$K$4:$K$2342),'Grid Data'!$B$4:$B$2342,$D22,'Grid Data'!$C$4:$C$2342,M$4,'Grid Data'!$A$4:$A$2342,$D$2)*100, 0)</f>
        <v>34.748400000000004</v>
      </c>
      <c r="N22" s="4">
        <f>IF(  N85&gt;$E$2, SUMIFS(IF($G$2="CPR",'Grid Data'!$J$4:$J$2342,'Grid Data'!$K$4:$K$2342),'Grid Data'!$B$4:$B$2342,$D22,'Grid Data'!$C$4:$C$2342,N$4,'Grid Data'!$A$4:$A$2342,$D$2)*100, 0)</f>
        <v>35.413200000000003</v>
      </c>
      <c r="O22" s="4">
        <f>IF(  O85&gt;$E$2, SUMIFS(IF($G$2="CPR",'Grid Data'!$J$4:$J$2342,'Grid Data'!$K$4:$K$2342),'Grid Data'!$B$4:$B$2342,$D22,'Grid Data'!$C$4:$C$2342,O$4,'Grid Data'!$A$4:$A$2342,$D$2)*100, 0)</f>
        <v>35.0443</v>
      </c>
      <c r="P22" s="4">
        <f>IF(  P85&gt;$E$2, SUMIFS(IF($G$2="CPR",'Grid Data'!$J$4:$J$2342,'Grid Data'!$K$4:$K$2342),'Grid Data'!$B$4:$B$2342,$D22,'Grid Data'!$C$4:$C$2342,P$4,'Grid Data'!$A$4:$A$2342,$D$2)*100, 0)</f>
        <v>37.270399999999995</v>
      </c>
      <c r="Q22" s="4">
        <f>IF(  Q85&gt;$E$2, SUMIFS(IF($G$2="CPR",'Grid Data'!$J$4:$J$2342,'Grid Data'!$K$4:$K$2342),'Grid Data'!$B$4:$B$2342,$D22,'Grid Data'!$C$4:$C$2342,Q$4,'Grid Data'!$A$4:$A$2342,$D$2)*100, 0)</f>
        <v>31.607900000000001</v>
      </c>
      <c r="R22" s="4">
        <f>IF(  R85&gt;$E$2, SUMIFS(IF($G$2="CPR",'Grid Data'!$J$4:$J$2342,'Grid Data'!$K$4:$K$2342),'Grid Data'!$B$4:$B$2342,$D22,'Grid Data'!$C$4:$C$2342,R$4,'Grid Data'!$A$4:$A$2342,$D$2)*100, 0)</f>
        <v>30.459599999999998</v>
      </c>
      <c r="S22" s="4">
        <f>IF(  S85&gt;$E$2, SUMIFS(IF($G$2="CPR",'Grid Data'!$J$4:$J$2342,'Grid Data'!$K$4:$K$2342),'Grid Data'!$B$4:$B$2342,$D22,'Grid Data'!$C$4:$C$2342,S$4,'Grid Data'!$A$4:$A$2342,$D$2)*100, 0)</f>
        <v>34.149700000000003</v>
      </c>
      <c r="T22" s="4">
        <f>IF(  T85&gt;$E$2, SUMIFS(IF($G$2="CPR",'Grid Data'!$J$4:$J$2342,'Grid Data'!$K$4:$K$2342),'Grid Data'!$B$4:$B$2342,$D22,'Grid Data'!$C$4:$C$2342,T$4,'Grid Data'!$A$4:$A$2342,$D$2)*100, 0)</f>
        <v>18.478899999999999</v>
      </c>
      <c r="U22" s="4">
        <f>IF(  U85&gt;$E$2, SUMIFS(IF($G$2="CPR",'Grid Data'!$J$4:$J$2342,'Grid Data'!$K$4:$K$2342),'Grid Data'!$B$4:$B$2342,$D22,'Grid Data'!$C$4:$C$2342,U$4,'Grid Data'!$A$4:$A$2342,$D$2)*100, 0)</f>
        <v>0</v>
      </c>
      <c r="V22" s="4">
        <f>IF(  V85&gt;$E$2, SUMIFS(IF($G$2="CPR",'Grid Data'!$J$4:$J$2342,'Grid Data'!$K$4:$K$2342),'Grid Data'!$B$4:$B$2342,$D22,'Grid Data'!$C$4:$C$2342,V$4,'Grid Data'!$A$4:$A$2342,$D$2)*100, 0)</f>
        <v>0</v>
      </c>
      <c r="W22" s="4">
        <f>IF(  W85&gt;$E$2, SUMIFS(IF($G$2="CPR",'Grid Data'!$J$4:$J$2342,'Grid Data'!$K$4:$K$2342),'Grid Data'!$B$4:$B$2342,$D22,'Grid Data'!$C$4:$C$2342,W$4,'Grid Data'!$A$4:$A$2342,$D$2)*100, 0)</f>
        <v>0</v>
      </c>
      <c r="X22" s="4">
        <f>IF(  X85&gt;$E$2, SUMIFS(IF($G$2="CPR",'Grid Data'!$J$4:$J$2342,'Grid Data'!$K$4:$K$2342),'Grid Data'!$B$4:$B$2342,$D22,'Grid Data'!$C$4:$C$2342,X$4,'Grid Data'!$A$4:$A$2342,$D$2)*100, 0)</f>
        <v>0</v>
      </c>
      <c r="Y22" s="4">
        <f>IF(  Y85&gt;$E$2, SUMIFS(IF($G$2="CPR",'Grid Data'!$J$4:$J$2342,'Grid Data'!$K$4:$K$2342),'Grid Data'!$B$4:$B$2342,$D22,'Grid Data'!$C$4:$C$2342,Y$4,'Grid Data'!$A$4:$A$2342,$D$2)*100, 0)</f>
        <v>0</v>
      </c>
      <c r="Z22" s="4">
        <f>IF(  Z85&gt;$E$2, SUMIFS(IF($G$2="CPR",'Grid Data'!$J$4:$J$2342,'Grid Data'!$K$4:$K$2342),'Grid Data'!$B$4:$B$2342,$D22,'Grid Data'!$C$4:$C$2342,Z$4,'Grid Data'!$A$4:$A$2342,$D$2)*100, 0)</f>
        <v>0</v>
      </c>
      <c r="AA22" s="4">
        <f>IF(  AA85&gt;$E$2, SUMIFS(IF($G$2="CPR",'Grid Data'!$J$4:$J$2342,'Grid Data'!$K$4:$K$2342),'Grid Data'!$B$4:$B$2342,$D22,'Grid Data'!$C$4:$C$2342,AA$4,'Grid Data'!$A$4:$A$2342,$D$2)*100, 0)</f>
        <v>0</v>
      </c>
      <c r="AB22" s="4">
        <f>IF(  AB85&gt;$E$2, SUMIFS(IF($G$2="CPR",'Grid Data'!$J$4:$J$2342,'Grid Data'!$K$4:$K$2342),'Grid Data'!$B$4:$B$2342,$D22,'Grid Data'!$C$4:$C$2342,AB$4,'Grid Data'!$A$4:$A$2342,$D$2)*100, 0)</f>
        <v>0</v>
      </c>
      <c r="AC22" s="4">
        <f>IF(  AC85&gt;$E$2, SUMIFS(IF($G$2="CPR",'Grid Data'!$J$4:$J$2342,'Grid Data'!$K$4:$K$2342),'Grid Data'!$B$4:$B$2342,$D22,'Grid Data'!$C$4:$C$2342,AC$4,'Grid Data'!$A$4:$A$2342,$D$2)*100, 0)</f>
        <v>0</v>
      </c>
      <c r="AD22" s="4">
        <f>IF(  AD85&gt;$E$2, SUMIFS(IF($G$2="CPR",'Grid Data'!$J$4:$J$2342,'Grid Data'!$K$4:$K$2342),'Grid Data'!$B$4:$B$2342,$D22,'Grid Data'!$C$4:$C$2342,AD$4,'Grid Data'!$A$4:$A$2342,$D$2)*100, 0)</f>
        <v>0</v>
      </c>
      <c r="AE22" s="4">
        <f>IF(  AE85&gt;$E$2, SUMIFS(IF($G$2="CPR",'Grid Data'!$J$4:$J$2342,'Grid Data'!$K$4:$K$2342),'Grid Data'!$B$4:$B$2342,$D22,'Grid Data'!$C$4:$C$2342,AE$4,'Grid Data'!$A$4:$A$2342,$D$2)*100, 0)</f>
        <v>1.6903999999999999</v>
      </c>
      <c r="AF22" s="4">
        <f>IF(  AF85&gt;$E$2, SUMIFS(IF($G$2="CPR",'Grid Data'!$J$4:$J$2342,'Grid Data'!$K$4:$K$2342),'Grid Data'!$B$4:$B$2342,$D22,'Grid Data'!$C$4:$C$2342,AF$4,'Grid Data'!$A$4:$A$2342,$D$2)*100, 0)</f>
        <v>9.9807999999999986</v>
      </c>
      <c r="AG22" s="4">
        <f>IF(  AG85&gt;$E$2, SUMIFS(IF($G$2="CPR",'Grid Data'!$J$4:$J$2342,'Grid Data'!$K$4:$K$2342),'Grid Data'!$B$4:$B$2342,$D22,'Grid Data'!$C$4:$C$2342,AG$4,'Grid Data'!$A$4:$A$2342,$D$2)*100, 0)</f>
        <v>11.6165</v>
      </c>
      <c r="AH22" s="4">
        <f>IF(  AH85&gt;$E$2, SUMIFS(IF($G$2="CPR",'Grid Data'!$J$4:$J$2342,'Grid Data'!$K$4:$K$2342),'Grid Data'!$B$4:$B$2342,$D22,'Grid Data'!$C$4:$C$2342,AH$4,'Grid Data'!$A$4:$A$2342,$D$2)*100, 0)</f>
        <v>0</v>
      </c>
    </row>
    <row r="23" spans="4:34" x14ac:dyDescent="0.35">
      <c r="D23">
        <v>6500</v>
      </c>
      <c r="E23" s="4">
        <f>IF(  E86&gt;$E$2, SUMIFS(IF($G$2="CPR",'Grid Data'!$J$4:$J$2342,'Grid Data'!$K$4:$K$2342),'Grid Data'!$B$4:$B$2342,$D23,'Grid Data'!$C$4:$C$2342,E$4,'Grid Data'!$A$4:$A$2342,$D$2)*100, 0)</f>
        <v>6.8171999999999997</v>
      </c>
      <c r="F23" s="4">
        <f>IF(  F86&gt;$E$2, SUMIFS(IF($G$2="CPR",'Grid Data'!$J$4:$J$2342,'Grid Data'!$K$4:$K$2342),'Grid Data'!$B$4:$B$2342,$D23,'Grid Data'!$C$4:$C$2342,F$4,'Grid Data'!$A$4:$A$2342,$D$2)*100, 0)</f>
        <v>10.278</v>
      </c>
      <c r="G23" s="4">
        <f>IF(  G86&gt;$E$2, SUMIFS(IF($G$2="CPR",'Grid Data'!$J$4:$J$2342,'Grid Data'!$K$4:$K$2342),'Grid Data'!$B$4:$B$2342,$D23,'Grid Data'!$C$4:$C$2342,G$4,'Grid Data'!$A$4:$A$2342,$D$2)*100, 0)</f>
        <v>93.39309999999999</v>
      </c>
      <c r="H23" s="4">
        <f>IF(  H86&gt;$E$2, SUMIFS(IF($G$2="CPR",'Grid Data'!$J$4:$J$2342,'Grid Data'!$K$4:$K$2342),'Grid Data'!$B$4:$B$2342,$D23,'Grid Data'!$C$4:$C$2342,H$4,'Grid Data'!$A$4:$A$2342,$D$2)*100, 0)</f>
        <v>65.667500000000004</v>
      </c>
      <c r="I23" s="4">
        <f>IF(  I86&gt;$E$2, SUMIFS(IF($G$2="CPR",'Grid Data'!$J$4:$J$2342,'Grid Data'!$K$4:$K$2342),'Grid Data'!$B$4:$B$2342,$D23,'Grid Data'!$C$4:$C$2342,I$4,'Grid Data'!$A$4:$A$2342,$D$2)*100, 0)</f>
        <v>44.633000000000003</v>
      </c>
      <c r="J23" s="4">
        <f>IF(  J86&gt;$E$2, SUMIFS(IF($G$2="CPR",'Grid Data'!$J$4:$J$2342,'Grid Data'!$K$4:$K$2342),'Grid Data'!$B$4:$B$2342,$D23,'Grid Data'!$C$4:$C$2342,J$4,'Grid Data'!$A$4:$A$2342,$D$2)*100, 0)</f>
        <v>42.338700000000003</v>
      </c>
      <c r="K23" s="4">
        <f>IF(  K86&gt;$E$2, SUMIFS(IF($G$2="CPR",'Grid Data'!$J$4:$J$2342,'Grid Data'!$K$4:$K$2342),'Grid Data'!$B$4:$B$2342,$D23,'Grid Data'!$C$4:$C$2342,K$4,'Grid Data'!$A$4:$A$2342,$D$2)*100, 0)</f>
        <v>49.051200000000001</v>
      </c>
      <c r="L23" s="4">
        <f>IF(  L86&gt;$E$2, SUMIFS(IF($G$2="CPR",'Grid Data'!$J$4:$J$2342,'Grid Data'!$K$4:$K$2342),'Grid Data'!$B$4:$B$2342,$D23,'Grid Data'!$C$4:$C$2342,L$4,'Grid Data'!$A$4:$A$2342,$D$2)*100, 0)</f>
        <v>42.628399999999999</v>
      </c>
      <c r="M23" s="4">
        <f>IF(  M86&gt;$E$2, SUMIFS(IF($G$2="CPR",'Grid Data'!$J$4:$J$2342,'Grid Data'!$K$4:$K$2342),'Grid Data'!$B$4:$B$2342,$D23,'Grid Data'!$C$4:$C$2342,M$4,'Grid Data'!$A$4:$A$2342,$D$2)*100, 0)</f>
        <v>37.8322</v>
      </c>
      <c r="N23" s="4">
        <f>IF(  N86&gt;$E$2, SUMIFS(IF($G$2="CPR",'Grid Data'!$J$4:$J$2342,'Grid Data'!$K$4:$K$2342),'Grid Data'!$B$4:$B$2342,$D23,'Grid Data'!$C$4:$C$2342,N$4,'Grid Data'!$A$4:$A$2342,$D$2)*100, 0)</f>
        <v>38.426700000000004</v>
      </c>
      <c r="O23" s="4">
        <f>IF(  O86&gt;$E$2, SUMIFS(IF($G$2="CPR",'Grid Data'!$J$4:$J$2342,'Grid Data'!$K$4:$K$2342),'Grid Data'!$B$4:$B$2342,$D23,'Grid Data'!$C$4:$C$2342,O$4,'Grid Data'!$A$4:$A$2342,$D$2)*100, 0)</f>
        <v>39.864899999999999</v>
      </c>
      <c r="P23" s="4">
        <f>IF(  P86&gt;$E$2, SUMIFS(IF($G$2="CPR",'Grid Data'!$J$4:$J$2342,'Grid Data'!$K$4:$K$2342),'Grid Data'!$B$4:$B$2342,$D23,'Grid Data'!$C$4:$C$2342,P$4,'Grid Data'!$A$4:$A$2342,$D$2)*100, 0)</f>
        <v>36.8748</v>
      </c>
      <c r="Q23" s="4">
        <f>IF(  Q86&gt;$E$2, SUMIFS(IF($G$2="CPR",'Grid Data'!$J$4:$J$2342,'Grid Data'!$K$4:$K$2342),'Grid Data'!$B$4:$B$2342,$D23,'Grid Data'!$C$4:$C$2342,Q$4,'Grid Data'!$A$4:$A$2342,$D$2)*100, 0)</f>
        <v>37.907299999999999</v>
      </c>
      <c r="R23" s="4">
        <f>IF(  R86&gt;$E$2, SUMIFS(IF($G$2="CPR",'Grid Data'!$J$4:$J$2342,'Grid Data'!$K$4:$K$2342),'Grid Data'!$B$4:$B$2342,$D23,'Grid Data'!$C$4:$C$2342,R$4,'Grid Data'!$A$4:$A$2342,$D$2)*100, 0)</f>
        <v>34.5976</v>
      </c>
      <c r="S23" s="4">
        <f>IF(  S86&gt;$E$2, SUMIFS(IF($G$2="CPR",'Grid Data'!$J$4:$J$2342,'Grid Data'!$K$4:$K$2342),'Grid Data'!$B$4:$B$2342,$D23,'Grid Data'!$C$4:$C$2342,S$4,'Grid Data'!$A$4:$A$2342,$D$2)*100, 0)</f>
        <v>36.428800000000003</v>
      </c>
      <c r="T23" s="4">
        <f>IF(  T86&gt;$E$2, SUMIFS(IF($G$2="CPR",'Grid Data'!$J$4:$J$2342,'Grid Data'!$K$4:$K$2342),'Grid Data'!$B$4:$B$2342,$D23,'Grid Data'!$C$4:$C$2342,T$4,'Grid Data'!$A$4:$A$2342,$D$2)*100, 0)</f>
        <v>0</v>
      </c>
      <c r="U23" s="4">
        <f>IF(  U86&gt;$E$2, SUMIFS(IF($G$2="CPR",'Grid Data'!$J$4:$J$2342,'Grid Data'!$K$4:$K$2342),'Grid Data'!$B$4:$B$2342,$D23,'Grid Data'!$C$4:$C$2342,U$4,'Grid Data'!$A$4:$A$2342,$D$2)*100, 0)</f>
        <v>0</v>
      </c>
      <c r="V23" s="4">
        <f>IF(  V86&gt;$E$2, SUMIFS(IF($G$2="CPR",'Grid Data'!$J$4:$J$2342,'Grid Data'!$K$4:$K$2342),'Grid Data'!$B$4:$B$2342,$D23,'Grid Data'!$C$4:$C$2342,V$4,'Grid Data'!$A$4:$A$2342,$D$2)*100, 0)</f>
        <v>0</v>
      </c>
      <c r="W23" s="4">
        <f>IF(  W86&gt;$E$2, SUMIFS(IF($G$2="CPR",'Grid Data'!$J$4:$J$2342,'Grid Data'!$K$4:$K$2342),'Grid Data'!$B$4:$B$2342,$D23,'Grid Data'!$C$4:$C$2342,W$4,'Grid Data'!$A$4:$A$2342,$D$2)*100, 0)</f>
        <v>0</v>
      </c>
      <c r="X23" s="4">
        <f>IF(  X86&gt;$E$2, SUMIFS(IF($G$2="CPR",'Grid Data'!$J$4:$J$2342,'Grid Data'!$K$4:$K$2342),'Grid Data'!$B$4:$B$2342,$D23,'Grid Data'!$C$4:$C$2342,X$4,'Grid Data'!$A$4:$A$2342,$D$2)*100, 0)</f>
        <v>0</v>
      </c>
      <c r="Y23" s="4">
        <f>IF(  Y86&gt;$E$2, SUMIFS(IF($G$2="CPR",'Grid Data'!$J$4:$J$2342,'Grid Data'!$K$4:$K$2342),'Grid Data'!$B$4:$B$2342,$D23,'Grid Data'!$C$4:$C$2342,Y$4,'Grid Data'!$A$4:$A$2342,$D$2)*100, 0)</f>
        <v>0</v>
      </c>
      <c r="Z23" s="4">
        <f>IF(  Z86&gt;$E$2, SUMIFS(IF($G$2="CPR",'Grid Data'!$J$4:$J$2342,'Grid Data'!$K$4:$K$2342),'Grid Data'!$B$4:$B$2342,$D23,'Grid Data'!$C$4:$C$2342,Z$4,'Grid Data'!$A$4:$A$2342,$D$2)*100, 0)</f>
        <v>0</v>
      </c>
      <c r="AA23" s="4">
        <f>IF(  AA86&gt;$E$2, SUMIFS(IF($G$2="CPR",'Grid Data'!$J$4:$J$2342,'Grid Data'!$K$4:$K$2342),'Grid Data'!$B$4:$B$2342,$D23,'Grid Data'!$C$4:$C$2342,AA$4,'Grid Data'!$A$4:$A$2342,$D$2)*100, 0)</f>
        <v>0</v>
      </c>
      <c r="AB23" s="4">
        <f>IF(  AB86&gt;$E$2, SUMIFS(IF($G$2="CPR",'Grid Data'!$J$4:$J$2342,'Grid Data'!$K$4:$K$2342),'Grid Data'!$B$4:$B$2342,$D23,'Grid Data'!$C$4:$C$2342,AB$4,'Grid Data'!$A$4:$A$2342,$D$2)*100, 0)</f>
        <v>0</v>
      </c>
      <c r="AC23" s="4">
        <f>IF(  AC86&gt;$E$2, SUMIFS(IF($G$2="CPR",'Grid Data'!$J$4:$J$2342,'Grid Data'!$K$4:$K$2342),'Grid Data'!$B$4:$B$2342,$D23,'Grid Data'!$C$4:$C$2342,AC$4,'Grid Data'!$A$4:$A$2342,$D$2)*100, 0)</f>
        <v>0</v>
      </c>
      <c r="AD23" s="4">
        <f>IF(  AD86&gt;$E$2, SUMIFS(IF($G$2="CPR",'Grid Data'!$J$4:$J$2342,'Grid Data'!$K$4:$K$2342),'Grid Data'!$B$4:$B$2342,$D23,'Grid Data'!$C$4:$C$2342,AD$4,'Grid Data'!$A$4:$A$2342,$D$2)*100, 0)</f>
        <v>0</v>
      </c>
      <c r="AE23" s="4">
        <f>IF(  AE86&gt;$E$2, SUMIFS(IF($G$2="CPR",'Grid Data'!$J$4:$J$2342,'Grid Data'!$K$4:$K$2342),'Grid Data'!$B$4:$B$2342,$D23,'Grid Data'!$C$4:$C$2342,AE$4,'Grid Data'!$A$4:$A$2342,$D$2)*100, 0)</f>
        <v>16.304600000000001</v>
      </c>
      <c r="AF23" s="4">
        <f>IF(  AF86&gt;$E$2, SUMIFS(IF($G$2="CPR",'Grid Data'!$J$4:$J$2342,'Grid Data'!$K$4:$K$2342),'Grid Data'!$B$4:$B$2342,$D23,'Grid Data'!$C$4:$C$2342,AF$4,'Grid Data'!$A$4:$A$2342,$D$2)*100, 0)</f>
        <v>13.1408</v>
      </c>
      <c r="AG23" s="4">
        <f>IF(  AG86&gt;$E$2, SUMIFS(IF($G$2="CPR",'Grid Data'!$J$4:$J$2342,'Grid Data'!$K$4:$K$2342),'Grid Data'!$B$4:$B$2342,$D23,'Grid Data'!$C$4:$C$2342,AG$4,'Grid Data'!$A$4:$A$2342,$D$2)*100, 0)</f>
        <v>13.720699999999999</v>
      </c>
      <c r="AH23" s="4">
        <f>IF(  AH86&gt;$E$2, SUMIFS(IF($G$2="CPR",'Grid Data'!$J$4:$J$2342,'Grid Data'!$K$4:$K$2342),'Grid Data'!$B$4:$B$2342,$D23,'Grid Data'!$C$4:$C$2342,AH$4,'Grid Data'!$A$4:$A$2342,$D$2)*100, 0)</f>
        <v>27.834500000000002</v>
      </c>
    </row>
    <row r="24" spans="4:34" x14ac:dyDescent="0.35">
      <c r="D24">
        <v>6750</v>
      </c>
      <c r="E24" s="4">
        <f>IF(  E87&gt;$E$2, SUMIFS(IF($G$2="CPR",'Grid Data'!$J$4:$J$2342,'Grid Data'!$K$4:$K$2342),'Grid Data'!$B$4:$B$2342,$D24,'Grid Data'!$C$4:$C$2342,E$4,'Grid Data'!$A$4:$A$2342,$D$2)*100, 0)</f>
        <v>4.2664</v>
      </c>
      <c r="F24" s="4">
        <f>IF(  F87&gt;$E$2, SUMIFS(IF($G$2="CPR",'Grid Data'!$J$4:$J$2342,'Grid Data'!$K$4:$K$2342),'Grid Data'!$B$4:$B$2342,$D24,'Grid Data'!$C$4:$C$2342,F$4,'Grid Data'!$A$4:$A$2342,$D$2)*100, 0)</f>
        <v>10.67</v>
      </c>
      <c r="G24" s="4">
        <f>IF(  G87&gt;$E$2, SUMIFS(IF($G$2="CPR",'Grid Data'!$J$4:$J$2342,'Grid Data'!$K$4:$K$2342),'Grid Data'!$B$4:$B$2342,$D24,'Grid Data'!$C$4:$C$2342,G$4,'Grid Data'!$A$4:$A$2342,$D$2)*100, 0)</f>
        <v>97.4679</v>
      </c>
      <c r="H24" s="4">
        <f>IF(  H87&gt;$E$2, SUMIFS(IF($G$2="CPR",'Grid Data'!$J$4:$J$2342,'Grid Data'!$K$4:$K$2342),'Grid Data'!$B$4:$B$2342,$D24,'Grid Data'!$C$4:$C$2342,H$4,'Grid Data'!$A$4:$A$2342,$D$2)*100, 0)</f>
        <v>78.366599999999991</v>
      </c>
      <c r="I24" s="4">
        <f>IF(  I87&gt;$E$2, SUMIFS(IF($G$2="CPR",'Grid Data'!$J$4:$J$2342,'Grid Data'!$K$4:$K$2342),'Grid Data'!$B$4:$B$2342,$D24,'Grid Data'!$C$4:$C$2342,I$4,'Grid Data'!$A$4:$A$2342,$D$2)*100, 0)</f>
        <v>63.771000000000001</v>
      </c>
      <c r="J24" s="4">
        <f>IF(  J87&gt;$E$2, SUMIFS(IF($G$2="CPR",'Grid Data'!$J$4:$J$2342,'Grid Data'!$K$4:$K$2342),'Grid Data'!$B$4:$B$2342,$D24,'Grid Data'!$C$4:$C$2342,J$4,'Grid Data'!$A$4:$A$2342,$D$2)*100, 0)</f>
        <v>55.836600000000004</v>
      </c>
      <c r="K24" s="4">
        <f>IF(  K87&gt;$E$2, SUMIFS(IF($G$2="CPR",'Grid Data'!$J$4:$J$2342,'Grid Data'!$K$4:$K$2342),'Grid Data'!$B$4:$B$2342,$D24,'Grid Data'!$C$4:$C$2342,K$4,'Grid Data'!$A$4:$A$2342,$D$2)*100, 0)</f>
        <v>52.897099999999995</v>
      </c>
      <c r="L24" s="4">
        <f>IF(  L87&gt;$E$2, SUMIFS(IF($G$2="CPR",'Grid Data'!$J$4:$J$2342,'Grid Data'!$K$4:$K$2342),'Grid Data'!$B$4:$B$2342,$D24,'Grid Data'!$C$4:$C$2342,L$4,'Grid Data'!$A$4:$A$2342,$D$2)*100, 0)</f>
        <v>45.3294</v>
      </c>
      <c r="M24" s="4">
        <f>IF(  M87&gt;$E$2, SUMIFS(IF($G$2="CPR",'Grid Data'!$J$4:$J$2342,'Grid Data'!$K$4:$K$2342),'Grid Data'!$B$4:$B$2342,$D24,'Grid Data'!$C$4:$C$2342,M$4,'Grid Data'!$A$4:$A$2342,$D$2)*100, 0)</f>
        <v>45.6098</v>
      </c>
      <c r="N24" s="4">
        <f>IF(  N87&gt;$E$2, SUMIFS(IF($G$2="CPR",'Grid Data'!$J$4:$J$2342,'Grid Data'!$K$4:$K$2342),'Grid Data'!$B$4:$B$2342,$D24,'Grid Data'!$C$4:$C$2342,N$4,'Grid Data'!$A$4:$A$2342,$D$2)*100, 0)</f>
        <v>47.616100000000003</v>
      </c>
      <c r="O24" s="4">
        <f>IF(  O87&gt;$E$2, SUMIFS(IF($G$2="CPR",'Grid Data'!$J$4:$J$2342,'Grid Data'!$K$4:$K$2342),'Grid Data'!$B$4:$B$2342,$D24,'Grid Data'!$C$4:$C$2342,O$4,'Grid Data'!$A$4:$A$2342,$D$2)*100, 0)</f>
        <v>43.477499999999999</v>
      </c>
      <c r="P24" s="4">
        <f>IF(  P87&gt;$E$2, SUMIFS(IF($G$2="CPR",'Grid Data'!$J$4:$J$2342,'Grid Data'!$K$4:$K$2342),'Grid Data'!$B$4:$B$2342,$D24,'Grid Data'!$C$4:$C$2342,P$4,'Grid Data'!$A$4:$A$2342,$D$2)*100, 0)</f>
        <v>41.7117</v>
      </c>
      <c r="Q24" s="4">
        <f>IF(  Q87&gt;$E$2, SUMIFS(IF($G$2="CPR",'Grid Data'!$J$4:$J$2342,'Grid Data'!$K$4:$K$2342),'Grid Data'!$B$4:$B$2342,$D24,'Grid Data'!$C$4:$C$2342,Q$4,'Grid Data'!$A$4:$A$2342,$D$2)*100, 0)</f>
        <v>40.769599999999997</v>
      </c>
      <c r="R24" s="4">
        <f>IF(  R87&gt;$E$2, SUMIFS(IF($G$2="CPR",'Grid Data'!$J$4:$J$2342,'Grid Data'!$K$4:$K$2342),'Grid Data'!$B$4:$B$2342,$D24,'Grid Data'!$C$4:$C$2342,R$4,'Grid Data'!$A$4:$A$2342,$D$2)*100, 0)</f>
        <v>41.346800000000002</v>
      </c>
      <c r="S24" s="4">
        <f>IF(  S87&gt;$E$2, SUMIFS(IF($G$2="CPR",'Grid Data'!$J$4:$J$2342,'Grid Data'!$K$4:$K$2342),'Grid Data'!$B$4:$B$2342,$D24,'Grid Data'!$C$4:$C$2342,S$4,'Grid Data'!$A$4:$A$2342,$D$2)*100, 0)</f>
        <v>38.6678</v>
      </c>
      <c r="T24" s="4">
        <f>IF(  T87&gt;$E$2, SUMIFS(IF($G$2="CPR",'Grid Data'!$J$4:$J$2342,'Grid Data'!$K$4:$K$2342),'Grid Data'!$B$4:$B$2342,$D24,'Grid Data'!$C$4:$C$2342,T$4,'Grid Data'!$A$4:$A$2342,$D$2)*100, 0)</f>
        <v>0</v>
      </c>
      <c r="U24" s="4">
        <f>IF(  U87&gt;$E$2, SUMIFS(IF($G$2="CPR",'Grid Data'!$J$4:$J$2342,'Grid Data'!$K$4:$K$2342),'Grid Data'!$B$4:$B$2342,$D24,'Grid Data'!$C$4:$C$2342,U$4,'Grid Data'!$A$4:$A$2342,$D$2)*100, 0)</f>
        <v>0</v>
      </c>
      <c r="V24" s="4">
        <f>IF(  V87&gt;$E$2, SUMIFS(IF($G$2="CPR",'Grid Data'!$J$4:$J$2342,'Grid Data'!$K$4:$K$2342),'Grid Data'!$B$4:$B$2342,$D24,'Grid Data'!$C$4:$C$2342,V$4,'Grid Data'!$A$4:$A$2342,$D$2)*100, 0)</f>
        <v>0</v>
      </c>
      <c r="W24" s="4">
        <f>IF(  W87&gt;$E$2, SUMIFS(IF($G$2="CPR",'Grid Data'!$J$4:$J$2342,'Grid Data'!$K$4:$K$2342),'Grid Data'!$B$4:$B$2342,$D24,'Grid Data'!$C$4:$C$2342,W$4,'Grid Data'!$A$4:$A$2342,$D$2)*100, 0)</f>
        <v>0</v>
      </c>
      <c r="X24" s="4">
        <f>IF(  X87&gt;$E$2, SUMIFS(IF($G$2="CPR",'Grid Data'!$J$4:$J$2342,'Grid Data'!$K$4:$K$2342),'Grid Data'!$B$4:$B$2342,$D24,'Grid Data'!$C$4:$C$2342,X$4,'Grid Data'!$A$4:$A$2342,$D$2)*100, 0)</f>
        <v>0</v>
      </c>
      <c r="Y24" s="4">
        <f>IF(  Y87&gt;$E$2, SUMIFS(IF($G$2="CPR",'Grid Data'!$J$4:$J$2342,'Grid Data'!$K$4:$K$2342),'Grid Data'!$B$4:$B$2342,$D24,'Grid Data'!$C$4:$C$2342,Y$4,'Grid Data'!$A$4:$A$2342,$D$2)*100, 0)</f>
        <v>0</v>
      </c>
      <c r="Z24" s="4">
        <f>IF(  Z87&gt;$E$2, SUMIFS(IF($G$2="CPR",'Grid Data'!$J$4:$J$2342,'Grid Data'!$K$4:$K$2342),'Grid Data'!$B$4:$B$2342,$D24,'Grid Data'!$C$4:$C$2342,Z$4,'Grid Data'!$A$4:$A$2342,$D$2)*100, 0)</f>
        <v>0</v>
      </c>
      <c r="AA24" s="4">
        <f>IF(  AA87&gt;$E$2, SUMIFS(IF($G$2="CPR",'Grid Data'!$J$4:$J$2342,'Grid Data'!$K$4:$K$2342),'Grid Data'!$B$4:$B$2342,$D24,'Grid Data'!$C$4:$C$2342,AA$4,'Grid Data'!$A$4:$A$2342,$D$2)*100, 0)</f>
        <v>0</v>
      </c>
      <c r="AB24" s="4">
        <f>IF(  AB87&gt;$E$2, SUMIFS(IF($G$2="CPR",'Grid Data'!$J$4:$J$2342,'Grid Data'!$K$4:$K$2342),'Grid Data'!$B$4:$B$2342,$D24,'Grid Data'!$C$4:$C$2342,AB$4,'Grid Data'!$A$4:$A$2342,$D$2)*100, 0)</f>
        <v>0</v>
      </c>
      <c r="AC24" s="4">
        <f>IF(  AC87&gt;$E$2, SUMIFS(IF($G$2="CPR",'Grid Data'!$J$4:$J$2342,'Grid Data'!$K$4:$K$2342),'Grid Data'!$B$4:$B$2342,$D24,'Grid Data'!$C$4:$C$2342,AC$4,'Grid Data'!$A$4:$A$2342,$D$2)*100, 0)</f>
        <v>0</v>
      </c>
      <c r="AD24" s="4">
        <f>IF(  AD87&gt;$E$2, SUMIFS(IF($G$2="CPR",'Grid Data'!$J$4:$J$2342,'Grid Data'!$K$4:$K$2342),'Grid Data'!$B$4:$B$2342,$D24,'Grid Data'!$C$4:$C$2342,AD$4,'Grid Data'!$A$4:$A$2342,$D$2)*100, 0)</f>
        <v>0</v>
      </c>
      <c r="AE24" s="4">
        <f>IF(  AE87&gt;$E$2, SUMIFS(IF($G$2="CPR",'Grid Data'!$J$4:$J$2342,'Grid Data'!$K$4:$K$2342),'Grid Data'!$B$4:$B$2342,$D24,'Grid Data'!$C$4:$C$2342,AE$4,'Grid Data'!$A$4:$A$2342,$D$2)*100, 0)</f>
        <v>7.0982000000000003</v>
      </c>
      <c r="AF24" s="4">
        <f>IF(  AF87&gt;$E$2, SUMIFS(IF($G$2="CPR",'Grid Data'!$J$4:$J$2342,'Grid Data'!$K$4:$K$2342),'Grid Data'!$B$4:$B$2342,$D24,'Grid Data'!$C$4:$C$2342,AF$4,'Grid Data'!$A$4:$A$2342,$D$2)*100, 0)</f>
        <v>8.5016999999999996</v>
      </c>
      <c r="AG24" s="4">
        <f>IF(  AG87&gt;$E$2, SUMIFS(IF($G$2="CPR",'Grid Data'!$J$4:$J$2342,'Grid Data'!$K$4:$K$2342),'Grid Data'!$B$4:$B$2342,$D24,'Grid Data'!$C$4:$C$2342,AG$4,'Grid Data'!$A$4:$A$2342,$D$2)*100, 0)</f>
        <v>11.0937</v>
      </c>
      <c r="AH24" s="4">
        <f>IF(  AH87&gt;$E$2, SUMIFS(IF($G$2="CPR",'Grid Data'!$J$4:$J$2342,'Grid Data'!$K$4:$K$2342),'Grid Data'!$B$4:$B$2342,$D24,'Grid Data'!$C$4:$C$2342,AH$4,'Grid Data'!$A$4:$A$2342,$D$2)*100, 0)</f>
        <v>23.2822</v>
      </c>
    </row>
    <row r="25" spans="4:34" x14ac:dyDescent="0.35">
      <c r="D25">
        <v>7000</v>
      </c>
      <c r="E25" s="4">
        <f>IF(  E88&gt;$E$2, SUMIFS(IF($G$2="CPR",'Grid Data'!$J$4:$J$2342,'Grid Data'!$K$4:$K$2342),'Grid Data'!$B$4:$B$2342,$D25,'Grid Data'!$C$4:$C$2342,E$4,'Grid Data'!$A$4:$A$2342,$D$2)*100, 0)</f>
        <v>4.9334999999999996</v>
      </c>
      <c r="F25" s="4">
        <f>IF(  F88&gt;$E$2, SUMIFS(IF($G$2="CPR",'Grid Data'!$J$4:$J$2342,'Grid Data'!$K$4:$K$2342),'Grid Data'!$B$4:$B$2342,$D25,'Grid Data'!$C$4:$C$2342,F$4,'Grid Data'!$A$4:$A$2342,$D$2)*100, 0)</f>
        <v>10.9171</v>
      </c>
      <c r="G25" s="4">
        <f>IF(  G88&gt;$E$2, SUMIFS(IF($G$2="CPR",'Grid Data'!$J$4:$J$2342,'Grid Data'!$K$4:$K$2342),'Grid Data'!$B$4:$B$2342,$D25,'Grid Data'!$C$4:$C$2342,G$4,'Grid Data'!$A$4:$A$2342,$D$2)*100, 0)</f>
        <v>99.428100000000001</v>
      </c>
      <c r="H25" s="4">
        <f>IF(  H88&gt;$E$2, SUMIFS(IF($G$2="CPR",'Grid Data'!$J$4:$J$2342,'Grid Data'!$K$4:$K$2342),'Grid Data'!$B$4:$B$2342,$D25,'Grid Data'!$C$4:$C$2342,H$4,'Grid Data'!$A$4:$A$2342,$D$2)*100, 0)</f>
        <v>83.130600000000001</v>
      </c>
      <c r="I25" s="4">
        <f>IF(  I88&gt;$E$2, SUMIFS(IF($G$2="CPR",'Grid Data'!$J$4:$J$2342,'Grid Data'!$K$4:$K$2342),'Grid Data'!$B$4:$B$2342,$D25,'Grid Data'!$C$4:$C$2342,I$4,'Grid Data'!$A$4:$A$2342,$D$2)*100, 0)</f>
        <v>66.447199999999995</v>
      </c>
      <c r="J25" s="4">
        <f>IF(  J88&gt;$E$2, SUMIFS(IF($G$2="CPR",'Grid Data'!$J$4:$J$2342,'Grid Data'!$K$4:$K$2342),'Grid Data'!$B$4:$B$2342,$D25,'Grid Data'!$C$4:$C$2342,J$4,'Grid Data'!$A$4:$A$2342,$D$2)*100, 0)</f>
        <v>69.0017</v>
      </c>
      <c r="K25" s="4">
        <f>IF(  K88&gt;$E$2, SUMIFS(IF($G$2="CPR",'Grid Data'!$J$4:$J$2342,'Grid Data'!$K$4:$K$2342),'Grid Data'!$B$4:$B$2342,$D25,'Grid Data'!$C$4:$C$2342,K$4,'Grid Data'!$A$4:$A$2342,$D$2)*100, 0)</f>
        <v>48.4026</v>
      </c>
      <c r="L25" s="4">
        <f>IF(  L88&gt;$E$2, SUMIFS(IF($G$2="CPR",'Grid Data'!$J$4:$J$2342,'Grid Data'!$K$4:$K$2342),'Grid Data'!$B$4:$B$2342,$D25,'Grid Data'!$C$4:$C$2342,L$4,'Grid Data'!$A$4:$A$2342,$D$2)*100, 0)</f>
        <v>50.426099999999998</v>
      </c>
      <c r="M25" s="4">
        <f>IF(  M88&gt;$E$2, SUMIFS(IF($G$2="CPR",'Grid Data'!$J$4:$J$2342,'Grid Data'!$K$4:$K$2342),'Grid Data'!$B$4:$B$2342,$D25,'Grid Data'!$C$4:$C$2342,M$4,'Grid Data'!$A$4:$A$2342,$D$2)*100, 0)</f>
        <v>39.125700000000002</v>
      </c>
      <c r="N25" s="4">
        <f>IF(  N88&gt;$E$2, SUMIFS(IF($G$2="CPR",'Grid Data'!$J$4:$J$2342,'Grid Data'!$K$4:$K$2342),'Grid Data'!$B$4:$B$2342,$D25,'Grid Data'!$C$4:$C$2342,N$4,'Grid Data'!$A$4:$A$2342,$D$2)*100, 0)</f>
        <v>58.566700000000004</v>
      </c>
      <c r="O25" s="4">
        <f>IF(  O88&gt;$E$2, SUMIFS(IF($G$2="CPR",'Grid Data'!$J$4:$J$2342,'Grid Data'!$K$4:$K$2342),'Grid Data'!$B$4:$B$2342,$D25,'Grid Data'!$C$4:$C$2342,O$4,'Grid Data'!$A$4:$A$2342,$D$2)*100, 0)</f>
        <v>39.787599999999998</v>
      </c>
      <c r="P25" s="4">
        <f>IF(  P88&gt;$E$2, SUMIFS(IF($G$2="CPR",'Grid Data'!$J$4:$J$2342,'Grid Data'!$K$4:$K$2342),'Grid Data'!$B$4:$B$2342,$D25,'Grid Data'!$C$4:$C$2342,P$4,'Grid Data'!$A$4:$A$2342,$D$2)*100, 0)</f>
        <v>47.619499999999995</v>
      </c>
      <c r="Q25" s="4">
        <f>IF(  Q88&gt;$E$2, SUMIFS(IF($G$2="CPR",'Grid Data'!$J$4:$J$2342,'Grid Data'!$K$4:$K$2342),'Grid Data'!$B$4:$B$2342,$D25,'Grid Data'!$C$4:$C$2342,Q$4,'Grid Data'!$A$4:$A$2342,$D$2)*100, 0)</f>
        <v>38.745600000000003</v>
      </c>
      <c r="R25" s="4">
        <f>IF(  R88&gt;$E$2, SUMIFS(IF($G$2="CPR",'Grid Data'!$J$4:$J$2342,'Grid Data'!$K$4:$K$2342),'Grid Data'!$B$4:$B$2342,$D25,'Grid Data'!$C$4:$C$2342,R$4,'Grid Data'!$A$4:$A$2342,$D$2)*100, 0)</f>
        <v>41.023900000000005</v>
      </c>
      <c r="S25" s="4">
        <f>IF(  S88&gt;$E$2, SUMIFS(IF($G$2="CPR",'Grid Data'!$J$4:$J$2342,'Grid Data'!$K$4:$K$2342),'Grid Data'!$B$4:$B$2342,$D25,'Grid Data'!$C$4:$C$2342,S$4,'Grid Data'!$A$4:$A$2342,$D$2)*100, 0)</f>
        <v>31.009399999999999</v>
      </c>
      <c r="T25" s="4">
        <f>IF(  T88&gt;$E$2, SUMIFS(IF($G$2="CPR",'Grid Data'!$J$4:$J$2342,'Grid Data'!$K$4:$K$2342),'Grid Data'!$B$4:$B$2342,$D25,'Grid Data'!$C$4:$C$2342,T$4,'Grid Data'!$A$4:$A$2342,$D$2)*100, 0)</f>
        <v>0</v>
      </c>
      <c r="U25" s="4">
        <f>IF(  U88&gt;$E$2, SUMIFS(IF($G$2="CPR",'Grid Data'!$J$4:$J$2342,'Grid Data'!$K$4:$K$2342),'Grid Data'!$B$4:$B$2342,$D25,'Grid Data'!$C$4:$C$2342,U$4,'Grid Data'!$A$4:$A$2342,$D$2)*100, 0)</f>
        <v>0</v>
      </c>
      <c r="V25" s="4">
        <f>IF(  V88&gt;$E$2, SUMIFS(IF($G$2="CPR",'Grid Data'!$J$4:$J$2342,'Grid Data'!$K$4:$K$2342),'Grid Data'!$B$4:$B$2342,$D25,'Grid Data'!$C$4:$C$2342,V$4,'Grid Data'!$A$4:$A$2342,$D$2)*100, 0)</f>
        <v>0</v>
      </c>
      <c r="W25" s="4">
        <f>IF(  W88&gt;$E$2, SUMIFS(IF($G$2="CPR",'Grid Data'!$J$4:$J$2342,'Grid Data'!$K$4:$K$2342),'Grid Data'!$B$4:$B$2342,$D25,'Grid Data'!$C$4:$C$2342,W$4,'Grid Data'!$A$4:$A$2342,$D$2)*100, 0)</f>
        <v>0</v>
      </c>
      <c r="X25" s="4">
        <f>IF(  X88&gt;$E$2, SUMIFS(IF($G$2="CPR",'Grid Data'!$J$4:$J$2342,'Grid Data'!$K$4:$K$2342),'Grid Data'!$B$4:$B$2342,$D25,'Grid Data'!$C$4:$C$2342,X$4,'Grid Data'!$A$4:$A$2342,$D$2)*100, 0)</f>
        <v>0</v>
      </c>
      <c r="Y25" s="4">
        <f>IF(  Y88&gt;$E$2, SUMIFS(IF($G$2="CPR",'Grid Data'!$J$4:$J$2342,'Grid Data'!$K$4:$K$2342),'Grid Data'!$B$4:$B$2342,$D25,'Grid Data'!$C$4:$C$2342,Y$4,'Grid Data'!$A$4:$A$2342,$D$2)*100, 0)</f>
        <v>0</v>
      </c>
      <c r="Z25" s="4">
        <f>IF(  Z88&gt;$E$2, SUMIFS(IF($G$2="CPR",'Grid Data'!$J$4:$J$2342,'Grid Data'!$K$4:$K$2342),'Grid Data'!$B$4:$B$2342,$D25,'Grid Data'!$C$4:$C$2342,Z$4,'Grid Data'!$A$4:$A$2342,$D$2)*100, 0)</f>
        <v>0</v>
      </c>
      <c r="AA25" s="4">
        <f>IF(  AA88&gt;$E$2, SUMIFS(IF($G$2="CPR",'Grid Data'!$J$4:$J$2342,'Grid Data'!$K$4:$K$2342),'Grid Data'!$B$4:$B$2342,$D25,'Grid Data'!$C$4:$C$2342,AA$4,'Grid Data'!$A$4:$A$2342,$D$2)*100, 0)</f>
        <v>0</v>
      </c>
      <c r="AB25" s="4">
        <f>IF(  AB88&gt;$E$2, SUMIFS(IF($G$2="CPR",'Grid Data'!$J$4:$J$2342,'Grid Data'!$K$4:$K$2342),'Grid Data'!$B$4:$B$2342,$D25,'Grid Data'!$C$4:$C$2342,AB$4,'Grid Data'!$A$4:$A$2342,$D$2)*100, 0)</f>
        <v>0</v>
      </c>
      <c r="AC25" s="4">
        <f>IF(  AC88&gt;$E$2, SUMIFS(IF($G$2="CPR",'Grid Data'!$J$4:$J$2342,'Grid Data'!$K$4:$K$2342),'Grid Data'!$B$4:$B$2342,$D25,'Grid Data'!$C$4:$C$2342,AC$4,'Grid Data'!$A$4:$A$2342,$D$2)*100, 0)</f>
        <v>0</v>
      </c>
      <c r="AD25" s="4">
        <f>IF(  AD88&gt;$E$2, SUMIFS(IF($G$2="CPR",'Grid Data'!$J$4:$J$2342,'Grid Data'!$K$4:$K$2342),'Grid Data'!$B$4:$B$2342,$D25,'Grid Data'!$C$4:$C$2342,AD$4,'Grid Data'!$A$4:$A$2342,$D$2)*100, 0)</f>
        <v>0</v>
      </c>
      <c r="AE25" s="4">
        <f>IF(  AE88&gt;$E$2, SUMIFS(IF($G$2="CPR",'Grid Data'!$J$4:$J$2342,'Grid Data'!$K$4:$K$2342),'Grid Data'!$B$4:$B$2342,$D25,'Grid Data'!$C$4:$C$2342,AE$4,'Grid Data'!$A$4:$A$2342,$D$2)*100, 0)</f>
        <v>0</v>
      </c>
      <c r="AF25" s="4">
        <f>IF(  AF88&gt;$E$2, SUMIFS(IF($G$2="CPR",'Grid Data'!$J$4:$J$2342,'Grid Data'!$K$4:$K$2342),'Grid Data'!$B$4:$B$2342,$D25,'Grid Data'!$C$4:$C$2342,AF$4,'Grid Data'!$A$4:$A$2342,$D$2)*100, 0)</f>
        <v>13.236000000000001</v>
      </c>
      <c r="AG25" s="4">
        <f>IF(  AG88&gt;$E$2, SUMIFS(IF($G$2="CPR",'Grid Data'!$J$4:$J$2342,'Grid Data'!$K$4:$K$2342),'Grid Data'!$B$4:$B$2342,$D25,'Grid Data'!$C$4:$C$2342,AG$4,'Grid Data'!$A$4:$A$2342,$D$2)*100, 0)</f>
        <v>17.251200000000001</v>
      </c>
      <c r="AH25" s="4">
        <f>IF(  AH88&gt;$E$2, SUMIFS(IF($G$2="CPR",'Grid Data'!$J$4:$J$2342,'Grid Data'!$K$4:$K$2342),'Grid Data'!$B$4:$B$2342,$D25,'Grid Data'!$C$4:$C$2342,AH$4,'Grid Data'!$A$4:$A$2342,$D$2)*100, 0)</f>
        <v>21.9054</v>
      </c>
    </row>
    <row r="26" spans="4:34" x14ac:dyDescent="0.35">
      <c r="D26">
        <v>7250</v>
      </c>
      <c r="E26" s="4">
        <f>IF(  E89&gt;$E$2, SUMIFS(IF($G$2="CPR",'Grid Data'!$J$4:$J$2342,'Grid Data'!$K$4:$K$2342),'Grid Data'!$B$4:$B$2342,$D26,'Grid Data'!$C$4:$C$2342,E$4,'Grid Data'!$A$4:$A$2342,$D$2)*100, 0)</f>
        <v>3.2870000000000004</v>
      </c>
      <c r="F26" s="4">
        <f>IF(  F89&gt;$E$2, SUMIFS(IF($G$2="CPR",'Grid Data'!$J$4:$J$2342,'Grid Data'!$K$4:$K$2342),'Grid Data'!$B$4:$B$2342,$D26,'Grid Data'!$C$4:$C$2342,F$4,'Grid Data'!$A$4:$A$2342,$D$2)*100, 0)</f>
        <v>7.6953999999999994</v>
      </c>
      <c r="G26" s="4">
        <f>IF(  G89&gt;$E$2, SUMIFS(IF($G$2="CPR",'Grid Data'!$J$4:$J$2342,'Grid Data'!$K$4:$K$2342),'Grid Data'!$B$4:$B$2342,$D26,'Grid Data'!$C$4:$C$2342,G$4,'Grid Data'!$A$4:$A$2342,$D$2)*100, 0)</f>
        <v>99.823899999999995</v>
      </c>
      <c r="H26" s="4">
        <f>IF(  H89&gt;$E$2, SUMIFS(IF($G$2="CPR",'Grid Data'!$J$4:$J$2342,'Grid Data'!$K$4:$K$2342),'Grid Data'!$B$4:$B$2342,$D26,'Grid Data'!$C$4:$C$2342,H$4,'Grid Data'!$A$4:$A$2342,$D$2)*100, 0)</f>
        <v>89.377300000000005</v>
      </c>
      <c r="I26" s="4">
        <f>IF(  I89&gt;$E$2, SUMIFS(IF($G$2="CPR",'Grid Data'!$J$4:$J$2342,'Grid Data'!$K$4:$K$2342),'Grid Data'!$B$4:$B$2342,$D26,'Grid Data'!$C$4:$C$2342,I$4,'Grid Data'!$A$4:$A$2342,$D$2)*100, 0)</f>
        <v>80.483599999999996</v>
      </c>
      <c r="J26" s="4">
        <f>IF(  J89&gt;$E$2, SUMIFS(IF($G$2="CPR",'Grid Data'!$J$4:$J$2342,'Grid Data'!$K$4:$K$2342),'Grid Data'!$B$4:$B$2342,$D26,'Grid Data'!$C$4:$C$2342,J$4,'Grid Data'!$A$4:$A$2342,$D$2)*100, 0)</f>
        <v>63.600900000000003</v>
      </c>
      <c r="K26" s="4">
        <f>IF(  K89&gt;$E$2, SUMIFS(IF($G$2="CPR",'Grid Data'!$J$4:$J$2342,'Grid Data'!$K$4:$K$2342),'Grid Data'!$B$4:$B$2342,$D26,'Grid Data'!$C$4:$C$2342,K$4,'Grid Data'!$A$4:$A$2342,$D$2)*100, 0)</f>
        <v>62.246000000000002</v>
      </c>
      <c r="L26" s="4">
        <f>IF(  L89&gt;$E$2, SUMIFS(IF($G$2="CPR",'Grid Data'!$J$4:$J$2342,'Grid Data'!$K$4:$K$2342),'Grid Data'!$B$4:$B$2342,$D26,'Grid Data'!$C$4:$C$2342,L$4,'Grid Data'!$A$4:$A$2342,$D$2)*100, 0)</f>
        <v>48.758400000000002</v>
      </c>
      <c r="M26" s="4">
        <f>IF(  M89&gt;$E$2, SUMIFS(IF($G$2="CPR",'Grid Data'!$J$4:$J$2342,'Grid Data'!$K$4:$K$2342),'Grid Data'!$B$4:$B$2342,$D26,'Grid Data'!$C$4:$C$2342,M$4,'Grid Data'!$A$4:$A$2342,$D$2)*100, 0)</f>
        <v>55.176400000000001</v>
      </c>
      <c r="N26" s="4">
        <f>IF(  N89&gt;$E$2, SUMIFS(IF($G$2="CPR",'Grid Data'!$J$4:$J$2342,'Grid Data'!$K$4:$K$2342),'Grid Data'!$B$4:$B$2342,$D26,'Grid Data'!$C$4:$C$2342,N$4,'Grid Data'!$A$4:$A$2342,$D$2)*100, 0)</f>
        <v>47.1325</v>
      </c>
      <c r="O26" s="4">
        <f>IF(  O89&gt;$E$2, SUMIFS(IF($G$2="CPR",'Grid Data'!$J$4:$J$2342,'Grid Data'!$K$4:$K$2342),'Grid Data'!$B$4:$B$2342,$D26,'Grid Data'!$C$4:$C$2342,O$4,'Grid Data'!$A$4:$A$2342,$D$2)*100, 0)</f>
        <v>54.038399999999996</v>
      </c>
      <c r="P26" s="4">
        <f>IF(  P89&gt;$E$2, SUMIFS(IF($G$2="CPR",'Grid Data'!$J$4:$J$2342,'Grid Data'!$K$4:$K$2342),'Grid Data'!$B$4:$B$2342,$D26,'Grid Data'!$C$4:$C$2342,P$4,'Grid Data'!$A$4:$A$2342,$D$2)*100, 0)</f>
        <v>51.156599999999997</v>
      </c>
      <c r="Q26" s="4">
        <f>IF(  Q89&gt;$E$2, SUMIFS(IF($G$2="CPR",'Grid Data'!$J$4:$J$2342,'Grid Data'!$K$4:$K$2342),'Grid Data'!$B$4:$B$2342,$D26,'Grid Data'!$C$4:$C$2342,Q$4,'Grid Data'!$A$4:$A$2342,$D$2)*100, 0)</f>
        <v>49.694400000000002</v>
      </c>
      <c r="R26" s="4">
        <f>IF(  R89&gt;$E$2, SUMIFS(IF($G$2="CPR",'Grid Data'!$J$4:$J$2342,'Grid Data'!$K$4:$K$2342),'Grid Data'!$B$4:$B$2342,$D26,'Grid Data'!$C$4:$C$2342,R$4,'Grid Data'!$A$4:$A$2342,$D$2)*100, 0)</f>
        <v>41.471699999999998</v>
      </c>
      <c r="S26" s="4">
        <f>IF(  S89&gt;$E$2, SUMIFS(IF($G$2="CPR",'Grid Data'!$J$4:$J$2342,'Grid Data'!$K$4:$K$2342),'Grid Data'!$B$4:$B$2342,$D26,'Grid Data'!$C$4:$C$2342,S$4,'Grid Data'!$A$4:$A$2342,$D$2)*100, 0)</f>
        <v>46.696199999999997</v>
      </c>
      <c r="T26" s="4">
        <f>IF(  T89&gt;$E$2, SUMIFS(IF($G$2="CPR",'Grid Data'!$J$4:$J$2342,'Grid Data'!$K$4:$K$2342),'Grid Data'!$B$4:$B$2342,$D26,'Grid Data'!$C$4:$C$2342,T$4,'Grid Data'!$A$4:$A$2342,$D$2)*100, 0)</f>
        <v>0</v>
      </c>
      <c r="U26" s="4">
        <f>IF(  U89&gt;$E$2, SUMIFS(IF($G$2="CPR",'Grid Data'!$J$4:$J$2342,'Grid Data'!$K$4:$K$2342),'Grid Data'!$B$4:$B$2342,$D26,'Grid Data'!$C$4:$C$2342,U$4,'Grid Data'!$A$4:$A$2342,$D$2)*100, 0)</f>
        <v>0</v>
      </c>
      <c r="V26" s="4">
        <f>IF(  V89&gt;$E$2, SUMIFS(IF($G$2="CPR",'Grid Data'!$J$4:$J$2342,'Grid Data'!$K$4:$K$2342),'Grid Data'!$B$4:$B$2342,$D26,'Grid Data'!$C$4:$C$2342,V$4,'Grid Data'!$A$4:$A$2342,$D$2)*100, 0)</f>
        <v>0</v>
      </c>
      <c r="W26" s="4">
        <f>IF(  W89&gt;$E$2, SUMIFS(IF($G$2="CPR",'Grid Data'!$J$4:$J$2342,'Grid Data'!$K$4:$K$2342),'Grid Data'!$B$4:$B$2342,$D26,'Grid Data'!$C$4:$C$2342,W$4,'Grid Data'!$A$4:$A$2342,$D$2)*100, 0)</f>
        <v>0</v>
      </c>
      <c r="X26" s="4">
        <f>IF(  X89&gt;$E$2, SUMIFS(IF($G$2="CPR",'Grid Data'!$J$4:$J$2342,'Grid Data'!$K$4:$K$2342),'Grid Data'!$B$4:$B$2342,$D26,'Grid Data'!$C$4:$C$2342,X$4,'Grid Data'!$A$4:$A$2342,$D$2)*100, 0)</f>
        <v>0</v>
      </c>
      <c r="Y26" s="4">
        <f>IF(  Y89&gt;$E$2, SUMIFS(IF($G$2="CPR",'Grid Data'!$J$4:$J$2342,'Grid Data'!$K$4:$K$2342),'Grid Data'!$B$4:$B$2342,$D26,'Grid Data'!$C$4:$C$2342,Y$4,'Grid Data'!$A$4:$A$2342,$D$2)*100, 0)</f>
        <v>0</v>
      </c>
      <c r="Z26" s="4">
        <f>IF(  Z89&gt;$E$2, SUMIFS(IF($G$2="CPR",'Grid Data'!$J$4:$J$2342,'Grid Data'!$K$4:$K$2342),'Grid Data'!$B$4:$B$2342,$D26,'Grid Data'!$C$4:$C$2342,Z$4,'Grid Data'!$A$4:$A$2342,$D$2)*100, 0)</f>
        <v>0</v>
      </c>
      <c r="AA26" s="4">
        <f>IF(  AA89&gt;$E$2, SUMIFS(IF($G$2="CPR",'Grid Data'!$J$4:$J$2342,'Grid Data'!$K$4:$K$2342),'Grid Data'!$B$4:$B$2342,$D26,'Grid Data'!$C$4:$C$2342,AA$4,'Grid Data'!$A$4:$A$2342,$D$2)*100, 0)</f>
        <v>0</v>
      </c>
      <c r="AB26" s="4">
        <f>IF(  AB89&gt;$E$2, SUMIFS(IF($G$2="CPR",'Grid Data'!$J$4:$J$2342,'Grid Data'!$K$4:$K$2342),'Grid Data'!$B$4:$B$2342,$D26,'Grid Data'!$C$4:$C$2342,AB$4,'Grid Data'!$A$4:$A$2342,$D$2)*100, 0)</f>
        <v>0</v>
      </c>
      <c r="AC26" s="4">
        <f>IF(  AC89&gt;$E$2, SUMIFS(IF($G$2="CPR",'Grid Data'!$J$4:$J$2342,'Grid Data'!$K$4:$K$2342),'Grid Data'!$B$4:$B$2342,$D26,'Grid Data'!$C$4:$C$2342,AC$4,'Grid Data'!$A$4:$A$2342,$D$2)*100, 0)</f>
        <v>0</v>
      </c>
      <c r="AD26" s="4">
        <f>IF(  AD89&gt;$E$2, SUMIFS(IF($G$2="CPR",'Grid Data'!$J$4:$J$2342,'Grid Data'!$K$4:$K$2342),'Grid Data'!$B$4:$B$2342,$D26,'Grid Data'!$C$4:$C$2342,AD$4,'Grid Data'!$A$4:$A$2342,$D$2)*100, 0)</f>
        <v>0</v>
      </c>
      <c r="AE26" s="4">
        <f>IF(  AE89&gt;$E$2, SUMIFS(IF($G$2="CPR",'Grid Data'!$J$4:$J$2342,'Grid Data'!$K$4:$K$2342),'Grid Data'!$B$4:$B$2342,$D26,'Grid Data'!$C$4:$C$2342,AE$4,'Grid Data'!$A$4:$A$2342,$D$2)*100, 0)</f>
        <v>0</v>
      </c>
      <c r="AF26" s="4">
        <f>IF(  AF89&gt;$E$2, SUMIFS(IF($G$2="CPR",'Grid Data'!$J$4:$J$2342,'Grid Data'!$K$4:$K$2342),'Grid Data'!$B$4:$B$2342,$D26,'Grid Data'!$C$4:$C$2342,AF$4,'Grid Data'!$A$4:$A$2342,$D$2)*100, 0)</f>
        <v>0</v>
      </c>
      <c r="AG26" s="4">
        <f>IF(  AG89&gt;$E$2, SUMIFS(IF($G$2="CPR",'Grid Data'!$J$4:$J$2342,'Grid Data'!$K$4:$K$2342),'Grid Data'!$B$4:$B$2342,$D26,'Grid Data'!$C$4:$C$2342,AG$4,'Grid Data'!$A$4:$A$2342,$D$2)*100, 0)</f>
        <v>23.4635</v>
      </c>
      <c r="AH26" s="4">
        <f>IF(  AH89&gt;$E$2, SUMIFS(IF($G$2="CPR",'Grid Data'!$J$4:$J$2342,'Grid Data'!$K$4:$K$2342),'Grid Data'!$B$4:$B$2342,$D26,'Grid Data'!$C$4:$C$2342,AH$4,'Grid Data'!$A$4:$A$2342,$D$2)*100, 0)</f>
        <v>36.690300000000001</v>
      </c>
    </row>
    <row r="27" spans="4:34" x14ac:dyDescent="0.35">
      <c r="D27">
        <v>7500</v>
      </c>
      <c r="E27" s="4">
        <f>IF(  E90&gt;$E$2, SUMIFS(IF($G$2="CPR",'Grid Data'!$J$4:$J$2342,'Grid Data'!$K$4:$K$2342),'Grid Data'!$B$4:$B$2342,$D27,'Grid Data'!$C$4:$C$2342,E$4,'Grid Data'!$A$4:$A$2342,$D$2)*100, 0)</f>
        <v>3.5908000000000002</v>
      </c>
      <c r="F27" s="4">
        <f>IF(  F90&gt;$E$2, SUMIFS(IF($G$2="CPR",'Grid Data'!$J$4:$J$2342,'Grid Data'!$K$4:$K$2342),'Grid Data'!$B$4:$B$2342,$D27,'Grid Data'!$C$4:$C$2342,F$4,'Grid Data'!$A$4:$A$2342,$D$2)*100, 0)</f>
        <v>0.58719999999999994</v>
      </c>
      <c r="G27" s="4">
        <f>IF(  G90&gt;$E$2, SUMIFS(IF($G$2="CPR",'Grid Data'!$J$4:$J$2342,'Grid Data'!$K$4:$K$2342),'Grid Data'!$B$4:$B$2342,$D27,'Grid Data'!$C$4:$C$2342,G$4,'Grid Data'!$A$4:$A$2342,$D$2)*100, 0)</f>
        <v>99.997299999999996</v>
      </c>
      <c r="H27" s="4">
        <f>IF(  H90&gt;$E$2, SUMIFS(IF($G$2="CPR",'Grid Data'!$J$4:$J$2342,'Grid Data'!$K$4:$K$2342),'Grid Data'!$B$4:$B$2342,$D27,'Grid Data'!$C$4:$C$2342,H$4,'Grid Data'!$A$4:$A$2342,$D$2)*100, 0)</f>
        <v>90.926900000000003</v>
      </c>
      <c r="I27" s="4">
        <f>IF(  I90&gt;$E$2, SUMIFS(IF($G$2="CPR",'Grid Data'!$J$4:$J$2342,'Grid Data'!$K$4:$K$2342),'Grid Data'!$B$4:$B$2342,$D27,'Grid Data'!$C$4:$C$2342,I$4,'Grid Data'!$A$4:$A$2342,$D$2)*100, 0)</f>
        <v>76.241600000000005</v>
      </c>
      <c r="J27" s="4">
        <f>IF(  J90&gt;$E$2, SUMIFS(IF($G$2="CPR",'Grid Data'!$J$4:$J$2342,'Grid Data'!$K$4:$K$2342),'Grid Data'!$B$4:$B$2342,$D27,'Grid Data'!$C$4:$C$2342,J$4,'Grid Data'!$A$4:$A$2342,$D$2)*100, 0)</f>
        <v>79.688099999999991</v>
      </c>
      <c r="K27" s="4">
        <f>IF(  K90&gt;$E$2, SUMIFS(IF($G$2="CPR",'Grid Data'!$J$4:$J$2342,'Grid Data'!$K$4:$K$2342),'Grid Data'!$B$4:$B$2342,$D27,'Grid Data'!$C$4:$C$2342,K$4,'Grid Data'!$A$4:$A$2342,$D$2)*100, 0)</f>
        <v>69.926400000000001</v>
      </c>
      <c r="L27" s="4">
        <f>IF(  L90&gt;$E$2, SUMIFS(IF($G$2="CPR",'Grid Data'!$J$4:$J$2342,'Grid Data'!$K$4:$K$2342),'Grid Data'!$B$4:$B$2342,$D27,'Grid Data'!$C$4:$C$2342,L$4,'Grid Data'!$A$4:$A$2342,$D$2)*100, 0)</f>
        <v>54.339499999999994</v>
      </c>
      <c r="M27" s="4">
        <f>IF(  M90&gt;$E$2, SUMIFS(IF($G$2="CPR",'Grid Data'!$J$4:$J$2342,'Grid Data'!$K$4:$K$2342),'Grid Data'!$B$4:$B$2342,$D27,'Grid Data'!$C$4:$C$2342,M$4,'Grid Data'!$A$4:$A$2342,$D$2)*100, 0)</f>
        <v>49.938800000000001</v>
      </c>
      <c r="N27" s="4">
        <f>IF(  N90&gt;$E$2, SUMIFS(IF($G$2="CPR",'Grid Data'!$J$4:$J$2342,'Grid Data'!$K$4:$K$2342),'Grid Data'!$B$4:$B$2342,$D27,'Grid Data'!$C$4:$C$2342,N$4,'Grid Data'!$A$4:$A$2342,$D$2)*100, 0)</f>
        <v>56.233400000000003</v>
      </c>
      <c r="O27" s="4">
        <f>IF(  O90&gt;$E$2, SUMIFS(IF($G$2="CPR",'Grid Data'!$J$4:$J$2342,'Grid Data'!$K$4:$K$2342),'Grid Data'!$B$4:$B$2342,$D27,'Grid Data'!$C$4:$C$2342,O$4,'Grid Data'!$A$4:$A$2342,$D$2)*100, 0)</f>
        <v>58.000799999999998</v>
      </c>
      <c r="P27" s="4">
        <f>IF(  P90&gt;$E$2, SUMIFS(IF($G$2="CPR",'Grid Data'!$J$4:$J$2342,'Grid Data'!$K$4:$K$2342),'Grid Data'!$B$4:$B$2342,$D27,'Grid Data'!$C$4:$C$2342,P$4,'Grid Data'!$A$4:$A$2342,$D$2)*100, 0)</f>
        <v>50.336099999999995</v>
      </c>
      <c r="Q27" s="4">
        <f>IF(  Q90&gt;$E$2, SUMIFS(IF($G$2="CPR",'Grid Data'!$J$4:$J$2342,'Grid Data'!$K$4:$K$2342),'Grid Data'!$B$4:$B$2342,$D27,'Grid Data'!$C$4:$C$2342,Q$4,'Grid Data'!$A$4:$A$2342,$D$2)*100, 0)</f>
        <v>50.219899999999996</v>
      </c>
      <c r="R27" s="4">
        <f>IF(  R90&gt;$E$2, SUMIFS(IF($G$2="CPR",'Grid Data'!$J$4:$J$2342,'Grid Data'!$K$4:$K$2342),'Grid Data'!$B$4:$B$2342,$D27,'Grid Data'!$C$4:$C$2342,R$4,'Grid Data'!$A$4:$A$2342,$D$2)*100, 0)</f>
        <v>38.177</v>
      </c>
      <c r="S27" s="4">
        <f>IF(  S90&gt;$E$2, SUMIFS(IF($G$2="CPR",'Grid Data'!$J$4:$J$2342,'Grid Data'!$K$4:$K$2342),'Grid Data'!$B$4:$B$2342,$D27,'Grid Data'!$C$4:$C$2342,S$4,'Grid Data'!$A$4:$A$2342,$D$2)*100, 0)</f>
        <v>46.108800000000002</v>
      </c>
      <c r="T27" s="4">
        <f>IF(  T90&gt;$E$2, SUMIFS(IF($G$2="CPR",'Grid Data'!$J$4:$J$2342,'Grid Data'!$K$4:$K$2342),'Grid Data'!$B$4:$B$2342,$D27,'Grid Data'!$C$4:$C$2342,T$4,'Grid Data'!$A$4:$A$2342,$D$2)*100, 0)</f>
        <v>0</v>
      </c>
      <c r="U27" s="4">
        <f>IF(  U90&gt;$E$2, SUMIFS(IF($G$2="CPR",'Grid Data'!$J$4:$J$2342,'Grid Data'!$K$4:$K$2342),'Grid Data'!$B$4:$B$2342,$D27,'Grid Data'!$C$4:$C$2342,U$4,'Grid Data'!$A$4:$A$2342,$D$2)*100, 0)</f>
        <v>0</v>
      </c>
      <c r="V27" s="4">
        <f>IF(  V90&gt;$E$2, SUMIFS(IF($G$2="CPR",'Grid Data'!$J$4:$J$2342,'Grid Data'!$K$4:$K$2342),'Grid Data'!$B$4:$B$2342,$D27,'Grid Data'!$C$4:$C$2342,V$4,'Grid Data'!$A$4:$A$2342,$D$2)*100, 0)</f>
        <v>0</v>
      </c>
      <c r="W27" s="4">
        <f>IF(  W90&gt;$E$2, SUMIFS(IF($G$2="CPR",'Grid Data'!$J$4:$J$2342,'Grid Data'!$K$4:$K$2342),'Grid Data'!$B$4:$B$2342,$D27,'Grid Data'!$C$4:$C$2342,W$4,'Grid Data'!$A$4:$A$2342,$D$2)*100, 0)</f>
        <v>0</v>
      </c>
      <c r="X27" s="4">
        <f>IF(  X90&gt;$E$2, SUMIFS(IF($G$2="CPR",'Grid Data'!$J$4:$J$2342,'Grid Data'!$K$4:$K$2342),'Grid Data'!$B$4:$B$2342,$D27,'Grid Data'!$C$4:$C$2342,X$4,'Grid Data'!$A$4:$A$2342,$D$2)*100, 0)</f>
        <v>0</v>
      </c>
      <c r="Y27" s="4">
        <f>IF(  Y90&gt;$E$2, SUMIFS(IF($G$2="CPR",'Grid Data'!$J$4:$J$2342,'Grid Data'!$K$4:$K$2342),'Grid Data'!$B$4:$B$2342,$D27,'Grid Data'!$C$4:$C$2342,Y$4,'Grid Data'!$A$4:$A$2342,$D$2)*100, 0)</f>
        <v>0</v>
      </c>
      <c r="Z27" s="4">
        <f>IF(  Z90&gt;$E$2, SUMIFS(IF($G$2="CPR",'Grid Data'!$J$4:$J$2342,'Grid Data'!$K$4:$K$2342),'Grid Data'!$B$4:$B$2342,$D27,'Grid Data'!$C$4:$C$2342,Z$4,'Grid Data'!$A$4:$A$2342,$D$2)*100, 0)</f>
        <v>0</v>
      </c>
      <c r="AA27" s="4">
        <f>IF(  AA90&gt;$E$2, SUMIFS(IF($G$2="CPR",'Grid Data'!$J$4:$J$2342,'Grid Data'!$K$4:$K$2342),'Grid Data'!$B$4:$B$2342,$D27,'Grid Data'!$C$4:$C$2342,AA$4,'Grid Data'!$A$4:$A$2342,$D$2)*100, 0)</f>
        <v>0</v>
      </c>
      <c r="AB27" s="4">
        <f>IF(  AB90&gt;$E$2, SUMIFS(IF($G$2="CPR",'Grid Data'!$J$4:$J$2342,'Grid Data'!$K$4:$K$2342),'Grid Data'!$B$4:$B$2342,$D27,'Grid Data'!$C$4:$C$2342,AB$4,'Grid Data'!$A$4:$A$2342,$D$2)*100, 0)</f>
        <v>0</v>
      </c>
      <c r="AC27" s="4">
        <f>IF(  AC90&gt;$E$2, SUMIFS(IF($G$2="CPR",'Grid Data'!$J$4:$J$2342,'Grid Data'!$K$4:$K$2342),'Grid Data'!$B$4:$B$2342,$D27,'Grid Data'!$C$4:$C$2342,AC$4,'Grid Data'!$A$4:$A$2342,$D$2)*100, 0)</f>
        <v>0</v>
      </c>
      <c r="AD27" s="4">
        <f>IF(  AD90&gt;$E$2, SUMIFS(IF($G$2="CPR",'Grid Data'!$J$4:$J$2342,'Grid Data'!$K$4:$K$2342),'Grid Data'!$B$4:$B$2342,$D27,'Grid Data'!$C$4:$C$2342,AD$4,'Grid Data'!$A$4:$A$2342,$D$2)*100, 0)</f>
        <v>0</v>
      </c>
      <c r="AE27" s="4">
        <f>IF(  AE90&gt;$E$2, SUMIFS(IF($G$2="CPR",'Grid Data'!$J$4:$J$2342,'Grid Data'!$K$4:$K$2342),'Grid Data'!$B$4:$B$2342,$D27,'Grid Data'!$C$4:$C$2342,AE$4,'Grid Data'!$A$4:$A$2342,$D$2)*100, 0)</f>
        <v>0</v>
      </c>
      <c r="AF27" s="4">
        <f>IF(  AF90&gt;$E$2, SUMIFS(IF($G$2="CPR",'Grid Data'!$J$4:$J$2342,'Grid Data'!$K$4:$K$2342),'Grid Data'!$B$4:$B$2342,$D27,'Grid Data'!$C$4:$C$2342,AF$4,'Grid Data'!$A$4:$A$2342,$D$2)*100, 0)</f>
        <v>0</v>
      </c>
      <c r="AG27" s="4">
        <f>IF(  AG90&gt;$E$2, SUMIFS(IF($G$2="CPR",'Grid Data'!$J$4:$J$2342,'Grid Data'!$K$4:$K$2342),'Grid Data'!$B$4:$B$2342,$D27,'Grid Data'!$C$4:$C$2342,AG$4,'Grid Data'!$A$4:$A$2342,$D$2)*100, 0)</f>
        <v>7.5723000000000003</v>
      </c>
      <c r="AH27" s="4">
        <f>IF(  AH90&gt;$E$2, SUMIFS(IF($G$2="CPR",'Grid Data'!$J$4:$J$2342,'Grid Data'!$K$4:$K$2342),'Grid Data'!$B$4:$B$2342,$D27,'Grid Data'!$C$4:$C$2342,AH$4,'Grid Data'!$A$4:$A$2342,$D$2)*100, 0)</f>
        <v>27.940999999999999</v>
      </c>
    </row>
    <row r="28" spans="4:34" x14ac:dyDescent="0.35">
      <c r="D28">
        <v>7750</v>
      </c>
      <c r="E28" s="4">
        <f>IF(  E91&gt;$E$2, SUMIFS(IF($G$2="CPR",'Grid Data'!$J$4:$J$2342,'Grid Data'!$K$4:$K$2342),'Grid Data'!$B$4:$B$2342,$D28,'Grid Data'!$C$4:$C$2342,E$4,'Grid Data'!$A$4:$A$2342,$D$2)*100, 0)</f>
        <v>0.3357</v>
      </c>
      <c r="F28" s="4">
        <f>IF(  F91&gt;$E$2, SUMIFS(IF($G$2="CPR",'Grid Data'!$J$4:$J$2342,'Grid Data'!$K$4:$K$2342),'Grid Data'!$B$4:$B$2342,$D28,'Grid Data'!$C$4:$C$2342,F$4,'Grid Data'!$A$4:$A$2342,$D$2)*100, 0)</f>
        <v>17.558900000000001</v>
      </c>
      <c r="G28" s="4">
        <f>IF(  G91&gt;$E$2, SUMIFS(IF($G$2="CPR",'Grid Data'!$J$4:$J$2342,'Grid Data'!$K$4:$K$2342),'Grid Data'!$B$4:$B$2342,$D28,'Grid Data'!$C$4:$C$2342,G$4,'Grid Data'!$A$4:$A$2342,$D$2)*100, 0)</f>
        <v>99.923600000000008</v>
      </c>
      <c r="H28" s="4">
        <f>IF(  H91&gt;$E$2, SUMIFS(IF($G$2="CPR",'Grid Data'!$J$4:$J$2342,'Grid Data'!$K$4:$K$2342),'Grid Data'!$B$4:$B$2342,$D28,'Grid Data'!$C$4:$C$2342,H$4,'Grid Data'!$A$4:$A$2342,$D$2)*100, 0)</f>
        <v>87.853099999999998</v>
      </c>
      <c r="I28" s="4">
        <f>IF(  I91&gt;$E$2, SUMIFS(IF($G$2="CPR",'Grid Data'!$J$4:$J$2342,'Grid Data'!$K$4:$K$2342),'Grid Data'!$B$4:$B$2342,$D28,'Grid Data'!$C$4:$C$2342,I$4,'Grid Data'!$A$4:$A$2342,$D$2)*100, 0)</f>
        <v>74.047700000000006</v>
      </c>
      <c r="J28" s="4">
        <f>IF(  J91&gt;$E$2, SUMIFS(IF($G$2="CPR",'Grid Data'!$J$4:$J$2342,'Grid Data'!$K$4:$K$2342),'Grid Data'!$B$4:$B$2342,$D28,'Grid Data'!$C$4:$C$2342,J$4,'Grid Data'!$A$4:$A$2342,$D$2)*100, 0)</f>
        <v>63.659699999999994</v>
      </c>
      <c r="K28" s="4">
        <f>IF(  K91&gt;$E$2, SUMIFS(IF($G$2="CPR",'Grid Data'!$J$4:$J$2342,'Grid Data'!$K$4:$K$2342),'Grid Data'!$B$4:$B$2342,$D28,'Grid Data'!$C$4:$C$2342,K$4,'Grid Data'!$A$4:$A$2342,$D$2)*100, 0)</f>
        <v>69.893000000000001</v>
      </c>
      <c r="L28" s="4">
        <f>IF(  L91&gt;$E$2, SUMIFS(IF($G$2="CPR",'Grid Data'!$J$4:$J$2342,'Grid Data'!$K$4:$K$2342),'Grid Data'!$B$4:$B$2342,$D28,'Grid Data'!$C$4:$C$2342,L$4,'Grid Data'!$A$4:$A$2342,$D$2)*100, 0)</f>
        <v>52.0687</v>
      </c>
      <c r="M28" s="4">
        <f>IF(  M91&gt;$E$2, SUMIFS(IF($G$2="CPR",'Grid Data'!$J$4:$J$2342,'Grid Data'!$K$4:$K$2342),'Grid Data'!$B$4:$B$2342,$D28,'Grid Data'!$C$4:$C$2342,M$4,'Grid Data'!$A$4:$A$2342,$D$2)*100, 0)</f>
        <v>37.884399999999999</v>
      </c>
      <c r="N28" s="4">
        <f>IF(  N91&gt;$E$2, SUMIFS(IF($G$2="CPR",'Grid Data'!$J$4:$J$2342,'Grid Data'!$K$4:$K$2342),'Grid Data'!$B$4:$B$2342,$D28,'Grid Data'!$C$4:$C$2342,N$4,'Grid Data'!$A$4:$A$2342,$D$2)*100, 0)</f>
        <v>36.178800000000003</v>
      </c>
      <c r="O28" s="4">
        <f>IF(  O91&gt;$E$2, SUMIFS(IF($G$2="CPR",'Grid Data'!$J$4:$J$2342,'Grid Data'!$K$4:$K$2342),'Grid Data'!$B$4:$B$2342,$D28,'Grid Data'!$C$4:$C$2342,O$4,'Grid Data'!$A$4:$A$2342,$D$2)*100, 0)</f>
        <v>31.345800000000001</v>
      </c>
      <c r="P28" s="4">
        <f>IF(  P91&gt;$E$2, SUMIFS(IF($G$2="CPR",'Grid Data'!$J$4:$J$2342,'Grid Data'!$K$4:$K$2342),'Grid Data'!$B$4:$B$2342,$D28,'Grid Data'!$C$4:$C$2342,P$4,'Grid Data'!$A$4:$A$2342,$D$2)*100, 0)</f>
        <v>53.953099999999999</v>
      </c>
      <c r="Q28" s="4">
        <f>IF(  Q91&gt;$E$2, SUMIFS(IF($G$2="CPR",'Grid Data'!$J$4:$J$2342,'Grid Data'!$K$4:$K$2342),'Grid Data'!$B$4:$B$2342,$D28,'Grid Data'!$C$4:$C$2342,Q$4,'Grid Data'!$A$4:$A$2342,$D$2)*100, 0)</f>
        <v>53.337100000000007</v>
      </c>
      <c r="R28" s="4">
        <f>IF(  R91&gt;$E$2, SUMIFS(IF($G$2="CPR",'Grid Data'!$J$4:$J$2342,'Grid Data'!$K$4:$K$2342),'Grid Data'!$B$4:$B$2342,$D28,'Grid Data'!$C$4:$C$2342,R$4,'Grid Data'!$A$4:$A$2342,$D$2)*100, 0)</f>
        <v>54.586900000000007</v>
      </c>
      <c r="S28" s="4">
        <f>IF(  S91&gt;$E$2, SUMIFS(IF($G$2="CPR",'Grid Data'!$J$4:$J$2342,'Grid Data'!$K$4:$K$2342),'Grid Data'!$B$4:$B$2342,$D28,'Grid Data'!$C$4:$C$2342,S$4,'Grid Data'!$A$4:$A$2342,$D$2)*100, 0)</f>
        <v>54.533600000000007</v>
      </c>
      <c r="T28" s="4">
        <f>IF(  T91&gt;$E$2, SUMIFS(IF($G$2="CPR",'Grid Data'!$J$4:$J$2342,'Grid Data'!$K$4:$K$2342),'Grid Data'!$B$4:$B$2342,$D28,'Grid Data'!$C$4:$C$2342,T$4,'Grid Data'!$A$4:$A$2342,$D$2)*100, 0)</f>
        <v>0</v>
      </c>
      <c r="U28" s="4">
        <f>IF(  U91&gt;$E$2, SUMIFS(IF($G$2="CPR",'Grid Data'!$J$4:$J$2342,'Grid Data'!$K$4:$K$2342),'Grid Data'!$B$4:$B$2342,$D28,'Grid Data'!$C$4:$C$2342,U$4,'Grid Data'!$A$4:$A$2342,$D$2)*100, 0)</f>
        <v>0</v>
      </c>
      <c r="V28" s="4">
        <f>IF(  V91&gt;$E$2, SUMIFS(IF($G$2="CPR",'Grid Data'!$J$4:$J$2342,'Grid Data'!$K$4:$K$2342),'Grid Data'!$B$4:$B$2342,$D28,'Grid Data'!$C$4:$C$2342,V$4,'Grid Data'!$A$4:$A$2342,$D$2)*100, 0)</f>
        <v>0</v>
      </c>
      <c r="W28" s="4">
        <f>IF(  W91&gt;$E$2, SUMIFS(IF($G$2="CPR",'Grid Data'!$J$4:$J$2342,'Grid Data'!$K$4:$K$2342),'Grid Data'!$B$4:$B$2342,$D28,'Grid Data'!$C$4:$C$2342,W$4,'Grid Data'!$A$4:$A$2342,$D$2)*100, 0)</f>
        <v>0</v>
      </c>
      <c r="X28" s="4">
        <f>IF(  X91&gt;$E$2, SUMIFS(IF($G$2="CPR",'Grid Data'!$J$4:$J$2342,'Grid Data'!$K$4:$K$2342),'Grid Data'!$B$4:$B$2342,$D28,'Grid Data'!$C$4:$C$2342,X$4,'Grid Data'!$A$4:$A$2342,$D$2)*100, 0)</f>
        <v>0</v>
      </c>
      <c r="Y28" s="4">
        <f>IF(  Y91&gt;$E$2, SUMIFS(IF($G$2="CPR",'Grid Data'!$J$4:$J$2342,'Grid Data'!$K$4:$K$2342),'Grid Data'!$B$4:$B$2342,$D28,'Grid Data'!$C$4:$C$2342,Y$4,'Grid Data'!$A$4:$A$2342,$D$2)*100, 0)</f>
        <v>0</v>
      </c>
      <c r="Z28" s="4">
        <f>IF(  Z91&gt;$E$2, SUMIFS(IF($G$2="CPR",'Grid Data'!$J$4:$J$2342,'Grid Data'!$K$4:$K$2342),'Grid Data'!$B$4:$B$2342,$D28,'Grid Data'!$C$4:$C$2342,Z$4,'Grid Data'!$A$4:$A$2342,$D$2)*100, 0)</f>
        <v>0</v>
      </c>
      <c r="AA28" s="4">
        <f>IF(  AA91&gt;$E$2, SUMIFS(IF($G$2="CPR",'Grid Data'!$J$4:$J$2342,'Grid Data'!$K$4:$K$2342),'Grid Data'!$B$4:$B$2342,$D28,'Grid Data'!$C$4:$C$2342,AA$4,'Grid Data'!$A$4:$A$2342,$D$2)*100, 0)</f>
        <v>0</v>
      </c>
      <c r="AB28" s="4">
        <f>IF(  AB91&gt;$E$2, SUMIFS(IF($G$2="CPR",'Grid Data'!$J$4:$J$2342,'Grid Data'!$K$4:$K$2342),'Grid Data'!$B$4:$B$2342,$D28,'Grid Data'!$C$4:$C$2342,AB$4,'Grid Data'!$A$4:$A$2342,$D$2)*100, 0)</f>
        <v>0</v>
      </c>
      <c r="AC28" s="4">
        <f>IF(  AC91&gt;$E$2, SUMIFS(IF($G$2="CPR",'Grid Data'!$J$4:$J$2342,'Grid Data'!$K$4:$K$2342),'Grid Data'!$B$4:$B$2342,$D28,'Grid Data'!$C$4:$C$2342,AC$4,'Grid Data'!$A$4:$A$2342,$D$2)*100, 0)</f>
        <v>0</v>
      </c>
      <c r="AD28" s="4">
        <f>IF(  AD91&gt;$E$2, SUMIFS(IF($G$2="CPR",'Grid Data'!$J$4:$J$2342,'Grid Data'!$K$4:$K$2342),'Grid Data'!$B$4:$B$2342,$D28,'Grid Data'!$C$4:$C$2342,AD$4,'Grid Data'!$A$4:$A$2342,$D$2)*100, 0)</f>
        <v>0</v>
      </c>
      <c r="AE28" s="4">
        <f>IF(  AE91&gt;$E$2, SUMIFS(IF($G$2="CPR",'Grid Data'!$J$4:$J$2342,'Grid Data'!$K$4:$K$2342),'Grid Data'!$B$4:$B$2342,$D28,'Grid Data'!$C$4:$C$2342,AE$4,'Grid Data'!$A$4:$A$2342,$D$2)*100, 0)</f>
        <v>0</v>
      </c>
      <c r="AF28" s="4">
        <f>IF(  AF91&gt;$E$2, SUMIFS(IF($G$2="CPR",'Grid Data'!$J$4:$J$2342,'Grid Data'!$K$4:$K$2342),'Grid Data'!$B$4:$B$2342,$D28,'Grid Data'!$C$4:$C$2342,AF$4,'Grid Data'!$A$4:$A$2342,$D$2)*100, 0)</f>
        <v>0</v>
      </c>
      <c r="AG28" s="4">
        <f>IF(  AG91&gt;$E$2, SUMIFS(IF($G$2="CPR",'Grid Data'!$J$4:$J$2342,'Grid Data'!$K$4:$K$2342),'Grid Data'!$B$4:$B$2342,$D28,'Grid Data'!$C$4:$C$2342,AG$4,'Grid Data'!$A$4:$A$2342,$D$2)*100, 0)</f>
        <v>0</v>
      </c>
      <c r="AH28" s="4">
        <f>IF(  AH91&gt;$E$2, SUMIFS(IF($G$2="CPR",'Grid Data'!$J$4:$J$2342,'Grid Data'!$K$4:$K$2342),'Grid Data'!$B$4:$B$2342,$D28,'Grid Data'!$C$4:$C$2342,AH$4,'Grid Data'!$A$4:$A$2342,$D$2)*100, 0)</f>
        <v>0</v>
      </c>
    </row>
    <row r="29" spans="4:34" x14ac:dyDescent="0.35">
      <c r="D29">
        <v>8000</v>
      </c>
      <c r="E29" s="4">
        <f>IF(  E92&gt;$E$2, SUMIFS(IF($G$2="CPR",'Grid Data'!$J$4:$J$2342,'Grid Data'!$K$4:$K$2342),'Grid Data'!$B$4:$B$2342,$D29,'Grid Data'!$C$4:$C$2342,E$4,'Grid Data'!$A$4:$A$2342,$D$2)*100, 0)</f>
        <v>0</v>
      </c>
      <c r="F29" s="4">
        <f>IF(  F92&gt;$E$2, SUMIFS(IF($G$2="CPR",'Grid Data'!$J$4:$J$2342,'Grid Data'!$K$4:$K$2342),'Grid Data'!$B$4:$B$2342,$D29,'Grid Data'!$C$4:$C$2342,F$4,'Grid Data'!$A$4:$A$2342,$D$2)*100, 0)</f>
        <v>0</v>
      </c>
      <c r="G29" s="4">
        <f>IF(  G92&gt;$E$2, SUMIFS(IF($G$2="CPR",'Grid Data'!$J$4:$J$2342,'Grid Data'!$K$4:$K$2342),'Grid Data'!$B$4:$B$2342,$D29,'Grid Data'!$C$4:$C$2342,G$4,'Grid Data'!$A$4:$A$2342,$D$2)*100, 0)</f>
        <v>0</v>
      </c>
      <c r="H29" s="4">
        <f>IF(  H92&gt;$E$2, SUMIFS(IF($G$2="CPR",'Grid Data'!$J$4:$J$2342,'Grid Data'!$K$4:$K$2342),'Grid Data'!$B$4:$B$2342,$D29,'Grid Data'!$C$4:$C$2342,H$4,'Grid Data'!$A$4:$A$2342,$D$2)*100, 0)</f>
        <v>0</v>
      </c>
      <c r="I29" s="4">
        <f>IF(  I92&gt;$E$2, SUMIFS(IF($G$2="CPR",'Grid Data'!$J$4:$J$2342,'Grid Data'!$K$4:$K$2342),'Grid Data'!$B$4:$B$2342,$D29,'Grid Data'!$C$4:$C$2342,I$4,'Grid Data'!$A$4:$A$2342,$D$2)*100, 0)</f>
        <v>0</v>
      </c>
      <c r="J29" s="4">
        <f>IF(  J92&gt;$E$2, SUMIFS(IF($G$2="CPR",'Grid Data'!$J$4:$J$2342,'Grid Data'!$K$4:$K$2342),'Grid Data'!$B$4:$B$2342,$D29,'Grid Data'!$C$4:$C$2342,J$4,'Grid Data'!$A$4:$A$2342,$D$2)*100, 0)</f>
        <v>0</v>
      </c>
      <c r="K29" s="4">
        <f>IF(  K92&gt;$E$2, SUMIFS(IF($G$2="CPR",'Grid Data'!$J$4:$J$2342,'Grid Data'!$K$4:$K$2342),'Grid Data'!$B$4:$B$2342,$D29,'Grid Data'!$C$4:$C$2342,K$4,'Grid Data'!$A$4:$A$2342,$D$2)*100, 0)</f>
        <v>0</v>
      </c>
      <c r="L29" s="4">
        <f>IF(  L92&gt;$E$2, SUMIFS(IF($G$2="CPR",'Grid Data'!$J$4:$J$2342,'Grid Data'!$K$4:$K$2342),'Grid Data'!$B$4:$B$2342,$D29,'Grid Data'!$C$4:$C$2342,L$4,'Grid Data'!$A$4:$A$2342,$D$2)*100, 0)</f>
        <v>0</v>
      </c>
      <c r="M29" s="4">
        <f>IF(  M92&gt;$E$2, SUMIFS(IF($G$2="CPR",'Grid Data'!$J$4:$J$2342,'Grid Data'!$K$4:$K$2342),'Grid Data'!$B$4:$B$2342,$D29,'Grid Data'!$C$4:$C$2342,M$4,'Grid Data'!$A$4:$A$2342,$D$2)*100, 0)</f>
        <v>0</v>
      </c>
      <c r="N29" s="4">
        <f>IF(  N92&gt;$E$2, SUMIFS(IF($G$2="CPR",'Grid Data'!$J$4:$J$2342,'Grid Data'!$K$4:$K$2342),'Grid Data'!$B$4:$B$2342,$D29,'Grid Data'!$C$4:$C$2342,N$4,'Grid Data'!$A$4:$A$2342,$D$2)*100, 0)</f>
        <v>79.512199999999993</v>
      </c>
      <c r="O29" s="4">
        <f>IF(  O92&gt;$E$2, SUMIFS(IF($G$2="CPR",'Grid Data'!$J$4:$J$2342,'Grid Data'!$K$4:$K$2342),'Grid Data'!$B$4:$B$2342,$D29,'Grid Data'!$C$4:$C$2342,O$4,'Grid Data'!$A$4:$A$2342,$D$2)*100, 0)</f>
        <v>45.785599999999995</v>
      </c>
      <c r="P29" s="4">
        <f>IF(  P92&gt;$E$2, SUMIFS(IF($G$2="CPR",'Grid Data'!$J$4:$J$2342,'Grid Data'!$K$4:$K$2342),'Grid Data'!$B$4:$B$2342,$D29,'Grid Data'!$C$4:$C$2342,P$4,'Grid Data'!$A$4:$A$2342,$D$2)*100, 0)</f>
        <v>63.4069</v>
      </c>
      <c r="Q29" s="4">
        <f>IF(  Q92&gt;$E$2, SUMIFS(IF($G$2="CPR",'Grid Data'!$J$4:$J$2342,'Grid Data'!$K$4:$K$2342),'Grid Data'!$B$4:$B$2342,$D29,'Grid Data'!$C$4:$C$2342,Q$4,'Grid Data'!$A$4:$A$2342,$D$2)*100, 0)</f>
        <v>53.391800000000003</v>
      </c>
      <c r="R29" s="4">
        <f>IF(  R92&gt;$E$2, SUMIFS(IF($G$2="CPR",'Grid Data'!$J$4:$J$2342,'Grid Data'!$K$4:$K$2342),'Grid Data'!$B$4:$B$2342,$D29,'Grid Data'!$C$4:$C$2342,R$4,'Grid Data'!$A$4:$A$2342,$D$2)*100, 0)</f>
        <v>0</v>
      </c>
      <c r="S29" s="4">
        <f>IF(  S92&gt;$E$2, SUMIFS(IF($G$2="CPR",'Grid Data'!$J$4:$J$2342,'Grid Data'!$K$4:$K$2342),'Grid Data'!$B$4:$B$2342,$D29,'Grid Data'!$C$4:$C$2342,S$4,'Grid Data'!$A$4:$A$2342,$D$2)*100, 0)</f>
        <v>0</v>
      </c>
      <c r="T29" s="4">
        <f>IF(  T92&gt;$E$2, SUMIFS(IF($G$2="CPR",'Grid Data'!$J$4:$J$2342,'Grid Data'!$K$4:$K$2342),'Grid Data'!$B$4:$B$2342,$D29,'Grid Data'!$C$4:$C$2342,T$4,'Grid Data'!$A$4:$A$2342,$D$2)*100, 0)</f>
        <v>0</v>
      </c>
      <c r="U29" s="4">
        <f>IF(  U92&gt;$E$2, SUMIFS(IF($G$2="CPR",'Grid Data'!$J$4:$J$2342,'Grid Data'!$K$4:$K$2342),'Grid Data'!$B$4:$B$2342,$D29,'Grid Data'!$C$4:$C$2342,U$4,'Grid Data'!$A$4:$A$2342,$D$2)*100, 0)</f>
        <v>0</v>
      </c>
      <c r="V29" s="4">
        <f>IF(  V92&gt;$E$2, SUMIFS(IF($G$2="CPR",'Grid Data'!$J$4:$J$2342,'Grid Data'!$K$4:$K$2342),'Grid Data'!$B$4:$B$2342,$D29,'Grid Data'!$C$4:$C$2342,V$4,'Grid Data'!$A$4:$A$2342,$D$2)*100, 0)</f>
        <v>0</v>
      </c>
      <c r="W29" s="4">
        <f>IF(  W92&gt;$E$2, SUMIFS(IF($G$2="CPR",'Grid Data'!$J$4:$J$2342,'Grid Data'!$K$4:$K$2342),'Grid Data'!$B$4:$B$2342,$D29,'Grid Data'!$C$4:$C$2342,W$4,'Grid Data'!$A$4:$A$2342,$D$2)*100, 0)</f>
        <v>0</v>
      </c>
      <c r="X29" s="4">
        <f>IF(  X92&gt;$E$2, SUMIFS(IF($G$2="CPR",'Grid Data'!$J$4:$J$2342,'Grid Data'!$K$4:$K$2342),'Grid Data'!$B$4:$B$2342,$D29,'Grid Data'!$C$4:$C$2342,X$4,'Grid Data'!$A$4:$A$2342,$D$2)*100, 0)</f>
        <v>0</v>
      </c>
      <c r="Y29" s="4">
        <f>IF(  Y92&gt;$E$2, SUMIFS(IF($G$2="CPR",'Grid Data'!$J$4:$J$2342,'Grid Data'!$K$4:$K$2342),'Grid Data'!$B$4:$B$2342,$D29,'Grid Data'!$C$4:$C$2342,Y$4,'Grid Data'!$A$4:$A$2342,$D$2)*100, 0)</f>
        <v>0</v>
      </c>
      <c r="Z29" s="4">
        <f>IF(  Z92&gt;$E$2, SUMIFS(IF($G$2="CPR",'Grid Data'!$J$4:$J$2342,'Grid Data'!$K$4:$K$2342),'Grid Data'!$B$4:$B$2342,$D29,'Grid Data'!$C$4:$C$2342,Z$4,'Grid Data'!$A$4:$A$2342,$D$2)*100, 0)</f>
        <v>0</v>
      </c>
      <c r="AA29" s="4">
        <f>IF(  AA92&gt;$E$2, SUMIFS(IF($G$2="CPR",'Grid Data'!$J$4:$J$2342,'Grid Data'!$K$4:$K$2342),'Grid Data'!$B$4:$B$2342,$D29,'Grid Data'!$C$4:$C$2342,AA$4,'Grid Data'!$A$4:$A$2342,$D$2)*100, 0)</f>
        <v>0</v>
      </c>
      <c r="AB29" s="4">
        <f>IF(  AB92&gt;$E$2, SUMIFS(IF($G$2="CPR",'Grid Data'!$J$4:$J$2342,'Grid Data'!$K$4:$K$2342),'Grid Data'!$B$4:$B$2342,$D29,'Grid Data'!$C$4:$C$2342,AB$4,'Grid Data'!$A$4:$A$2342,$D$2)*100, 0)</f>
        <v>0</v>
      </c>
      <c r="AC29" s="4">
        <f>IF(  AC92&gt;$E$2, SUMIFS(IF($G$2="CPR",'Grid Data'!$J$4:$J$2342,'Grid Data'!$K$4:$K$2342),'Grid Data'!$B$4:$B$2342,$D29,'Grid Data'!$C$4:$C$2342,AC$4,'Grid Data'!$A$4:$A$2342,$D$2)*100, 0)</f>
        <v>0</v>
      </c>
      <c r="AD29" s="4">
        <f>IF(  AD92&gt;$E$2, SUMIFS(IF($G$2="CPR",'Grid Data'!$J$4:$J$2342,'Grid Data'!$K$4:$K$2342),'Grid Data'!$B$4:$B$2342,$D29,'Grid Data'!$C$4:$C$2342,AD$4,'Grid Data'!$A$4:$A$2342,$D$2)*100, 0)</f>
        <v>0</v>
      </c>
      <c r="AE29" s="4">
        <f>IF(  AE92&gt;$E$2, SUMIFS(IF($G$2="CPR",'Grid Data'!$J$4:$J$2342,'Grid Data'!$K$4:$K$2342),'Grid Data'!$B$4:$B$2342,$D29,'Grid Data'!$C$4:$C$2342,AE$4,'Grid Data'!$A$4:$A$2342,$D$2)*100, 0)</f>
        <v>0</v>
      </c>
      <c r="AF29" s="4">
        <f>IF(  AF92&gt;$E$2, SUMIFS(IF($G$2="CPR",'Grid Data'!$J$4:$J$2342,'Grid Data'!$K$4:$K$2342),'Grid Data'!$B$4:$B$2342,$D29,'Grid Data'!$C$4:$C$2342,AF$4,'Grid Data'!$A$4:$A$2342,$D$2)*100, 0)</f>
        <v>0</v>
      </c>
      <c r="AG29" s="4">
        <f>IF(  AG92&gt;$E$2, SUMIFS(IF($G$2="CPR",'Grid Data'!$J$4:$J$2342,'Grid Data'!$K$4:$K$2342),'Grid Data'!$B$4:$B$2342,$D29,'Grid Data'!$C$4:$C$2342,AG$4,'Grid Data'!$A$4:$A$2342,$D$2)*100, 0)</f>
        <v>7.4165999999999999</v>
      </c>
      <c r="AH29" s="4">
        <f>IF(  AH92&gt;$E$2, SUMIFS(IF($G$2="CPR",'Grid Data'!$J$4:$J$2342,'Grid Data'!$K$4:$K$2342),'Grid Data'!$B$4:$B$2342,$D29,'Grid Data'!$C$4:$C$2342,AH$4,'Grid Data'!$A$4:$A$2342,$D$2)*100, 0)</f>
        <v>35.430299999999995</v>
      </c>
    </row>
    <row r="30" spans="4:34" x14ac:dyDescent="0.35">
      <c r="D30">
        <v>8250</v>
      </c>
      <c r="E30" s="4">
        <f>IF(  E93&gt;$E$2, SUMIFS(IF($G$2="CPR",'Grid Data'!$J$4:$J$2342,'Grid Data'!$K$4:$K$2342),'Grid Data'!$B$4:$B$2342,$D30,'Grid Data'!$C$4:$C$2342,E$4,'Grid Data'!$A$4:$A$2342,$D$2)*100, 0)</f>
        <v>0</v>
      </c>
      <c r="F30" s="4">
        <f>IF(  F93&gt;$E$2, SUMIFS(IF($G$2="CPR",'Grid Data'!$J$4:$J$2342,'Grid Data'!$K$4:$K$2342),'Grid Data'!$B$4:$B$2342,$D30,'Grid Data'!$C$4:$C$2342,F$4,'Grid Data'!$A$4:$A$2342,$D$2)*100, 0)</f>
        <v>0</v>
      </c>
      <c r="G30" s="4">
        <f>IF(  G93&gt;$E$2, SUMIFS(IF($G$2="CPR",'Grid Data'!$J$4:$J$2342,'Grid Data'!$K$4:$K$2342),'Grid Data'!$B$4:$B$2342,$D30,'Grid Data'!$C$4:$C$2342,G$4,'Grid Data'!$A$4:$A$2342,$D$2)*100, 0)</f>
        <v>0</v>
      </c>
      <c r="H30" s="4">
        <f>IF(  H93&gt;$E$2, SUMIFS(IF($G$2="CPR",'Grid Data'!$J$4:$J$2342,'Grid Data'!$K$4:$K$2342),'Grid Data'!$B$4:$B$2342,$D30,'Grid Data'!$C$4:$C$2342,H$4,'Grid Data'!$A$4:$A$2342,$D$2)*100, 0)</f>
        <v>0</v>
      </c>
      <c r="I30" s="4">
        <f>IF(  I93&gt;$E$2, SUMIFS(IF($G$2="CPR",'Grid Data'!$J$4:$J$2342,'Grid Data'!$K$4:$K$2342),'Grid Data'!$B$4:$B$2342,$D30,'Grid Data'!$C$4:$C$2342,I$4,'Grid Data'!$A$4:$A$2342,$D$2)*100, 0)</f>
        <v>0</v>
      </c>
      <c r="J30" s="4">
        <f>IF(  J93&gt;$E$2, SUMIFS(IF($G$2="CPR",'Grid Data'!$J$4:$J$2342,'Grid Data'!$K$4:$K$2342),'Grid Data'!$B$4:$B$2342,$D30,'Grid Data'!$C$4:$C$2342,J$4,'Grid Data'!$A$4:$A$2342,$D$2)*100, 0)</f>
        <v>0</v>
      </c>
      <c r="K30" s="4">
        <f>IF(  K93&gt;$E$2, SUMIFS(IF($G$2="CPR",'Grid Data'!$J$4:$J$2342,'Grid Data'!$K$4:$K$2342),'Grid Data'!$B$4:$B$2342,$D30,'Grid Data'!$C$4:$C$2342,K$4,'Grid Data'!$A$4:$A$2342,$D$2)*100, 0)</f>
        <v>0</v>
      </c>
      <c r="L30" s="4">
        <f>IF(  L93&gt;$E$2, SUMIFS(IF($G$2="CPR",'Grid Data'!$J$4:$J$2342,'Grid Data'!$K$4:$K$2342),'Grid Data'!$B$4:$B$2342,$D30,'Grid Data'!$C$4:$C$2342,L$4,'Grid Data'!$A$4:$A$2342,$D$2)*100, 0)</f>
        <v>0</v>
      </c>
      <c r="M30" s="4">
        <f>IF(  M93&gt;$E$2, SUMIFS(IF($G$2="CPR",'Grid Data'!$J$4:$J$2342,'Grid Data'!$K$4:$K$2342),'Grid Data'!$B$4:$B$2342,$D30,'Grid Data'!$C$4:$C$2342,M$4,'Grid Data'!$A$4:$A$2342,$D$2)*100, 0)</f>
        <v>0</v>
      </c>
      <c r="N30" s="4">
        <f>IF(  N93&gt;$E$2, SUMIFS(IF($G$2="CPR",'Grid Data'!$J$4:$J$2342,'Grid Data'!$K$4:$K$2342),'Grid Data'!$B$4:$B$2342,$D30,'Grid Data'!$C$4:$C$2342,N$4,'Grid Data'!$A$4:$A$2342,$D$2)*100, 0)</f>
        <v>0</v>
      </c>
      <c r="O30" s="4">
        <f>IF(  O93&gt;$E$2, SUMIFS(IF($G$2="CPR",'Grid Data'!$J$4:$J$2342,'Grid Data'!$K$4:$K$2342),'Grid Data'!$B$4:$B$2342,$D30,'Grid Data'!$C$4:$C$2342,O$4,'Grid Data'!$A$4:$A$2342,$D$2)*100, 0)</f>
        <v>0</v>
      </c>
      <c r="P30" s="4">
        <f>IF(  P93&gt;$E$2, SUMIFS(IF($G$2="CPR",'Grid Data'!$J$4:$J$2342,'Grid Data'!$K$4:$K$2342),'Grid Data'!$B$4:$B$2342,$D30,'Grid Data'!$C$4:$C$2342,P$4,'Grid Data'!$A$4:$A$2342,$D$2)*100, 0)</f>
        <v>0</v>
      </c>
      <c r="Q30" s="4">
        <f>IF(  Q93&gt;$E$2, SUMIFS(IF($G$2="CPR",'Grid Data'!$J$4:$J$2342,'Grid Data'!$K$4:$K$2342),'Grid Data'!$B$4:$B$2342,$D30,'Grid Data'!$C$4:$C$2342,Q$4,'Grid Data'!$A$4:$A$2342,$D$2)*100, 0)</f>
        <v>60.709599999999995</v>
      </c>
      <c r="R30" s="4">
        <f>IF(  R93&gt;$E$2, SUMIFS(IF($G$2="CPR",'Grid Data'!$J$4:$J$2342,'Grid Data'!$K$4:$K$2342),'Grid Data'!$B$4:$B$2342,$D30,'Grid Data'!$C$4:$C$2342,R$4,'Grid Data'!$A$4:$A$2342,$D$2)*100, 0)</f>
        <v>0</v>
      </c>
      <c r="S30" s="4">
        <f>IF(  S93&gt;$E$2, SUMIFS(IF($G$2="CPR",'Grid Data'!$J$4:$J$2342,'Grid Data'!$K$4:$K$2342),'Grid Data'!$B$4:$B$2342,$D30,'Grid Data'!$C$4:$C$2342,S$4,'Grid Data'!$A$4:$A$2342,$D$2)*100, 0)</f>
        <v>0</v>
      </c>
      <c r="T30" s="4">
        <f>IF(  T93&gt;$E$2, SUMIFS(IF($G$2="CPR",'Grid Data'!$J$4:$J$2342,'Grid Data'!$K$4:$K$2342),'Grid Data'!$B$4:$B$2342,$D30,'Grid Data'!$C$4:$C$2342,T$4,'Grid Data'!$A$4:$A$2342,$D$2)*100, 0)</f>
        <v>0</v>
      </c>
      <c r="U30" s="4">
        <f>IF(  U93&gt;$E$2, SUMIFS(IF($G$2="CPR",'Grid Data'!$J$4:$J$2342,'Grid Data'!$K$4:$K$2342),'Grid Data'!$B$4:$B$2342,$D30,'Grid Data'!$C$4:$C$2342,U$4,'Grid Data'!$A$4:$A$2342,$D$2)*100, 0)</f>
        <v>0</v>
      </c>
      <c r="V30" s="4">
        <f>IF(  V93&gt;$E$2, SUMIFS(IF($G$2="CPR",'Grid Data'!$J$4:$J$2342,'Grid Data'!$K$4:$K$2342),'Grid Data'!$B$4:$B$2342,$D30,'Grid Data'!$C$4:$C$2342,V$4,'Grid Data'!$A$4:$A$2342,$D$2)*100, 0)</f>
        <v>0</v>
      </c>
      <c r="W30" s="4">
        <f>IF(  W93&gt;$E$2, SUMIFS(IF($G$2="CPR",'Grid Data'!$J$4:$J$2342,'Grid Data'!$K$4:$K$2342),'Grid Data'!$B$4:$B$2342,$D30,'Grid Data'!$C$4:$C$2342,W$4,'Grid Data'!$A$4:$A$2342,$D$2)*100, 0)</f>
        <v>0</v>
      </c>
      <c r="X30" s="4">
        <f>IF(  X93&gt;$E$2, SUMIFS(IF($G$2="CPR",'Grid Data'!$J$4:$J$2342,'Grid Data'!$K$4:$K$2342),'Grid Data'!$B$4:$B$2342,$D30,'Grid Data'!$C$4:$C$2342,X$4,'Grid Data'!$A$4:$A$2342,$D$2)*100, 0)</f>
        <v>0</v>
      </c>
      <c r="Y30" s="4">
        <f>IF(  Y93&gt;$E$2, SUMIFS(IF($G$2="CPR",'Grid Data'!$J$4:$J$2342,'Grid Data'!$K$4:$K$2342),'Grid Data'!$B$4:$B$2342,$D30,'Grid Data'!$C$4:$C$2342,Y$4,'Grid Data'!$A$4:$A$2342,$D$2)*100, 0)</f>
        <v>0</v>
      </c>
      <c r="Z30" s="4">
        <f>IF(  Z93&gt;$E$2, SUMIFS(IF($G$2="CPR",'Grid Data'!$J$4:$J$2342,'Grid Data'!$K$4:$K$2342),'Grid Data'!$B$4:$B$2342,$D30,'Grid Data'!$C$4:$C$2342,Z$4,'Grid Data'!$A$4:$A$2342,$D$2)*100, 0)</f>
        <v>0</v>
      </c>
      <c r="AA30" s="4">
        <f>IF(  AA93&gt;$E$2, SUMIFS(IF($G$2="CPR",'Grid Data'!$J$4:$J$2342,'Grid Data'!$K$4:$K$2342),'Grid Data'!$B$4:$B$2342,$D30,'Grid Data'!$C$4:$C$2342,AA$4,'Grid Data'!$A$4:$A$2342,$D$2)*100, 0)</f>
        <v>0</v>
      </c>
      <c r="AB30" s="4">
        <f>IF(  AB93&gt;$E$2, SUMIFS(IF($G$2="CPR",'Grid Data'!$J$4:$J$2342,'Grid Data'!$K$4:$K$2342),'Grid Data'!$B$4:$B$2342,$D30,'Grid Data'!$C$4:$C$2342,AB$4,'Grid Data'!$A$4:$A$2342,$D$2)*100, 0)</f>
        <v>0</v>
      </c>
      <c r="AC30" s="4">
        <f>IF(  AC93&gt;$E$2, SUMIFS(IF($G$2="CPR",'Grid Data'!$J$4:$J$2342,'Grid Data'!$K$4:$K$2342),'Grid Data'!$B$4:$B$2342,$D30,'Grid Data'!$C$4:$C$2342,AC$4,'Grid Data'!$A$4:$A$2342,$D$2)*100, 0)</f>
        <v>0</v>
      </c>
      <c r="AD30" s="4">
        <f>IF(  AD93&gt;$E$2, SUMIFS(IF($G$2="CPR",'Grid Data'!$J$4:$J$2342,'Grid Data'!$K$4:$K$2342),'Grid Data'!$B$4:$B$2342,$D30,'Grid Data'!$C$4:$C$2342,AD$4,'Grid Data'!$A$4:$A$2342,$D$2)*100, 0)</f>
        <v>0</v>
      </c>
      <c r="AE30" s="4">
        <f>IF(  AE93&gt;$E$2, SUMIFS(IF($G$2="CPR",'Grid Data'!$J$4:$J$2342,'Grid Data'!$K$4:$K$2342),'Grid Data'!$B$4:$B$2342,$D30,'Grid Data'!$C$4:$C$2342,AE$4,'Grid Data'!$A$4:$A$2342,$D$2)*100, 0)</f>
        <v>0</v>
      </c>
      <c r="AF30" s="4">
        <f>IF(  AF93&gt;$E$2, SUMIFS(IF($G$2="CPR",'Grid Data'!$J$4:$J$2342,'Grid Data'!$K$4:$K$2342),'Grid Data'!$B$4:$B$2342,$D30,'Grid Data'!$C$4:$C$2342,AF$4,'Grid Data'!$A$4:$A$2342,$D$2)*100, 0)</f>
        <v>0</v>
      </c>
      <c r="AG30" s="4">
        <f>IF(  AG93&gt;$E$2, SUMIFS(IF($G$2="CPR",'Grid Data'!$J$4:$J$2342,'Grid Data'!$K$4:$K$2342),'Grid Data'!$B$4:$B$2342,$D30,'Grid Data'!$C$4:$C$2342,AG$4,'Grid Data'!$A$4:$A$2342,$D$2)*100, 0)</f>
        <v>0</v>
      </c>
      <c r="AH30" s="4">
        <f>IF(  AH93&gt;$E$2, SUMIFS(IF($G$2="CPR",'Grid Data'!$J$4:$J$2342,'Grid Data'!$K$4:$K$2342),'Grid Data'!$B$4:$B$2342,$D30,'Grid Data'!$C$4:$C$2342,AH$4,'Grid Data'!$A$4:$A$2342,$D$2)*100, 0)</f>
        <v>0</v>
      </c>
    </row>
    <row r="31" spans="4:34" x14ac:dyDescent="0.35">
      <c r="D31">
        <v>8500</v>
      </c>
      <c r="E31" s="4">
        <f>IF(  E94&gt;$E$2, SUMIFS(IF($G$2="CPR",'Grid Data'!$J$4:$J$2342,'Grid Data'!$K$4:$K$2342),'Grid Data'!$B$4:$B$2342,$D31,'Grid Data'!$C$4:$C$2342,E$4,'Grid Data'!$A$4:$A$2342,$D$2)*100, 0)</f>
        <v>0</v>
      </c>
      <c r="F31" s="4">
        <f>IF(  F94&gt;$E$2, SUMIFS(IF($G$2="CPR",'Grid Data'!$J$4:$J$2342,'Grid Data'!$K$4:$K$2342),'Grid Data'!$B$4:$B$2342,$D31,'Grid Data'!$C$4:$C$2342,F$4,'Grid Data'!$A$4:$A$2342,$D$2)*100, 0)</f>
        <v>0</v>
      </c>
      <c r="G31" s="4">
        <f>IF(  G94&gt;$E$2, SUMIFS(IF($G$2="CPR",'Grid Data'!$J$4:$J$2342,'Grid Data'!$K$4:$K$2342),'Grid Data'!$B$4:$B$2342,$D31,'Grid Data'!$C$4:$C$2342,G$4,'Grid Data'!$A$4:$A$2342,$D$2)*100, 0)</f>
        <v>0</v>
      </c>
      <c r="H31" s="4">
        <f>IF(  H94&gt;$E$2, SUMIFS(IF($G$2="CPR",'Grid Data'!$J$4:$J$2342,'Grid Data'!$K$4:$K$2342),'Grid Data'!$B$4:$B$2342,$D31,'Grid Data'!$C$4:$C$2342,H$4,'Grid Data'!$A$4:$A$2342,$D$2)*100, 0)</f>
        <v>0</v>
      </c>
      <c r="I31" s="4">
        <f>IF(  I94&gt;$E$2, SUMIFS(IF($G$2="CPR",'Grid Data'!$J$4:$J$2342,'Grid Data'!$K$4:$K$2342),'Grid Data'!$B$4:$B$2342,$D31,'Grid Data'!$C$4:$C$2342,I$4,'Grid Data'!$A$4:$A$2342,$D$2)*100, 0)</f>
        <v>0</v>
      </c>
      <c r="J31" s="4">
        <f>IF(  J94&gt;$E$2, SUMIFS(IF($G$2="CPR",'Grid Data'!$J$4:$J$2342,'Grid Data'!$K$4:$K$2342),'Grid Data'!$B$4:$B$2342,$D31,'Grid Data'!$C$4:$C$2342,J$4,'Grid Data'!$A$4:$A$2342,$D$2)*100, 0)</f>
        <v>0</v>
      </c>
      <c r="K31" s="4">
        <f>IF(  K94&gt;$E$2, SUMIFS(IF($G$2="CPR",'Grid Data'!$J$4:$J$2342,'Grid Data'!$K$4:$K$2342),'Grid Data'!$B$4:$B$2342,$D31,'Grid Data'!$C$4:$C$2342,K$4,'Grid Data'!$A$4:$A$2342,$D$2)*100, 0)</f>
        <v>0</v>
      </c>
      <c r="L31" s="4">
        <f>IF(  L94&gt;$E$2, SUMIFS(IF($G$2="CPR",'Grid Data'!$J$4:$J$2342,'Grid Data'!$K$4:$K$2342),'Grid Data'!$B$4:$B$2342,$D31,'Grid Data'!$C$4:$C$2342,L$4,'Grid Data'!$A$4:$A$2342,$D$2)*100, 0)</f>
        <v>0</v>
      </c>
      <c r="M31" s="4">
        <f>IF(  M94&gt;$E$2, SUMIFS(IF($G$2="CPR",'Grid Data'!$J$4:$J$2342,'Grid Data'!$K$4:$K$2342),'Grid Data'!$B$4:$B$2342,$D31,'Grid Data'!$C$4:$C$2342,M$4,'Grid Data'!$A$4:$A$2342,$D$2)*100, 0)</f>
        <v>0</v>
      </c>
      <c r="N31" s="4">
        <f>IF(  N94&gt;$E$2, SUMIFS(IF($G$2="CPR",'Grid Data'!$J$4:$J$2342,'Grid Data'!$K$4:$K$2342),'Grid Data'!$B$4:$B$2342,$D31,'Grid Data'!$C$4:$C$2342,N$4,'Grid Data'!$A$4:$A$2342,$D$2)*100, 0)</f>
        <v>0</v>
      </c>
      <c r="O31" s="4">
        <f>IF(  O94&gt;$E$2, SUMIFS(IF($G$2="CPR",'Grid Data'!$J$4:$J$2342,'Grid Data'!$K$4:$K$2342),'Grid Data'!$B$4:$B$2342,$D31,'Grid Data'!$C$4:$C$2342,O$4,'Grid Data'!$A$4:$A$2342,$D$2)*100, 0)</f>
        <v>0</v>
      </c>
      <c r="P31" s="4">
        <f>IF(  P94&gt;$E$2, SUMIFS(IF($G$2="CPR",'Grid Data'!$J$4:$J$2342,'Grid Data'!$K$4:$K$2342),'Grid Data'!$B$4:$B$2342,$D31,'Grid Data'!$C$4:$C$2342,P$4,'Grid Data'!$A$4:$A$2342,$D$2)*100, 0)</f>
        <v>0</v>
      </c>
      <c r="Q31" s="4">
        <f>IF(  Q94&gt;$E$2, SUMIFS(IF($G$2="CPR",'Grid Data'!$J$4:$J$2342,'Grid Data'!$K$4:$K$2342),'Grid Data'!$B$4:$B$2342,$D31,'Grid Data'!$C$4:$C$2342,Q$4,'Grid Data'!$A$4:$A$2342,$D$2)*100, 0)</f>
        <v>0</v>
      </c>
      <c r="R31" s="4">
        <f>IF(  R94&gt;$E$2, SUMIFS(IF($G$2="CPR",'Grid Data'!$J$4:$J$2342,'Grid Data'!$K$4:$K$2342),'Grid Data'!$B$4:$B$2342,$D31,'Grid Data'!$C$4:$C$2342,R$4,'Grid Data'!$A$4:$A$2342,$D$2)*100, 0)</f>
        <v>0</v>
      </c>
      <c r="S31" s="4">
        <f>IF(  S94&gt;$E$2, SUMIFS(IF($G$2="CPR",'Grid Data'!$J$4:$J$2342,'Grid Data'!$K$4:$K$2342),'Grid Data'!$B$4:$B$2342,$D31,'Grid Data'!$C$4:$C$2342,S$4,'Grid Data'!$A$4:$A$2342,$D$2)*100, 0)</f>
        <v>0</v>
      </c>
      <c r="T31" s="4">
        <f>IF(  T94&gt;$E$2, SUMIFS(IF($G$2="CPR",'Grid Data'!$J$4:$J$2342,'Grid Data'!$K$4:$K$2342),'Grid Data'!$B$4:$B$2342,$D31,'Grid Data'!$C$4:$C$2342,T$4,'Grid Data'!$A$4:$A$2342,$D$2)*100, 0)</f>
        <v>0</v>
      </c>
      <c r="U31" s="4">
        <f>IF(  U94&gt;$E$2, SUMIFS(IF($G$2="CPR",'Grid Data'!$J$4:$J$2342,'Grid Data'!$K$4:$K$2342),'Grid Data'!$B$4:$B$2342,$D31,'Grid Data'!$C$4:$C$2342,U$4,'Grid Data'!$A$4:$A$2342,$D$2)*100, 0)</f>
        <v>0</v>
      </c>
      <c r="V31" s="4">
        <f>IF(  V94&gt;$E$2, SUMIFS(IF($G$2="CPR",'Grid Data'!$J$4:$J$2342,'Grid Data'!$K$4:$K$2342),'Grid Data'!$B$4:$B$2342,$D31,'Grid Data'!$C$4:$C$2342,V$4,'Grid Data'!$A$4:$A$2342,$D$2)*100, 0)</f>
        <v>0</v>
      </c>
      <c r="W31" s="4">
        <f>IF(  W94&gt;$E$2, SUMIFS(IF($G$2="CPR",'Grid Data'!$J$4:$J$2342,'Grid Data'!$K$4:$K$2342),'Grid Data'!$B$4:$B$2342,$D31,'Grid Data'!$C$4:$C$2342,W$4,'Grid Data'!$A$4:$A$2342,$D$2)*100, 0)</f>
        <v>0</v>
      </c>
      <c r="X31" s="4">
        <f>IF(  X94&gt;$E$2, SUMIFS(IF($G$2="CPR",'Grid Data'!$J$4:$J$2342,'Grid Data'!$K$4:$K$2342),'Grid Data'!$B$4:$B$2342,$D31,'Grid Data'!$C$4:$C$2342,X$4,'Grid Data'!$A$4:$A$2342,$D$2)*100, 0)</f>
        <v>0</v>
      </c>
      <c r="Y31" s="4">
        <f>IF(  Y94&gt;$E$2, SUMIFS(IF($G$2="CPR",'Grid Data'!$J$4:$J$2342,'Grid Data'!$K$4:$K$2342),'Grid Data'!$B$4:$B$2342,$D31,'Grid Data'!$C$4:$C$2342,Y$4,'Grid Data'!$A$4:$A$2342,$D$2)*100, 0)</f>
        <v>0</v>
      </c>
      <c r="Z31" s="4">
        <f>IF(  Z94&gt;$E$2, SUMIFS(IF($G$2="CPR",'Grid Data'!$J$4:$J$2342,'Grid Data'!$K$4:$K$2342),'Grid Data'!$B$4:$B$2342,$D31,'Grid Data'!$C$4:$C$2342,Z$4,'Grid Data'!$A$4:$A$2342,$D$2)*100, 0)</f>
        <v>0</v>
      </c>
      <c r="AA31" s="4">
        <f>IF(  AA94&gt;$E$2, SUMIFS(IF($G$2="CPR",'Grid Data'!$J$4:$J$2342,'Grid Data'!$K$4:$K$2342),'Grid Data'!$B$4:$B$2342,$D31,'Grid Data'!$C$4:$C$2342,AA$4,'Grid Data'!$A$4:$A$2342,$D$2)*100, 0)</f>
        <v>0</v>
      </c>
      <c r="AB31" s="4">
        <f>IF(  AB94&gt;$E$2, SUMIFS(IF($G$2="CPR",'Grid Data'!$J$4:$J$2342,'Grid Data'!$K$4:$K$2342),'Grid Data'!$B$4:$B$2342,$D31,'Grid Data'!$C$4:$C$2342,AB$4,'Grid Data'!$A$4:$A$2342,$D$2)*100, 0)</f>
        <v>0</v>
      </c>
      <c r="AC31" s="4">
        <f>IF(  AC94&gt;$E$2, SUMIFS(IF($G$2="CPR",'Grid Data'!$J$4:$J$2342,'Grid Data'!$K$4:$K$2342),'Grid Data'!$B$4:$B$2342,$D31,'Grid Data'!$C$4:$C$2342,AC$4,'Grid Data'!$A$4:$A$2342,$D$2)*100, 0)</f>
        <v>0</v>
      </c>
      <c r="AD31" s="4">
        <f>IF(  AD94&gt;$E$2, SUMIFS(IF($G$2="CPR",'Grid Data'!$J$4:$J$2342,'Grid Data'!$K$4:$K$2342),'Grid Data'!$B$4:$B$2342,$D31,'Grid Data'!$C$4:$C$2342,AD$4,'Grid Data'!$A$4:$A$2342,$D$2)*100, 0)</f>
        <v>0</v>
      </c>
      <c r="AE31" s="4">
        <f>IF(  AE94&gt;$E$2, SUMIFS(IF($G$2="CPR",'Grid Data'!$J$4:$J$2342,'Grid Data'!$K$4:$K$2342),'Grid Data'!$B$4:$B$2342,$D31,'Grid Data'!$C$4:$C$2342,AE$4,'Grid Data'!$A$4:$A$2342,$D$2)*100, 0)</f>
        <v>0</v>
      </c>
      <c r="AF31" s="4">
        <f>IF(  AF94&gt;$E$2, SUMIFS(IF($G$2="CPR",'Grid Data'!$J$4:$J$2342,'Grid Data'!$K$4:$K$2342),'Grid Data'!$B$4:$B$2342,$D31,'Grid Data'!$C$4:$C$2342,AF$4,'Grid Data'!$A$4:$A$2342,$D$2)*100, 0)</f>
        <v>0</v>
      </c>
      <c r="AG31" s="4">
        <f>IF(  AG94&gt;$E$2, SUMIFS(IF($G$2="CPR",'Grid Data'!$J$4:$J$2342,'Grid Data'!$K$4:$K$2342),'Grid Data'!$B$4:$B$2342,$D31,'Grid Data'!$C$4:$C$2342,AG$4,'Grid Data'!$A$4:$A$2342,$D$2)*100, 0)</f>
        <v>20.081699999999998</v>
      </c>
      <c r="AH31" s="4">
        <f>IF(  AH94&gt;$E$2, SUMIFS(IF($G$2="CPR",'Grid Data'!$J$4:$J$2342,'Grid Data'!$K$4:$K$2342),'Grid Data'!$B$4:$B$2342,$D31,'Grid Data'!$C$4:$C$2342,AH$4,'Grid Data'!$A$4:$A$2342,$D$2)*100, 0)</f>
        <v>45.4953</v>
      </c>
    </row>
    <row r="32" spans="4:34" x14ac:dyDescent="0.35">
      <c r="D32">
        <v>9000</v>
      </c>
      <c r="E32" s="4">
        <f>IF(  E95&gt;$E$2, SUMIFS(IF($G$2="CPR",'Grid Data'!$J$4:$J$2342,'Grid Data'!$K$4:$K$2342),'Grid Data'!$B$4:$B$2342,$D32,'Grid Data'!$C$4:$C$2342,E$4,'Grid Data'!$A$4:$A$2342,$D$2)*100, 0)</f>
        <v>0</v>
      </c>
      <c r="F32" s="4">
        <f>IF(  F95&gt;$E$2, SUMIFS(IF($G$2="CPR",'Grid Data'!$J$4:$J$2342,'Grid Data'!$K$4:$K$2342),'Grid Data'!$B$4:$B$2342,$D32,'Grid Data'!$C$4:$C$2342,F$4,'Grid Data'!$A$4:$A$2342,$D$2)*100, 0)</f>
        <v>0</v>
      </c>
      <c r="G32" s="4">
        <f>IF(  G95&gt;$E$2, SUMIFS(IF($G$2="CPR",'Grid Data'!$J$4:$J$2342,'Grid Data'!$K$4:$K$2342),'Grid Data'!$B$4:$B$2342,$D32,'Grid Data'!$C$4:$C$2342,G$4,'Grid Data'!$A$4:$A$2342,$D$2)*100, 0)</f>
        <v>0</v>
      </c>
      <c r="H32" s="4">
        <f>IF(  H95&gt;$E$2, SUMIFS(IF($G$2="CPR",'Grid Data'!$J$4:$J$2342,'Grid Data'!$K$4:$K$2342),'Grid Data'!$B$4:$B$2342,$D32,'Grid Data'!$C$4:$C$2342,H$4,'Grid Data'!$A$4:$A$2342,$D$2)*100, 0)</f>
        <v>0</v>
      </c>
      <c r="I32" s="4">
        <f>IF(  I95&gt;$E$2, SUMIFS(IF($G$2="CPR",'Grid Data'!$J$4:$J$2342,'Grid Data'!$K$4:$K$2342),'Grid Data'!$B$4:$B$2342,$D32,'Grid Data'!$C$4:$C$2342,I$4,'Grid Data'!$A$4:$A$2342,$D$2)*100, 0)</f>
        <v>0</v>
      </c>
      <c r="J32" s="4">
        <f>IF(  J95&gt;$E$2, SUMIFS(IF($G$2="CPR",'Grid Data'!$J$4:$J$2342,'Grid Data'!$K$4:$K$2342),'Grid Data'!$B$4:$B$2342,$D32,'Grid Data'!$C$4:$C$2342,J$4,'Grid Data'!$A$4:$A$2342,$D$2)*100, 0)</f>
        <v>0</v>
      </c>
      <c r="K32" s="4">
        <f>IF(  K95&gt;$E$2, SUMIFS(IF($G$2="CPR",'Grid Data'!$J$4:$J$2342,'Grid Data'!$K$4:$K$2342),'Grid Data'!$B$4:$B$2342,$D32,'Grid Data'!$C$4:$C$2342,K$4,'Grid Data'!$A$4:$A$2342,$D$2)*100, 0)</f>
        <v>0</v>
      </c>
      <c r="L32" s="4">
        <f>IF(  L95&gt;$E$2, SUMIFS(IF($G$2="CPR",'Grid Data'!$J$4:$J$2342,'Grid Data'!$K$4:$K$2342),'Grid Data'!$B$4:$B$2342,$D32,'Grid Data'!$C$4:$C$2342,L$4,'Grid Data'!$A$4:$A$2342,$D$2)*100, 0)</f>
        <v>0</v>
      </c>
      <c r="M32" s="4">
        <f>IF(  M95&gt;$E$2, SUMIFS(IF($G$2="CPR",'Grid Data'!$J$4:$J$2342,'Grid Data'!$K$4:$K$2342),'Grid Data'!$B$4:$B$2342,$D32,'Grid Data'!$C$4:$C$2342,M$4,'Grid Data'!$A$4:$A$2342,$D$2)*100, 0)</f>
        <v>0</v>
      </c>
      <c r="N32" s="4">
        <f>IF(  N95&gt;$E$2, SUMIFS(IF($G$2="CPR",'Grid Data'!$J$4:$J$2342,'Grid Data'!$K$4:$K$2342),'Grid Data'!$B$4:$B$2342,$D32,'Grid Data'!$C$4:$C$2342,N$4,'Grid Data'!$A$4:$A$2342,$D$2)*100, 0)</f>
        <v>0</v>
      </c>
      <c r="O32" s="4">
        <f>IF(  O95&gt;$E$2, SUMIFS(IF($G$2="CPR",'Grid Data'!$J$4:$J$2342,'Grid Data'!$K$4:$K$2342),'Grid Data'!$B$4:$B$2342,$D32,'Grid Data'!$C$4:$C$2342,O$4,'Grid Data'!$A$4:$A$2342,$D$2)*100, 0)</f>
        <v>0</v>
      </c>
      <c r="P32" s="4">
        <f>IF(  P95&gt;$E$2, SUMIFS(IF($G$2="CPR",'Grid Data'!$J$4:$J$2342,'Grid Data'!$K$4:$K$2342),'Grid Data'!$B$4:$B$2342,$D32,'Grid Data'!$C$4:$C$2342,P$4,'Grid Data'!$A$4:$A$2342,$D$2)*100, 0)</f>
        <v>0</v>
      </c>
      <c r="Q32" s="4">
        <f>IF(  Q95&gt;$E$2, SUMIFS(IF($G$2="CPR",'Grid Data'!$J$4:$J$2342,'Grid Data'!$K$4:$K$2342),'Grid Data'!$B$4:$B$2342,$D32,'Grid Data'!$C$4:$C$2342,Q$4,'Grid Data'!$A$4:$A$2342,$D$2)*100, 0)</f>
        <v>0</v>
      </c>
      <c r="R32" s="4">
        <f>IF(  R95&gt;$E$2, SUMIFS(IF($G$2="CPR",'Grid Data'!$J$4:$J$2342,'Grid Data'!$K$4:$K$2342),'Grid Data'!$B$4:$B$2342,$D32,'Grid Data'!$C$4:$C$2342,R$4,'Grid Data'!$A$4:$A$2342,$D$2)*100, 0)</f>
        <v>0</v>
      </c>
      <c r="S32" s="4">
        <f>IF(  S95&gt;$E$2, SUMIFS(IF($G$2="CPR",'Grid Data'!$J$4:$J$2342,'Grid Data'!$K$4:$K$2342),'Grid Data'!$B$4:$B$2342,$D32,'Grid Data'!$C$4:$C$2342,S$4,'Grid Data'!$A$4:$A$2342,$D$2)*100, 0)</f>
        <v>0</v>
      </c>
      <c r="T32" s="4">
        <f>IF(  T95&gt;$E$2, SUMIFS(IF($G$2="CPR",'Grid Data'!$J$4:$J$2342,'Grid Data'!$K$4:$K$2342),'Grid Data'!$B$4:$B$2342,$D32,'Grid Data'!$C$4:$C$2342,T$4,'Grid Data'!$A$4:$A$2342,$D$2)*100, 0)</f>
        <v>0</v>
      </c>
      <c r="U32" s="4">
        <f>IF(  U95&gt;$E$2, SUMIFS(IF($G$2="CPR",'Grid Data'!$J$4:$J$2342,'Grid Data'!$K$4:$K$2342),'Grid Data'!$B$4:$B$2342,$D32,'Grid Data'!$C$4:$C$2342,U$4,'Grid Data'!$A$4:$A$2342,$D$2)*100, 0)</f>
        <v>0</v>
      </c>
      <c r="V32" s="4">
        <f>IF(  V95&gt;$E$2, SUMIFS(IF($G$2="CPR",'Grid Data'!$J$4:$J$2342,'Grid Data'!$K$4:$K$2342),'Grid Data'!$B$4:$B$2342,$D32,'Grid Data'!$C$4:$C$2342,V$4,'Grid Data'!$A$4:$A$2342,$D$2)*100, 0)</f>
        <v>0</v>
      </c>
      <c r="W32" s="4">
        <f>IF(  W95&gt;$E$2, SUMIFS(IF($G$2="CPR",'Grid Data'!$J$4:$J$2342,'Grid Data'!$K$4:$K$2342),'Grid Data'!$B$4:$B$2342,$D32,'Grid Data'!$C$4:$C$2342,W$4,'Grid Data'!$A$4:$A$2342,$D$2)*100, 0)</f>
        <v>0</v>
      </c>
      <c r="X32" s="4">
        <f>IF(  X95&gt;$E$2, SUMIFS(IF($G$2="CPR",'Grid Data'!$J$4:$J$2342,'Grid Data'!$K$4:$K$2342),'Grid Data'!$B$4:$B$2342,$D32,'Grid Data'!$C$4:$C$2342,X$4,'Grid Data'!$A$4:$A$2342,$D$2)*100, 0)</f>
        <v>0</v>
      </c>
      <c r="Y32" s="4">
        <f>IF(  Y95&gt;$E$2, SUMIFS(IF($G$2="CPR",'Grid Data'!$J$4:$J$2342,'Grid Data'!$K$4:$K$2342),'Grid Data'!$B$4:$B$2342,$D32,'Grid Data'!$C$4:$C$2342,Y$4,'Grid Data'!$A$4:$A$2342,$D$2)*100, 0)</f>
        <v>0</v>
      </c>
      <c r="Z32" s="4">
        <f>IF(  Z95&gt;$E$2, SUMIFS(IF($G$2="CPR",'Grid Data'!$J$4:$J$2342,'Grid Data'!$K$4:$K$2342),'Grid Data'!$B$4:$B$2342,$D32,'Grid Data'!$C$4:$C$2342,Z$4,'Grid Data'!$A$4:$A$2342,$D$2)*100, 0)</f>
        <v>0</v>
      </c>
      <c r="AA32" s="4">
        <f>IF(  AA95&gt;$E$2, SUMIFS(IF($G$2="CPR",'Grid Data'!$J$4:$J$2342,'Grid Data'!$K$4:$K$2342),'Grid Data'!$B$4:$B$2342,$D32,'Grid Data'!$C$4:$C$2342,AA$4,'Grid Data'!$A$4:$A$2342,$D$2)*100, 0)</f>
        <v>0</v>
      </c>
      <c r="AB32" s="4">
        <f>IF(  AB95&gt;$E$2, SUMIFS(IF($G$2="CPR",'Grid Data'!$J$4:$J$2342,'Grid Data'!$K$4:$K$2342),'Grid Data'!$B$4:$B$2342,$D32,'Grid Data'!$C$4:$C$2342,AB$4,'Grid Data'!$A$4:$A$2342,$D$2)*100, 0)</f>
        <v>0</v>
      </c>
      <c r="AC32" s="4">
        <f>IF(  AC95&gt;$E$2, SUMIFS(IF($G$2="CPR",'Grid Data'!$J$4:$J$2342,'Grid Data'!$K$4:$K$2342),'Grid Data'!$B$4:$B$2342,$D32,'Grid Data'!$C$4:$C$2342,AC$4,'Grid Data'!$A$4:$A$2342,$D$2)*100, 0)</f>
        <v>0</v>
      </c>
      <c r="AD32" s="4">
        <f>IF(  AD95&gt;$E$2, SUMIFS(IF($G$2="CPR",'Grid Data'!$J$4:$J$2342,'Grid Data'!$K$4:$K$2342),'Grid Data'!$B$4:$B$2342,$D32,'Grid Data'!$C$4:$C$2342,AD$4,'Grid Data'!$A$4:$A$2342,$D$2)*100, 0)</f>
        <v>0</v>
      </c>
      <c r="AE32" s="4">
        <f>IF(  AE95&gt;$E$2, SUMIFS(IF($G$2="CPR",'Grid Data'!$J$4:$J$2342,'Grid Data'!$K$4:$K$2342),'Grid Data'!$B$4:$B$2342,$D32,'Grid Data'!$C$4:$C$2342,AE$4,'Grid Data'!$A$4:$A$2342,$D$2)*100, 0)</f>
        <v>0</v>
      </c>
      <c r="AF32" s="4">
        <f>IF(  AF95&gt;$E$2, SUMIFS(IF($G$2="CPR",'Grid Data'!$J$4:$J$2342,'Grid Data'!$K$4:$K$2342),'Grid Data'!$B$4:$B$2342,$D32,'Grid Data'!$C$4:$C$2342,AF$4,'Grid Data'!$A$4:$A$2342,$D$2)*100, 0)</f>
        <v>0</v>
      </c>
      <c r="AG32" s="4">
        <f>IF(  AG95&gt;$E$2, SUMIFS(IF($G$2="CPR",'Grid Data'!$J$4:$J$2342,'Grid Data'!$K$4:$K$2342),'Grid Data'!$B$4:$B$2342,$D32,'Grid Data'!$C$4:$C$2342,AG$4,'Grid Data'!$A$4:$A$2342,$D$2)*100, 0)</f>
        <v>0</v>
      </c>
      <c r="AH32" s="4">
        <f>IF(  AH95&gt;$E$2, SUMIFS(IF($G$2="CPR",'Grid Data'!$J$4:$J$2342,'Grid Data'!$K$4:$K$2342),'Grid Data'!$B$4:$B$2342,$D32,'Grid Data'!$C$4:$C$2342,AH$4,'Grid Data'!$A$4:$A$2342,$D$2)*100, 0)</f>
        <v>0</v>
      </c>
    </row>
    <row r="33" spans="4:34" x14ac:dyDescent="0.35">
      <c r="D33">
        <v>20000</v>
      </c>
      <c r="E33" s="4">
        <f>IF(  E96&gt;$E$2, SUMIFS(IF($G$2="CPR",'Grid Data'!$J$4:$J$2342,'Grid Data'!$K$4:$K$2342),'Grid Data'!$B$4:$B$2342,$D33,'Grid Data'!$C$4:$C$2342,E$4,'Grid Data'!$A$4:$A$2342,$D$2)*100, 0)</f>
        <v>0</v>
      </c>
      <c r="F33" s="4">
        <f>IF(  F96&gt;$E$2, SUMIFS(IF($G$2="CPR",'Grid Data'!$J$4:$J$2342,'Grid Data'!$K$4:$K$2342),'Grid Data'!$B$4:$B$2342,$D33,'Grid Data'!$C$4:$C$2342,F$4,'Grid Data'!$A$4:$A$2342,$D$2)*100, 0)</f>
        <v>0</v>
      </c>
      <c r="G33" s="4">
        <f>IF(  G96&gt;$E$2, SUMIFS(IF($G$2="CPR",'Grid Data'!$J$4:$J$2342,'Grid Data'!$K$4:$K$2342),'Grid Data'!$B$4:$B$2342,$D33,'Grid Data'!$C$4:$C$2342,G$4,'Grid Data'!$A$4:$A$2342,$D$2)*100, 0)</f>
        <v>0</v>
      </c>
      <c r="H33" s="4">
        <f>IF(  H96&gt;$E$2, SUMIFS(IF($G$2="CPR",'Grid Data'!$J$4:$J$2342,'Grid Data'!$K$4:$K$2342),'Grid Data'!$B$4:$B$2342,$D33,'Grid Data'!$C$4:$C$2342,H$4,'Grid Data'!$A$4:$A$2342,$D$2)*100, 0)</f>
        <v>0</v>
      </c>
      <c r="I33" s="4">
        <f>IF(  I96&gt;$E$2, SUMIFS(IF($G$2="CPR",'Grid Data'!$J$4:$J$2342,'Grid Data'!$K$4:$K$2342),'Grid Data'!$B$4:$B$2342,$D33,'Grid Data'!$C$4:$C$2342,I$4,'Grid Data'!$A$4:$A$2342,$D$2)*100, 0)</f>
        <v>0</v>
      </c>
      <c r="J33" s="4">
        <f>IF(  J96&gt;$E$2, SUMIFS(IF($G$2="CPR",'Grid Data'!$J$4:$J$2342,'Grid Data'!$K$4:$K$2342),'Grid Data'!$B$4:$B$2342,$D33,'Grid Data'!$C$4:$C$2342,J$4,'Grid Data'!$A$4:$A$2342,$D$2)*100, 0)</f>
        <v>0</v>
      </c>
      <c r="K33" s="4">
        <f>IF(  K96&gt;$E$2, SUMIFS(IF($G$2="CPR",'Grid Data'!$J$4:$J$2342,'Grid Data'!$K$4:$K$2342),'Grid Data'!$B$4:$B$2342,$D33,'Grid Data'!$C$4:$C$2342,K$4,'Grid Data'!$A$4:$A$2342,$D$2)*100, 0)</f>
        <v>0</v>
      </c>
      <c r="L33" s="4">
        <f>IF(  L96&gt;$E$2, SUMIFS(IF($G$2="CPR",'Grid Data'!$J$4:$J$2342,'Grid Data'!$K$4:$K$2342),'Grid Data'!$B$4:$B$2342,$D33,'Grid Data'!$C$4:$C$2342,L$4,'Grid Data'!$A$4:$A$2342,$D$2)*100, 0)</f>
        <v>0</v>
      </c>
      <c r="M33" s="4">
        <f>IF(  M96&gt;$E$2, SUMIFS(IF($G$2="CPR",'Grid Data'!$J$4:$J$2342,'Grid Data'!$K$4:$K$2342),'Grid Data'!$B$4:$B$2342,$D33,'Grid Data'!$C$4:$C$2342,M$4,'Grid Data'!$A$4:$A$2342,$D$2)*100, 0)</f>
        <v>0</v>
      </c>
      <c r="N33" s="4">
        <f>IF(  N96&gt;$E$2, SUMIFS(IF($G$2="CPR",'Grid Data'!$J$4:$J$2342,'Grid Data'!$K$4:$K$2342),'Grid Data'!$B$4:$B$2342,$D33,'Grid Data'!$C$4:$C$2342,N$4,'Grid Data'!$A$4:$A$2342,$D$2)*100, 0)</f>
        <v>0</v>
      </c>
      <c r="O33" s="4">
        <f>IF(  O96&gt;$E$2, SUMIFS(IF($G$2="CPR",'Grid Data'!$J$4:$J$2342,'Grid Data'!$K$4:$K$2342),'Grid Data'!$B$4:$B$2342,$D33,'Grid Data'!$C$4:$C$2342,O$4,'Grid Data'!$A$4:$A$2342,$D$2)*100, 0)</f>
        <v>0</v>
      </c>
      <c r="P33" s="4">
        <f>IF(  P96&gt;$E$2, SUMIFS(IF($G$2="CPR",'Grid Data'!$J$4:$J$2342,'Grid Data'!$K$4:$K$2342),'Grid Data'!$B$4:$B$2342,$D33,'Grid Data'!$C$4:$C$2342,P$4,'Grid Data'!$A$4:$A$2342,$D$2)*100, 0)</f>
        <v>0</v>
      </c>
      <c r="Q33" s="4">
        <f>IF(  Q96&gt;$E$2, SUMIFS(IF($G$2="CPR",'Grid Data'!$J$4:$J$2342,'Grid Data'!$K$4:$K$2342),'Grid Data'!$B$4:$B$2342,$D33,'Grid Data'!$C$4:$C$2342,Q$4,'Grid Data'!$A$4:$A$2342,$D$2)*100, 0)</f>
        <v>0</v>
      </c>
      <c r="R33" s="4">
        <f>IF(  R96&gt;$E$2, SUMIFS(IF($G$2="CPR",'Grid Data'!$J$4:$J$2342,'Grid Data'!$K$4:$K$2342),'Grid Data'!$B$4:$B$2342,$D33,'Grid Data'!$C$4:$C$2342,R$4,'Grid Data'!$A$4:$A$2342,$D$2)*100, 0)</f>
        <v>0</v>
      </c>
      <c r="S33" s="4">
        <f>IF(  S96&gt;$E$2, SUMIFS(IF($G$2="CPR",'Grid Data'!$J$4:$J$2342,'Grid Data'!$K$4:$K$2342),'Grid Data'!$B$4:$B$2342,$D33,'Grid Data'!$C$4:$C$2342,S$4,'Grid Data'!$A$4:$A$2342,$D$2)*100, 0)</f>
        <v>0</v>
      </c>
      <c r="T33" s="4">
        <f>IF(  T96&gt;$E$2, SUMIFS(IF($G$2="CPR",'Grid Data'!$J$4:$J$2342,'Grid Data'!$K$4:$K$2342),'Grid Data'!$B$4:$B$2342,$D33,'Grid Data'!$C$4:$C$2342,T$4,'Grid Data'!$A$4:$A$2342,$D$2)*100, 0)</f>
        <v>0</v>
      </c>
      <c r="U33" s="4">
        <f>IF(  U96&gt;$E$2, SUMIFS(IF($G$2="CPR",'Grid Data'!$J$4:$J$2342,'Grid Data'!$K$4:$K$2342),'Grid Data'!$B$4:$B$2342,$D33,'Grid Data'!$C$4:$C$2342,U$4,'Grid Data'!$A$4:$A$2342,$D$2)*100, 0)</f>
        <v>0</v>
      </c>
      <c r="V33" s="4">
        <f>IF(  V96&gt;$E$2, SUMIFS(IF($G$2="CPR",'Grid Data'!$J$4:$J$2342,'Grid Data'!$K$4:$K$2342),'Grid Data'!$B$4:$B$2342,$D33,'Grid Data'!$C$4:$C$2342,V$4,'Grid Data'!$A$4:$A$2342,$D$2)*100, 0)</f>
        <v>0</v>
      </c>
      <c r="W33" s="4">
        <f>IF(  W96&gt;$E$2, SUMIFS(IF($G$2="CPR",'Grid Data'!$J$4:$J$2342,'Grid Data'!$K$4:$K$2342),'Grid Data'!$B$4:$B$2342,$D33,'Grid Data'!$C$4:$C$2342,W$4,'Grid Data'!$A$4:$A$2342,$D$2)*100, 0)</f>
        <v>0</v>
      </c>
      <c r="X33" s="4">
        <f>IF(  X96&gt;$E$2, SUMIFS(IF($G$2="CPR",'Grid Data'!$J$4:$J$2342,'Grid Data'!$K$4:$K$2342),'Grid Data'!$B$4:$B$2342,$D33,'Grid Data'!$C$4:$C$2342,X$4,'Grid Data'!$A$4:$A$2342,$D$2)*100, 0)</f>
        <v>0</v>
      </c>
      <c r="Y33" s="4">
        <f>IF(  Y96&gt;$E$2, SUMIFS(IF($G$2="CPR",'Grid Data'!$J$4:$J$2342,'Grid Data'!$K$4:$K$2342),'Grid Data'!$B$4:$B$2342,$D33,'Grid Data'!$C$4:$C$2342,Y$4,'Grid Data'!$A$4:$A$2342,$D$2)*100, 0)</f>
        <v>0</v>
      </c>
      <c r="Z33" s="4">
        <f>IF(  Z96&gt;$E$2, SUMIFS(IF($G$2="CPR",'Grid Data'!$J$4:$J$2342,'Grid Data'!$K$4:$K$2342),'Grid Data'!$B$4:$B$2342,$D33,'Grid Data'!$C$4:$C$2342,Z$4,'Grid Data'!$A$4:$A$2342,$D$2)*100, 0)</f>
        <v>0</v>
      </c>
      <c r="AA33" s="4">
        <f>IF(  AA96&gt;$E$2, SUMIFS(IF($G$2="CPR",'Grid Data'!$J$4:$J$2342,'Grid Data'!$K$4:$K$2342),'Grid Data'!$B$4:$B$2342,$D33,'Grid Data'!$C$4:$C$2342,AA$4,'Grid Data'!$A$4:$A$2342,$D$2)*100, 0)</f>
        <v>0</v>
      </c>
      <c r="AB33" s="4">
        <f>IF(  AB96&gt;$E$2, SUMIFS(IF($G$2="CPR",'Grid Data'!$J$4:$J$2342,'Grid Data'!$K$4:$K$2342),'Grid Data'!$B$4:$B$2342,$D33,'Grid Data'!$C$4:$C$2342,AB$4,'Grid Data'!$A$4:$A$2342,$D$2)*100, 0)</f>
        <v>0</v>
      </c>
      <c r="AC33" s="4">
        <f>IF(  AC96&gt;$E$2, SUMIFS(IF($G$2="CPR",'Grid Data'!$J$4:$J$2342,'Grid Data'!$K$4:$K$2342),'Grid Data'!$B$4:$B$2342,$D33,'Grid Data'!$C$4:$C$2342,AC$4,'Grid Data'!$A$4:$A$2342,$D$2)*100, 0)</f>
        <v>0</v>
      </c>
      <c r="AD33" s="4">
        <f>IF(  AD96&gt;$E$2, SUMIFS(IF($G$2="CPR",'Grid Data'!$J$4:$J$2342,'Grid Data'!$K$4:$K$2342),'Grid Data'!$B$4:$B$2342,$D33,'Grid Data'!$C$4:$C$2342,AD$4,'Grid Data'!$A$4:$A$2342,$D$2)*100, 0)</f>
        <v>0</v>
      </c>
      <c r="AE33" s="4">
        <f>IF(  AE96&gt;$E$2, SUMIFS(IF($G$2="CPR",'Grid Data'!$J$4:$J$2342,'Grid Data'!$K$4:$K$2342),'Grid Data'!$B$4:$B$2342,$D33,'Grid Data'!$C$4:$C$2342,AE$4,'Grid Data'!$A$4:$A$2342,$D$2)*100, 0)</f>
        <v>0</v>
      </c>
      <c r="AF33" s="4">
        <f>IF(  AF96&gt;$E$2, SUMIFS(IF($G$2="CPR",'Grid Data'!$J$4:$J$2342,'Grid Data'!$K$4:$K$2342),'Grid Data'!$B$4:$B$2342,$D33,'Grid Data'!$C$4:$C$2342,AF$4,'Grid Data'!$A$4:$A$2342,$D$2)*100, 0)</f>
        <v>0</v>
      </c>
      <c r="AG33" s="4">
        <f>IF(  AG96&gt;$E$2, SUMIFS(IF($G$2="CPR",'Grid Data'!$J$4:$J$2342,'Grid Data'!$K$4:$K$2342),'Grid Data'!$B$4:$B$2342,$D33,'Grid Data'!$C$4:$C$2342,AG$4,'Grid Data'!$A$4:$A$2342,$D$2)*100, 0)</f>
        <v>0</v>
      </c>
      <c r="AH33" s="4">
        <f>IF(  AH96&gt;$E$2, SUMIFS(IF($G$2="CPR",'Grid Data'!$J$4:$J$2342,'Grid Data'!$K$4:$K$2342),'Grid Data'!$B$4:$B$2342,$D33,'Grid Data'!$C$4:$C$2342,AH$4,'Grid Data'!$A$4:$A$2342,$D$2)*100, 0)</f>
        <v>0</v>
      </c>
    </row>
    <row r="34" spans="4:34" x14ac:dyDescent="0.35"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 spans="4:34" x14ac:dyDescent="0.35">
      <c r="E35" s="6" t="s">
        <v>7</v>
      </c>
    </row>
    <row r="36" spans="4:34" x14ac:dyDescent="0.35">
      <c r="D36" s="3" t="s">
        <v>6</v>
      </c>
      <c r="E36">
        <v>5</v>
      </c>
      <c r="F36">
        <v>6</v>
      </c>
      <c r="G36">
        <v>7</v>
      </c>
      <c r="H36">
        <v>8</v>
      </c>
      <c r="I36">
        <v>9</v>
      </c>
      <c r="J36">
        <v>10</v>
      </c>
      <c r="K36">
        <v>12</v>
      </c>
      <c r="L36">
        <v>14</v>
      </c>
      <c r="M36">
        <v>16</v>
      </c>
      <c r="N36">
        <v>18</v>
      </c>
      <c r="O36">
        <v>20</v>
      </c>
      <c r="P36">
        <v>24</v>
      </c>
      <c r="Q36">
        <v>30</v>
      </c>
      <c r="R36">
        <v>36</v>
      </c>
      <c r="S36">
        <v>42</v>
      </c>
      <c r="T36">
        <v>48</v>
      </c>
      <c r="U36">
        <v>54</v>
      </c>
      <c r="V36">
        <v>60</v>
      </c>
      <c r="W36">
        <v>72</v>
      </c>
      <c r="X36">
        <v>84</v>
      </c>
      <c r="Y36">
        <v>96</v>
      </c>
      <c r="Z36">
        <v>108</v>
      </c>
      <c r="AA36">
        <v>120</v>
      </c>
      <c r="AB36">
        <v>144</v>
      </c>
      <c r="AC36">
        <v>168</v>
      </c>
      <c r="AD36">
        <v>192</v>
      </c>
      <c r="AE36">
        <v>216</v>
      </c>
      <c r="AF36">
        <v>240</v>
      </c>
      <c r="AG36">
        <v>320</v>
      </c>
      <c r="AH36">
        <v>360</v>
      </c>
    </row>
    <row r="37" spans="4:34" x14ac:dyDescent="0.35">
      <c r="D37">
        <v>2000</v>
      </c>
      <c r="E37" s="5" t="str">
        <f>IF(  E68&gt;$E$2, SUMIFS(IF($G$2="CPR",'Grid Data'!$V$4:$V$2342,'Grid Data'!$W$4:$W$2342),'Grid Data'!$N$4:$N$2342,$D37,'Grid Data'!$O$4:$O$2342,E$4,'Grid Data'!$M$4:$M$2342,$D$2)*100-E5, "--")</f>
        <v>--</v>
      </c>
      <c r="F37" s="5" t="str">
        <f>IF(  F68&gt;$E$2, SUMIFS(IF($G$2="CPR",'Grid Data'!$V$4:$V$2342,'Grid Data'!$W$4:$W$2342),'Grid Data'!$N$4:$N$2342,$D37,'Grid Data'!$O$4:$O$2342,F$4,'Grid Data'!$M$4:$M$2342,$D$2)*100-F5, "--")</f>
        <v>--</v>
      </c>
      <c r="G37" s="5" t="str">
        <f>IF(  G68&gt;$E$2, SUMIFS(IF($G$2="CPR",'Grid Data'!$V$4:$V$2342,'Grid Data'!$W$4:$W$2342),'Grid Data'!$N$4:$N$2342,$D37,'Grid Data'!$O$4:$O$2342,G$4,'Grid Data'!$M$4:$M$2342,$D$2)*100-G5, "--")</f>
        <v>--</v>
      </c>
      <c r="H37" s="5" t="str">
        <f>IF(  H68&gt;$E$2, SUMIFS(IF($G$2="CPR",'Grid Data'!$V$4:$V$2342,'Grid Data'!$W$4:$W$2342),'Grid Data'!$N$4:$N$2342,$D37,'Grid Data'!$O$4:$O$2342,H$4,'Grid Data'!$M$4:$M$2342,$D$2)*100-H5, "--")</f>
        <v>--</v>
      </c>
      <c r="I37" s="5" t="str">
        <f>IF(  I68&gt;$E$2, SUMIFS(IF($G$2="CPR",'Grid Data'!$V$4:$V$2342,'Grid Data'!$W$4:$W$2342),'Grid Data'!$N$4:$N$2342,$D37,'Grid Data'!$O$4:$O$2342,I$4,'Grid Data'!$M$4:$M$2342,$D$2)*100-I5, "--")</f>
        <v>--</v>
      </c>
      <c r="J37" s="5" t="str">
        <f>IF(  J68&gt;$E$2, SUMIFS(IF($G$2="CPR",'Grid Data'!$V$4:$V$2342,'Grid Data'!$W$4:$W$2342),'Grid Data'!$N$4:$N$2342,$D37,'Grid Data'!$O$4:$O$2342,J$4,'Grid Data'!$M$4:$M$2342,$D$2)*100-J5, "--")</f>
        <v>--</v>
      </c>
      <c r="K37" s="5" t="str">
        <f>IF(  K68&gt;$E$2, SUMIFS(IF($G$2="CPR",'Grid Data'!$V$4:$V$2342,'Grid Data'!$W$4:$W$2342),'Grid Data'!$N$4:$N$2342,$D37,'Grid Data'!$O$4:$O$2342,K$4,'Grid Data'!$M$4:$M$2342,$D$2)*100-K5, "--")</f>
        <v>--</v>
      </c>
      <c r="L37" s="5" t="str">
        <f>IF(  L68&gt;$E$2, SUMIFS(IF($G$2="CPR",'Grid Data'!$V$4:$V$2342,'Grid Data'!$W$4:$W$2342),'Grid Data'!$N$4:$N$2342,$D37,'Grid Data'!$O$4:$O$2342,L$4,'Grid Data'!$M$4:$M$2342,$D$2)*100-L5, "--")</f>
        <v>--</v>
      </c>
      <c r="M37" s="5" t="str">
        <f>IF(  M68&gt;$E$2, SUMIFS(IF($G$2="CPR",'Grid Data'!$V$4:$V$2342,'Grid Data'!$W$4:$W$2342),'Grid Data'!$N$4:$N$2342,$D37,'Grid Data'!$O$4:$O$2342,M$4,'Grid Data'!$M$4:$M$2342,$D$2)*100-M5, "--")</f>
        <v>--</v>
      </c>
      <c r="N37" s="5" t="str">
        <f>IF(  N68&gt;$E$2, SUMIFS(IF($G$2="CPR",'Grid Data'!$V$4:$V$2342,'Grid Data'!$W$4:$W$2342),'Grid Data'!$N$4:$N$2342,$D37,'Grid Data'!$O$4:$O$2342,N$4,'Grid Data'!$M$4:$M$2342,$D$2)*100-N5, "--")</f>
        <v>--</v>
      </c>
      <c r="O37" s="5" t="str">
        <f>IF(  O68&gt;$E$2, SUMIFS(IF($G$2="CPR",'Grid Data'!$V$4:$V$2342,'Grid Data'!$W$4:$W$2342),'Grid Data'!$N$4:$N$2342,$D37,'Grid Data'!$O$4:$O$2342,O$4,'Grid Data'!$M$4:$M$2342,$D$2)*100-O5, "--")</f>
        <v>--</v>
      </c>
      <c r="P37" s="5" t="str">
        <f>IF(  P68&gt;$E$2, SUMIFS(IF($G$2="CPR",'Grid Data'!$V$4:$V$2342,'Grid Data'!$W$4:$W$2342),'Grid Data'!$N$4:$N$2342,$D37,'Grid Data'!$O$4:$O$2342,P$4,'Grid Data'!$M$4:$M$2342,$D$2)*100-P5, "--")</f>
        <v>--</v>
      </c>
      <c r="Q37" s="5" t="str">
        <f>IF(  Q68&gt;$E$2, SUMIFS(IF($G$2="CPR",'Grid Data'!$V$4:$V$2342,'Grid Data'!$W$4:$W$2342),'Grid Data'!$N$4:$N$2342,$D37,'Grid Data'!$O$4:$O$2342,Q$4,'Grid Data'!$M$4:$M$2342,$D$2)*100-Q5, "--")</f>
        <v>--</v>
      </c>
      <c r="R37" s="5" t="str">
        <f>IF(  R68&gt;$E$2, SUMIFS(IF($G$2="CPR",'Grid Data'!$V$4:$V$2342,'Grid Data'!$W$4:$W$2342),'Grid Data'!$N$4:$N$2342,$D37,'Grid Data'!$O$4:$O$2342,R$4,'Grid Data'!$M$4:$M$2342,$D$2)*100-R5, "--")</f>
        <v>--</v>
      </c>
      <c r="S37" s="5" t="str">
        <f>IF(  S68&gt;$E$2, SUMIFS(IF($G$2="CPR",'Grid Data'!$V$4:$V$2342,'Grid Data'!$W$4:$W$2342),'Grid Data'!$N$4:$N$2342,$D37,'Grid Data'!$O$4:$O$2342,S$4,'Grid Data'!$M$4:$M$2342,$D$2)*100-S5, "--")</f>
        <v>--</v>
      </c>
      <c r="T37" s="5" t="str">
        <f>IF(  T68&gt;$E$2, SUMIFS(IF($G$2="CPR",'Grid Data'!$V$4:$V$2342,'Grid Data'!$W$4:$W$2342),'Grid Data'!$N$4:$N$2342,$D37,'Grid Data'!$O$4:$O$2342,T$4,'Grid Data'!$M$4:$M$2342,$D$2)*100-T5, "--")</f>
        <v>--</v>
      </c>
      <c r="U37" s="5">
        <f>IF(  U68&gt;$E$2, SUMIFS(IF($G$2="CPR",'Grid Data'!$V$4:$V$2342,'Grid Data'!$W$4:$W$2342),'Grid Data'!$N$4:$N$2342,$D37,'Grid Data'!$O$4:$O$2342,U$4,'Grid Data'!$M$4:$M$2342,$D$2)*100-U5, "--")</f>
        <v>-2.8144999999999998</v>
      </c>
      <c r="V37" s="5">
        <f>IF(  V68&gt;$E$2, SUMIFS(IF($G$2="CPR",'Grid Data'!$V$4:$V$2342,'Grid Data'!$W$4:$W$2342),'Grid Data'!$N$4:$N$2342,$D37,'Grid Data'!$O$4:$O$2342,V$4,'Grid Data'!$M$4:$M$2342,$D$2)*100-V5, "--")</f>
        <v>-0.32330000000000059</v>
      </c>
      <c r="W37" s="5">
        <f>IF(  W68&gt;$E$2, SUMIFS(IF($G$2="CPR",'Grid Data'!$V$4:$V$2342,'Grid Data'!$W$4:$W$2342),'Grid Data'!$N$4:$N$2342,$D37,'Grid Data'!$O$4:$O$2342,W$4,'Grid Data'!$M$4:$M$2342,$D$2)*100-W5, "--")</f>
        <v>-4.8725000000000005</v>
      </c>
      <c r="X37" s="5" t="str">
        <f>IF(  X68&gt;$E$2, SUMIFS(IF($G$2="CPR",'Grid Data'!$V$4:$V$2342,'Grid Data'!$W$4:$W$2342),'Grid Data'!$N$4:$N$2342,$D37,'Grid Data'!$O$4:$O$2342,X$4,'Grid Data'!$M$4:$M$2342,$D$2)*100-X5, "--")</f>
        <v>--</v>
      </c>
      <c r="Y37" s="5" t="str">
        <f>IF(  Y68&gt;$E$2, SUMIFS(IF($G$2="CPR",'Grid Data'!$V$4:$V$2342,'Grid Data'!$W$4:$W$2342),'Grid Data'!$N$4:$N$2342,$D37,'Grid Data'!$O$4:$O$2342,Y$4,'Grid Data'!$M$4:$M$2342,$D$2)*100-Y5, "--")</f>
        <v>--</v>
      </c>
      <c r="Z37" s="5" t="str">
        <f>IF(  Z68&gt;$E$2, SUMIFS(IF($G$2="CPR",'Grid Data'!$V$4:$V$2342,'Grid Data'!$W$4:$W$2342),'Grid Data'!$N$4:$N$2342,$D37,'Grid Data'!$O$4:$O$2342,Z$4,'Grid Data'!$M$4:$M$2342,$D$2)*100-Z5, "--")</f>
        <v>--</v>
      </c>
      <c r="AA37" s="5" t="str">
        <f>IF(  AA68&gt;$E$2, SUMIFS(IF($G$2="CPR",'Grid Data'!$V$4:$V$2342,'Grid Data'!$W$4:$W$2342),'Grid Data'!$N$4:$N$2342,$D37,'Grid Data'!$O$4:$O$2342,AA$4,'Grid Data'!$M$4:$M$2342,$D$2)*100-AA5, "--")</f>
        <v>--</v>
      </c>
      <c r="AB37" s="5" t="str">
        <f>IF(  AB68&gt;$E$2, SUMIFS(IF($G$2="CPR",'Grid Data'!$V$4:$V$2342,'Grid Data'!$W$4:$W$2342),'Grid Data'!$N$4:$N$2342,$D37,'Grid Data'!$O$4:$O$2342,AB$4,'Grid Data'!$M$4:$M$2342,$D$2)*100-AB5, "--")</f>
        <v>--</v>
      </c>
      <c r="AC37" s="5" t="str">
        <f>IF(  AC68&gt;$E$2, SUMIFS(IF($G$2="CPR",'Grid Data'!$V$4:$V$2342,'Grid Data'!$W$4:$W$2342),'Grid Data'!$N$4:$N$2342,$D37,'Grid Data'!$O$4:$O$2342,AC$4,'Grid Data'!$M$4:$M$2342,$D$2)*100-AC5, "--")</f>
        <v>--</v>
      </c>
      <c r="AD37" s="5" t="str">
        <f>IF(  AD68&gt;$E$2, SUMIFS(IF($G$2="CPR",'Grid Data'!$V$4:$V$2342,'Grid Data'!$W$4:$W$2342),'Grid Data'!$N$4:$N$2342,$D37,'Grid Data'!$O$4:$O$2342,AD$4,'Grid Data'!$M$4:$M$2342,$D$2)*100-AD5, "--")</f>
        <v>--</v>
      </c>
      <c r="AE37" s="5" t="str">
        <f>IF(  AE68&gt;$E$2, SUMIFS(IF($G$2="CPR",'Grid Data'!$V$4:$V$2342,'Grid Data'!$W$4:$W$2342),'Grid Data'!$N$4:$N$2342,$D37,'Grid Data'!$O$4:$O$2342,AE$4,'Grid Data'!$M$4:$M$2342,$D$2)*100-AE5, "--")</f>
        <v>--</v>
      </c>
      <c r="AF37" s="5" t="str">
        <f>IF(  AF68&gt;$E$2, SUMIFS(IF($G$2="CPR",'Grid Data'!$V$4:$V$2342,'Grid Data'!$W$4:$W$2342),'Grid Data'!$N$4:$N$2342,$D37,'Grid Data'!$O$4:$O$2342,AF$4,'Grid Data'!$M$4:$M$2342,$D$2)*100-AF5, "--")</f>
        <v>--</v>
      </c>
      <c r="AG37" s="5" t="str">
        <f>IF(  AG68&gt;$E$2, SUMIFS(IF($G$2="CPR",'Grid Data'!$V$4:$V$2342,'Grid Data'!$W$4:$W$2342),'Grid Data'!$N$4:$N$2342,$D37,'Grid Data'!$O$4:$O$2342,AG$4,'Grid Data'!$M$4:$M$2342,$D$2)*100-AG5, "--")</f>
        <v>--</v>
      </c>
      <c r="AH37" s="5" t="str">
        <f>IF(  AH68&gt;$E$2, SUMIFS(IF($G$2="CPR",'Grid Data'!$V$4:$V$2342,'Grid Data'!$W$4:$W$2342),'Grid Data'!$N$4:$N$2342,$D37,'Grid Data'!$O$4:$O$2342,AH$4,'Grid Data'!$M$4:$M$2342,$D$2)*100-AH5, "--")</f>
        <v>--</v>
      </c>
    </row>
    <row r="38" spans="4:34" x14ac:dyDescent="0.35">
      <c r="D38">
        <v>2250</v>
      </c>
      <c r="E38" s="5" t="str">
        <f>IF(  E69&gt;$E$2, SUMIFS(IF($G$2="CPR",'Grid Data'!$V$4:$V$2342,'Grid Data'!$W$4:$W$2342),'Grid Data'!$N$4:$N$2342,$D38,'Grid Data'!$O$4:$O$2342,E$4,'Grid Data'!$M$4:$M$2342,$D$2)*100-E6, "--")</f>
        <v>--</v>
      </c>
      <c r="F38" s="5" t="str">
        <f>IF(  F69&gt;$E$2, SUMIFS(IF($G$2="CPR",'Grid Data'!$V$4:$V$2342,'Grid Data'!$W$4:$W$2342),'Grid Data'!$N$4:$N$2342,$D38,'Grid Data'!$O$4:$O$2342,F$4,'Grid Data'!$M$4:$M$2342,$D$2)*100-F6, "--")</f>
        <v>--</v>
      </c>
      <c r="G38" s="5" t="str">
        <f>IF(  G69&gt;$E$2, SUMIFS(IF($G$2="CPR",'Grid Data'!$V$4:$V$2342,'Grid Data'!$W$4:$W$2342),'Grid Data'!$N$4:$N$2342,$D38,'Grid Data'!$O$4:$O$2342,G$4,'Grid Data'!$M$4:$M$2342,$D$2)*100-G6, "--")</f>
        <v>--</v>
      </c>
      <c r="H38" s="5" t="str">
        <f>IF(  H69&gt;$E$2, SUMIFS(IF($G$2="CPR",'Grid Data'!$V$4:$V$2342,'Grid Data'!$W$4:$W$2342),'Grid Data'!$N$4:$N$2342,$D38,'Grid Data'!$O$4:$O$2342,H$4,'Grid Data'!$M$4:$M$2342,$D$2)*100-H6, "--")</f>
        <v>--</v>
      </c>
      <c r="I38" s="5" t="str">
        <f>IF(  I69&gt;$E$2, SUMIFS(IF($G$2="CPR",'Grid Data'!$V$4:$V$2342,'Grid Data'!$W$4:$W$2342),'Grid Data'!$N$4:$N$2342,$D38,'Grid Data'!$O$4:$O$2342,I$4,'Grid Data'!$M$4:$M$2342,$D$2)*100-I6, "--")</f>
        <v>--</v>
      </c>
      <c r="J38" s="5" t="str">
        <f>IF(  J69&gt;$E$2, SUMIFS(IF($G$2="CPR",'Grid Data'!$V$4:$V$2342,'Grid Data'!$W$4:$W$2342),'Grid Data'!$N$4:$N$2342,$D38,'Grid Data'!$O$4:$O$2342,J$4,'Grid Data'!$M$4:$M$2342,$D$2)*100-J6, "--")</f>
        <v>--</v>
      </c>
      <c r="K38" s="5" t="str">
        <f>IF(  K69&gt;$E$2, SUMIFS(IF($G$2="CPR",'Grid Data'!$V$4:$V$2342,'Grid Data'!$W$4:$W$2342),'Grid Data'!$N$4:$N$2342,$D38,'Grid Data'!$O$4:$O$2342,K$4,'Grid Data'!$M$4:$M$2342,$D$2)*100-K6, "--")</f>
        <v>--</v>
      </c>
      <c r="L38" s="5" t="str">
        <f>IF(  L69&gt;$E$2, SUMIFS(IF($G$2="CPR",'Grid Data'!$V$4:$V$2342,'Grid Data'!$W$4:$W$2342),'Grid Data'!$N$4:$N$2342,$D38,'Grid Data'!$O$4:$O$2342,L$4,'Grid Data'!$M$4:$M$2342,$D$2)*100-L6, "--")</f>
        <v>--</v>
      </c>
      <c r="M38" s="5" t="str">
        <f>IF(  M69&gt;$E$2, SUMIFS(IF($G$2="CPR",'Grid Data'!$V$4:$V$2342,'Grid Data'!$W$4:$W$2342),'Grid Data'!$N$4:$N$2342,$D38,'Grid Data'!$O$4:$O$2342,M$4,'Grid Data'!$M$4:$M$2342,$D$2)*100-M6, "--")</f>
        <v>--</v>
      </c>
      <c r="N38" s="5" t="str">
        <f>IF(  N69&gt;$E$2, SUMIFS(IF($G$2="CPR",'Grid Data'!$V$4:$V$2342,'Grid Data'!$W$4:$W$2342),'Grid Data'!$N$4:$N$2342,$D38,'Grid Data'!$O$4:$O$2342,N$4,'Grid Data'!$M$4:$M$2342,$D$2)*100-N6, "--")</f>
        <v>--</v>
      </c>
      <c r="O38" s="5" t="str">
        <f>IF(  O69&gt;$E$2, SUMIFS(IF($G$2="CPR",'Grid Data'!$V$4:$V$2342,'Grid Data'!$W$4:$W$2342),'Grid Data'!$N$4:$N$2342,$D38,'Grid Data'!$O$4:$O$2342,O$4,'Grid Data'!$M$4:$M$2342,$D$2)*100-O6, "--")</f>
        <v>--</v>
      </c>
      <c r="P38" s="5" t="str">
        <f>IF(  P69&gt;$E$2, SUMIFS(IF($G$2="CPR",'Grid Data'!$V$4:$V$2342,'Grid Data'!$W$4:$W$2342),'Grid Data'!$N$4:$N$2342,$D38,'Grid Data'!$O$4:$O$2342,P$4,'Grid Data'!$M$4:$M$2342,$D$2)*100-P6, "--")</f>
        <v>--</v>
      </c>
      <c r="Q38" s="5" t="str">
        <f>IF(  Q69&gt;$E$2, SUMIFS(IF($G$2="CPR",'Grid Data'!$V$4:$V$2342,'Grid Data'!$W$4:$W$2342),'Grid Data'!$N$4:$N$2342,$D38,'Grid Data'!$O$4:$O$2342,Q$4,'Grid Data'!$M$4:$M$2342,$D$2)*100-Q6, "--")</f>
        <v>--</v>
      </c>
      <c r="R38" s="5" t="str">
        <f>IF(  R69&gt;$E$2, SUMIFS(IF($G$2="CPR",'Grid Data'!$V$4:$V$2342,'Grid Data'!$W$4:$W$2342),'Grid Data'!$N$4:$N$2342,$D38,'Grid Data'!$O$4:$O$2342,R$4,'Grid Data'!$M$4:$M$2342,$D$2)*100-R6, "--")</f>
        <v>--</v>
      </c>
      <c r="S38" s="5" t="str">
        <f>IF(  S69&gt;$E$2, SUMIFS(IF($G$2="CPR",'Grid Data'!$V$4:$V$2342,'Grid Data'!$W$4:$W$2342),'Grid Data'!$N$4:$N$2342,$D38,'Grid Data'!$O$4:$O$2342,S$4,'Grid Data'!$M$4:$M$2342,$D$2)*100-S6, "--")</f>
        <v>--</v>
      </c>
      <c r="T38" s="5">
        <f>IF(  T69&gt;$E$2, SUMIFS(IF($G$2="CPR",'Grid Data'!$V$4:$V$2342,'Grid Data'!$W$4:$W$2342),'Grid Data'!$N$4:$N$2342,$D38,'Grid Data'!$O$4:$O$2342,T$4,'Grid Data'!$M$4:$M$2342,$D$2)*100-T6, "--")</f>
        <v>-1.7749000000000006</v>
      </c>
      <c r="U38" s="5">
        <f>IF(  U69&gt;$E$2, SUMIFS(IF($G$2="CPR",'Grid Data'!$V$4:$V$2342,'Grid Data'!$W$4:$W$2342),'Grid Data'!$N$4:$N$2342,$D38,'Grid Data'!$O$4:$O$2342,U$4,'Grid Data'!$M$4:$M$2342,$D$2)*100-U6, "--")</f>
        <v>-0.42530000000000001</v>
      </c>
      <c r="V38" s="5">
        <f>IF(  V69&gt;$E$2, SUMIFS(IF($G$2="CPR",'Grid Data'!$V$4:$V$2342,'Grid Data'!$W$4:$W$2342),'Grid Data'!$N$4:$N$2342,$D38,'Grid Data'!$O$4:$O$2342,V$4,'Grid Data'!$M$4:$M$2342,$D$2)*100-V6, "--")</f>
        <v>-1.1101999999999999</v>
      </c>
      <c r="W38" s="5">
        <f>IF(  W69&gt;$E$2, SUMIFS(IF($G$2="CPR",'Grid Data'!$V$4:$V$2342,'Grid Data'!$W$4:$W$2342),'Grid Data'!$N$4:$N$2342,$D38,'Grid Data'!$O$4:$O$2342,W$4,'Grid Data'!$M$4:$M$2342,$D$2)*100-W6, "--")</f>
        <v>-1.2851999999999997</v>
      </c>
      <c r="X38" s="5" t="str">
        <f>IF(  X69&gt;$E$2, SUMIFS(IF($G$2="CPR",'Grid Data'!$V$4:$V$2342,'Grid Data'!$W$4:$W$2342),'Grid Data'!$N$4:$N$2342,$D38,'Grid Data'!$O$4:$O$2342,X$4,'Grid Data'!$M$4:$M$2342,$D$2)*100-X6, "--")</f>
        <v>--</v>
      </c>
      <c r="Y38" s="5" t="str">
        <f>IF(  Y69&gt;$E$2, SUMIFS(IF($G$2="CPR",'Grid Data'!$V$4:$V$2342,'Grid Data'!$W$4:$W$2342),'Grid Data'!$N$4:$N$2342,$D38,'Grid Data'!$O$4:$O$2342,Y$4,'Grid Data'!$M$4:$M$2342,$D$2)*100-Y6, "--")</f>
        <v>--</v>
      </c>
      <c r="Z38" s="5" t="str">
        <f>IF(  Z69&gt;$E$2, SUMIFS(IF($G$2="CPR",'Grid Data'!$V$4:$V$2342,'Grid Data'!$W$4:$W$2342),'Grid Data'!$N$4:$N$2342,$D38,'Grid Data'!$O$4:$O$2342,Z$4,'Grid Data'!$M$4:$M$2342,$D$2)*100-Z6, "--")</f>
        <v>--</v>
      </c>
      <c r="AA38" s="5" t="str">
        <f>IF(  AA69&gt;$E$2, SUMIFS(IF($G$2="CPR",'Grid Data'!$V$4:$V$2342,'Grid Data'!$W$4:$W$2342),'Grid Data'!$N$4:$N$2342,$D38,'Grid Data'!$O$4:$O$2342,AA$4,'Grid Data'!$M$4:$M$2342,$D$2)*100-AA6, "--")</f>
        <v>--</v>
      </c>
      <c r="AB38" s="5" t="str">
        <f>IF(  AB69&gt;$E$2, SUMIFS(IF($G$2="CPR",'Grid Data'!$V$4:$V$2342,'Grid Data'!$W$4:$W$2342),'Grid Data'!$N$4:$N$2342,$D38,'Grid Data'!$O$4:$O$2342,AB$4,'Grid Data'!$M$4:$M$2342,$D$2)*100-AB6, "--")</f>
        <v>--</v>
      </c>
      <c r="AC38" s="5" t="str">
        <f>IF(  AC69&gt;$E$2, SUMIFS(IF($G$2="CPR",'Grid Data'!$V$4:$V$2342,'Grid Data'!$W$4:$W$2342),'Grid Data'!$N$4:$N$2342,$D38,'Grid Data'!$O$4:$O$2342,AC$4,'Grid Data'!$M$4:$M$2342,$D$2)*100-AC6, "--")</f>
        <v>--</v>
      </c>
      <c r="AD38" s="5" t="str">
        <f>IF(  AD69&gt;$E$2, SUMIFS(IF($G$2="CPR",'Grid Data'!$V$4:$V$2342,'Grid Data'!$W$4:$W$2342),'Grid Data'!$N$4:$N$2342,$D38,'Grid Data'!$O$4:$O$2342,AD$4,'Grid Data'!$M$4:$M$2342,$D$2)*100-AD6, "--")</f>
        <v>--</v>
      </c>
      <c r="AE38" s="5" t="str">
        <f>IF(  AE69&gt;$E$2, SUMIFS(IF($G$2="CPR",'Grid Data'!$V$4:$V$2342,'Grid Data'!$W$4:$W$2342),'Grid Data'!$N$4:$N$2342,$D38,'Grid Data'!$O$4:$O$2342,AE$4,'Grid Data'!$M$4:$M$2342,$D$2)*100-AE6, "--")</f>
        <v>--</v>
      </c>
      <c r="AF38" s="5" t="str">
        <f>IF(  AF69&gt;$E$2, SUMIFS(IF($G$2="CPR",'Grid Data'!$V$4:$V$2342,'Grid Data'!$W$4:$W$2342),'Grid Data'!$N$4:$N$2342,$D38,'Grid Data'!$O$4:$O$2342,AF$4,'Grid Data'!$M$4:$M$2342,$D$2)*100-AF6, "--")</f>
        <v>--</v>
      </c>
      <c r="AG38" s="5" t="str">
        <f>IF(  AG69&gt;$E$2, SUMIFS(IF($G$2="CPR",'Grid Data'!$V$4:$V$2342,'Grid Data'!$W$4:$W$2342),'Grid Data'!$N$4:$N$2342,$D38,'Grid Data'!$O$4:$O$2342,AG$4,'Grid Data'!$M$4:$M$2342,$D$2)*100-AG6, "--")</f>
        <v>--</v>
      </c>
      <c r="AH38" s="5" t="str">
        <f>IF(  AH69&gt;$E$2, SUMIFS(IF($G$2="CPR",'Grid Data'!$V$4:$V$2342,'Grid Data'!$W$4:$W$2342),'Grid Data'!$N$4:$N$2342,$D38,'Grid Data'!$O$4:$O$2342,AH$4,'Grid Data'!$M$4:$M$2342,$D$2)*100-AH6, "--")</f>
        <v>--</v>
      </c>
    </row>
    <row r="39" spans="4:34" x14ac:dyDescent="0.35">
      <c r="D39">
        <v>2500</v>
      </c>
      <c r="E39" s="5" t="str">
        <f>IF(  E70&gt;$E$2, SUMIFS(IF($G$2="CPR",'Grid Data'!$V$4:$V$2342,'Grid Data'!$W$4:$W$2342),'Grid Data'!$N$4:$N$2342,$D39,'Grid Data'!$O$4:$O$2342,E$4,'Grid Data'!$M$4:$M$2342,$D$2)*100-E7, "--")</f>
        <v>--</v>
      </c>
      <c r="F39" s="5" t="str">
        <f>IF(  F70&gt;$E$2, SUMIFS(IF($G$2="CPR",'Grid Data'!$V$4:$V$2342,'Grid Data'!$W$4:$W$2342),'Grid Data'!$N$4:$N$2342,$D39,'Grid Data'!$O$4:$O$2342,F$4,'Grid Data'!$M$4:$M$2342,$D$2)*100-F7, "--")</f>
        <v>--</v>
      </c>
      <c r="G39" s="5" t="str">
        <f>IF(  G70&gt;$E$2, SUMIFS(IF($G$2="CPR",'Grid Data'!$V$4:$V$2342,'Grid Data'!$W$4:$W$2342),'Grid Data'!$N$4:$N$2342,$D39,'Grid Data'!$O$4:$O$2342,G$4,'Grid Data'!$M$4:$M$2342,$D$2)*100-G7, "--")</f>
        <v>--</v>
      </c>
      <c r="H39" s="5" t="str">
        <f>IF(  H70&gt;$E$2, SUMIFS(IF($G$2="CPR",'Grid Data'!$V$4:$V$2342,'Grid Data'!$W$4:$W$2342),'Grid Data'!$N$4:$N$2342,$D39,'Grid Data'!$O$4:$O$2342,H$4,'Grid Data'!$M$4:$M$2342,$D$2)*100-H7, "--")</f>
        <v>--</v>
      </c>
      <c r="I39" s="5" t="str">
        <f>IF(  I70&gt;$E$2, SUMIFS(IF($G$2="CPR",'Grid Data'!$V$4:$V$2342,'Grid Data'!$W$4:$W$2342),'Grid Data'!$N$4:$N$2342,$D39,'Grid Data'!$O$4:$O$2342,I$4,'Grid Data'!$M$4:$M$2342,$D$2)*100-I7, "--")</f>
        <v>--</v>
      </c>
      <c r="J39" s="5" t="str">
        <f>IF(  J70&gt;$E$2, SUMIFS(IF($G$2="CPR",'Grid Data'!$V$4:$V$2342,'Grid Data'!$W$4:$W$2342),'Grid Data'!$N$4:$N$2342,$D39,'Grid Data'!$O$4:$O$2342,J$4,'Grid Data'!$M$4:$M$2342,$D$2)*100-J7, "--")</f>
        <v>--</v>
      </c>
      <c r="K39" s="5" t="str">
        <f>IF(  K70&gt;$E$2, SUMIFS(IF($G$2="CPR",'Grid Data'!$V$4:$V$2342,'Grid Data'!$W$4:$W$2342),'Grid Data'!$N$4:$N$2342,$D39,'Grid Data'!$O$4:$O$2342,K$4,'Grid Data'!$M$4:$M$2342,$D$2)*100-K7, "--")</f>
        <v>--</v>
      </c>
      <c r="L39" s="5" t="str">
        <f>IF(  L70&gt;$E$2, SUMIFS(IF($G$2="CPR",'Grid Data'!$V$4:$V$2342,'Grid Data'!$W$4:$W$2342),'Grid Data'!$N$4:$N$2342,$D39,'Grid Data'!$O$4:$O$2342,L$4,'Grid Data'!$M$4:$M$2342,$D$2)*100-L7, "--")</f>
        <v>--</v>
      </c>
      <c r="M39" s="5" t="str">
        <f>IF(  M70&gt;$E$2, SUMIFS(IF($G$2="CPR",'Grid Data'!$V$4:$V$2342,'Grid Data'!$W$4:$W$2342),'Grid Data'!$N$4:$N$2342,$D39,'Grid Data'!$O$4:$O$2342,M$4,'Grid Data'!$M$4:$M$2342,$D$2)*100-M7, "--")</f>
        <v>--</v>
      </c>
      <c r="N39" s="5" t="str">
        <f>IF(  N70&gt;$E$2, SUMIFS(IF($G$2="CPR",'Grid Data'!$V$4:$V$2342,'Grid Data'!$W$4:$W$2342),'Grid Data'!$N$4:$N$2342,$D39,'Grid Data'!$O$4:$O$2342,N$4,'Grid Data'!$M$4:$M$2342,$D$2)*100-N7, "--")</f>
        <v>--</v>
      </c>
      <c r="O39" s="5" t="str">
        <f>IF(  O70&gt;$E$2, SUMIFS(IF($G$2="CPR",'Grid Data'!$V$4:$V$2342,'Grid Data'!$W$4:$W$2342),'Grid Data'!$N$4:$N$2342,$D39,'Grid Data'!$O$4:$O$2342,O$4,'Grid Data'!$M$4:$M$2342,$D$2)*100-O7, "--")</f>
        <v>--</v>
      </c>
      <c r="P39" s="5" t="str">
        <f>IF(  P70&gt;$E$2, SUMIFS(IF($G$2="CPR",'Grid Data'!$V$4:$V$2342,'Grid Data'!$W$4:$W$2342),'Grid Data'!$N$4:$N$2342,$D39,'Grid Data'!$O$4:$O$2342,P$4,'Grid Data'!$M$4:$M$2342,$D$2)*100-P7, "--")</f>
        <v>--</v>
      </c>
      <c r="Q39" s="5" t="str">
        <f>IF(  Q70&gt;$E$2, SUMIFS(IF($G$2="CPR",'Grid Data'!$V$4:$V$2342,'Grid Data'!$W$4:$W$2342),'Grid Data'!$N$4:$N$2342,$D39,'Grid Data'!$O$4:$O$2342,Q$4,'Grid Data'!$M$4:$M$2342,$D$2)*100-Q7, "--")</f>
        <v>--</v>
      </c>
      <c r="R39" s="5" t="str">
        <f>IF(  R70&gt;$E$2, SUMIFS(IF($G$2="CPR",'Grid Data'!$V$4:$V$2342,'Grid Data'!$W$4:$W$2342),'Grid Data'!$N$4:$N$2342,$D39,'Grid Data'!$O$4:$O$2342,R$4,'Grid Data'!$M$4:$M$2342,$D$2)*100-R7, "--")</f>
        <v>--</v>
      </c>
      <c r="S39" s="5" t="str">
        <f>IF(  S70&gt;$E$2, SUMIFS(IF($G$2="CPR",'Grid Data'!$V$4:$V$2342,'Grid Data'!$W$4:$W$2342),'Grid Data'!$N$4:$N$2342,$D39,'Grid Data'!$O$4:$O$2342,S$4,'Grid Data'!$M$4:$M$2342,$D$2)*100-S7, "--")</f>
        <v>--</v>
      </c>
      <c r="T39" s="5">
        <f>IF(  T70&gt;$E$2, SUMIFS(IF($G$2="CPR",'Grid Data'!$V$4:$V$2342,'Grid Data'!$W$4:$W$2342),'Grid Data'!$N$4:$N$2342,$D39,'Grid Data'!$O$4:$O$2342,T$4,'Grid Data'!$M$4:$M$2342,$D$2)*100-T7, "--")</f>
        <v>-1.4923000000000002</v>
      </c>
      <c r="U39" s="5">
        <f>IF(  U70&gt;$E$2, SUMIFS(IF($G$2="CPR",'Grid Data'!$V$4:$V$2342,'Grid Data'!$W$4:$W$2342),'Grid Data'!$N$4:$N$2342,$D39,'Grid Data'!$O$4:$O$2342,U$4,'Grid Data'!$M$4:$M$2342,$D$2)*100-U7, "--")</f>
        <v>-1.1448999999999998</v>
      </c>
      <c r="V39" s="5">
        <f>IF(  V70&gt;$E$2, SUMIFS(IF($G$2="CPR",'Grid Data'!$V$4:$V$2342,'Grid Data'!$W$4:$W$2342),'Grid Data'!$N$4:$N$2342,$D39,'Grid Data'!$O$4:$O$2342,V$4,'Grid Data'!$M$4:$M$2342,$D$2)*100-V7, "--")</f>
        <v>-0.20200000000000085</v>
      </c>
      <c r="W39" s="5">
        <f>IF(  W70&gt;$E$2, SUMIFS(IF($G$2="CPR",'Grid Data'!$V$4:$V$2342,'Grid Data'!$W$4:$W$2342),'Grid Data'!$N$4:$N$2342,$D39,'Grid Data'!$O$4:$O$2342,W$4,'Grid Data'!$M$4:$M$2342,$D$2)*100-W7, "--")</f>
        <v>-0.75590000000000046</v>
      </c>
      <c r="X39" s="5" t="str">
        <f>IF(  X70&gt;$E$2, SUMIFS(IF($G$2="CPR",'Grid Data'!$V$4:$V$2342,'Grid Data'!$W$4:$W$2342),'Grid Data'!$N$4:$N$2342,$D39,'Grid Data'!$O$4:$O$2342,X$4,'Grid Data'!$M$4:$M$2342,$D$2)*100-X7, "--")</f>
        <v>--</v>
      </c>
      <c r="Y39" s="5" t="str">
        <f>IF(  Y70&gt;$E$2, SUMIFS(IF($G$2="CPR",'Grid Data'!$V$4:$V$2342,'Grid Data'!$W$4:$W$2342),'Grid Data'!$N$4:$N$2342,$D39,'Grid Data'!$O$4:$O$2342,Y$4,'Grid Data'!$M$4:$M$2342,$D$2)*100-Y7, "--")</f>
        <v>--</v>
      </c>
      <c r="Z39" s="5" t="str">
        <f>IF(  Z70&gt;$E$2, SUMIFS(IF($G$2="CPR",'Grid Data'!$V$4:$V$2342,'Grid Data'!$W$4:$W$2342),'Grid Data'!$N$4:$N$2342,$D39,'Grid Data'!$O$4:$O$2342,Z$4,'Grid Data'!$M$4:$M$2342,$D$2)*100-Z7, "--")</f>
        <v>--</v>
      </c>
      <c r="AA39" s="5" t="str">
        <f>IF(  AA70&gt;$E$2, SUMIFS(IF($G$2="CPR",'Grid Data'!$V$4:$V$2342,'Grid Data'!$W$4:$W$2342),'Grid Data'!$N$4:$N$2342,$D39,'Grid Data'!$O$4:$O$2342,AA$4,'Grid Data'!$M$4:$M$2342,$D$2)*100-AA7, "--")</f>
        <v>--</v>
      </c>
      <c r="AB39" s="5" t="str">
        <f>IF(  AB70&gt;$E$2, SUMIFS(IF($G$2="CPR",'Grid Data'!$V$4:$V$2342,'Grid Data'!$W$4:$W$2342),'Grid Data'!$N$4:$N$2342,$D39,'Grid Data'!$O$4:$O$2342,AB$4,'Grid Data'!$M$4:$M$2342,$D$2)*100-AB7, "--")</f>
        <v>--</v>
      </c>
      <c r="AC39" s="5" t="str">
        <f>IF(  AC70&gt;$E$2, SUMIFS(IF($G$2="CPR",'Grid Data'!$V$4:$V$2342,'Grid Data'!$W$4:$W$2342),'Grid Data'!$N$4:$N$2342,$D39,'Grid Data'!$O$4:$O$2342,AC$4,'Grid Data'!$M$4:$M$2342,$D$2)*100-AC7, "--")</f>
        <v>--</v>
      </c>
      <c r="AD39" s="5" t="str">
        <f>IF(  AD70&gt;$E$2, SUMIFS(IF($G$2="CPR",'Grid Data'!$V$4:$V$2342,'Grid Data'!$W$4:$W$2342),'Grid Data'!$N$4:$N$2342,$D39,'Grid Data'!$O$4:$O$2342,AD$4,'Grid Data'!$M$4:$M$2342,$D$2)*100-AD7, "--")</f>
        <v>--</v>
      </c>
      <c r="AE39" s="5" t="str">
        <f>IF(  AE70&gt;$E$2, SUMIFS(IF($G$2="CPR",'Grid Data'!$V$4:$V$2342,'Grid Data'!$W$4:$W$2342),'Grid Data'!$N$4:$N$2342,$D39,'Grid Data'!$O$4:$O$2342,AE$4,'Grid Data'!$M$4:$M$2342,$D$2)*100-AE7, "--")</f>
        <v>--</v>
      </c>
      <c r="AF39" s="5" t="str">
        <f>IF(  AF70&gt;$E$2, SUMIFS(IF($G$2="CPR",'Grid Data'!$V$4:$V$2342,'Grid Data'!$W$4:$W$2342),'Grid Data'!$N$4:$N$2342,$D39,'Grid Data'!$O$4:$O$2342,AF$4,'Grid Data'!$M$4:$M$2342,$D$2)*100-AF7, "--")</f>
        <v>--</v>
      </c>
      <c r="AG39" s="5" t="str">
        <f>IF(  AG70&gt;$E$2, SUMIFS(IF($G$2="CPR",'Grid Data'!$V$4:$V$2342,'Grid Data'!$W$4:$W$2342),'Grid Data'!$N$4:$N$2342,$D39,'Grid Data'!$O$4:$O$2342,AG$4,'Grid Data'!$M$4:$M$2342,$D$2)*100-AG7, "--")</f>
        <v>--</v>
      </c>
      <c r="AH39" s="5" t="str">
        <f>IF(  AH70&gt;$E$2, SUMIFS(IF($G$2="CPR",'Grid Data'!$V$4:$V$2342,'Grid Data'!$W$4:$W$2342),'Grid Data'!$N$4:$N$2342,$D39,'Grid Data'!$O$4:$O$2342,AH$4,'Grid Data'!$M$4:$M$2342,$D$2)*100-AH7, "--")</f>
        <v>--</v>
      </c>
    </row>
    <row r="40" spans="4:34" x14ac:dyDescent="0.35">
      <c r="D40">
        <v>2750</v>
      </c>
      <c r="E40" s="5" t="str">
        <f>IF(  E71&gt;$E$2, SUMIFS(IF($G$2="CPR",'Grid Data'!$V$4:$V$2342,'Grid Data'!$W$4:$W$2342),'Grid Data'!$N$4:$N$2342,$D40,'Grid Data'!$O$4:$O$2342,E$4,'Grid Data'!$M$4:$M$2342,$D$2)*100-E8, "--")</f>
        <v>--</v>
      </c>
      <c r="F40" s="5" t="str">
        <f>IF(  F71&gt;$E$2, SUMIFS(IF($G$2="CPR",'Grid Data'!$V$4:$V$2342,'Grid Data'!$W$4:$W$2342),'Grid Data'!$N$4:$N$2342,$D40,'Grid Data'!$O$4:$O$2342,F$4,'Grid Data'!$M$4:$M$2342,$D$2)*100-F8, "--")</f>
        <v>--</v>
      </c>
      <c r="G40" s="5" t="str">
        <f>IF(  G71&gt;$E$2, SUMIFS(IF($G$2="CPR",'Grid Data'!$V$4:$V$2342,'Grid Data'!$W$4:$W$2342),'Grid Data'!$N$4:$N$2342,$D40,'Grid Data'!$O$4:$O$2342,G$4,'Grid Data'!$M$4:$M$2342,$D$2)*100-G8, "--")</f>
        <v>--</v>
      </c>
      <c r="H40" s="5" t="str">
        <f>IF(  H71&gt;$E$2, SUMIFS(IF($G$2="CPR",'Grid Data'!$V$4:$V$2342,'Grid Data'!$W$4:$W$2342),'Grid Data'!$N$4:$N$2342,$D40,'Grid Data'!$O$4:$O$2342,H$4,'Grid Data'!$M$4:$M$2342,$D$2)*100-H8, "--")</f>
        <v>--</v>
      </c>
      <c r="I40" s="5" t="str">
        <f>IF(  I71&gt;$E$2, SUMIFS(IF($G$2="CPR",'Grid Data'!$V$4:$V$2342,'Grid Data'!$W$4:$W$2342),'Grid Data'!$N$4:$N$2342,$D40,'Grid Data'!$O$4:$O$2342,I$4,'Grid Data'!$M$4:$M$2342,$D$2)*100-I8, "--")</f>
        <v>--</v>
      </c>
      <c r="J40" s="5" t="str">
        <f>IF(  J71&gt;$E$2, SUMIFS(IF($G$2="CPR",'Grid Data'!$V$4:$V$2342,'Grid Data'!$W$4:$W$2342),'Grid Data'!$N$4:$N$2342,$D40,'Grid Data'!$O$4:$O$2342,J$4,'Grid Data'!$M$4:$M$2342,$D$2)*100-J8, "--")</f>
        <v>--</v>
      </c>
      <c r="K40" s="5" t="str">
        <f>IF(  K71&gt;$E$2, SUMIFS(IF($G$2="CPR",'Grid Data'!$V$4:$V$2342,'Grid Data'!$W$4:$W$2342),'Grid Data'!$N$4:$N$2342,$D40,'Grid Data'!$O$4:$O$2342,K$4,'Grid Data'!$M$4:$M$2342,$D$2)*100-K8, "--")</f>
        <v>--</v>
      </c>
      <c r="L40" s="5" t="str">
        <f>IF(  L71&gt;$E$2, SUMIFS(IF($G$2="CPR",'Grid Data'!$V$4:$V$2342,'Grid Data'!$W$4:$W$2342),'Grid Data'!$N$4:$N$2342,$D40,'Grid Data'!$O$4:$O$2342,L$4,'Grid Data'!$M$4:$M$2342,$D$2)*100-L8, "--")</f>
        <v>--</v>
      </c>
      <c r="M40" s="5" t="str">
        <f>IF(  M71&gt;$E$2, SUMIFS(IF($G$2="CPR",'Grid Data'!$V$4:$V$2342,'Grid Data'!$W$4:$W$2342),'Grid Data'!$N$4:$N$2342,$D40,'Grid Data'!$O$4:$O$2342,M$4,'Grid Data'!$M$4:$M$2342,$D$2)*100-M8, "--")</f>
        <v>--</v>
      </c>
      <c r="N40" s="5" t="str">
        <f>IF(  N71&gt;$E$2, SUMIFS(IF($G$2="CPR",'Grid Data'!$V$4:$V$2342,'Grid Data'!$W$4:$W$2342),'Grid Data'!$N$4:$N$2342,$D40,'Grid Data'!$O$4:$O$2342,N$4,'Grid Data'!$M$4:$M$2342,$D$2)*100-N8, "--")</f>
        <v>--</v>
      </c>
      <c r="O40" s="5" t="str">
        <f>IF(  O71&gt;$E$2, SUMIFS(IF($G$2="CPR",'Grid Data'!$V$4:$V$2342,'Grid Data'!$W$4:$W$2342),'Grid Data'!$N$4:$N$2342,$D40,'Grid Data'!$O$4:$O$2342,O$4,'Grid Data'!$M$4:$M$2342,$D$2)*100-O8, "--")</f>
        <v>--</v>
      </c>
      <c r="P40" s="5" t="str">
        <f>IF(  P71&gt;$E$2, SUMIFS(IF($G$2="CPR",'Grid Data'!$V$4:$V$2342,'Grid Data'!$W$4:$W$2342),'Grid Data'!$N$4:$N$2342,$D40,'Grid Data'!$O$4:$O$2342,P$4,'Grid Data'!$M$4:$M$2342,$D$2)*100-P8, "--")</f>
        <v>--</v>
      </c>
      <c r="Q40" s="5" t="str">
        <f>IF(  Q71&gt;$E$2, SUMIFS(IF($G$2="CPR",'Grid Data'!$V$4:$V$2342,'Grid Data'!$W$4:$W$2342),'Grid Data'!$N$4:$N$2342,$D40,'Grid Data'!$O$4:$O$2342,Q$4,'Grid Data'!$M$4:$M$2342,$D$2)*100-Q8, "--")</f>
        <v>--</v>
      </c>
      <c r="R40" s="5" t="str">
        <f>IF(  R71&gt;$E$2, SUMIFS(IF($G$2="CPR",'Grid Data'!$V$4:$V$2342,'Grid Data'!$W$4:$W$2342),'Grid Data'!$N$4:$N$2342,$D40,'Grid Data'!$O$4:$O$2342,R$4,'Grid Data'!$M$4:$M$2342,$D$2)*100-R8, "--")</f>
        <v>--</v>
      </c>
      <c r="S40" s="5">
        <f>IF(  S71&gt;$E$2, SUMIFS(IF($G$2="CPR",'Grid Data'!$V$4:$V$2342,'Grid Data'!$W$4:$W$2342),'Grid Data'!$N$4:$N$2342,$D40,'Grid Data'!$O$4:$O$2342,S$4,'Grid Data'!$M$4:$M$2342,$D$2)*100-S8, "--")</f>
        <v>-30.134399999999999</v>
      </c>
      <c r="T40" s="5">
        <f>IF(  T71&gt;$E$2, SUMIFS(IF($G$2="CPR",'Grid Data'!$V$4:$V$2342,'Grid Data'!$W$4:$W$2342),'Grid Data'!$N$4:$N$2342,$D40,'Grid Data'!$O$4:$O$2342,T$4,'Grid Data'!$M$4:$M$2342,$D$2)*100-T8, "--")</f>
        <v>-0.60630000000000006</v>
      </c>
      <c r="U40" s="5">
        <f>IF(  U71&gt;$E$2, SUMIFS(IF($G$2="CPR",'Grid Data'!$V$4:$V$2342,'Grid Data'!$W$4:$W$2342),'Grid Data'!$N$4:$N$2342,$D40,'Grid Data'!$O$4:$O$2342,U$4,'Grid Data'!$M$4:$M$2342,$D$2)*100-U8, "--")</f>
        <v>-0.98120000000000029</v>
      </c>
      <c r="V40" s="5">
        <f>IF(  V71&gt;$E$2, SUMIFS(IF($G$2="CPR",'Grid Data'!$V$4:$V$2342,'Grid Data'!$W$4:$W$2342),'Grid Data'!$N$4:$N$2342,$D40,'Grid Data'!$O$4:$O$2342,V$4,'Grid Data'!$M$4:$M$2342,$D$2)*100-V8, "--")</f>
        <v>-1.0569999999999995</v>
      </c>
      <c r="W40" s="5">
        <f>IF(  W71&gt;$E$2, SUMIFS(IF($G$2="CPR",'Grid Data'!$V$4:$V$2342,'Grid Data'!$W$4:$W$2342),'Grid Data'!$N$4:$N$2342,$D40,'Grid Data'!$O$4:$O$2342,W$4,'Grid Data'!$M$4:$M$2342,$D$2)*100-W8, "--")</f>
        <v>-1.3699000000000003</v>
      </c>
      <c r="X40" s="5">
        <f>IF(  X71&gt;$E$2, SUMIFS(IF($G$2="CPR",'Grid Data'!$V$4:$V$2342,'Grid Data'!$W$4:$W$2342),'Grid Data'!$N$4:$N$2342,$D40,'Grid Data'!$O$4:$O$2342,X$4,'Grid Data'!$M$4:$M$2342,$D$2)*100-X8, "--")</f>
        <v>3.3496000000000006</v>
      </c>
      <c r="Y40" s="5" t="str">
        <f>IF(  Y71&gt;$E$2, SUMIFS(IF($G$2="CPR",'Grid Data'!$V$4:$V$2342,'Grid Data'!$W$4:$W$2342),'Grid Data'!$N$4:$N$2342,$D40,'Grid Data'!$O$4:$O$2342,Y$4,'Grid Data'!$M$4:$M$2342,$D$2)*100-Y8, "--")</f>
        <v>--</v>
      </c>
      <c r="Z40" s="5" t="str">
        <f>IF(  Z71&gt;$E$2, SUMIFS(IF($G$2="CPR",'Grid Data'!$V$4:$V$2342,'Grid Data'!$W$4:$W$2342),'Grid Data'!$N$4:$N$2342,$D40,'Grid Data'!$O$4:$O$2342,Z$4,'Grid Data'!$M$4:$M$2342,$D$2)*100-Z8, "--")</f>
        <v>--</v>
      </c>
      <c r="AA40" s="5">
        <f>IF(  AA71&gt;$E$2, SUMIFS(IF($G$2="CPR",'Grid Data'!$V$4:$V$2342,'Grid Data'!$W$4:$W$2342),'Grid Data'!$N$4:$N$2342,$D40,'Grid Data'!$O$4:$O$2342,AA$4,'Grid Data'!$M$4:$M$2342,$D$2)*100-AA8, "--")</f>
        <v>-4.9100000000000144E-2</v>
      </c>
      <c r="AB40" s="5">
        <f>IF(  AB71&gt;$E$2, SUMIFS(IF($G$2="CPR",'Grid Data'!$V$4:$V$2342,'Grid Data'!$W$4:$W$2342),'Grid Data'!$N$4:$N$2342,$D40,'Grid Data'!$O$4:$O$2342,AB$4,'Grid Data'!$M$4:$M$2342,$D$2)*100-AB8, "--")</f>
        <v>0.69439999999999991</v>
      </c>
      <c r="AC40" s="5">
        <f>IF(  AC71&gt;$E$2, SUMIFS(IF($G$2="CPR",'Grid Data'!$V$4:$V$2342,'Grid Data'!$W$4:$W$2342),'Grid Data'!$N$4:$N$2342,$D40,'Grid Data'!$O$4:$O$2342,AC$4,'Grid Data'!$M$4:$M$2342,$D$2)*100-AC8, "--")</f>
        <v>1.6877000000000004</v>
      </c>
      <c r="AD40" s="5" t="str">
        <f>IF(  AD71&gt;$E$2, SUMIFS(IF($G$2="CPR",'Grid Data'!$V$4:$V$2342,'Grid Data'!$W$4:$W$2342),'Grid Data'!$N$4:$N$2342,$D40,'Grid Data'!$O$4:$O$2342,AD$4,'Grid Data'!$M$4:$M$2342,$D$2)*100-AD8, "--")</f>
        <v>--</v>
      </c>
      <c r="AE40" s="5" t="str">
        <f>IF(  AE71&gt;$E$2, SUMIFS(IF($G$2="CPR",'Grid Data'!$V$4:$V$2342,'Grid Data'!$W$4:$W$2342),'Grid Data'!$N$4:$N$2342,$D40,'Grid Data'!$O$4:$O$2342,AE$4,'Grid Data'!$M$4:$M$2342,$D$2)*100-AE8, "--")</f>
        <v>--</v>
      </c>
      <c r="AF40" s="5" t="str">
        <f>IF(  AF71&gt;$E$2, SUMIFS(IF($G$2="CPR",'Grid Data'!$V$4:$V$2342,'Grid Data'!$W$4:$W$2342),'Grid Data'!$N$4:$N$2342,$D40,'Grid Data'!$O$4:$O$2342,AF$4,'Grid Data'!$M$4:$M$2342,$D$2)*100-AF8, "--")</f>
        <v>--</v>
      </c>
      <c r="AG40" s="5" t="str">
        <f>IF(  AG71&gt;$E$2, SUMIFS(IF($G$2="CPR",'Grid Data'!$V$4:$V$2342,'Grid Data'!$W$4:$W$2342),'Grid Data'!$N$4:$N$2342,$D40,'Grid Data'!$O$4:$O$2342,AG$4,'Grid Data'!$M$4:$M$2342,$D$2)*100-AG8, "--")</f>
        <v>--</v>
      </c>
      <c r="AH40" s="5" t="str">
        <f>IF(  AH71&gt;$E$2, SUMIFS(IF($G$2="CPR",'Grid Data'!$V$4:$V$2342,'Grid Data'!$W$4:$W$2342),'Grid Data'!$N$4:$N$2342,$D40,'Grid Data'!$O$4:$O$2342,AH$4,'Grid Data'!$M$4:$M$2342,$D$2)*100-AH8, "--")</f>
        <v>--</v>
      </c>
    </row>
    <row r="41" spans="4:34" x14ac:dyDescent="0.35">
      <c r="D41">
        <v>3000</v>
      </c>
      <c r="E41" s="5" t="str">
        <f>IF(  E72&gt;$E$2, SUMIFS(IF($G$2="CPR",'Grid Data'!$V$4:$V$2342,'Grid Data'!$W$4:$W$2342),'Grid Data'!$N$4:$N$2342,$D41,'Grid Data'!$O$4:$O$2342,E$4,'Grid Data'!$M$4:$M$2342,$D$2)*100-E9, "--")</f>
        <v>--</v>
      </c>
      <c r="F41" s="5" t="str">
        <f>IF(  F72&gt;$E$2, SUMIFS(IF($G$2="CPR",'Grid Data'!$V$4:$V$2342,'Grid Data'!$W$4:$W$2342),'Grid Data'!$N$4:$N$2342,$D41,'Grid Data'!$O$4:$O$2342,F$4,'Grid Data'!$M$4:$M$2342,$D$2)*100-F9, "--")</f>
        <v>--</v>
      </c>
      <c r="G41" s="5" t="str">
        <f>IF(  G72&gt;$E$2, SUMIFS(IF($G$2="CPR",'Grid Data'!$V$4:$V$2342,'Grid Data'!$W$4:$W$2342),'Grid Data'!$N$4:$N$2342,$D41,'Grid Data'!$O$4:$O$2342,G$4,'Grid Data'!$M$4:$M$2342,$D$2)*100-G9, "--")</f>
        <v>--</v>
      </c>
      <c r="H41" s="5" t="str">
        <f>IF(  H72&gt;$E$2, SUMIFS(IF($G$2="CPR",'Grid Data'!$V$4:$V$2342,'Grid Data'!$W$4:$W$2342),'Grid Data'!$N$4:$N$2342,$D41,'Grid Data'!$O$4:$O$2342,H$4,'Grid Data'!$M$4:$M$2342,$D$2)*100-H9, "--")</f>
        <v>--</v>
      </c>
      <c r="I41" s="5" t="str">
        <f>IF(  I72&gt;$E$2, SUMIFS(IF($G$2="CPR",'Grid Data'!$V$4:$V$2342,'Grid Data'!$W$4:$W$2342),'Grid Data'!$N$4:$N$2342,$D41,'Grid Data'!$O$4:$O$2342,I$4,'Grid Data'!$M$4:$M$2342,$D$2)*100-I9, "--")</f>
        <v>--</v>
      </c>
      <c r="J41" s="5" t="str">
        <f>IF(  J72&gt;$E$2, SUMIFS(IF($G$2="CPR",'Grid Data'!$V$4:$V$2342,'Grid Data'!$W$4:$W$2342),'Grid Data'!$N$4:$N$2342,$D41,'Grid Data'!$O$4:$O$2342,J$4,'Grid Data'!$M$4:$M$2342,$D$2)*100-J9, "--")</f>
        <v>--</v>
      </c>
      <c r="K41" s="5" t="str">
        <f>IF(  K72&gt;$E$2, SUMIFS(IF($G$2="CPR",'Grid Data'!$V$4:$V$2342,'Grid Data'!$W$4:$W$2342),'Grid Data'!$N$4:$N$2342,$D41,'Grid Data'!$O$4:$O$2342,K$4,'Grid Data'!$M$4:$M$2342,$D$2)*100-K9, "--")</f>
        <v>--</v>
      </c>
      <c r="L41" s="5" t="str">
        <f>IF(  L72&gt;$E$2, SUMIFS(IF($G$2="CPR",'Grid Data'!$V$4:$V$2342,'Grid Data'!$W$4:$W$2342),'Grid Data'!$N$4:$N$2342,$D41,'Grid Data'!$O$4:$O$2342,L$4,'Grid Data'!$M$4:$M$2342,$D$2)*100-L9, "--")</f>
        <v>--</v>
      </c>
      <c r="M41" s="5" t="str">
        <f>IF(  M72&gt;$E$2, SUMIFS(IF($G$2="CPR",'Grid Data'!$V$4:$V$2342,'Grid Data'!$W$4:$W$2342),'Grid Data'!$N$4:$N$2342,$D41,'Grid Data'!$O$4:$O$2342,M$4,'Grid Data'!$M$4:$M$2342,$D$2)*100-M9, "--")</f>
        <v>--</v>
      </c>
      <c r="N41" s="5" t="str">
        <f>IF(  N72&gt;$E$2, SUMIFS(IF($G$2="CPR",'Grid Data'!$V$4:$V$2342,'Grid Data'!$W$4:$W$2342),'Grid Data'!$N$4:$N$2342,$D41,'Grid Data'!$O$4:$O$2342,N$4,'Grid Data'!$M$4:$M$2342,$D$2)*100-N9, "--")</f>
        <v>--</v>
      </c>
      <c r="O41" s="5" t="str">
        <f>IF(  O72&gt;$E$2, SUMIFS(IF($G$2="CPR",'Grid Data'!$V$4:$V$2342,'Grid Data'!$W$4:$W$2342),'Grid Data'!$N$4:$N$2342,$D41,'Grid Data'!$O$4:$O$2342,O$4,'Grid Data'!$M$4:$M$2342,$D$2)*100-O9, "--")</f>
        <v>--</v>
      </c>
      <c r="P41" s="5" t="str">
        <f>IF(  P72&gt;$E$2, SUMIFS(IF($G$2="CPR",'Grid Data'!$V$4:$V$2342,'Grid Data'!$W$4:$W$2342),'Grid Data'!$N$4:$N$2342,$D41,'Grid Data'!$O$4:$O$2342,P$4,'Grid Data'!$M$4:$M$2342,$D$2)*100-P9, "--")</f>
        <v>--</v>
      </c>
      <c r="Q41" s="5" t="str">
        <f>IF(  Q72&gt;$E$2, SUMIFS(IF($G$2="CPR",'Grid Data'!$V$4:$V$2342,'Grid Data'!$W$4:$W$2342),'Grid Data'!$N$4:$N$2342,$D41,'Grid Data'!$O$4:$O$2342,Q$4,'Grid Data'!$M$4:$M$2342,$D$2)*100-Q9, "--")</f>
        <v>--</v>
      </c>
      <c r="R41" s="5" t="str">
        <f>IF(  R72&gt;$E$2, SUMIFS(IF($G$2="CPR",'Grid Data'!$V$4:$V$2342,'Grid Data'!$W$4:$W$2342),'Grid Data'!$N$4:$N$2342,$D41,'Grid Data'!$O$4:$O$2342,R$4,'Grid Data'!$M$4:$M$2342,$D$2)*100-R9, "--")</f>
        <v>--</v>
      </c>
      <c r="S41" s="5">
        <f>IF(  S72&gt;$E$2, SUMIFS(IF($G$2="CPR",'Grid Data'!$V$4:$V$2342,'Grid Data'!$W$4:$W$2342),'Grid Data'!$N$4:$N$2342,$D41,'Grid Data'!$O$4:$O$2342,S$4,'Grid Data'!$M$4:$M$2342,$D$2)*100-S9, "--")</f>
        <v>1.3114999999999997</v>
      </c>
      <c r="T41" s="5">
        <f>IF(  T72&gt;$E$2, SUMIFS(IF($G$2="CPR",'Grid Data'!$V$4:$V$2342,'Grid Data'!$W$4:$W$2342),'Grid Data'!$N$4:$N$2342,$D41,'Grid Data'!$O$4:$O$2342,T$4,'Grid Data'!$M$4:$M$2342,$D$2)*100-T9, "--")</f>
        <v>-0.35469999999999935</v>
      </c>
      <c r="U41" s="5">
        <f>IF(  U72&gt;$E$2, SUMIFS(IF($G$2="CPR",'Grid Data'!$V$4:$V$2342,'Grid Data'!$W$4:$W$2342),'Grid Data'!$N$4:$N$2342,$D41,'Grid Data'!$O$4:$O$2342,U$4,'Grid Data'!$M$4:$M$2342,$D$2)*100-U9, "--")</f>
        <v>-1.218700000000001</v>
      </c>
      <c r="V41" s="5">
        <f>IF(  V72&gt;$E$2, SUMIFS(IF($G$2="CPR",'Grid Data'!$V$4:$V$2342,'Grid Data'!$W$4:$W$2342),'Grid Data'!$N$4:$N$2342,$D41,'Grid Data'!$O$4:$O$2342,V$4,'Grid Data'!$M$4:$M$2342,$D$2)*100-V9, "--")</f>
        <v>-0.18760000000000066</v>
      </c>
      <c r="W41" s="5">
        <f>IF(  W72&gt;$E$2, SUMIFS(IF($G$2="CPR",'Grid Data'!$V$4:$V$2342,'Grid Data'!$W$4:$W$2342),'Grid Data'!$N$4:$N$2342,$D41,'Grid Data'!$O$4:$O$2342,W$4,'Grid Data'!$M$4:$M$2342,$D$2)*100-W9, "--")</f>
        <v>-0.68329999999999913</v>
      </c>
      <c r="X41" s="5">
        <f>IF(  X72&gt;$E$2, SUMIFS(IF($G$2="CPR",'Grid Data'!$V$4:$V$2342,'Grid Data'!$W$4:$W$2342),'Grid Data'!$N$4:$N$2342,$D41,'Grid Data'!$O$4:$O$2342,X$4,'Grid Data'!$M$4:$M$2342,$D$2)*100-X9, "--")</f>
        <v>-1.0663</v>
      </c>
      <c r="Y41" s="5" t="str">
        <f>IF(  Y72&gt;$E$2, SUMIFS(IF($G$2="CPR",'Grid Data'!$V$4:$V$2342,'Grid Data'!$W$4:$W$2342),'Grid Data'!$N$4:$N$2342,$D41,'Grid Data'!$O$4:$O$2342,Y$4,'Grid Data'!$M$4:$M$2342,$D$2)*100-Y9, "--")</f>
        <v>--</v>
      </c>
      <c r="Z41" s="5">
        <f>IF(  Z72&gt;$E$2, SUMIFS(IF($G$2="CPR",'Grid Data'!$V$4:$V$2342,'Grid Data'!$W$4:$W$2342),'Grid Data'!$N$4:$N$2342,$D41,'Grid Data'!$O$4:$O$2342,Z$4,'Grid Data'!$M$4:$M$2342,$D$2)*100-Z9, "--")</f>
        <v>-1.2399</v>
      </c>
      <c r="AA41" s="5">
        <f>IF(  AA72&gt;$E$2, SUMIFS(IF($G$2="CPR",'Grid Data'!$V$4:$V$2342,'Grid Data'!$W$4:$W$2342),'Grid Data'!$N$4:$N$2342,$D41,'Grid Data'!$O$4:$O$2342,AA$4,'Grid Data'!$M$4:$M$2342,$D$2)*100-AA9, "--")</f>
        <v>8.5599999999999454E-2</v>
      </c>
      <c r="AB41" s="5">
        <f>IF(  AB72&gt;$E$2, SUMIFS(IF($G$2="CPR",'Grid Data'!$V$4:$V$2342,'Grid Data'!$W$4:$W$2342),'Grid Data'!$N$4:$N$2342,$D41,'Grid Data'!$O$4:$O$2342,AB$4,'Grid Data'!$M$4:$M$2342,$D$2)*100-AB9, "--")</f>
        <v>5.0801000000000007</v>
      </c>
      <c r="AC41" s="5">
        <f>IF(  AC72&gt;$E$2, SUMIFS(IF($G$2="CPR",'Grid Data'!$V$4:$V$2342,'Grid Data'!$W$4:$W$2342),'Grid Data'!$N$4:$N$2342,$D41,'Grid Data'!$O$4:$O$2342,AC$4,'Grid Data'!$M$4:$M$2342,$D$2)*100-AC9, "--")</f>
        <v>5.1400000000000112E-2</v>
      </c>
      <c r="AD41" s="5" t="str">
        <f>IF(  AD72&gt;$E$2, SUMIFS(IF($G$2="CPR",'Grid Data'!$V$4:$V$2342,'Grid Data'!$W$4:$W$2342),'Grid Data'!$N$4:$N$2342,$D41,'Grid Data'!$O$4:$O$2342,AD$4,'Grid Data'!$M$4:$M$2342,$D$2)*100-AD9, "--")</f>
        <v>--</v>
      </c>
      <c r="AE41" s="5" t="str">
        <f>IF(  AE72&gt;$E$2, SUMIFS(IF($G$2="CPR",'Grid Data'!$V$4:$V$2342,'Grid Data'!$W$4:$W$2342),'Grid Data'!$N$4:$N$2342,$D41,'Grid Data'!$O$4:$O$2342,AE$4,'Grid Data'!$M$4:$M$2342,$D$2)*100-AE9, "--")</f>
        <v>--</v>
      </c>
      <c r="AF41" s="5" t="str">
        <f>IF(  AF72&gt;$E$2, SUMIFS(IF($G$2="CPR",'Grid Data'!$V$4:$V$2342,'Grid Data'!$W$4:$W$2342),'Grid Data'!$N$4:$N$2342,$D41,'Grid Data'!$O$4:$O$2342,AF$4,'Grid Data'!$M$4:$M$2342,$D$2)*100-AF9, "--")</f>
        <v>--</v>
      </c>
      <c r="AG41" s="5" t="str">
        <f>IF(  AG72&gt;$E$2, SUMIFS(IF($G$2="CPR",'Grid Data'!$V$4:$V$2342,'Grid Data'!$W$4:$W$2342),'Grid Data'!$N$4:$N$2342,$D41,'Grid Data'!$O$4:$O$2342,AG$4,'Grid Data'!$M$4:$M$2342,$D$2)*100-AG9, "--")</f>
        <v>--</v>
      </c>
      <c r="AH41" s="5" t="str">
        <f>IF(  AH72&gt;$E$2, SUMIFS(IF($G$2="CPR",'Grid Data'!$V$4:$V$2342,'Grid Data'!$W$4:$W$2342),'Grid Data'!$N$4:$N$2342,$D41,'Grid Data'!$O$4:$O$2342,AH$4,'Grid Data'!$M$4:$M$2342,$D$2)*100-AH9, "--")</f>
        <v>--</v>
      </c>
    </row>
    <row r="42" spans="4:34" x14ac:dyDescent="0.35">
      <c r="D42">
        <v>3250</v>
      </c>
      <c r="E42" s="5" t="str">
        <f>IF(  E73&gt;$E$2, SUMIFS(IF($G$2="CPR",'Grid Data'!$V$4:$V$2342,'Grid Data'!$W$4:$W$2342),'Grid Data'!$N$4:$N$2342,$D42,'Grid Data'!$O$4:$O$2342,E$4,'Grid Data'!$M$4:$M$2342,$D$2)*100-E10, "--")</f>
        <v>--</v>
      </c>
      <c r="F42" s="5" t="str">
        <f>IF(  F73&gt;$E$2, SUMIFS(IF($G$2="CPR",'Grid Data'!$V$4:$V$2342,'Grid Data'!$W$4:$W$2342),'Grid Data'!$N$4:$N$2342,$D42,'Grid Data'!$O$4:$O$2342,F$4,'Grid Data'!$M$4:$M$2342,$D$2)*100-F10, "--")</f>
        <v>--</v>
      </c>
      <c r="G42" s="5" t="str">
        <f>IF(  G73&gt;$E$2, SUMIFS(IF($G$2="CPR",'Grid Data'!$V$4:$V$2342,'Grid Data'!$W$4:$W$2342),'Grid Data'!$N$4:$N$2342,$D42,'Grid Data'!$O$4:$O$2342,G$4,'Grid Data'!$M$4:$M$2342,$D$2)*100-G10, "--")</f>
        <v>--</v>
      </c>
      <c r="H42" s="5" t="str">
        <f>IF(  H73&gt;$E$2, SUMIFS(IF($G$2="CPR",'Grid Data'!$V$4:$V$2342,'Grid Data'!$W$4:$W$2342),'Grid Data'!$N$4:$N$2342,$D42,'Grid Data'!$O$4:$O$2342,H$4,'Grid Data'!$M$4:$M$2342,$D$2)*100-H10, "--")</f>
        <v>--</v>
      </c>
      <c r="I42" s="5" t="str">
        <f>IF(  I73&gt;$E$2, SUMIFS(IF($G$2="CPR",'Grid Data'!$V$4:$V$2342,'Grid Data'!$W$4:$W$2342),'Grid Data'!$N$4:$N$2342,$D42,'Grid Data'!$O$4:$O$2342,I$4,'Grid Data'!$M$4:$M$2342,$D$2)*100-I10, "--")</f>
        <v>--</v>
      </c>
      <c r="J42" s="5" t="str">
        <f>IF(  J73&gt;$E$2, SUMIFS(IF($G$2="CPR",'Grid Data'!$V$4:$V$2342,'Grid Data'!$W$4:$W$2342),'Grid Data'!$N$4:$N$2342,$D42,'Grid Data'!$O$4:$O$2342,J$4,'Grid Data'!$M$4:$M$2342,$D$2)*100-J10, "--")</f>
        <v>--</v>
      </c>
      <c r="K42" s="5" t="str">
        <f>IF(  K73&gt;$E$2, SUMIFS(IF($G$2="CPR",'Grid Data'!$V$4:$V$2342,'Grid Data'!$W$4:$W$2342),'Grid Data'!$N$4:$N$2342,$D42,'Grid Data'!$O$4:$O$2342,K$4,'Grid Data'!$M$4:$M$2342,$D$2)*100-K10, "--")</f>
        <v>--</v>
      </c>
      <c r="L42" s="5" t="str">
        <f>IF(  L73&gt;$E$2, SUMIFS(IF($G$2="CPR",'Grid Data'!$V$4:$V$2342,'Grid Data'!$W$4:$W$2342),'Grid Data'!$N$4:$N$2342,$D42,'Grid Data'!$O$4:$O$2342,L$4,'Grid Data'!$M$4:$M$2342,$D$2)*100-L10, "--")</f>
        <v>--</v>
      </c>
      <c r="M42" s="5" t="str">
        <f>IF(  M73&gt;$E$2, SUMIFS(IF($G$2="CPR",'Grid Data'!$V$4:$V$2342,'Grid Data'!$W$4:$W$2342),'Grid Data'!$N$4:$N$2342,$D42,'Grid Data'!$O$4:$O$2342,M$4,'Grid Data'!$M$4:$M$2342,$D$2)*100-M10, "--")</f>
        <v>--</v>
      </c>
      <c r="N42" s="5" t="str">
        <f>IF(  N73&gt;$E$2, SUMIFS(IF($G$2="CPR",'Grid Data'!$V$4:$V$2342,'Grid Data'!$W$4:$W$2342),'Grid Data'!$N$4:$N$2342,$D42,'Grid Data'!$O$4:$O$2342,N$4,'Grid Data'!$M$4:$M$2342,$D$2)*100-N10, "--")</f>
        <v>--</v>
      </c>
      <c r="O42" s="5" t="str">
        <f>IF(  O73&gt;$E$2, SUMIFS(IF($G$2="CPR",'Grid Data'!$V$4:$V$2342,'Grid Data'!$W$4:$W$2342),'Grid Data'!$N$4:$N$2342,$D42,'Grid Data'!$O$4:$O$2342,O$4,'Grid Data'!$M$4:$M$2342,$D$2)*100-O10, "--")</f>
        <v>--</v>
      </c>
      <c r="P42" s="5" t="str">
        <f>IF(  P73&gt;$E$2, SUMIFS(IF($G$2="CPR",'Grid Data'!$V$4:$V$2342,'Grid Data'!$W$4:$W$2342),'Grid Data'!$N$4:$N$2342,$D42,'Grid Data'!$O$4:$O$2342,P$4,'Grid Data'!$M$4:$M$2342,$D$2)*100-P10, "--")</f>
        <v>--</v>
      </c>
      <c r="Q42" s="5" t="str">
        <f>IF(  Q73&gt;$E$2, SUMIFS(IF($G$2="CPR",'Grid Data'!$V$4:$V$2342,'Grid Data'!$W$4:$W$2342),'Grid Data'!$N$4:$N$2342,$D42,'Grid Data'!$O$4:$O$2342,Q$4,'Grid Data'!$M$4:$M$2342,$D$2)*100-Q10, "--")</f>
        <v>--</v>
      </c>
      <c r="R42" s="5">
        <f>IF(  R73&gt;$E$2, SUMIFS(IF($G$2="CPR",'Grid Data'!$V$4:$V$2342,'Grid Data'!$W$4:$W$2342),'Grid Data'!$N$4:$N$2342,$D42,'Grid Data'!$O$4:$O$2342,R$4,'Grid Data'!$M$4:$M$2342,$D$2)*100-R10, "--")</f>
        <v>0.76770000000000138</v>
      </c>
      <c r="S42" s="5">
        <f>IF(  S73&gt;$E$2, SUMIFS(IF($G$2="CPR",'Grid Data'!$V$4:$V$2342,'Grid Data'!$W$4:$W$2342),'Grid Data'!$N$4:$N$2342,$D42,'Grid Data'!$O$4:$O$2342,S$4,'Grid Data'!$M$4:$M$2342,$D$2)*100-S10, "--")</f>
        <v>-4.8787000000000003</v>
      </c>
      <c r="T42" s="5">
        <f>IF(  T73&gt;$E$2, SUMIFS(IF($G$2="CPR",'Grid Data'!$V$4:$V$2342,'Grid Data'!$W$4:$W$2342),'Grid Data'!$N$4:$N$2342,$D42,'Grid Data'!$O$4:$O$2342,T$4,'Grid Data'!$M$4:$M$2342,$D$2)*100-T10, "--")</f>
        <v>-2.5299999999999656E-2</v>
      </c>
      <c r="U42" s="5">
        <f>IF(  U73&gt;$E$2, SUMIFS(IF($G$2="CPR",'Grid Data'!$V$4:$V$2342,'Grid Data'!$W$4:$W$2342),'Grid Data'!$N$4:$N$2342,$D42,'Grid Data'!$O$4:$O$2342,U$4,'Grid Data'!$M$4:$M$2342,$D$2)*100-U10, "--")</f>
        <v>-1.2262999999999984</v>
      </c>
      <c r="V42" s="5">
        <f>IF(  V73&gt;$E$2, SUMIFS(IF($G$2="CPR",'Grid Data'!$V$4:$V$2342,'Grid Data'!$W$4:$W$2342),'Grid Data'!$N$4:$N$2342,$D42,'Grid Data'!$O$4:$O$2342,V$4,'Grid Data'!$M$4:$M$2342,$D$2)*100-V10, "--")</f>
        <v>6.7899999999999849E-2</v>
      </c>
      <c r="W42" s="5">
        <f>IF(  W73&gt;$E$2, SUMIFS(IF($G$2="CPR",'Grid Data'!$V$4:$V$2342,'Grid Data'!$W$4:$W$2342),'Grid Data'!$N$4:$N$2342,$D42,'Grid Data'!$O$4:$O$2342,W$4,'Grid Data'!$M$4:$M$2342,$D$2)*100-W10, "--")</f>
        <v>-1.8491</v>
      </c>
      <c r="X42" s="5">
        <f>IF(  X73&gt;$E$2, SUMIFS(IF($G$2="CPR",'Grid Data'!$V$4:$V$2342,'Grid Data'!$W$4:$W$2342),'Grid Data'!$N$4:$N$2342,$D42,'Grid Data'!$O$4:$O$2342,X$4,'Grid Data'!$M$4:$M$2342,$D$2)*100-X10, "--")</f>
        <v>-1.1694000000000013</v>
      </c>
      <c r="Y42" s="5">
        <f>IF(  Y73&gt;$E$2, SUMIFS(IF($G$2="CPR",'Grid Data'!$V$4:$V$2342,'Grid Data'!$W$4:$W$2342),'Grid Data'!$N$4:$N$2342,$D42,'Grid Data'!$O$4:$O$2342,Y$4,'Grid Data'!$M$4:$M$2342,$D$2)*100-Y10, "--")</f>
        <v>6.4301999999999992</v>
      </c>
      <c r="Z42" s="5">
        <f>IF(  Z73&gt;$E$2, SUMIFS(IF($G$2="CPR",'Grid Data'!$V$4:$V$2342,'Grid Data'!$W$4:$W$2342),'Grid Data'!$N$4:$N$2342,$D42,'Grid Data'!$O$4:$O$2342,Z$4,'Grid Data'!$M$4:$M$2342,$D$2)*100-Z10, "--")</f>
        <v>0.23210000000000086</v>
      </c>
      <c r="AA42" s="5">
        <f>IF(  AA73&gt;$E$2, SUMIFS(IF($G$2="CPR",'Grid Data'!$V$4:$V$2342,'Grid Data'!$W$4:$W$2342),'Grid Data'!$N$4:$N$2342,$D42,'Grid Data'!$O$4:$O$2342,AA$4,'Grid Data'!$M$4:$M$2342,$D$2)*100-AA10, "--")</f>
        <v>-2.5378000000000007</v>
      </c>
      <c r="AB42" s="5">
        <f>IF(  AB73&gt;$E$2, SUMIFS(IF($G$2="CPR",'Grid Data'!$V$4:$V$2342,'Grid Data'!$W$4:$W$2342),'Grid Data'!$N$4:$N$2342,$D42,'Grid Data'!$O$4:$O$2342,AB$4,'Grid Data'!$M$4:$M$2342,$D$2)*100-AB10, "--")</f>
        <v>-1.4137000000000004</v>
      </c>
      <c r="AC42" s="5">
        <f>IF(  AC73&gt;$E$2, SUMIFS(IF($G$2="CPR",'Grid Data'!$V$4:$V$2342,'Grid Data'!$W$4:$W$2342),'Grid Data'!$N$4:$N$2342,$D42,'Grid Data'!$O$4:$O$2342,AC$4,'Grid Data'!$M$4:$M$2342,$D$2)*100-AC10, "--")</f>
        <v>-2.9250999999999996</v>
      </c>
      <c r="AD42" s="5" t="str">
        <f>IF(  AD73&gt;$E$2, SUMIFS(IF($G$2="CPR",'Grid Data'!$V$4:$V$2342,'Grid Data'!$W$4:$W$2342),'Grid Data'!$N$4:$N$2342,$D42,'Grid Data'!$O$4:$O$2342,AD$4,'Grid Data'!$M$4:$M$2342,$D$2)*100-AD10, "--")</f>
        <v>--</v>
      </c>
      <c r="AE42" s="5" t="str">
        <f>IF(  AE73&gt;$E$2, SUMIFS(IF($G$2="CPR",'Grid Data'!$V$4:$V$2342,'Grid Data'!$W$4:$W$2342),'Grid Data'!$N$4:$N$2342,$D42,'Grid Data'!$O$4:$O$2342,AE$4,'Grid Data'!$M$4:$M$2342,$D$2)*100-AE10, "--")</f>
        <v>--</v>
      </c>
      <c r="AF42" s="5" t="str">
        <f>IF(  AF73&gt;$E$2, SUMIFS(IF($G$2="CPR",'Grid Data'!$V$4:$V$2342,'Grid Data'!$W$4:$W$2342),'Grid Data'!$N$4:$N$2342,$D42,'Grid Data'!$O$4:$O$2342,AF$4,'Grid Data'!$M$4:$M$2342,$D$2)*100-AF10, "--")</f>
        <v>--</v>
      </c>
      <c r="AG42" s="5" t="str">
        <f>IF(  AG73&gt;$E$2, SUMIFS(IF($G$2="CPR",'Grid Data'!$V$4:$V$2342,'Grid Data'!$W$4:$W$2342),'Grid Data'!$N$4:$N$2342,$D42,'Grid Data'!$O$4:$O$2342,AG$4,'Grid Data'!$M$4:$M$2342,$D$2)*100-AG10, "--")</f>
        <v>--</v>
      </c>
      <c r="AH42" s="5" t="str">
        <f>IF(  AH73&gt;$E$2, SUMIFS(IF($G$2="CPR",'Grid Data'!$V$4:$V$2342,'Grid Data'!$W$4:$W$2342),'Grid Data'!$N$4:$N$2342,$D42,'Grid Data'!$O$4:$O$2342,AH$4,'Grid Data'!$M$4:$M$2342,$D$2)*100-AH10, "--")</f>
        <v>--</v>
      </c>
    </row>
    <row r="43" spans="4:34" x14ac:dyDescent="0.35">
      <c r="D43">
        <v>3500</v>
      </c>
      <c r="E43" s="5">
        <f>IF(  E74&gt;$E$2, SUMIFS(IF($G$2="CPR",'Grid Data'!$V$4:$V$2342,'Grid Data'!$W$4:$W$2342),'Grid Data'!$N$4:$N$2342,$D43,'Grid Data'!$O$4:$O$2342,E$4,'Grid Data'!$M$4:$M$2342,$D$2)*100-E11, "--")</f>
        <v>1.5273999999999999</v>
      </c>
      <c r="F43" s="5" t="str">
        <f>IF(  F74&gt;$E$2, SUMIFS(IF($G$2="CPR",'Grid Data'!$V$4:$V$2342,'Grid Data'!$W$4:$W$2342),'Grid Data'!$N$4:$N$2342,$D43,'Grid Data'!$O$4:$O$2342,F$4,'Grid Data'!$M$4:$M$2342,$D$2)*100-F11, "--")</f>
        <v>--</v>
      </c>
      <c r="G43" s="5" t="str">
        <f>IF(  G74&gt;$E$2, SUMIFS(IF($G$2="CPR",'Grid Data'!$V$4:$V$2342,'Grid Data'!$W$4:$W$2342),'Grid Data'!$N$4:$N$2342,$D43,'Grid Data'!$O$4:$O$2342,G$4,'Grid Data'!$M$4:$M$2342,$D$2)*100-G11, "--")</f>
        <v>--</v>
      </c>
      <c r="H43" s="5" t="str">
        <f>IF(  H74&gt;$E$2, SUMIFS(IF($G$2="CPR",'Grid Data'!$V$4:$V$2342,'Grid Data'!$W$4:$W$2342),'Grid Data'!$N$4:$N$2342,$D43,'Grid Data'!$O$4:$O$2342,H$4,'Grid Data'!$M$4:$M$2342,$D$2)*100-H11, "--")</f>
        <v>--</v>
      </c>
      <c r="I43" s="5" t="str">
        <f>IF(  I74&gt;$E$2, SUMIFS(IF($G$2="CPR",'Grid Data'!$V$4:$V$2342,'Grid Data'!$W$4:$W$2342),'Grid Data'!$N$4:$N$2342,$D43,'Grid Data'!$O$4:$O$2342,I$4,'Grid Data'!$M$4:$M$2342,$D$2)*100-I11, "--")</f>
        <v>--</v>
      </c>
      <c r="J43" s="5" t="str">
        <f>IF(  J74&gt;$E$2, SUMIFS(IF($G$2="CPR",'Grid Data'!$V$4:$V$2342,'Grid Data'!$W$4:$W$2342),'Grid Data'!$N$4:$N$2342,$D43,'Grid Data'!$O$4:$O$2342,J$4,'Grid Data'!$M$4:$M$2342,$D$2)*100-J11, "--")</f>
        <v>--</v>
      </c>
      <c r="K43" s="5" t="str">
        <f>IF(  K74&gt;$E$2, SUMIFS(IF($G$2="CPR",'Grid Data'!$V$4:$V$2342,'Grid Data'!$W$4:$W$2342),'Grid Data'!$N$4:$N$2342,$D43,'Grid Data'!$O$4:$O$2342,K$4,'Grid Data'!$M$4:$M$2342,$D$2)*100-K11, "--")</f>
        <v>--</v>
      </c>
      <c r="L43" s="5" t="str">
        <f>IF(  L74&gt;$E$2, SUMIFS(IF($G$2="CPR",'Grid Data'!$V$4:$V$2342,'Grid Data'!$W$4:$W$2342),'Grid Data'!$N$4:$N$2342,$D43,'Grid Data'!$O$4:$O$2342,L$4,'Grid Data'!$M$4:$M$2342,$D$2)*100-L11, "--")</f>
        <v>--</v>
      </c>
      <c r="M43" s="5" t="str">
        <f>IF(  M74&gt;$E$2, SUMIFS(IF($G$2="CPR",'Grid Data'!$V$4:$V$2342,'Grid Data'!$W$4:$W$2342),'Grid Data'!$N$4:$N$2342,$D43,'Grid Data'!$O$4:$O$2342,M$4,'Grid Data'!$M$4:$M$2342,$D$2)*100-M11, "--")</f>
        <v>--</v>
      </c>
      <c r="N43" s="5" t="str">
        <f>IF(  N74&gt;$E$2, SUMIFS(IF($G$2="CPR",'Grid Data'!$V$4:$V$2342,'Grid Data'!$W$4:$W$2342),'Grid Data'!$N$4:$N$2342,$D43,'Grid Data'!$O$4:$O$2342,N$4,'Grid Data'!$M$4:$M$2342,$D$2)*100-N11, "--")</f>
        <v>--</v>
      </c>
      <c r="O43" s="5" t="str">
        <f>IF(  O74&gt;$E$2, SUMIFS(IF($G$2="CPR",'Grid Data'!$V$4:$V$2342,'Grid Data'!$W$4:$W$2342),'Grid Data'!$N$4:$N$2342,$D43,'Grid Data'!$O$4:$O$2342,O$4,'Grid Data'!$M$4:$M$2342,$D$2)*100-O11, "--")</f>
        <v>--</v>
      </c>
      <c r="P43" s="5" t="str">
        <f>IF(  P74&gt;$E$2, SUMIFS(IF($G$2="CPR",'Grid Data'!$V$4:$V$2342,'Grid Data'!$W$4:$W$2342),'Grid Data'!$N$4:$N$2342,$D43,'Grid Data'!$O$4:$O$2342,P$4,'Grid Data'!$M$4:$M$2342,$D$2)*100-P11, "--")</f>
        <v>--</v>
      </c>
      <c r="Q43" s="5" t="str">
        <f>IF(  Q74&gt;$E$2, SUMIFS(IF($G$2="CPR",'Grid Data'!$V$4:$V$2342,'Grid Data'!$W$4:$W$2342),'Grid Data'!$N$4:$N$2342,$D43,'Grid Data'!$O$4:$O$2342,Q$4,'Grid Data'!$M$4:$M$2342,$D$2)*100-Q11, "--")</f>
        <v>--</v>
      </c>
      <c r="R43" s="5" t="str">
        <f>IF(  R74&gt;$E$2, SUMIFS(IF($G$2="CPR",'Grid Data'!$V$4:$V$2342,'Grid Data'!$W$4:$W$2342),'Grid Data'!$N$4:$N$2342,$D43,'Grid Data'!$O$4:$O$2342,R$4,'Grid Data'!$M$4:$M$2342,$D$2)*100-R11, "--")</f>
        <v>--</v>
      </c>
      <c r="S43" s="5">
        <f>IF(  S74&gt;$E$2, SUMIFS(IF($G$2="CPR",'Grid Data'!$V$4:$V$2342,'Grid Data'!$W$4:$W$2342),'Grid Data'!$N$4:$N$2342,$D43,'Grid Data'!$O$4:$O$2342,S$4,'Grid Data'!$M$4:$M$2342,$D$2)*100-S11, "--")</f>
        <v>-2.8121</v>
      </c>
      <c r="T43" s="5">
        <f>IF(  T74&gt;$E$2, SUMIFS(IF($G$2="CPR",'Grid Data'!$V$4:$V$2342,'Grid Data'!$W$4:$W$2342),'Grid Data'!$N$4:$N$2342,$D43,'Grid Data'!$O$4:$O$2342,T$4,'Grid Data'!$M$4:$M$2342,$D$2)*100-T11, "--")</f>
        <v>-1.2717999999999989</v>
      </c>
      <c r="U43" s="5">
        <f>IF(  U74&gt;$E$2, SUMIFS(IF($G$2="CPR",'Grid Data'!$V$4:$V$2342,'Grid Data'!$W$4:$W$2342),'Grid Data'!$N$4:$N$2342,$D43,'Grid Data'!$O$4:$O$2342,U$4,'Grid Data'!$M$4:$M$2342,$D$2)*100-U11, "--")</f>
        <v>1.3199999999999434E-2</v>
      </c>
      <c r="V43" s="5">
        <f>IF(  V74&gt;$E$2, SUMIFS(IF($G$2="CPR",'Grid Data'!$V$4:$V$2342,'Grid Data'!$W$4:$W$2342),'Grid Data'!$N$4:$N$2342,$D43,'Grid Data'!$O$4:$O$2342,V$4,'Grid Data'!$M$4:$M$2342,$D$2)*100-V11, "--")</f>
        <v>-2.2911000000000001</v>
      </c>
      <c r="W43" s="5">
        <f>IF(  W74&gt;$E$2, SUMIFS(IF($G$2="CPR",'Grid Data'!$V$4:$V$2342,'Grid Data'!$W$4:$W$2342),'Grid Data'!$N$4:$N$2342,$D43,'Grid Data'!$O$4:$O$2342,W$4,'Grid Data'!$M$4:$M$2342,$D$2)*100-W11, "--")</f>
        <v>2.3999999999997357E-3</v>
      </c>
      <c r="X43" s="5">
        <f>IF(  X74&gt;$E$2, SUMIFS(IF($G$2="CPR",'Grid Data'!$V$4:$V$2342,'Grid Data'!$W$4:$W$2342),'Grid Data'!$N$4:$N$2342,$D43,'Grid Data'!$O$4:$O$2342,X$4,'Grid Data'!$M$4:$M$2342,$D$2)*100-X11, "--")</f>
        <v>-2.4300999999999995</v>
      </c>
      <c r="Y43" s="5">
        <f>IF(  Y74&gt;$E$2, SUMIFS(IF($G$2="CPR",'Grid Data'!$V$4:$V$2342,'Grid Data'!$W$4:$W$2342),'Grid Data'!$N$4:$N$2342,$D43,'Grid Data'!$O$4:$O$2342,Y$4,'Grid Data'!$M$4:$M$2342,$D$2)*100-Y11, "--")</f>
        <v>0.38680000000000092</v>
      </c>
      <c r="Z43" s="5">
        <f>IF(  Z74&gt;$E$2, SUMIFS(IF($G$2="CPR",'Grid Data'!$V$4:$V$2342,'Grid Data'!$W$4:$W$2342),'Grid Data'!$N$4:$N$2342,$D43,'Grid Data'!$O$4:$O$2342,Z$4,'Grid Data'!$M$4:$M$2342,$D$2)*100-Z11, "--")</f>
        <v>-1.9325000000000001</v>
      </c>
      <c r="AA43" s="5">
        <f>IF(  AA74&gt;$E$2, SUMIFS(IF($G$2="CPR",'Grid Data'!$V$4:$V$2342,'Grid Data'!$W$4:$W$2342),'Grid Data'!$N$4:$N$2342,$D43,'Grid Data'!$O$4:$O$2342,AA$4,'Grid Data'!$M$4:$M$2342,$D$2)*100-AA11, "--")</f>
        <v>-0.5063000000000013</v>
      </c>
      <c r="AB43" s="5">
        <f>IF(  AB74&gt;$E$2, SUMIFS(IF($G$2="CPR",'Grid Data'!$V$4:$V$2342,'Grid Data'!$W$4:$W$2342),'Grid Data'!$N$4:$N$2342,$D43,'Grid Data'!$O$4:$O$2342,AB$4,'Grid Data'!$M$4:$M$2342,$D$2)*100-AB11, "--")</f>
        <v>-1.4470000000000001</v>
      </c>
      <c r="AC43" s="5">
        <f>IF(  AC74&gt;$E$2, SUMIFS(IF($G$2="CPR",'Grid Data'!$V$4:$V$2342,'Grid Data'!$W$4:$W$2342),'Grid Data'!$N$4:$N$2342,$D43,'Grid Data'!$O$4:$O$2342,AC$4,'Grid Data'!$M$4:$M$2342,$D$2)*100-AC11, "--")</f>
        <v>-2.4150999999999998</v>
      </c>
      <c r="AD43" s="5" t="str">
        <f>IF(  AD74&gt;$E$2, SUMIFS(IF($G$2="CPR",'Grid Data'!$V$4:$V$2342,'Grid Data'!$W$4:$W$2342),'Grid Data'!$N$4:$N$2342,$D43,'Grid Data'!$O$4:$O$2342,AD$4,'Grid Data'!$M$4:$M$2342,$D$2)*100-AD11, "--")</f>
        <v>--</v>
      </c>
      <c r="AE43" s="5" t="str">
        <f>IF(  AE74&gt;$E$2, SUMIFS(IF($G$2="CPR",'Grid Data'!$V$4:$V$2342,'Grid Data'!$W$4:$W$2342),'Grid Data'!$N$4:$N$2342,$D43,'Grid Data'!$O$4:$O$2342,AE$4,'Grid Data'!$M$4:$M$2342,$D$2)*100-AE11, "--")</f>
        <v>--</v>
      </c>
      <c r="AF43" s="5" t="str">
        <f>IF(  AF74&gt;$E$2, SUMIFS(IF($G$2="CPR",'Grid Data'!$V$4:$V$2342,'Grid Data'!$W$4:$W$2342),'Grid Data'!$N$4:$N$2342,$D43,'Grid Data'!$O$4:$O$2342,AF$4,'Grid Data'!$M$4:$M$2342,$D$2)*100-AF11, "--")</f>
        <v>--</v>
      </c>
      <c r="AG43" s="5" t="str">
        <f>IF(  AG74&gt;$E$2, SUMIFS(IF($G$2="CPR",'Grid Data'!$V$4:$V$2342,'Grid Data'!$W$4:$W$2342),'Grid Data'!$N$4:$N$2342,$D43,'Grid Data'!$O$4:$O$2342,AG$4,'Grid Data'!$M$4:$M$2342,$D$2)*100-AG11, "--")</f>
        <v>--</v>
      </c>
      <c r="AH43" s="5" t="str">
        <f>IF(  AH74&gt;$E$2, SUMIFS(IF($G$2="CPR",'Grid Data'!$V$4:$V$2342,'Grid Data'!$W$4:$W$2342),'Grid Data'!$N$4:$N$2342,$D43,'Grid Data'!$O$4:$O$2342,AH$4,'Grid Data'!$M$4:$M$2342,$D$2)*100-AH11, "--")</f>
        <v>--</v>
      </c>
    </row>
    <row r="44" spans="4:34" x14ac:dyDescent="0.35">
      <c r="D44">
        <v>3750</v>
      </c>
      <c r="E44" s="5">
        <f>IF(  E75&gt;$E$2, SUMIFS(IF($G$2="CPR",'Grid Data'!$V$4:$V$2342,'Grid Data'!$W$4:$W$2342),'Grid Data'!$N$4:$N$2342,$D44,'Grid Data'!$O$4:$O$2342,E$4,'Grid Data'!$M$4:$M$2342,$D$2)*100-E12, "--")</f>
        <v>0.70889999999999997</v>
      </c>
      <c r="F44" s="5" t="str">
        <f>IF(  F75&gt;$E$2, SUMIFS(IF($G$2="CPR",'Grid Data'!$V$4:$V$2342,'Grid Data'!$W$4:$W$2342),'Grid Data'!$N$4:$N$2342,$D44,'Grid Data'!$O$4:$O$2342,F$4,'Grid Data'!$M$4:$M$2342,$D$2)*100-F12, "--")</f>
        <v>--</v>
      </c>
      <c r="G44" s="5" t="str">
        <f>IF(  G75&gt;$E$2, SUMIFS(IF($G$2="CPR",'Grid Data'!$V$4:$V$2342,'Grid Data'!$W$4:$W$2342),'Grid Data'!$N$4:$N$2342,$D44,'Grid Data'!$O$4:$O$2342,G$4,'Grid Data'!$M$4:$M$2342,$D$2)*100-G12, "--")</f>
        <v>--</v>
      </c>
      <c r="H44" s="5" t="str">
        <f>IF(  H75&gt;$E$2, SUMIFS(IF($G$2="CPR",'Grid Data'!$V$4:$V$2342,'Grid Data'!$W$4:$W$2342),'Grid Data'!$N$4:$N$2342,$D44,'Grid Data'!$O$4:$O$2342,H$4,'Grid Data'!$M$4:$M$2342,$D$2)*100-H12, "--")</f>
        <v>--</v>
      </c>
      <c r="I44" s="5" t="str">
        <f>IF(  I75&gt;$E$2, SUMIFS(IF($G$2="CPR",'Grid Data'!$V$4:$V$2342,'Grid Data'!$W$4:$W$2342),'Grid Data'!$N$4:$N$2342,$D44,'Grid Data'!$O$4:$O$2342,I$4,'Grid Data'!$M$4:$M$2342,$D$2)*100-I12, "--")</f>
        <v>--</v>
      </c>
      <c r="J44" s="5" t="str">
        <f>IF(  J75&gt;$E$2, SUMIFS(IF($G$2="CPR",'Grid Data'!$V$4:$V$2342,'Grid Data'!$W$4:$W$2342),'Grid Data'!$N$4:$N$2342,$D44,'Grid Data'!$O$4:$O$2342,J$4,'Grid Data'!$M$4:$M$2342,$D$2)*100-J12, "--")</f>
        <v>--</v>
      </c>
      <c r="K44" s="5" t="str">
        <f>IF(  K75&gt;$E$2, SUMIFS(IF($G$2="CPR",'Grid Data'!$V$4:$V$2342,'Grid Data'!$W$4:$W$2342),'Grid Data'!$N$4:$N$2342,$D44,'Grid Data'!$O$4:$O$2342,K$4,'Grid Data'!$M$4:$M$2342,$D$2)*100-K12, "--")</f>
        <v>--</v>
      </c>
      <c r="L44" s="5" t="str">
        <f>IF(  L75&gt;$E$2, SUMIFS(IF($G$2="CPR",'Grid Data'!$V$4:$V$2342,'Grid Data'!$W$4:$W$2342),'Grid Data'!$N$4:$N$2342,$D44,'Grid Data'!$O$4:$O$2342,L$4,'Grid Data'!$M$4:$M$2342,$D$2)*100-L12, "--")</f>
        <v>--</v>
      </c>
      <c r="M44" s="5">
        <f>IF(  M75&gt;$E$2, SUMIFS(IF($G$2="CPR",'Grid Data'!$V$4:$V$2342,'Grid Data'!$W$4:$W$2342),'Grid Data'!$N$4:$N$2342,$D44,'Grid Data'!$O$4:$O$2342,M$4,'Grid Data'!$M$4:$M$2342,$D$2)*100-M12, "--")</f>
        <v>-3.4833000000000003</v>
      </c>
      <c r="N44" s="5" t="str">
        <f>IF(  N75&gt;$E$2, SUMIFS(IF($G$2="CPR",'Grid Data'!$V$4:$V$2342,'Grid Data'!$W$4:$W$2342),'Grid Data'!$N$4:$N$2342,$D44,'Grid Data'!$O$4:$O$2342,N$4,'Grid Data'!$M$4:$M$2342,$D$2)*100-N12, "--")</f>
        <v>--</v>
      </c>
      <c r="O44" s="5" t="str">
        <f>IF(  O75&gt;$E$2, SUMIFS(IF($G$2="CPR",'Grid Data'!$V$4:$V$2342,'Grid Data'!$W$4:$W$2342),'Grid Data'!$N$4:$N$2342,$D44,'Grid Data'!$O$4:$O$2342,O$4,'Grid Data'!$M$4:$M$2342,$D$2)*100-O12, "--")</f>
        <v>--</v>
      </c>
      <c r="P44" s="5" t="str">
        <f>IF(  P75&gt;$E$2, SUMIFS(IF($G$2="CPR",'Grid Data'!$V$4:$V$2342,'Grid Data'!$W$4:$W$2342),'Grid Data'!$N$4:$N$2342,$D44,'Grid Data'!$O$4:$O$2342,P$4,'Grid Data'!$M$4:$M$2342,$D$2)*100-P12, "--")</f>
        <v>--</v>
      </c>
      <c r="Q44" s="5" t="str">
        <f>IF(  Q75&gt;$E$2, SUMIFS(IF($G$2="CPR",'Grid Data'!$V$4:$V$2342,'Grid Data'!$W$4:$W$2342),'Grid Data'!$N$4:$N$2342,$D44,'Grid Data'!$O$4:$O$2342,Q$4,'Grid Data'!$M$4:$M$2342,$D$2)*100-Q12, "--")</f>
        <v>--</v>
      </c>
      <c r="R44" s="5">
        <f>IF(  R75&gt;$E$2, SUMIFS(IF($G$2="CPR",'Grid Data'!$V$4:$V$2342,'Grid Data'!$W$4:$W$2342),'Grid Data'!$N$4:$N$2342,$D44,'Grid Data'!$O$4:$O$2342,R$4,'Grid Data'!$M$4:$M$2342,$D$2)*100-R12, "--")</f>
        <v>-0.24789999999999998</v>
      </c>
      <c r="S44" s="5">
        <f>IF(  S75&gt;$E$2, SUMIFS(IF($G$2="CPR",'Grid Data'!$V$4:$V$2342,'Grid Data'!$W$4:$W$2342),'Grid Data'!$N$4:$N$2342,$D44,'Grid Data'!$O$4:$O$2342,S$4,'Grid Data'!$M$4:$M$2342,$D$2)*100-S12, "--")</f>
        <v>0.21130000000000049</v>
      </c>
      <c r="T44" s="5">
        <f>IF(  T75&gt;$E$2, SUMIFS(IF($G$2="CPR",'Grid Data'!$V$4:$V$2342,'Grid Data'!$W$4:$W$2342),'Grid Data'!$N$4:$N$2342,$D44,'Grid Data'!$O$4:$O$2342,T$4,'Grid Data'!$M$4:$M$2342,$D$2)*100-T12, "--")</f>
        <v>-0.49170000000000158</v>
      </c>
      <c r="U44" s="5">
        <f>IF(  U75&gt;$E$2, SUMIFS(IF($G$2="CPR",'Grid Data'!$V$4:$V$2342,'Grid Data'!$W$4:$W$2342),'Grid Data'!$N$4:$N$2342,$D44,'Grid Data'!$O$4:$O$2342,U$4,'Grid Data'!$M$4:$M$2342,$D$2)*100-U12, "--")</f>
        <v>-0.664299999999999</v>
      </c>
      <c r="V44" s="5">
        <f>IF(  V75&gt;$E$2, SUMIFS(IF($G$2="CPR",'Grid Data'!$V$4:$V$2342,'Grid Data'!$W$4:$W$2342),'Grid Data'!$N$4:$N$2342,$D44,'Grid Data'!$O$4:$O$2342,V$4,'Grid Data'!$M$4:$M$2342,$D$2)*100-V12, "--")</f>
        <v>-0.62870000000000026</v>
      </c>
      <c r="W44" s="5">
        <f>IF(  W75&gt;$E$2, SUMIFS(IF($G$2="CPR",'Grid Data'!$V$4:$V$2342,'Grid Data'!$W$4:$W$2342),'Grid Data'!$N$4:$N$2342,$D44,'Grid Data'!$O$4:$O$2342,W$4,'Grid Data'!$M$4:$M$2342,$D$2)*100-W12, "--")</f>
        <v>0.21819999999999951</v>
      </c>
      <c r="X44" s="5">
        <f>IF(  X75&gt;$E$2, SUMIFS(IF($G$2="CPR",'Grid Data'!$V$4:$V$2342,'Grid Data'!$W$4:$W$2342),'Grid Data'!$N$4:$N$2342,$D44,'Grid Data'!$O$4:$O$2342,X$4,'Grid Data'!$M$4:$M$2342,$D$2)*100-X12, "--")</f>
        <v>-2.9749999999999988</v>
      </c>
      <c r="Y44" s="5">
        <f>IF(  Y75&gt;$E$2, SUMIFS(IF($G$2="CPR",'Grid Data'!$V$4:$V$2342,'Grid Data'!$W$4:$W$2342),'Grid Data'!$N$4:$N$2342,$D44,'Grid Data'!$O$4:$O$2342,Y$4,'Grid Data'!$M$4:$M$2342,$D$2)*100-Y12, "--")</f>
        <v>0.20380000000000198</v>
      </c>
      <c r="Z44" s="5">
        <f>IF(  Z75&gt;$E$2, SUMIFS(IF($G$2="CPR",'Grid Data'!$V$4:$V$2342,'Grid Data'!$W$4:$W$2342),'Grid Data'!$N$4:$N$2342,$D44,'Grid Data'!$O$4:$O$2342,Z$4,'Grid Data'!$M$4:$M$2342,$D$2)*100-Z12, "--")</f>
        <v>-3.3216000000000001</v>
      </c>
      <c r="AA44" s="5">
        <f>IF(  AA75&gt;$E$2, SUMIFS(IF($G$2="CPR",'Grid Data'!$V$4:$V$2342,'Grid Data'!$W$4:$W$2342),'Grid Data'!$N$4:$N$2342,$D44,'Grid Data'!$O$4:$O$2342,AA$4,'Grid Data'!$M$4:$M$2342,$D$2)*100-AA12, "--")</f>
        <v>-0.2984</v>
      </c>
      <c r="AB44" s="5">
        <f>IF(  AB75&gt;$E$2, SUMIFS(IF($G$2="CPR",'Grid Data'!$V$4:$V$2342,'Grid Data'!$W$4:$W$2342),'Grid Data'!$N$4:$N$2342,$D44,'Grid Data'!$O$4:$O$2342,AB$4,'Grid Data'!$M$4:$M$2342,$D$2)*100-AB12, "--")</f>
        <v>-1.7408999999999999</v>
      </c>
      <c r="AC44" s="5">
        <f>IF(  AC75&gt;$E$2, SUMIFS(IF($G$2="CPR",'Grid Data'!$V$4:$V$2342,'Grid Data'!$W$4:$W$2342),'Grid Data'!$N$4:$N$2342,$D44,'Grid Data'!$O$4:$O$2342,AC$4,'Grid Data'!$M$4:$M$2342,$D$2)*100-AC12, "--")</f>
        <v>-4.0513999999999992</v>
      </c>
      <c r="AD44" s="5">
        <f>IF(  AD75&gt;$E$2, SUMIFS(IF($G$2="CPR",'Grid Data'!$V$4:$V$2342,'Grid Data'!$W$4:$W$2342),'Grid Data'!$N$4:$N$2342,$D44,'Grid Data'!$O$4:$O$2342,AD$4,'Grid Data'!$M$4:$M$2342,$D$2)*100-AD12, "--")</f>
        <v>0.12880000000000003</v>
      </c>
      <c r="AE44" s="5" t="str">
        <f>IF(  AE75&gt;$E$2, SUMIFS(IF($G$2="CPR",'Grid Data'!$V$4:$V$2342,'Grid Data'!$W$4:$W$2342),'Grid Data'!$N$4:$N$2342,$D44,'Grid Data'!$O$4:$O$2342,AE$4,'Grid Data'!$M$4:$M$2342,$D$2)*100-AE12, "--")</f>
        <v>--</v>
      </c>
      <c r="AF44" s="5" t="str">
        <f>IF(  AF75&gt;$E$2, SUMIFS(IF($G$2="CPR",'Grid Data'!$V$4:$V$2342,'Grid Data'!$W$4:$W$2342),'Grid Data'!$N$4:$N$2342,$D44,'Grid Data'!$O$4:$O$2342,AF$4,'Grid Data'!$M$4:$M$2342,$D$2)*100-AF12, "--")</f>
        <v>--</v>
      </c>
      <c r="AG44" s="5" t="str">
        <f>IF(  AG75&gt;$E$2, SUMIFS(IF($G$2="CPR",'Grid Data'!$V$4:$V$2342,'Grid Data'!$W$4:$W$2342),'Grid Data'!$N$4:$N$2342,$D44,'Grid Data'!$O$4:$O$2342,AG$4,'Grid Data'!$M$4:$M$2342,$D$2)*100-AG12, "--")</f>
        <v>--</v>
      </c>
      <c r="AH44" s="5" t="str">
        <f>IF(  AH75&gt;$E$2, SUMIFS(IF($G$2="CPR",'Grid Data'!$V$4:$V$2342,'Grid Data'!$W$4:$W$2342),'Grid Data'!$N$4:$N$2342,$D44,'Grid Data'!$O$4:$O$2342,AH$4,'Grid Data'!$M$4:$M$2342,$D$2)*100-AH12, "--")</f>
        <v>--</v>
      </c>
    </row>
    <row r="45" spans="4:34" x14ac:dyDescent="0.35">
      <c r="D45">
        <v>4000</v>
      </c>
      <c r="E45" s="5">
        <f>IF(  E76&gt;$E$2, SUMIFS(IF($G$2="CPR",'Grid Data'!$V$4:$V$2342,'Grid Data'!$W$4:$W$2342),'Grid Data'!$N$4:$N$2342,$D45,'Grid Data'!$O$4:$O$2342,E$4,'Grid Data'!$M$4:$M$2342,$D$2)*100-E13, "--")</f>
        <v>0.37220000000000009</v>
      </c>
      <c r="F45" s="5">
        <f>IF(  F76&gt;$E$2, SUMIFS(IF($G$2="CPR",'Grid Data'!$V$4:$V$2342,'Grid Data'!$W$4:$W$2342),'Grid Data'!$N$4:$N$2342,$D45,'Grid Data'!$O$4:$O$2342,F$4,'Grid Data'!$M$4:$M$2342,$D$2)*100-F13, "--")</f>
        <v>-2.8938999999999999</v>
      </c>
      <c r="G45" s="5">
        <f>IF(  G76&gt;$E$2, SUMIFS(IF($G$2="CPR",'Grid Data'!$V$4:$V$2342,'Grid Data'!$W$4:$W$2342),'Grid Data'!$N$4:$N$2342,$D45,'Grid Data'!$O$4:$O$2342,G$4,'Grid Data'!$M$4:$M$2342,$D$2)*100-G13, "--")</f>
        <v>1.4836</v>
      </c>
      <c r="H45" s="5">
        <f>IF(  H76&gt;$E$2, SUMIFS(IF($G$2="CPR",'Grid Data'!$V$4:$V$2342,'Grid Data'!$W$4:$W$2342),'Grid Data'!$N$4:$N$2342,$D45,'Grid Data'!$O$4:$O$2342,H$4,'Grid Data'!$M$4:$M$2342,$D$2)*100-H13, "--")</f>
        <v>-3.0520999999999998</v>
      </c>
      <c r="I45" s="5">
        <f>IF(  I76&gt;$E$2, SUMIFS(IF($G$2="CPR",'Grid Data'!$V$4:$V$2342,'Grid Data'!$W$4:$W$2342),'Grid Data'!$N$4:$N$2342,$D45,'Grid Data'!$O$4:$O$2342,I$4,'Grid Data'!$M$4:$M$2342,$D$2)*100-I13, "--")</f>
        <v>11.2765</v>
      </c>
      <c r="J45" s="5">
        <f>IF(  J76&gt;$E$2, SUMIFS(IF($G$2="CPR",'Grid Data'!$V$4:$V$2342,'Grid Data'!$W$4:$W$2342),'Grid Data'!$N$4:$N$2342,$D45,'Grid Data'!$O$4:$O$2342,J$4,'Grid Data'!$M$4:$M$2342,$D$2)*100-J13, "--")</f>
        <v>-1.7100000000000001E-2</v>
      </c>
      <c r="K45" s="5">
        <f>IF(  K76&gt;$E$2, SUMIFS(IF($G$2="CPR",'Grid Data'!$V$4:$V$2342,'Grid Data'!$W$4:$W$2342),'Grid Data'!$N$4:$N$2342,$D45,'Grid Data'!$O$4:$O$2342,K$4,'Grid Data'!$M$4:$M$2342,$D$2)*100-K13, "--")</f>
        <v>-3.6580000000000004</v>
      </c>
      <c r="L45" s="5">
        <f>IF(  L76&gt;$E$2, SUMIFS(IF($G$2="CPR",'Grid Data'!$V$4:$V$2342,'Grid Data'!$W$4:$W$2342),'Grid Data'!$N$4:$N$2342,$D45,'Grid Data'!$O$4:$O$2342,L$4,'Grid Data'!$M$4:$M$2342,$D$2)*100-L13, "--")</f>
        <v>-1.2791000000000001</v>
      </c>
      <c r="M45" s="5">
        <f>IF(  M76&gt;$E$2, SUMIFS(IF($G$2="CPR",'Grid Data'!$V$4:$V$2342,'Grid Data'!$W$4:$W$2342),'Grid Data'!$N$4:$N$2342,$D45,'Grid Data'!$O$4:$O$2342,M$4,'Grid Data'!$M$4:$M$2342,$D$2)*100-M13, "--")</f>
        <v>-2.5116000000000001</v>
      </c>
      <c r="N45" s="5">
        <f>IF(  N76&gt;$E$2, SUMIFS(IF($G$2="CPR",'Grid Data'!$V$4:$V$2342,'Grid Data'!$W$4:$W$2342),'Grid Data'!$N$4:$N$2342,$D45,'Grid Data'!$O$4:$O$2342,N$4,'Grid Data'!$M$4:$M$2342,$D$2)*100-N13, "--")</f>
        <v>11.945399999999999</v>
      </c>
      <c r="O45" s="5" t="str">
        <f>IF(  O76&gt;$E$2, SUMIFS(IF($G$2="CPR",'Grid Data'!$V$4:$V$2342,'Grid Data'!$W$4:$W$2342),'Grid Data'!$N$4:$N$2342,$D45,'Grid Data'!$O$4:$O$2342,O$4,'Grid Data'!$M$4:$M$2342,$D$2)*100-O13, "--")</f>
        <v>--</v>
      </c>
      <c r="P45" s="5" t="str">
        <f>IF(  P76&gt;$E$2, SUMIFS(IF($G$2="CPR",'Grid Data'!$V$4:$V$2342,'Grid Data'!$W$4:$W$2342),'Grid Data'!$N$4:$N$2342,$D45,'Grid Data'!$O$4:$O$2342,P$4,'Grid Data'!$M$4:$M$2342,$D$2)*100-P13, "--")</f>
        <v>--</v>
      </c>
      <c r="Q45" s="5" t="str">
        <f>IF(  Q76&gt;$E$2, SUMIFS(IF($G$2="CPR",'Grid Data'!$V$4:$V$2342,'Grid Data'!$W$4:$W$2342),'Grid Data'!$N$4:$N$2342,$D45,'Grid Data'!$O$4:$O$2342,Q$4,'Grid Data'!$M$4:$M$2342,$D$2)*100-Q13, "--")</f>
        <v>--</v>
      </c>
      <c r="R45" s="5">
        <f>IF(  R76&gt;$E$2, SUMIFS(IF($G$2="CPR",'Grid Data'!$V$4:$V$2342,'Grid Data'!$W$4:$W$2342),'Grid Data'!$N$4:$N$2342,$D45,'Grid Data'!$O$4:$O$2342,R$4,'Grid Data'!$M$4:$M$2342,$D$2)*100-R13, "--")</f>
        <v>-13.764799999999999</v>
      </c>
      <c r="S45" s="5">
        <f>IF(  S76&gt;$E$2, SUMIFS(IF($G$2="CPR",'Grid Data'!$V$4:$V$2342,'Grid Data'!$W$4:$W$2342),'Grid Data'!$N$4:$N$2342,$D45,'Grid Data'!$O$4:$O$2342,S$4,'Grid Data'!$M$4:$M$2342,$D$2)*100-S13, "--")</f>
        <v>-0.78839999999999932</v>
      </c>
      <c r="T45" s="5">
        <f>IF(  T76&gt;$E$2, SUMIFS(IF($G$2="CPR",'Grid Data'!$V$4:$V$2342,'Grid Data'!$W$4:$W$2342),'Grid Data'!$N$4:$N$2342,$D45,'Grid Data'!$O$4:$O$2342,T$4,'Grid Data'!$M$4:$M$2342,$D$2)*100-T13, "--")</f>
        <v>-9.5800000000000551E-2</v>
      </c>
      <c r="U45" s="5">
        <f>IF(  U76&gt;$E$2, SUMIFS(IF($G$2="CPR",'Grid Data'!$V$4:$V$2342,'Grid Data'!$W$4:$W$2342),'Grid Data'!$N$4:$N$2342,$D45,'Grid Data'!$O$4:$O$2342,U$4,'Grid Data'!$M$4:$M$2342,$D$2)*100-U13, "--")</f>
        <v>-7.7143999999999995</v>
      </c>
      <c r="V45" s="5">
        <f>IF(  V76&gt;$E$2, SUMIFS(IF($G$2="CPR",'Grid Data'!$V$4:$V$2342,'Grid Data'!$W$4:$W$2342),'Grid Data'!$N$4:$N$2342,$D45,'Grid Data'!$O$4:$O$2342,V$4,'Grid Data'!$M$4:$M$2342,$D$2)*100-V13, "--")</f>
        <v>9.0535000000000032</v>
      </c>
      <c r="W45" s="5">
        <f>IF(  W76&gt;$E$2, SUMIFS(IF($G$2="CPR",'Grid Data'!$V$4:$V$2342,'Grid Data'!$W$4:$W$2342),'Grid Data'!$N$4:$N$2342,$D45,'Grid Data'!$O$4:$O$2342,W$4,'Grid Data'!$M$4:$M$2342,$D$2)*100-W13, "--")</f>
        <v>5.0507999999999988</v>
      </c>
      <c r="X45" s="5">
        <f>IF(  X76&gt;$E$2, SUMIFS(IF($G$2="CPR",'Grid Data'!$V$4:$V$2342,'Grid Data'!$W$4:$W$2342),'Grid Data'!$N$4:$N$2342,$D45,'Grid Data'!$O$4:$O$2342,X$4,'Grid Data'!$M$4:$M$2342,$D$2)*100-X13, "--")</f>
        <v>-2.8966000000000012</v>
      </c>
      <c r="Y45" s="5">
        <f>IF(  Y76&gt;$E$2, SUMIFS(IF($G$2="CPR",'Grid Data'!$V$4:$V$2342,'Grid Data'!$W$4:$W$2342),'Grid Data'!$N$4:$N$2342,$D45,'Grid Data'!$O$4:$O$2342,Y$4,'Grid Data'!$M$4:$M$2342,$D$2)*100-Y13, "--")</f>
        <v>0.91539999999999999</v>
      </c>
      <c r="Z45" s="5">
        <f>IF(  Z76&gt;$E$2, SUMIFS(IF($G$2="CPR",'Grid Data'!$V$4:$V$2342,'Grid Data'!$W$4:$W$2342),'Grid Data'!$N$4:$N$2342,$D45,'Grid Data'!$O$4:$O$2342,Z$4,'Grid Data'!$M$4:$M$2342,$D$2)*100-Z13, "--")</f>
        <v>-3.3906999999999998</v>
      </c>
      <c r="AA45" s="5">
        <f>IF(  AA76&gt;$E$2, SUMIFS(IF($G$2="CPR",'Grid Data'!$V$4:$V$2342,'Grid Data'!$W$4:$W$2342),'Grid Data'!$N$4:$N$2342,$D45,'Grid Data'!$O$4:$O$2342,AA$4,'Grid Data'!$M$4:$M$2342,$D$2)*100-AA13, "--")</f>
        <v>-1.1374999999999993</v>
      </c>
      <c r="AB45" s="5">
        <f>IF(  AB76&gt;$E$2, SUMIFS(IF($G$2="CPR",'Grid Data'!$V$4:$V$2342,'Grid Data'!$W$4:$W$2342),'Grid Data'!$N$4:$N$2342,$D45,'Grid Data'!$O$4:$O$2342,AB$4,'Grid Data'!$M$4:$M$2342,$D$2)*100-AB13, "--")</f>
        <v>-1.6860999999999997</v>
      </c>
      <c r="AC45" s="5">
        <f>IF(  AC76&gt;$E$2, SUMIFS(IF($G$2="CPR",'Grid Data'!$V$4:$V$2342,'Grid Data'!$W$4:$W$2342),'Grid Data'!$N$4:$N$2342,$D45,'Grid Data'!$O$4:$O$2342,AC$4,'Grid Data'!$M$4:$M$2342,$D$2)*100-AC13, "--")</f>
        <v>-3.2813000000000008</v>
      </c>
      <c r="AD45" s="5">
        <f>IF(  AD76&gt;$E$2, SUMIFS(IF($G$2="CPR",'Grid Data'!$V$4:$V$2342,'Grid Data'!$W$4:$W$2342),'Grid Data'!$N$4:$N$2342,$D45,'Grid Data'!$O$4:$O$2342,AD$4,'Grid Data'!$M$4:$M$2342,$D$2)*100-AD13, "--")</f>
        <v>-4.5392999999999999</v>
      </c>
      <c r="AE45" s="5" t="str">
        <f>IF(  AE76&gt;$E$2, SUMIFS(IF($G$2="CPR",'Grid Data'!$V$4:$V$2342,'Grid Data'!$W$4:$W$2342),'Grid Data'!$N$4:$N$2342,$D45,'Grid Data'!$O$4:$O$2342,AE$4,'Grid Data'!$M$4:$M$2342,$D$2)*100-AE13, "--")</f>
        <v>--</v>
      </c>
      <c r="AF45" s="5" t="str">
        <f>IF(  AF76&gt;$E$2, SUMIFS(IF($G$2="CPR",'Grid Data'!$V$4:$V$2342,'Grid Data'!$W$4:$W$2342),'Grid Data'!$N$4:$N$2342,$D45,'Grid Data'!$O$4:$O$2342,AF$4,'Grid Data'!$M$4:$M$2342,$D$2)*100-AF13, "--")</f>
        <v>--</v>
      </c>
      <c r="AG45" s="5" t="str">
        <f>IF(  AG76&gt;$E$2, SUMIFS(IF($G$2="CPR",'Grid Data'!$V$4:$V$2342,'Grid Data'!$W$4:$W$2342),'Grid Data'!$N$4:$N$2342,$D45,'Grid Data'!$O$4:$O$2342,AG$4,'Grid Data'!$M$4:$M$2342,$D$2)*100-AG13, "--")</f>
        <v>--</v>
      </c>
      <c r="AH45" s="5" t="str">
        <f>IF(  AH76&gt;$E$2, SUMIFS(IF($G$2="CPR",'Grid Data'!$V$4:$V$2342,'Grid Data'!$W$4:$W$2342),'Grid Data'!$N$4:$N$2342,$D45,'Grid Data'!$O$4:$O$2342,AH$4,'Grid Data'!$M$4:$M$2342,$D$2)*100-AH13, "--")</f>
        <v>--</v>
      </c>
    </row>
    <row r="46" spans="4:34" x14ac:dyDescent="0.35">
      <c r="D46">
        <v>4250</v>
      </c>
      <c r="E46" s="5">
        <f>IF(  E77&gt;$E$2, SUMIFS(IF($G$2="CPR",'Grid Data'!$V$4:$V$2342,'Grid Data'!$W$4:$W$2342),'Grid Data'!$N$4:$N$2342,$D46,'Grid Data'!$O$4:$O$2342,E$4,'Grid Data'!$M$4:$M$2342,$D$2)*100-E14, "--")</f>
        <v>0.33890000000000003</v>
      </c>
      <c r="F46" s="5">
        <f>IF(  F77&gt;$E$2, SUMIFS(IF($G$2="CPR",'Grid Data'!$V$4:$V$2342,'Grid Data'!$W$4:$W$2342),'Grid Data'!$N$4:$N$2342,$D46,'Grid Data'!$O$4:$O$2342,F$4,'Grid Data'!$M$4:$M$2342,$D$2)*100-F14, "--")</f>
        <v>-2.2765</v>
      </c>
      <c r="G46" s="5">
        <f>IF(  G77&gt;$E$2, SUMIFS(IF($G$2="CPR",'Grid Data'!$V$4:$V$2342,'Grid Data'!$W$4:$W$2342),'Grid Data'!$N$4:$N$2342,$D46,'Grid Data'!$O$4:$O$2342,G$4,'Grid Data'!$M$4:$M$2342,$D$2)*100-G14, "--")</f>
        <v>-0.16440000000000002</v>
      </c>
      <c r="H46" s="5">
        <f>IF(  H77&gt;$E$2, SUMIFS(IF($G$2="CPR",'Grid Data'!$V$4:$V$2342,'Grid Data'!$W$4:$W$2342),'Grid Data'!$N$4:$N$2342,$D46,'Grid Data'!$O$4:$O$2342,H$4,'Grid Data'!$M$4:$M$2342,$D$2)*100-H14, "--")</f>
        <v>1.9400000000000001E-2</v>
      </c>
      <c r="I46" s="5">
        <f>IF(  I77&gt;$E$2, SUMIFS(IF($G$2="CPR",'Grid Data'!$V$4:$V$2342,'Grid Data'!$W$4:$W$2342),'Grid Data'!$N$4:$N$2342,$D46,'Grid Data'!$O$4:$O$2342,I$4,'Grid Data'!$M$4:$M$2342,$D$2)*100-I14, "--")</f>
        <v>-5.8200000000000002E-2</v>
      </c>
      <c r="J46" s="5">
        <f>IF(  J77&gt;$E$2, SUMIFS(IF($G$2="CPR",'Grid Data'!$V$4:$V$2342,'Grid Data'!$W$4:$W$2342),'Grid Data'!$N$4:$N$2342,$D46,'Grid Data'!$O$4:$O$2342,J$4,'Grid Data'!$M$4:$M$2342,$D$2)*100-J14, "--")</f>
        <v>-0.1164</v>
      </c>
      <c r="K46" s="5">
        <f>IF(  K77&gt;$E$2, SUMIFS(IF($G$2="CPR",'Grid Data'!$V$4:$V$2342,'Grid Data'!$W$4:$W$2342),'Grid Data'!$N$4:$N$2342,$D46,'Grid Data'!$O$4:$O$2342,K$4,'Grid Data'!$M$4:$M$2342,$D$2)*100-K14, "--")</f>
        <v>1.1625000000000001</v>
      </c>
      <c r="L46" s="5">
        <f>IF(  L77&gt;$E$2, SUMIFS(IF($G$2="CPR",'Grid Data'!$V$4:$V$2342,'Grid Data'!$W$4:$W$2342),'Grid Data'!$N$4:$N$2342,$D46,'Grid Data'!$O$4:$O$2342,L$4,'Grid Data'!$M$4:$M$2342,$D$2)*100-L14, "--")</f>
        <v>5.5955000000000004</v>
      </c>
      <c r="M46" s="5">
        <f>IF(  M77&gt;$E$2, SUMIFS(IF($G$2="CPR",'Grid Data'!$V$4:$V$2342,'Grid Data'!$W$4:$W$2342),'Grid Data'!$N$4:$N$2342,$D46,'Grid Data'!$O$4:$O$2342,M$4,'Grid Data'!$M$4:$M$2342,$D$2)*100-M14, "--")</f>
        <v>5.6654999999999998</v>
      </c>
      <c r="N46" s="5">
        <f>IF(  N77&gt;$E$2, SUMIFS(IF($G$2="CPR",'Grid Data'!$V$4:$V$2342,'Grid Data'!$W$4:$W$2342),'Grid Data'!$N$4:$N$2342,$D46,'Grid Data'!$O$4:$O$2342,N$4,'Grid Data'!$M$4:$M$2342,$D$2)*100-N14, "--")</f>
        <v>7.206900000000001</v>
      </c>
      <c r="O46" s="5">
        <f>IF(  O77&gt;$E$2, SUMIFS(IF($G$2="CPR",'Grid Data'!$V$4:$V$2342,'Grid Data'!$W$4:$W$2342),'Grid Data'!$N$4:$N$2342,$D46,'Grid Data'!$O$4:$O$2342,O$4,'Grid Data'!$M$4:$M$2342,$D$2)*100-O14, "--")</f>
        <v>13.355399999999999</v>
      </c>
      <c r="P46" s="5">
        <f>IF(  P77&gt;$E$2, SUMIFS(IF($G$2="CPR",'Grid Data'!$V$4:$V$2342,'Grid Data'!$W$4:$W$2342),'Grid Data'!$N$4:$N$2342,$D46,'Grid Data'!$O$4:$O$2342,P$4,'Grid Data'!$M$4:$M$2342,$D$2)*100-P14, "--")</f>
        <v>9.2153999999999989</v>
      </c>
      <c r="Q46" s="5">
        <f>IF(  Q77&gt;$E$2, SUMIFS(IF($G$2="CPR",'Grid Data'!$V$4:$V$2342,'Grid Data'!$W$4:$W$2342),'Grid Data'!$N$4:$N$2342,$D46,'Grid Data'!$O$4:$O$2342,Q$4,'Grid Data'!$M$4:$M$2342,$D$2)*100-Q14, "--")</f>
        <v>-9.1867000000000001</v>
      </c>
      <c r="R46" s="5">
        <f>IF(  R77&gt;$E$2, SUMIFS(IF($G$2="CPR",'Grid Data'!$V$4:$V$2342,'Grid Data'!$W$4:$W$2342),'Grid Data'!$N$4:$N$2342,$D46,'Grid Data'!$O$4:$O$2342,R$4,'Grid Data'!$M$4:$M$2342,$D$2)*100-R14, "--")</f>
        <v>6.4810999999999996</v>
      </c>
      <c r="S46" s="5">
        <f>IF(  S77&gt;$E$2, SUMIFS(IF($G$2="CPR",'Grid Data'!$V$4:$V$2342,'Grid Data'!$W$4:$W$2342),'Grid Data'!$N$4:$N$2342,$D46,'Grid Data'!$O$4:$O$2342,S$4,'Grid Data'!$M$4:$M$2342,$D$2)*100-S14, "--")</f>
        <v>3.1143999999999998</v>
      </c>
      <c r="T46" s="5">
        <f>IF(  T77&gt;$E$2, SUMIFS(IF($G$2="CPR",'Grid Data'!$V$4:$V$2342,'Grid Data'!$W$4:$W$2342),'Grid Data'!$N$4:$N$2342,$D46,'Grid Data'!$O$4:$O$2342,T$4,'Grid Data'!$M$4:$M$2342,$D$2)*100-T14, "--")</f>
        <v>1.8780999999999999</v>
      </c>
      <c r="U46" s="5">
        <f>IF(  U77&gt;$E$2, SUMIFS(IF($G$2="CPR",'Grid Data'!$V$4:$V$2342,'Grid Data'!$W$4:$W$2342),'Grid Data'!$N$4:$N$2342,$D46,'Grid Data'!$O$4:$O$2342,U$4,'Grid Data'!$M$4:$M$2342,$D$2)*100-U14, "--")</f>
        <v>-5.690100000000001</v>
      </c>
      <c r="V46" s="5">
        <f>IF(  V77&gt;$E$2, SUMIFS(IF($G$2="CPR",'Grid Data'!$V$4:$V$2342,'Grid Data'!$W$4:$W$2342),'Grid Data'!$N$4:$N$2342,$D46,'Grid Data'!$O$4:$O$2342,V$4,'Grid Data'!$M$4:$M$2342,$D$2)*100-V14, "--")</f>
        <v>-7.5377999999999989</v>
      </c>
      <c r="W46" s="5">
        <f>IF(  W77&gt;$E$2, SUMIFS(IF($G$2="CPR",'Grid Data'!$V$4:$V$2342,'Grid Data'!$W$4:$W$2342),'Grid Data'!$N$4:$N$2342,$D46,'Grid Data'!$O$4:$O$2342,W$4,'Grid Data'!$M$4:$M$2342,$D$2)*100-W14, "--")</f>
        <v>1.0220000000000002</v>
      </c>
      <c r="X46" s="5">
        <f>IF(  X77&gt;$E$2, SUMIFS(IF($G$2="CPR",'Grid Data'!$V$4:$V$2342,'Grid Data'!$W$4:$W$2342),'Grid Data'!$N$4:$N$2342,$D46,'Grid Data'!$O$4:$O$2342,X$4,'Grid Data'!$M$4:$M$2342,$D$2)*100-X14, "--")</f>
        <v>1.1639999999999997</v>
      </c>
      <c r="Y46" s="5">
        <f>IF(  Y77&gt;$E$2, SUMIFS(IF($G$2="CPR",'Grid Data'!$V$4:$V$2342,'Grid Data'!$W$4:$W$2342),'Grid Data'!$N$4:$N$2342,$D46,'Grid Data'!$O$4:$O$2342,Y$4,'Grid Data'!$M$4:$M$2342,$D$2)*100-Y14, "--")</f>
        <v>-2.1554999999999991</v>
      </c>
      <c r="Z46" s="5">
        <f>IF(  Z77&gt;$E$2, SUMIFS(IF($G$2="CPR",'Grid Data'!$V$4:$V$2342,'Grid Data'!$W$4:$W$2342),'Grid Data'!$N$4:$N$2342,$D46,'Grid Data'!$O$4:$O$2342,Z$4,'Grid Data'!$M$4:$M$2342,$D$2)*100-Z14, "--")</f>
        <v>-0.38629999999999853</v>
      </c>
      <c r="AA46" s="5">
        <f>IF(  AA77&gt;$E$2, SUMIFS(IF($G$2="CPR",'Grid Data'!$V$4:$V$2342,'Grid Data'!$W$4:$W$2342),'Grid Data'!$N$4:$N$2342,$D46,'Grid Data'!$O$4:$O$2342,AA$4,'Grid Data'!$M$4:$M$2342,$D$2)*100-AA14, "--")</f>
        <v>-9.5695999999999994</v>
      </c>
      <c r="AB46" s="5">
        <f>IF(  AB77&gt;$E$2, SUMIFS(IF($G$2="CPR",'Grid Data'!$V$4:$V$2342,'Grid Data'!$W$4:$W$2342),'Grid Data'!$N$4:$N$2342,$D46,'Grid Data'!$O$4:$O$2342,AB$4,'Grid Data'!$M$4:$M$2342,$D$2)*100-AB14, "--")</f>
        <v>-1.4952999999999985</v>
      </c>
      <c r="AC46" s="5">
        <f>IF(  AC77&gt;$E$2, SUMIFS(IF($G$2="CPR",'Grid Data'!$V$4:$V$2342,'Grid Data'!$W$4:$W$2342),'Grid Data'!$N$4:$N$2342,$D46,'Grid Data'!$O$4:$O$2342,AC$4,'Grid Data'!$M$4:$M$2342,$D$2)*100-AC14, "--")</f>
        <v>-1.3926999999999996</v>
      </c>
      <c r="AD46" s="5">
        <f>IF(  AD77&gt;$E$2, SUMIFS(IF($G$2="CPR",'Grid Data'!$V$4:$V$2342,'Grid Data'!$W$4:$W$2342),'Grid Data'!$N$4:$N$2342,$D46,'Grid Data'!$O$4:$O$2342,AD$4,'Grid Data'!$M$4:$M$2342,$D$2)*100-AD14, "--")</f>
        <v>-3.3578000000000001</v>
      </c>
      <c r="AE46" s="5" t="str">
        <f>IF(  AE77&gt;$E$2, SUMIFS(IF($G$2="CPR",'Grid Data'!$V$4:$V$2342,'Grid Data'!$W$4:$W$2342),'Grid Data'!$N$4:$N$2342,$D46,'Grid Data'!$O$4:$O$2342,AE$4,'Grid Data'!$M$4:$M$2342,$D$2)*100-AE14, "--")</f>
        <v>--</v>
      </c>
      <c r="AF46" s="5" t="str">
        <f>IF(  AF77&gt;$E$2, SUMIFS(IF($G$2="CPR",'Grid Data'!$V$4:$V$2342,'Grid Data'!$W$4:$W$2342),'Grid Data'!$N$4:$N$2342,$D46,'Grid Data'!$O$4:$O$2342,AF$4,'Grid Data'!$M$4:$M$2342,$D$2)*100-AF14, "--")</f>
        <v>--</v>
      </c>
      <c r="AG46" s="5" t="str">
        <f>IF(  AG77&gt;$E$2, SUMIFS(IF($G$2="CPR",'Grid Data'!$V$4:$V$2342,'Grid Data'!$W$4:$W$2342),'Grid Data'!$N$4:$N$2342,$D46,'Grid Data'!$O$4:$O$2342,AG$4,'Grid Data'!$M$4:$M$2342,$D$2)*100-AG14, "--")</f>
        <v>--</v>
      </c>
      <c r="AH46" s="5" t="str">
        <f>IF(  AH77&gt;$E$2, SUMIFS(IF($G$2="CPR",'Grid Data'!$V$4:$V$2342,'Grid Data'!$W$4:$W$2342),'Grid Data'!$N$4:$N$2342,$D46,'Grid Data'!$O$4:$O$2342,AH$4,'Grid Data'!$M$4:$M$2342,$D$2)*100-AH14, "--")</f>
        <v>--</v>
      </c>
    </row>
    <row r="47" spans="4:34" x14ac:dyDescent="0.35">
      <c r="D47">
        <v>4500</v>
      </c>
      <c r="E47" s="5">
        <f>IF(  E78&gt;$E$2, SUMIFS(IF($G$2="CPR",'Grid Data'!$V$4:$V$2342,'Grid Data'!$W$4:$W$2342),'Grid Data'!$N$4:$N$2342,$D47,'Grid Data'!$O$4:$O$2342,E$4,'Grid Data'!$M$4:$M$2342,$D$2)*100-E15, "--")</f>
        <v>2.6879</v>
      </c>
      <c r="F47" s="5">
        <f>IF(  F78&gt;$E$2, SUMIFS(IF($G$2="CPR",'Grid Data'!$V$4:$V$2342,'Grid Data'!$W$4:$W$2342),'Grid Data'!$N$4:$N$2342,$D47,'Grid Data'!$O$4:$O$2342,F$4,'Grid Data'!$M$4:$M$2342,$D$2)*100-F15, "--")</f>
        <v>-3.5556999999999999</v>
      </c>
      <c r="G47" s="5">
        <f>IF(  G78&gt;$E$2, SUMIFS(IF($G$2="CPR",'Grid Data'!$V$4:$V$2342,'Grid Data'!$W$4:$W$2342),'Grid Data'!$N$4:$N$2342,$D47,'Grid Data'!$O$4:$O$2342,G$4,'Grid Data'!$M$4:$M$2342,$D$2)*100-G15, "--")</f>
        <v>-0.30509999999999998</v>
      </c>
      <c r="H47" s="5">
        <f>IF(  H78&gt;$E$2, SUMIFS(IF($G$2="CPR",'Grid Data'!$V$4:$V$2342,'Grid Data'!$W$4:$W$2342),'Grid Data'!$N$4:$N$2342,$D47,'Grid Data'!$O$4:$O$2342,H$4,'Grid Data'!$M$4:$M$2342,$D$2)*100-H15, "--")</f>
        <v>-2.3016999999999999</v>
      </c>
      <c r="I47" s="5">
        <f>IF(  I78&gt;$E$2, SUMIFS(IF($G$2="CPR",'Grid Data'!$V$4:$V$2342,'Grid Data'!$W$4:$W$2342),'Grid Data'!$N$4:$N$2342,$D47,'Grid Data'!$O$4:$O$2342,I$4,'Grid Data'!$M$4:$M$2342,$D$2)*100-I15, "--")</f>
        <v>-5.5400000000000005E-2</v>
      </c>
      <c r="J47" s="5">
        <f>IF(  J78&gt;$E$2, SUMIFS(IF($G$2="CPR",'Grid Data'!$V$4:$V$2342,'Grid Data'!$W$4:$W$2342),'Grid Data'!$N$4:$N$2342,$D47,'Grid Data'!$O$4:$O$2342,J$4,'Grid Data'!$M$4:$M$2342,$D$2)*100-J15, "--")</f>
        <v>-0.18810000000000002</v>
      </c>
      <c r="K47" s="5">
        <f>IF(  K78&gt;$E$2, SUMIFS(IF($G$2="CPR",'Grid Data'!$V$4:$V$2342,'Grid Data'!$W$4:$W$2342),'Grid Data'!$N$4:$N$2342,$D47,'Grid Data'!$O$4:$O$2342,K$4,'Grid Data'!$M$4:$M$2342,$D$2)*100-K15, "--")</f>
        <v>-3.6399999999999544E-2</v>
      </c>
      <c r="L47" s="5">
        <f>IF(  L78&gt;$E$2, SUMIFS(IF($G$2="CPR",'Grid Data'!$V$4:$V$2342,'Grid Data'!$W$4:$W$2342),'Grid Data'!$N$4:$N$2342,$D47,'Grid Data'!$O$4:$O$2342,L$4,'Grid Data'!$M$4:$M$2342,$D$2)*100-L15, "--")</f>
        <v>-0.52089999999999992</v>
      </c>
      <c r="M47" s="5">
        <f>IF(  M78&gt;$E$2, SUMIFS(IF($G$2="CPR",'Grid Data'!$V$4:$V$2342,'Grid Data'!$W$4:$W$2342),'Grid Data'!$N$4:$N$2342,$D47,'Grid Data'!$O$4:$O$2342,M$4,'Grid Data'!$M$4:$M$2342,$D$2)*100-M15, "--")</f>
        <v>-1.2116000000000007</v>
      </c>
      <c r="N47" s="5">
        <f>IF(  N78&gt;$E$2, SUMIFS(IF($G$2="CPR",'Grid Data'!$V$4:$V$2342,'Grid Data'!$W$4:$W$2342),'Grid Data'!$N$4:$N$2342,$D47,'Grid Data'!$O$4:$O$2342,N$4,'Grid Data'!$M$4:$M$2342,$D$2)*100-N15, "--")</f>
        <v>9.3965999999999994</v>
      </c>
      <c r="O47" s="5">
        <f>IF(  O78&gt;$E$2, SUMIFS(IF($G$2="CPR",'Grid Data'!$V$4:$V$2342,'Grid Data'!$W$4:$W$2342),'Grid Data'!$N$4:$N$2342,$D47,'Grid Data'!$O$4:$O$2342,O$4,'Grid Data'!$M$4:$M$2342,$D$2)*100-O15, "--")</f>
        <v>17.188699999999997</v>
      </c>
      <c r="P47" s="5">
        <f>IF(  P78&gt;$E$2, SUMIFS(IF($G$2="CPR",'Grid Data'!$V$4:$V$2342,'Grid Data'!$W$4:$W$2342),'Grid Data'!$N$4:$N$2342,$D47,'Grid Data'!$O$4:$O$2342,P$4,'Grid Data'!$M$4:$M$2342,$D$2)*100-P15, "--")</f>
        <v>1.0356999999999994</v>
      </c>
      <c r="Q47" s="5">
        <f>IF(  Q78&gt;$E$2, SUMIFS(IF($G$2="CPR",'Grid Data'!$V$4:$V$2342,'Grid Data'!$W$4:$W$2342),'Grid Data'!$N$4:$N$2342,$D47,'Grid Data'!$O$4:$O$2342,Q$4,'Grid Data'!$M$4:$M$2342,$D$2)*100-Q15, "--")</f>
        <v>-10.131599999999999</v>
      </c>
      <c r="R47" s="5">
        <f>IF(  R78&gt;$E$2, SUMIFS(IF($G$2="CPR",'Grid Data'!$V$4:$V$2342,'Grid Data'!$W$4:$W$2342),'Grid Data'!$N$4:$N$2342,$D47,'Grid Data'!$O$4:$O$2342,R$4,'Grid Data'!$M$4:$M$2342,$D$2)*100-R15, "--")</f>
        <v>-16.7453</v>
      </c>
      <c r="S47" s="5">
        <f>IF(  S78&gt;$E$2, SUMIFS(IF($G$2="CPR",'Grid Data'!$V$4:$V$2342,'Grid Data'!$W$4:$W$2342),'Grid Data'!$N$4:$N$2342,$D47,'Grid Data'!$O$4:$O$2342,S$4,'Grid Data'!$M$4:$M$2342,$D$2)*100-S15, "--")</f>
        <v>-1.6937999999999995</v>
      </c>
      <c r="T47" s="5">
        <f>IF(  T78&gt;$E$2, SUMIFS(IF($G$2="CPR",'Grid Data'!$V$4:$V$2342,'Grid Data'!$W$4:$W$2342),'Grid Data'!$N$4:$N$2342,$D47,'Grid Data'!$O$4:$O$2342,T$4,'Grid Data'!$M$4:$M$2342,$D$2)*100-T15, "--")</f>
        <v>-1.3563000000000009</v>
      </c>
      <c r="U47" s="5">
        <f>IF(  U78&gt;$E$2, SUMIFS(IF($G$2="CPR",'Grid Data'!$V$4:$V$2342,'Grid Data'!$W$4:$W$2342),'Grid Data'!$N$4:$N$2342,$D47,'Grid Data'!$O$4:$O$2342,U$4,'Grid Data'!$M$4:$M$2342,$D$2)*100-U15, "--")</f>
        <v>5.4126000000000012</v>
      </c>
      <c r="V47" s="5">
        <f>IF(  V78&gt;$E$2, SUMIFS(IF($G$2="CPR",'Grid Data'!$V$4:$V$2342,'Grid Data'!$W$4:$W$2342),'Grid Data'!$N$4:$N$2342,$D47,'Grid Data'!$O$4:$O$2342,V$4,'Grid Data'!$M$4:$M$2342,$D$2)*100-V15, "--")</f>
        <v>13.383400000000002</v>
      </c>
      <c r="W47" s="5">
        <f>IF(  W78&gt;$E$2, SUMIFS(IF($G$2="CPR",'Grid Data'!$V$4:$V$2342,'Grid Data'!$W$4:$W$2342),'Grid Data'!$N$4:$N$2342,$D47,'Grid Data'!$O$4:$O$2342,W$4,'Grid Data'!$M$4:$M$2342,$D$2)*100-W15, "--")</f>
        <v>-5.4843999999999973</v>
      </c>
      <c r="X47" s="5">
        <f>IF(  X78&gt;$E$2, SUMIFS(IF($G$2="CPR",'Grid Data'!$V$4:$V$2342,'Grid Data'!$W$4:$W$2342),'Grid Data'!$N$4:$N$2342,$D47,'Grid Data'!$O$4:$O$2342,X$4,'Grid Data'!$M$4:$M$2342,$D$2)*100-X15, "--")</f>
        <v>-0.88279999999999959</v>
      </c>
      <c r="Y47" s="5">
        <f>IF(  Y78&gt;$E$2, SUMIFS(IF($G$2="CPR",'Grid Data'!$V$4:$V$2342,'Grid Data'!$W$4:$W$2342),'Grid Data'!$N$4:$N$2342,$D47,'Grid Data'!$O$4:$O$2342,Y$4,'Grid Data'!$M$4:$M$2342,$D$2)*100-Y15, "--")</f>
        <v>-2.3952999999999989</v>
      </c>
      <c r="Z47" s="5">
        <f>IF(  Z78&gt;$E$2, SUMIFS(IF($G$2="CPR",'Grid Data'!$V$4:$V$2342,'Grid Data'!$W$4:$W$2342),'Grid Data'!$N$4:$N$2342,$D47,'Grid Data'!$O$4:$O$2342,Z$4,'Grid Data'!$M$4:$M$2342,$D$2)*100-Z15, "--")</f>
        <v>-6.2105999999999986</v>
      </c>
      <c r="AA47" s="5">
        <f>IF(  AA78&gt;$E$2, SUMIFS(IF($G$2="CPR",'Grid Data'!$V$4:$V$2342,'Grid Data'!$W$4:$W$2342),'Grid Data'!$N$4:$N$2342,$D47,'Grid Data'!$O$4:$O$2342,AA$4,'Grid Data'!$M$4:$M$2342,$D$2)*100-AA15, "--")</f>
        <v>9.3302999999999994</v>
      </c>
      <c r="AB47" s="5">
        <f>IF(  AB78&gt;$E$2, SUMIFS(IF($G$2="CPR",'Grid Data'!$V$4:$V$2342,'Grid Data'!$W$4:$W$2342),'Grid Data'!$N$4:$N$2342,$D47,'Grid Data'!$O$4:$O$2342,AB$4,'Grid Data'!$M$4:$M$2342,$D$2)*100-AB15, "--")</f>
        <v>-1.7862999999999989</v>
      </c>
      <c r="AC47" s="5">
        <f>IF(  AC78&gt;$E$2, SUMIFS(IF($G$2="CPR",'Grid Data'!$V$4:$V$2342,'Grid Data'!$W$4:$W$2342),'Grid Data'!$N$4:$N$2342,$D47,'Grid Data'!$O$4:$O$2342,AC$4,'Grid Data'!$M$4:$M$2342,$D$2)*100-AC15, "--")</f>
        <v>-1.9588000000000001</v>
      </c>
      <c r="AD47" s="5">
        <f>IF(  AD78&gt;$E$2, SUMIFS(IF($G$2="CPR",'Grid Data'!$V$4:$V$2342,'Grid Data'!$W$4:$W$2342),'Grid Data'!$N$4:$N$2342,$D47,'Grid Data'!$O$4:$O$2342,AD$4,'Grid Data'!$M$4:$M$2342,$D$2)*100-AD15, "--")</f>
        <v>-2.1673000000000018</v>
      </c>
      <c r="AE47" s="5">
        <f>IF(  AE78&gt;$E$2, SUMIFS(IF($G$2="CPR",'Grid Data'!$V$4:$V$2342,'Grid Data'!$W$4:$W$2342),'Grid Data'!$N$4:$N$2342,$D47,'Grid Data'!$O$4:$O$2342,AE$4,'Grid Data'!$M$4:$M$2342,$D$2)*100-AE15, "--")</f>
        <v>-7.8139000000000003</v>
      </c>
      <c r="AF47" s="5" t="str">
        <f>IF(  AF78&gt;$E$2, SUMIFS(IF($G$2="CPR",'Grid Data'!$V$4:$V$2342,'Grid Data'!$W$4:$W$2342),'Grid Data'!$N$4:$N$2342,$D47,'Grid Data'!$O$4:$O$2342,AF$4,'Grid Data'!$M$4:$M$2342,$D$2)*100-AF15, "--")</f>
        <v>--</v>
      </c>
      <c r="AG47" s="5" t="str">
        <f>IF(  AG78&gt;$E$2, SUMIFS(IF($G$2="CPR",'Grid Data'!$V$4:$V$2342,'Grid Data'!$W$4:$W$2342),'Grid Data'!$N$4:$N$2342,$D47,'Grid Data'!$O$4:$O$2342,AG$4,'Grid Data'!$M$4:$M$2342,$D$2)*100-AG15, "--")</f>
        <v>--</v>
      </c>
      <c r="AH47" s="5" t="str">
        <f>IF(  AH78&gt;$E$2, SUMIFS(IF($G$2="CPR",'Grid Data'!$V$4:$V$2342,'Grid Data'!$W$4:$W$2342),'Grid Data'!$N$4:$N$2342,$D47,'Grid Data'!$O$4:$O$2342,AH$4,'Grid Data'!$M$4:$M$2342,$D$2)*100-AH15, "--")</f>
        <v>--</v>
      </c>
    </row>
    <row r="48" spans="4:34" x14ac:dyDescent="0.35">
      <c r="D48">
        <v>4750</v>
      </c>
      <c r="E48" s="5">
        <f>IF(  E79&gt;$E$2, SUMIFS(IF($G$2="CPR",'Grid Data'!$V$4:$V$2342,'Grid Data'!$W$4:$W$2342),'Grid Data'!$N$4:$N$2342,$D48,'Grid Data'!$O$4:$O$2342,E$4,'Grid Data'!$M$4:$M$2342,$D$2)*100-E16, "--")</f>
        <v>0.37559999999999993</v>
      </c>
      <c r="F48" s="5">
        <f>IF(  F79&gt;$E$2, SUMIFS(IF($G$2="CPR",'Grid Data'!$V$4:$V$2342,'Grid Data'!$W$4:$W$2342),'Grid Data'!$N$4:$N$2342,$D48,'Grid Data'!$O$4:$O$2342,F$4,'Grid Data'!$M$4:$M$2342,$D$2)*100-F16, "--")</f>
        <v>-5.4774000000000003</v>
      </c>
      <c r="G48" s="5">
        <f>IF(  G79&gt;$E$2, SUMIFS(IF($G$2="CPR",'Grid Data'!$V$4:$V$2342,'Grid Data'!$W$4:$W$2342),'Grid Data'!$N$4:$N$2342,$D48,'Grid Data'!$O$4:$O$2342,G$4,'Grid Data'!$M$4:$M$2342,$D$2)*100-G16, "--")</f>
        <v>-5.7550999999999997</v>
      </c>
      <c r="H48" s="5">
        <f>IF(  H79&gt;$E$2, SUMIFS(IF($G$2="CPR",'Grid Data'!$V$4:$V$2342,'Grid Data'!$W$4:$W$2342),'Grid Data'!$N$4:$N$2342,$D48,'Grid Data'!$O$4:$O$2342,H$4,'Grid Data'!$M$4:$M$2342,$D$2)*100-H16, "--")</f>
        <v>-4.1452</v>
      </c>
      <c r="I48" s="5">
        <f>IF(  I79&gt;$E$2, SUMIFS(IF($G$2="CPR",'Grid Data'!$V$4:$V$2342,'Grid Data'!$W$4:$W$2342),'Grid Data'!$N$4:$N$2342,$D48,'Grid Data'!$O$4:$O$2342,I$4,'Grid Data'!$M$4:$M$2342,$D$2)*100-I16, "--")</f>
        <v>-5.2278000000000002</v>
      </c>
      <c r="J48" s="5">
        <f>IF(  J79&gt;$E$2, SUMIFS(IF($G$2="CPR",'Grid Data'!$V$4:$V$2342,'Grid Data'!$W$4:$W$2342),'Grid Data'!$N$4:$N$2342,$D48,'Grid Data'!$O$4:$O$2342,J$4,'Grid Data'!$M$4:$M$2342,$D$2)*100-J16, "--")</f>
        <v>-1.2443</v>
      </c>
      <c r="K48" s="5">
        <f>IF(  K79&gt;$E$2, SUMIFS(IF($G$2="CPR",'Grid Data'!$V$4:$V$2342,'Grid Data'!$W$4:$W$2342),'Grid Data'!$N$4:$N$2342,$D48,'Grid Data'!$O$4:$O$2342,K$4,'Grid Data'!$M$4:$M$2342,$D$2)*100-K16, "--")</f>
        <v>0.57430000000000003</v>
      </c>
      <c r="L48" s="5">
        <f>IF(  L79&gt;$E$2, SUMIFS(IF($G$2="CPR",'Grid Data'!$V$4:$V$2342,'Grid Data'!$W$4:$W$2342),'Grid Data'!$N$4:$N$2342,$D48,'Grid Data'!$O$4:$O$2342,L$4,'Grid Data'!$M$4:$M$2342,$D$2)*100-L16, "--")</f>
        <v>-0.59280000000000044</v>
      </c>
      <c r="M48" s="5">
        <f>IF(  M79&gt;$E$2, SUMIFS(IF($G$2="CPR",'Grid Data'!$V$4:$V$2342,'Grid Data'!$W$4:$W$2342),'Grid Data'!$N$4:$N$2342,$D48,'Grid Data'!$O$4:$O$2342,M$4,'Grid Data'!$M$4:$M$2342,$D$2)*100-M16, "--")</f>
        <v>5.2624000000000004</v>
      </c>
      <c r="N48" s="5">
        <f>IF(  N79&gt;$E$2, SUMIFS(IF($G$2="CPR",'Grid Data'!$V$4:$V$2342,'Grid Data'!$W$4:$W$2342),'Grid Data'!$N$4:$N$2342,$D48,'Grid Data'!$O$4:$O$2342,N$4,'Grid Data'!$M$4:$M$2342,$D$2)*100-N16, "--")</f>
        <v>-2.3411</v>
      </c>
      <c r="O48" s="5">
        <f>IF(  O79&gt;$E$2, SUMIFS(IF($G$2="CPR",'Grid Data'!$V$4:$V$2342,'Grid Data'!$W$4:$W$2342),'Grid Data'!$N$4:$N$2342,$D48,'Grid Data'!$O$4:$O$2342,O$4,'Grid Data'!$M$4:$M$2342,$D$2)*100-O16, "--")</f>
        <v>13.347199999999999</v>
      </c>
      <c r="P48" s="5">
        <f>IF(  P79&gt;$E$2, SUMIFS(IF($G$2="CPR",'Grid Data'!$V$4:$V$2342,'Grid Data'!$W$4:$W$2342),'Grid Data'!$N$4:$N$2342,$D48,'Grid Data'!$O$4:$O$2342,P$4,'Grid Data'!$M$4:$M$2342,$D$2)*100-P16, "--")</f>
        <v>-6.3277000000000001</v>
      </c>
      <c r="Q48" s="5">
        <f>IF(  Q79&gt;$E$2, SUMIFS(IF($G$2="CPR",'Grid Data'!$V$4:$V$2342,'Grid Data'!$W$4:$W$2342),'Grid Data'!$N$4:$N$2342,$D48,'Grid Data'!$O$4:$O$2342,Q$4,'Grid Data'!$M$4:$M$2342,$D$2)*100-Q16, "--")</f>
        <v>-6.8673999999999991</v>
      </c>
      <c r="R48" s="5">
        <f>IF(  R79&gt;$E$2, SUMIFS(IF($G$2="CPR",'Grid Data'!$V$4:$V$2342,'Grid Data'!$W$4:$W$2342),'Grid Data'!$N$4:$N$2342,$D48,'Grid Data'!$O$4:$O$2342,R$4,'Grid Data'!$M$4:$M$2342,$D$2)*100-R16, "--")</f>
        <v>1.6387</v>
      </c>
      <c r="S48" s="5">
        <f>IF(  S79&gt;$E$2, SUMIFS(IF($G$2="CPR",'Grid Data'!$V$4:$V$2342,'Grid Data'!$W$4:$W$2342),'Grid Data'!$N$4:$N$2342,$D48,'Grid Data'!$O$4:$O$2342,S$4,'Grid Data'!$M$4:$M$2342,$D$2)*100-S16, "--")</f>
        <v>-0.91610000000000191</v>
      </c>
      <c r="T48" s="5">
        <f>IF(  T79&gt;$E$2, SUMIFS(IF($G$2="CPR",'Grid Data'!$V$4:$V$2342,'Grid Data'!$W$4:$W$2342),'Grid Data'!$N$4:$N$2342,$D48,'Grid Data'!$O$4:$O$2342,T$4,'Grid Data'!$M$4:$M$2342,$D$2)*100-T16, "--")</f>
        <v>-1.9023000000000003</v>
      </c>
      <c r="U48" s="5">
        <f>IF(  U79&gt;$E$2, SUMIFS(IF($G$2="CPR",'Grid Data'!$V$4:$V$2342,'Grid Data'!$W$4:$W$2342),'Grid Data'!$N$4:$N$2342,$D48,'Grid Data'!$O$4:$O$2342,U$4,'Grid Data'!$M$4:$M$2342,$D$2)*100-U16, "--")</f>
        <v>-3.8584000000000001</v>
      </c>
      <c r="V48" s="5">
        <f>IF(  V79&gt;$E$2, SUMIFS(IF($G$2="CPR",'Grid Data'!$V$4:$V$2342,'Grid Data'!$W$4:$W$2342),'Grid Data'!$N$4:$N$2342,$D48,'Grid Data'!$O$4:$O$2342,V$4,'Grid Data'!$M$4:$M$2342,$D$2)*100-V16, "--")</f>
        <v>-18.310499999999998</v>
      </c>
      <c r="W48" s="5">
        <f>IF(  W79&gt;$E$2, SUMIFS(IF($G$2="CPR",'Grid Data'!$V$4:$V$2342,'Grid Data'!$W$4:$W$2342),'Grid Data'!$N$4:$N$2342,$D48,'Grid Data'!$O$4:$O$2342,W$4,'Grid Data'!$M$4:$M$2342,$D$2)*100-W16, "--")</f>
        <v>-4.0995000000000008</v>
      </c>
      <c r="X48" s="5">
        <f>IF(  X79&gt;$E$2, SUMIFS(IF($G$2="CPR",'Grid Data'!$V$4:$V$2342,'Grid Data'!$W$4:$W$2342),'Grid Data'!$N$4:$N$2342,$D48,'Grid Data'!$O$4:$O$2342,X$4,'Grid Data'!$M$4:$M$2342,$D$2)*100-X16, "--")</f>
        <v>-2.5349000000000004</v>
      </c>
      <c r="Y48" s="5">
        <f>IF(  Y79&gt;$E$2, SUMIFS(IF($G$2="CPR",'Grid Data'!$V$4:$V$2342,'Grid Data'!$W$4:$W$2342),'Grid Data'!$N$4:$N$2342,$D48,'Grid Data'!$O$4:$O$2342,Y$4,'Grid Data'!$M$4:$M$2342,$D$2)*100-Y16, "--")</f>
        <v>-2.8313000000000015</v>
      </c>
      <c r="Z48" s="5">
        <f>IF(  Z79&gt;$E$2, SUMIFS(IF($G$2="CPR",'Grid Data'!$V$4:$V$2342,'Grid Data'!$W$4:$W$2342),'Grid Data'!$N$4:$N$2342,$D48,'Grid Data'!$O$4:$O$2342,Z$4,'Grid Data'!$M$4:$M$2342,$D$2)*100-Z16, "--")</f>
        <v>0.6352000000000011</v>
      </c>
      <c r="AA48" s="5">
        <f>IF(  AA79&gt;$E$2, SUMIFS(IF($G$2="CPR",'Grid Data'!$V$4:$V$2342,'Grid Data'!$W$4:$W$2342),'Grid Data'!$N$4:$N$2342,$D48,'Grid Data'!$O$4:$O$2342,AA$4,'Grid Data'!$M$4:$M$2342,$D$2)*100-AA16, "--")</f>
        <v>-8.1501999999999999</v>
      </c>
      <c r="AB48" s="5">
        <f>IF(  AB79&gt;$E$2, SUMIFS(IF($G$2="CPR",'Grid Data'!$V$4:$V$2342,'Grid Data'!$W$4:$W$2342),'Grid Data'!$N$4:$N$2342,$D48,'Grid Data'!$O$4:$O$2342,AB$4,'Grid Data'!$M$4:$M$2342,$D$2)*100-AB16, "--")</f>
        <v>-0.66910000000000025</v>
      </c>
      <c r="AC48" s="5">
        <f>IF(  AC79&gt;$E$2, SUMIFS(IF($G$2="CPR",'Grid Data'!$V$4:$V$2342,'Grid Data'!$W$4:$W$2342),'Grid Data'!$N$4:$N$2342,$D48,'Grid Data'!$O$4:$O$2342,AC$4,'Grid Data'!$M$4:$M$2342,$D$2)*100-AC16, "--")</f>
        <v>-3.4275000000000002</v>
      </c>
      <c r="AD48" s="5">
        <f>IF(  AD79&gt;$E$2, SUMIFS(IF($G$2="CPR",'Grid Data'!$V$4:$V$2342,'Grid Data'!$W$4:$W$2342),'Grid Data'!$N$4:$N$2342,$D48,'Grid Data'!$O$4:$O$2342,AD$4,'Grid Data'!$M$4:$M$2342,$D$2)*100-AD16, "--")</f>
        <v>-1.9276999999999997</v>
      </c>
      <c r="AE48" s="5">
        <f>IF(  AE79&gt;$E$2, SUMIFS(IF($G$2="CPR",'Grid Data'!$V$4:$V$2342,'Grid Data'!$W$4:$W$2342),'Grid Data'!$N$4:$N$2342,$D48,'Grid Data'!$O$4:$O$2342,AE$4,'Grid Data'!$M$4:$M$2342,$D$2)*100-AE16, "--")</f>
        <v>-0.14759999999999973</v>
      </c>
      <c r="AF48" s="5" t="str">
        <f>IF(  AF79&gt;$E$2, SUMIFS(IF($G$2="CPR",'Grid Data'!$V$4:$V$2342,'Grid Data'!$W$4:$W$2342),'Grid Data'!$N$4:$N$2342,$D48,'Grid Data'!$O$4:$O$2342,AF$4,'Grid Data'!$M$4:$M$2342,$D$2)*100-AF16, "--")</f>
        <v>--</v>
      </c>
      <c r="AG48" s="5" t="str">
        <f>IF(  AG79&gt;$E$2, SUMIFS(IF($G$2="CPR",'Grid Data'!$V$4:$V$2342,'Grid Data'!$W$4:$W$2342),'Grid Data'!$N$4:$N$2342,$D48,'Grid Data'!$O$4:$O$2342,AG$4,'Grid Data'!$M$4:$M$2342,$D$2)*100-AG16, "--")</f>
        <v>--</v>
      </c>
      <c r="AH48" s="5" t="str">
        <f>IF(  AH79&gt;$E$2, SUMIFS(IF($G$2="CPR",'Grid Data'!$V$4:$V$2342,'Grid Data'!$W$4:$W$2342),'Grid Data'!$N$4:$N$2342,$D48,'Grid Data'!$O$4:$O$2342,AH$4,'Grid Data'!$M$4:$M$2342,$D$2)*100-AH16, "--")</f>
        <v>--</v>
      </c>
    </row>
    <row r="49" spans="4:34" x14ac:dyDescent="0.35">
      <c r="D49">
        <v>5000</v>
      </c>
      <c r="E49" s="5">
        <f>IF(  E80&gt;$E$2, SUMIFS(IF($G$2="CPR",'Grid Data'!$V$4:$V$2342,'Grid Data'!$W$4:$W$2342),'Grid Data'!$N$4:$N$2342,$D49,'Grid Data'!$O$4:$O$2342,E$4,'Grid Data'!$M$4:$M$2342,$D$2)*100-E17, "--")</f>
        <v>1.8304</v>
      </c>
      <c r="F49" s="5">
        <f>IF(  F80&gt;$E$2, SUMIFS(IF($G$2="CPR",'Grid Data'!$V$4:$V$2342,'Grid Data'!$W$4:$W$2342),'Grid Data'!$N$4:$N$2342,$D49,'Grid Data'!$O$4:$O$2342,F$4,'Grid Data'!$M$4:$M$2342,$D$2)*100-F17, "--")</f>
        <v>-2.3962999999999997</v>
      </c>
      <c r="G49" s="5">
        <f>IF(  G80&gt;$E$2, SUMIFS(IF($G$2="CPR",'Grid Data'!$V$4:$V$2342,'Grid Data'!$W$4:$W$2342),'Grid Data'!$N$4:$N$2342,$D49,'Grid Data'!$O$4:$O$2342,G$4,'Grid Data'!$M$4:$M$2342,$D$2)*100-G17, "--")</f>
        <v>-0.53109999999999991</v>
      </c>
      <c r="H49" s="5">
        <f>IF(  H80&gt;$E$2, SUMIFS(IF($G$2="CPR",'Grid Data'!$V$4:$V$2342,'Grid Data'!$W$4:$W$2342),'Grid Data'!$N$4:$N$2342,$D49,'Grid Data'!$O$4:$O$2342,H$4,'Grid Data'!$M$4:$M$2342,$D$2)*100-H17, "--")</f>
        <v>-1.2683</v>
      </c>
      <c r="I49" s="5">
        <f>IF(  I80&gt;$E$2, SUMIFS(IF($G$2="CPR",'Grid Data'!$V$4:$V$2342,'Grid Data'!$W$4:$W$2342),'Grid Data'!$N$4:$N$2342,$D49,'Grid Data'!$O$4:$O$2342,I$4,'Grid Data'!$M$4:$M$2342,$D$2)*100-I17, "--")</f>
        <v>5.2193000000000005</v>
      </c>
      <c r="J49" s="5">
        <f>IF(  J80&gt;$E$2, SUMIFS(IF($G$2="CPR",'Grid Data'!$V$4:$V$2342,'Grid Data'!$W$4:$W$2342),'Grid Data'!$N$4:$N$2342,$D49,'Grid Data'!$O$4:$O$2342,J$4,'Grid Data'!$M$4:$M$2342,$D$2)*100-J17, "--")</f>
        <v>-2.7827999999999999</v>
      </c>
      <c r="K49" s="5">
        <f>IF(  K80&gt;$E$2, SUMIFS(IF($G$2="CPR",'Grid Data'!$V$4:$V$2342,'Grid Data'!$W$4:$W$2342),'Grid Data'!$N$4:$N$2342,$D49,'Grid Data'!$O$4:$O$2342,K$4,'Grid Data'!$M$4:$M$2342,$D$2)*100-K17, "--")</f>
        <v>-1.6834000000000002</v>
      </c>
      <c r="L49" s="5">
        <f>IF(  L80&gt;$E$2, SUMIFS(IF($G$2="CPR",'Grid Data'!$V$4:$V$2342,'Grid Data'!$W$4:$W$2342),'Grid Data'!$N$4:$N$2342,$D49,'Grid Data'!$O$4:$O$2342,L$4,'Grid Data'!$M$4:$M$2342,$D$2)*100-L17, "--")</f>
        <v>1.1266000000000007</v>
      </c>
      <c r="M49" s="5">
        <f>IF(  M80&gt;$E$2, SUMIFS(IF($G$2="CPR",'Grid Data'!$V$4:$V$2342,'Grid Data'!$W$4:$W$2342),'Grid Data'!$N$4:$N$2342,$D49,'Grid Data'!$O$4:$O$2342,M$4,'Grid Data'!$M$4:$M$2342,$D$2)*100-M17, "--")</f>
        <v>1.9264999999999999</v>
      </c>
      <c r="N49" s="5">
        <f>IF(  N80&gt;$E$2, SUMIFS(IF($G$2="CPR",'Grid Data'!$V$4:$V$2342,'Grid Data'!$W$4:$W$2342),'Grid Data'!$N$4:$N$2342,$D49,'Grid Data'!$O$4:$O$2342,N$4,'Grid Data'!$M$4:$M$2342,$D$2)*100-N17, "--")</f>
        <v>-4.3108000000000004</v>
      </c>
      <c r="O49" s="5">
        <f>IF(  O80&gt;$E$2, SUMIFS(IF($G$2="CPR",'Grid Data'!$V$4:$V$2342,'Grid Data'!$W$4:$W$2342),'Grid Data'!$N$4:$N$2342,$D49,'Grid Data'!$O$4:$O$2342,O$4,'Grid Data'!$M$4:$M$2342,$D$2)*100-O17, "--")</f>
        <v>2.2241</v>
      </c>
      <c r="P49" s="5">
        <f>IF(  P80&gt;$E$2, SUMIFS(IF($G$2="CPR",'Grid Data'!$V$4:$V$2342,'Grid Data'!$W$4:$W$2342),'Grid Data'!$N$4:$N$2342,$D49,'Grid Data'!$O$4:$O$2342,P$4,'Grid Data'!$M$4:$M$2342,$D$2)*100-P17, "--")</f>
        <v>1.6185</v>
      </c>
      <c r="Q49" s="5">
        <f>IF(  Q80&gt;$E$2, SUMIFS(IF($G$2="CPR",'Grid Data'!$V$4:$V$2342,'Grid Data'!$W$4:$W$2342),'Grid Data'!$N$4:$N$2342,$D49,'Grid Data'!$O$4:$O$2342,Q$4,'Grid Data'!$M$4:$M$2342,$D$2)*100-Q17, "--")</f>
        <v>-2.176499999999999</v>
      </c>
      <c r="R49" s="5">
        <f>IF(  R80&gt;$E$2, SUMIFS(IF($G$2="CPR",'Grid Data'!$V$4:$V$2342,'Grid Data'!$W$4:$W$2342),'Grid Data'!$N$4:$N$2342,$D49,'Grid Data'!$O$4:$O$2342,R$4,'Grid Data'!$M$4:$M$2342,$D$2)*100-R17, "--")</f>
        <v>0.32249999999999979</v>
      </c>
      <c r="S49" s="5">
        <f>IF(  S80&gt;$E$2, SUMIFS(IF($G$2="CPR",'Grid Data'!$V$4:$V$2342,'Grid Data'!$W$4:$W$2342),'Grid Data'!$N$4:$N$2342,$D49,'Grid Data'!$O$4:$O$2342,S$4,'Grid Data'!$M$4:$M$2342,$D$2)*100-S17, "--")</f>
        <v>-1.1236999999999995</v>
      </c>
      <c r="T49" s="5">
        <f>IF(  T80&gt;$E$2, SUMIFS(IF($G$2="CPR",'Grid Data'!$V$4:$V$2342,'Grid Data'!$W$4:$W$2342),'Grid Data'!$N$4:$N$2342,$D49,'Grid Data'!$O$4:$O$2342,T$4,'Grid Data'!$M$4:$M$2342,$D$2)*100-T17, "--")</f>
        <v>-2.2216999999999985</v>
      </c>
      <c r="U49" s="5" t="str">
        <f>IF(  U80&gt;$E$2, SUMIFS(IF($G$2="CPR",'Grid Data'!$V$4:$V$2342,'Grid Data'!$W$4:$W$2342),'Grid Data'!$N$4:$N$2342,$D49,'Grid Data'!$O$4:$O$2342,U$4,'Grid Data'!$M$4:$M$2342,$D$2)*100-U17, "--")</f>
        <v>--</v>
      </c>
      <c r="V49" s="5" t="str">
        <f>IF(  V80&gt;$E$2, SUMIFS(IF($G$2="CPR",'Grid Data'!$V$4:$V$2342,'Grid Data'!$W$4:$W$2342),'Grid Data'!$N$4:$N$2342,$D49,'Grid Data'!$O$4:$O$2342,V$4,'Grid Data'!$M$4:$M$2342,$D$2)*100-V17, "--")</f>
        <v>--</v>
      </c>
      <c r="W49" s="5">
        <f>IF(  W80&gt;$E$2, SUMIFS(IF($G$2="CPR",'Grid Data'!$V$4:$V$2342,'Grid Data'!$W$4:$W$2342),'Grid Data'!$N$4:$N$2342,$D49,'Grid Data'!$O$4:$O$2342,W$4,'Grid Data'!$M$4:$M$2342,$D$2)*100-W17, "--")</f>
        <v>23.079599999999999</v>
      </c>
      <c r="X49" s="5">
        <f>IF(  X80&gt;$E$2, SUMIFS(IF($G$2="CPR",'Grid Data'!$V$4:$V$2342,'Grid Data'!$W$4:$W$2342),'Grid Data'!$N$4:$N$2342,$D49,'Grid Data'!$O$4:$O$2342,X$4,'Grid Data'!$M$4:$M$2342,$D$2)*100-X17, "--")</f>
        <v>-4.8528000000000002</v>
      </c>
      <c r="Y49" s="5">
        <f>IF(  Y80&gt;$E$2, SUMIFS(IF($G$2="CPR",'Grid Data'!$V$4:$V$2342,'Grid Data'!$W$4:$W$2342),'Grid Data'!$N$4:$N$2342,$D49,'Grid Data'!$O$4:$O$2342,Y$4,'Grid Data'!$M$4:$M$2342,$D$2)*100-Y17, "--")</f>
        <v>-3.6927000000000021</v>
      </c>
      <c r="Z49" s="5">
        <f>IF(  Z80&gt;$E$2, SUMIFS(IF($G$2="CPR",'Grid Data'!$V$4:$V$2342,'Grid Data'!$W$4:$W$2342),'Grid Data'!$N$4:$N$2342,$D49,'Grid Data'!$O$4:$O$2342,Z$4,'Grid Data'!$M$4:$M$2342,$D$2)*100-Z17, "--")</f>
        <v>0.55279999999999951</v>
      </c>
      <c r="AA49" s="5">
        <f>IF(  AA80&gt;$E$2, SUMIFS(IF($G$2="CPR",'Grid Data'!$V$4:$V$2342,'Grid Data'!$W$4:$W$2342),'Grid Data'!$N$4:$N$2342,$D49,'Grid Data'!$O$4:$O$2342,AA$4,'Grid Data'!$M$4:$M$2342,$D$2)*100-AA17, "--")</f>
        <v>-8.7118000000000002</v>
      </c>
      <c r="AB49" s="5">
        <f>IF(  AB80&gt;$E$2, SUMIFS(IF($G$2="CPR",'Grid Data'!$V$4:$V$2342,'Grid Data'!$W$4:$W$2342),'Grid Data'!$N$4:$N$2342,$D49,'Grid Data'!$O$4:$O$2342,AB$4,'Grid Data'!$M$4:$M$2342,$D$2)*100-AB17, "--")</f>
        <v>2.9691000000000001</v>
      </c>
      <c r="AC49" s="5">
        <f>IF(  AC80&gt;$E$2, SUMIFS(IF($G$2="CPR",'Grid Data'!$V$4:$V$2342,'Grid Data'!$W$4:$W$2342),'Grid Data'!$N$4:$N$2342,$D49,'Grid Data'!$O$4:$O$2342,AC$4,'Grid Data'!$M$4:$M$2342,$D$2)*100-AC17, "--")</f>
        <v>-3.2654999999999994</v>
      </c>
      <c r="AD49" s="5">
        <f>IF(  AD80&gt;$E$2, SUMIFS(IF($G$2="CPR",'Grid Data'!$V$4:$V$2342,'Grid Data'!$W$4:$W$2342),'Grid Data'!$N$4:$N$2342,$D49,'Grid Data'!$O$4:$O$2342,AD$4,'Grid Data'!$M$4:$M$2342,$D$2)*100-AD17, "--")</f>
        <v>-1.8714999999999993</v>
      </c>
      <c r="AE49" s="5">
        <f>IF(  AE80&gt;$E$2, SUMIFS(IF($G$2="CPR",'Grid Data'!$V$4:$V$2342,'Grid Data'!$W$4:$W$2342),'Grid Data'!$N$4:$N$2342,$D49,'Grid Data'!$O$4:$O$2342,AE$4,'Grid Data'!$M$4:$M$2342,$D$2)*100-AE17, "--")</f>
        <v>-3.7643999999999993</v>
      </c>
      <c r="AF49" s="5" t="str">
        <f>IF(  AF80&gt;$E$2, SUMIFS(IF($G$2="CPR",'Grid Data'!$V$4:$V$2342,'Grid Data'!$W$4:$W$2342),'Grid Data'!$N$4:$N$2342,$D49,'Grid Data'!$O$4:$O$2342,AF$4,'Grid Data'!$M$4:$M$2342,$D$2)*100-AF17, "--")</f>
        <v>--</v>
      </c>
      <c r="AG49" s="5">
        <f>IF(  AG80&gt;$E$2, SUMIFS(IF($G$2="CPR",'Grid Data'!$V$4:$V$2342,'Grid Data'!$W$4:$W$2342),'Grid Data'!$N$4:$N$2342,$D49,'Grid Data'!$O$4:$O$2342,AG$4,'Grid Data'!$M$4:$M$2342,$D$2)*100-AG17, "--")</f>
        <v>-7.2298999999999998</v>
      </c>
      <c r="AH49" s="5" t="str">
        <f>IF(  AH80&gt;$E$2, SUMIFS(IF($G$2="CPR",'Grid Data'!$V$4:$V$2342,'Grid Data'!$W$4:$W$2342),'Grid Data'!$N$4:$N$2342,$D49,'Grid Data'!$O$4:$O$2342,AH$4,'Grid Data'!$M$4:$M$2342,$D$2)*100-AH17, "--")</f>
        <v>--</v>
      </c>
    </row>
    <row r="50" spans="4:34" x14ac:dyDescent="0.35">
      <c r="D50">
        <v>5250</v>
      </c>
      <c r="E50" s="5">
        <f>IF(  E81&gt;$E$2, SUMIFS(IF($G$2="CPR",'Grid Data'!$V$4:$V$2342,'Grid Data'!$W$4:$W$2342),'Grid Data'!$N$4:$N$2342,$D50,'Grid Data'!$O$4:$O$2342,E$4,'Grid Data'!$M$4:$M$2342,$D$2)*100-E18, "--")</f>
        <v>1.4112</v>
      </c>
      <c r="F50" s="5">
        <f>IF(  F81&gt;$E$2, SUMIFS(IF($G$2="CPR",'Grid Data'!$V$4:$V$2342,'Grid Data'!$W$4:$W$2342),'Grid Data'!$N$4:$N$2342,$D50,'Grid Data'!$O$4:$O$2342,F$4,'Grid Data'!$M$4:$M$2342,$D$2)*100-F18, "--")</f>
        <v>-7.2594000000000003</v>
      </c>
      <c r="G50" s="5">
        <f>IF(  G81&gt;$E$2, SUMIFS(IF($G$2="CPR",'Grid Data'!$V$4:$V$2342,'Grid Data'!$W$4:$W$2342),'Grid Data'!$N$4:$N$2342,$D50,'Grid Data'!$O$4:$O$2342,G$4,'Grid Data'!$M$4:$M$2342,$D$2)*100-G18, "--")</f>
        <v>10.599399999999997</v>
      </c>
      <c r="H50" s="5">
        <f>IF(  H81&gt;$E$2, SUMIFS(IF($G$2="CPR",'Grid Data'!$V$4:$V$2342,'Grid Data'!$W$4:$W$2342),'Grid Data'!$N$4:$N$2342,$D50,'Grid Data'!$O$4:$O$2342,H$4,'Grid Data'!$M$4:$M$2342,$D$2)*100-H18, "--")</f>
        <v>-11.190100000000001</v>
      </c>
      <c r="I50" s="5">
        <f>IF(  I81&gt;$E$2, SUMIFS(IF($G$2="CPR",'Grid Data'!$V$4:$V$2342,'Grid Data'!$W$4:$W$2342),'Grid Data'!$N$4:$N$2342,$D50,'Grid Data'!$O$4:$O$2342,I$4,'Grid Data'!$M$4:$M$2342,$D$2)*100-I18, "--")</f>
        <v>2.7297000000000002</v>
      </c>
      <c r="J50" s="5">
        <f>IF(  J81&gt;$E$2, SUMIFS(IF($G$2="CPR",'Grid Data'!$V$4:$V$2342,'Grid Data'!$W$4:$W$2342),'Grid Data'!$N$4:$N$2342,$D50,'Grid Data'!$O$4:$O$2342,J$4,'Grid Data'!$M$4:$M$2342,$D$2)*100-J18, "--")</f>
        <v>5.3441000000000001</v>
      </c>
      <c r="K50" s="5">
        <f>IF(  K81&gt;$E$2, SUMIFS(IF($G$2="CPR",'Grid Data'!$V$4:$V$2342,'Grid Data'!$W$4:$W$2342),'Grid Data'!$N$4:$N$2342,$D50,'Grid Data'!$O$4:$O$2342,K$4,'Grid Data'!$M$4:$M$2342,$D$2)*100-K18, "--")</f>
        <v>13.077299999999999</v>
      </c>
      <c r="L50" s="5">
        <f>IF(  L81&gt;$E$2, SUMIFS(IF($G$2="CPR",'Grid Data'!$V$4:$V$2342,'Grid Data'!$W$4:$W$2342),'Grid Data'!$N$4:$N$2342,$D50,'Grid Data'!$O$4:$O$2342,L$4,'Grid Data'!$M$4:$M$2342,$D$2)*100-L18, "--")</f>
        <v>-2.3790000000000013</v>
      </c>
      <c r="M50" s="5">
        <f>IF(  M81&gt;$E$2, SUMIFS(IF($G$2="CPR",'Grid Data'!$V$4:$V$2342,'Grid Data'!$W$4:$W$2342),'Grid Data'!$N$4:$N$2342,$D50,'Grid Data'!$O$4:$O$2342,M$4,'Grid Data'!$M$4:$M$2342,$D$2)*100-M18, "--")</f>
        <v>-1.7693999999999992</v>
      </c>
      <c r="N50" s="5">
        <f>IF(  N81&gt;$E$2, SUMIFS(IF($G$2="CPR",'Grid Data'!$V$4:$V$2342,'Grid Data'!$W$4:$W$2342),'Grid Data'!$N$4:$N$2342,$D50,'Grid Data'!$O$4:$O$2342,N$4,'Grid Data'!$M$4:$M$2342,$D$2)*100-N18, "--")</f>
        <v>-7.9018999999999995</v>
      </c>
      <c r="O50" s="5">
        <f>IF(  O81&gt;$E$2, SUMIFS(IF($G$2="CPR",'Grid Data'!$V$4:$V$2342,'Grid Data'!$W$4:$W$2342),'Grid Data'!$N$4:$N$2342,$D50,'Grid Data'!$O$4:$O$2342,O$4,'Grid Data'!$M$4:$M$2342,$D$2)*100-O18, "--")</f>
        <v>1.5409999999999995</v>
      </c>
      <c r="P50" s="5">
        <f>IF(  P81&gt;$E$2, SUMIFS(IF($G$2="CPR",'Grid Data'!$V$4:$V$2342,'Grid Data'!$W$4:$W$2342),'Grid Data'!$N$4:$N$2342,$D50,'Grid Data'!$O$4:$O$2342,P$4,'Grid Data'!$M$4:$M$2342,$D$2)*100-P18, "--")</f>
        <v>5.8645999999999994</v>
      </c>
      <c r="Q50" s="5">
        <f>IF(  Q81&gt;$E$2, SUMIFS(IF($G$2="CPR",'Grid Data'!$V$4:$V$2342,'Grid Data'!$W$4:$W$2342),'Grid Data'!$N$4:$N$2342,$D50,'Grid Data'!$O$4:$O$2342,Q$4,'Grid Data'!$M$4:$M$2342,$D$2)*100-Q18, "--")</f>
        <v>-4.6257999999999999</v>
      </c>
      <c r="R50" s="5">
        <f>IF(  R81&gt;$E$2, SUMIFS(IF($G$2="CPR",'Grid Data'!$V$4:$V$2342,'Grid Data'!$W$4:$W$2342),'Grid Data'!$N$4:$N$2342,$D50,'Grid Data'!$O$4:$O$2342,R$4,'Grid Data'!$M$4:$M$2342,$D$2)*100-R18, "--")</f>
        <v>-0.9718</v>
      </c>
      <c r="S50" s="5">
        <f>IF(  S81&gt;$E$2, SUMIFS(IF($G$2="CPR",'Grid Data'!$V$4:$V$2342,'Grid Data'!$W$4:$W$2342),'Grid Data'!$N$4:$N$2342,$D50,'Grid Data'!$O$4:$O$2342,S$4,'Grid Data'!$M$4:$M$2342,$D$2)*100-S18, "--")</f>
        <v>-2.2275000000000009</v>
      </c>
      <c r="T50" s="5">
        <f>IF(  T81&gt;$E$2, SUMIFS(IF($G$2="CPR",'Grid Data'!$V$4:$V$2342,'Grid Data'!$W$4:$W$2342),'Grid Data'!$N$4:$N$2342,$D50,'Grid Data'!$O$4:$O$2342,T$4,'Grid Data'!$M$4:$M$2342,$D$2)*100-T18, "--")</f>
        <v>-1.0386999999999968</v>
      </c>
      <c r="U50" s="5">
        <f>IF(  U81&gt;$E$2, SUMIFS(IF($G$2="CPR",'Grid Data'!$V$4:$V$2342,'Grid Data'!$W$4:$W$2342),'Grid Data'!$N$4:$N$2342,$D50,'Grid Data'!$O$4:$O$2342,U$4,'Grid Data'!$M$4:$M$2342,$D$2)*100-U18, "--")</f>
        <v>13.185900000000002</v>
      </c>
      <c r="V50" s="5">
        <f>IF(  V81&gt;$E$2, SUMIFS(IF($G$2="CPR",'Grid Data'!$V$4:$V$2342,'Grid Data'!$W$4:$W$2342),'Grid Data'!$N$4:$N$2342,$D50,'Grid Data'!$O$4:$O$2342,V$4,'Grid Data'!$M$4:$M$2342,$D$2)*100-V18, "--")</f>
        <v>-2.7955999999999985</v>
      </c>
      <c r="W50" s="5">
        <f>IF(  W81&gt;$E$2, SUMIFS(IF($G$2="CPR",'Grid Data'!$V$4:$V$2342,'Grid Data'!$W$4:$W$2342),'Grid Data'!$N$4:$N$2342,$D50,'Grid Data'!$O$4:$O$2342,W$4,'Grid Data'!$M$4:$M$2342,$D$2)*100-W18, "--")</f>
        <v>-22.966100000000001</v>
      </c>
      <c r="X50" s="5">
        <f>IF(  X81&gt;$E$2, SUMIFS(IF($G$2="CPR",'Grid Data'!$V$4:$V$2342,'Grid Data'!$W$4:$W$2342),'Grid Data'!$N$4:$N$2342,$D50,'Grid Data'!$O$4:$O$2342,X$4,'Grid Data'!$M$4:$M$2342,$D$2)*100-X18, "--")</f>
        <v>-2.0302999999999987</v>
      </c>
      <c r="Y50" s="5">
        <f>IF(  Y81&gt;$E$2, SUMIFS(IF($G$2="CPR",'Grid Data'!$V$4:$V$2342,'Grid Data'!$W$4:$W$2342),'Grid Data'!$N$4:$N$2342,$D50,'Grid Data'!$O$4:$O$2342,Y$4,'Grid Data'!$M$4:$M$2342,$D$2)*100-Y18, "--")</f>
        <v>-3.3336999999999986</v>
      </c>
      <c r="Z50" s="5">
        <f>IF(  Z81&gt;$E$2, SUMIFS(IF($G$2="CPR",'Grid Data'!$V$4:$V$2342,'Grid Data'!$W$4:$W$2342),'Grid Data'!$N$4:$N$2342,$D50,'Grid Data'!$O$4:$O$2342,Z$4,'Grid Data'!$M$4:$M$2342,$D$2)*100-Z18, "--")</f>
        <v>-9.2184000000000008</v>
      </c>
      <c r="AA50" s="5" t="str">
        <f>IF(  AA81&gt;$E$2, SUMIFS(IF($G$2="CPR",'Grid Data'!$V$4:$V$2342,'Grid Data'!$W$4:$W$2342),'Grid Data'!$N$4:$N$2342,$D50,'Grid Data'!$O$4:$O$2342,AA$4,'Grid Data'!$M$4:$M$2342,$D$2)*100-AA18, "--")</f>
        <v>--</v>
      </c>
      <c r="AB50" s="5">
        <f>IF(  AB81&gt;$E$2, SUMIFS(IF($G$2="CPR",'Grid Data'!$V$4:$V$2342,'Grid Data'!$W$4:$W$2342),'Grid Data'!$N$4:$N$2342,$D50,'Grid Data'!$O$4:$O$2342,AB$4,'Grid Data'!$M$4:$M$2342,$D$2)*100-AB18, "--")</f>
        <v>26.939700000000006</v>
      </c>
      <c r="AC50" s="5">
        <f>IF(  AC81&gt;$E$2, SUMIFS(IF($G$2="CPR",'Grid Data'!$V$4:$V$2342,'Grid Data'!$W$4:$W$2342),'Grid Data'!$N$4:$N$2342,$D50,'Grid Data'!$O$4:$O$2342,AC$4,'Grid Data'!$M$4:$M$2342,$D$2)*100-AC18, "--")</f>
        <v>-16.753899999999998</v>
      </c>
      <c r="AD50" s="5">
        <f>IF(  AD81&gt;$E$2, SUMIFS(IF($G$2="CPR",'Grid Data'!$V$4:$V$2342,'Grid Data'!$W$4:$W$2342),'Grid Data'!$N$4:$N$2342,$D50,'Grid Data'!$O$4:$O$2342,AD$4,'Grid Data'!$M$4:$M$2342,$D$2)*100-AD18, "--")</f>
        <v>4.0455999999999994</v>
      </c>
      <c r="AE50" s="5">
        <f>IF(  AE81&gt;$E$2, SUMIFS(IF($G$2="CPR",'Grid Data'!$V$4:$V$2342,'Grid Data'!$W$4:$W$2342),'Grid Data'!$N$4:$N$2342,$D50,'Grid Data'!$O$4:$O$2342,AE$4,'Grid Data'!$M$4:$M$2342,$D$2)*100-AE18, "--")</f>
        <v>0.66899999999999959</v>
      </c>
      <c r="AF50" s="5" t="str">
        <f>IF(  AF81&gt;$E$2, SUMIFS(IF($G$2="CPR",'Grid Data'!$V$4:$V$2342,'Grid Data'!$W$4:$W$2342),'Grid Data'!$N$4:$N$2342,$D50,'Grid Data'!$O$4:$O$2342,AF$4,'Grid Data'!$M$4:$M$2342,$D$2)*100-AF18, "--")</f>
        <v>--</v>
      </c>
      <c r="AG50" s="5">
        <f>IF(  AG81&gt;$E$2, SUMIFS(IF($G$2="CPR",'Grid Data'!$V$4:$V$2342,'Grid Data'!$W$4:$W$2342),'Grid Data'!$N$4:$N$2342,$D50,'Grid Data'!$O$4:$O$2342,AG$4,'Grid Data'!$M$4:$M$2342,$D$2)*100-AG18, "--")</f>
        <v>-11.1317</v>
      </c>
      <c r="AH50" s="5" t="str">
        <f>IF(  AH81&gt;$E$2, SUMIFS(IF($G$2="CPR",'Grid Data'!$V$4:$V$2342,'Grid Data'!$W$4:$W$2342),'Grid Data'!$N$4:$N$2342,$D50,'Grid Data'!$O$4:$O$2342,AH$4,'Grid Data'!$M$4:$M$2342,$D$2)*100-AH18, "--")</f>
        <v>--</v>
      </c>
    </row>
    <row r="51" spans="4:34" x14ac:dyDescent="0.35">
      <c r="D51">
        <v>5500</v>
      </c>
      <c r="E51" s="5">
        <f>IF(  E82&gt;$E$2, SUMIFS(IF($G$2="CPR",'Grid Data'!$V$4:$V$2342,'Grid Data'!$W$4:$W$2342),'Grid Data'!$N$4:$N$2342,$D51,'Grid Data'!$O$4:$O$2342,E$4,'Grid Data'!$M$4:$M$2342,$D$2)*100-E19, "--")</f>
        <v>0.70579999999999998</v>
      </c>
      <c r="F51" s="5">
        <f>IF(  F82&gt;$E$2, SUMIFS(IF($G$2="CPR",'Grid Data'!$V$4:$V$2342,'Grid Data'!$W$4:$W$2342),'Grid Data'!$N$4:$N$2342,$D51,'Grid Data'!$O$4:$O$2342,F$4,'Grid Data'!$M$4:$M$2342,$D$2)*100-F19, "--")</f>
        <v>-7.1009000000000002</v>
      </c>
      <c r="G51" s="5">
        <f>IF(  G82&gt;$E$2, SUMIFS(IF($G$2="CPR",'Grid Data'!$V$4:$V$2342,'Grid Data'!$W$4:$W$2342),'Grid Data'!$N$4:$N$2342,$D51,'Grid Data'!$O$4:$O$2342,G$4,'Grid Data'!$M$4:$M$2342,$D$2)*100-G19, "--")</f>
        <v>-3.8742000000000001</v>
      </c>
      <c r="H51" s="5">
        <f>IF(  H82&gt;$E$2, SUMIFS(IF($G$2="CPR",'Grid Data'!$V$4:$V$2342,'Grid Data'!$W$4:$W$2342),'Grid Data'!$N$4:$N$2342,$D51,'Grid Data'!$O$4:$O$2342,H$4,'Grid Data'!$M$4:$M$2342,$D$2)*100-H19, "--")</f>
        <v>-5.6951000000000001</v>
      </c>
      <c r="I51" s="5">
        <f>IF(  I82&gt;$E$2, SUMIFS(IF($G$2="CPR",'Grid Data'!$V$4:$V$2342,'Grid Data'!$W$4:$W$2342),'Grid Data'!$N$4:$N$2342,$D51,'Grid Data'!$O$4:$O$2342,I$4,'Grid Data'!$M$4:$M$2342,$D$2)*100-I19, "--")</f>
        <v>0.39700000000000024</v>
      </c>
      <c r="J51" s="5">
        <f>IF(  J82&gt;$E$2, SUMIFS(IF($G$2="CPR",'Grid Data'!$V$4:$V$2342,'Grid Data'!$W$4:$W$2342),'Grid Data'!$N$4:$N$2342,$D51,'Grid Data'!$O$4:$O$2342,J$4,'Grid Data'!$M$4:$M$2342,$D$2)*100-J19, "--")</f>
        <v>8.2865000000000002</v>
      </c>
      <c r="K51" s="5">
        <f>IF(  K82&gt;$E$2, SUMIFS(IF($G$2="CPR",'Grid Data'!$V$4:$V$2342,'Grid Data'!$W$4:$W$2342),'Grid Data'!$N$4:$N$2342,$D51,'Grid Data'!$O$4:$O$2342,K$4,'Grid Data'!$M$4:$M$2342,$D$2)*100-K19, "--")</f>
        <v>1.2160999999999991</v>
      </c>
      <c r="L51" s="5">
        <f>IF(  L82&gt;$E$2, SUMIFS(IF($G$2="CPR",'Grid Data'!$V$4:$V$2342,'Grid Data'!$W$4:$W$2342),'Grid Data'!$N$4:$N$2342,$D51,'Grid Data'!$O$4:$O$2342,L$4,'Grid Data'!$M$4:$M$2342,$D$2)*100-L19, "--")</f>
        <v>-0.83949999999999747</v>
      </c>
      <c r="M51" s="5">
        <f>IF(  M82&gt;$E$2, SUMIFS(IF($G$2="CPR",'Grid Data'!$V$4:$V$2342,'Grid Data'!$W$4:$W$2342),'Grid Data'!$N$4:$N$2342,$D51,'Grid Data'!$O$4:$O$2342,M$4,'Grid Data'!$M$4:$M$2342,$D$2)*100-M19, "--")</f>
        <v>0.63999999999999879</v>
      </c>
      <c r="N51" s="5">
        <f>IF(  N82&gt;$E$2, SUMIFS(IF($G$2="CPR",'Grid Data'!$V$4:$V$2342,'Grid Data'!$W$4:$W$2342),'Grid Data'!$N$4:$N$2342,$D51,'Grid Data'!$O$4:$O$2342,N$4,'Grid Data'!$M$4:$M$2342,$D$2)*100-N19, "--")</f>
        <v>4.5260999999999978</v>
      </c>
      <c r="O51" s="5">
        <f>IF(  O82&gt;$E$2, SUMIFS(IF($G$2="CPR",'Grid Data'!$V$4:$V$2342,'Grid Data'!$W$4:$W$2342),'Grid Data'!$N$4:$N$2342,$D51,'Grid Data'!$O$4:$O$2342,O$4,'Grid Data'!$M$4:$M$2342,$D$2)*100-O19, "--")</f>
        <v>-3.5115000000000007</v>
      </c>
      <c r="P51" s="5">
        <f>IF(  P82&gt;$E$2, SUMIFS(IF($G$2="CPR",'Grid Data'!$V$4:$V$2342,'Grid Data'!$W$4:$W$2342),'Grid Data'!$N$4:$N$2342,$D51,'Grid Data'!$O$4:$O$2342,P$4,'Grid Data'!$M$4:$M$2342,$D$2)*100-P19, "--")</f>
        <v>9.5703999999999994</v>
      </c>
      <c r="Q51" s="5">
        <f>IF(  Q82&gt;$E$2, SUMIFS(IF($G$2="CPR",'Grid Data'!$V$4:$V$2342,'Grid Data'!$W$4:$W$2342),'Grid Data'!$N$4:$N$2342,$D51,'Grid Data'!$O$4:$O$2342,Q$4,'Grid Data'!$M$4:$M$2342,$D$2)*100-Q19, "--")</f>
        <v>-3.7204999999999995</v>
      </c>
      <c r="R51" s="5">
        <f>IF(  R82&gt;$E$2, SUMIFS(IF($G$2="CPR",'Grid Data'!$V$4:$V$2342,'Grid Data'!$W$4:$W$2342),'Grid Data'!$N$4:$N$2342,$D51,'Grid Data'!$O$4:$O$2342,R$4,'Grid Data'!$M$4:$M$2342,$D$2)*100-R19, "--")</f>
        <v>0.88729999999999798</v>
      </c>
      <c r="S51" s="5">
        <f>IF(  S82&gt;$E$2, SUMIFS(IF($G$2="CPR",'Grid Data'!$V$4:$V$2342,'Grid Data'!$W$4:$W$2342),'Grid Data'!$N$4:$N$2342,$D51,'Grid Data'!$O$4:$O$2342,S$4,'Grid Data'!$M$4:$M$2342,$D$2)*100-S19, "--")</f>
        <v>-3.1988000000000021</v>
      </c>
      <c r="T51" s="5">
        <f>IF(  T82&gt;$E$2, SUMIFS(IF($G$2="CPR",'Grid Data'!$V$4:$V$2342,'Grid Data'!$W$4:$W$2342),'Grid Data'!$N$4:$N$2342,$D51,'Grid Data'!$O$4:$O$2342,T$4,'Grid Data'!$M$4:$M$2342,$D$2)*100-T19, "--")</f>
        <v>0.32179999999999964</v>
      </c>
      <c r="U51" s="5" t="str">
        <f>IF(  U82&gt;$E$2, SUMIFS(IF($G$2="CPR",'Grid Data'!$V$4:$V$2342,'Grid Data'!$W$4:$W$2342),'Grid Data'!$N$4:$N$2342,$D51,'Grid Data'!$O$4:$O$2342,U$4,'Grid Data'!$M$4:$M$2342,$D$2)*100-U19, "--")</f>
        <v>--</v>
      </c>
      <c r="V51" s="5" t="str">
        <f>IF(  V82&gt;$E$2, SUMIFS(IF($G$2="CPR",'Grid Data'!$V$4:$V$2342,'Grid Data'!$W$4:$W$2342),'Grid Data'!$N$4:$N$2342,$D51,'Grid Data'!$O$4:$O$2342,V$4,'Grid Data'!$M$4:$M$2342,$D$2)*100-V19, "--")</f>
        <v>--</v>
      </c>
      <c r="W51" s="5" t="str">
        <f>IF(  W82&gt;$E$2, SUMIFS(IF($G$2="CPR",'Grid Data'!$V$4:$V$2342,'Grid Data'!$W$4:$W$2342),'Grid Data'!$N$4:$N$2342,$D51,'Grid Data'!$O$4:$O$2342,W$4,'Grid Data'!$M$4:$M$2342,$D$2)*100-W19, "--")</f>
        <v>--</v>
      </c>
      <c r="X51" s="5">
        <f>IF(  X82&gt;$E$2, SUMIFS(IF($G$2="CPR",'Grid Data'!$V$4:$V$2342,'Grid Data'!$W$4:$W$2342),'Grid Data'!$N$4:$N$2342,$D51,'Grid Data'!$O$4:$O$2342,X$4,'Grid Data'!$M$4:$M$2342,$D$2)*100-X19, "--")</f>
        <v>-13.011000000000001</v>
      </c>
      <c r="Y51" s="5">
        <f>IF(  Y82&gt;$E$2, SUMIFS(IF($G$2="CPR",'Grid Data'!$V$4:$V$2342,'Grid Data'!$W$4:$W$2342),'Grid Data'!$N$4:$N$2342,$D51,'Grid Data'!$O$4:$O$2342,Y$4,'Grid Data'!$M$4:$M$2342,$D$2)*100-Y19, "--")</f>
        <v>0.39060000000000095</v>
      </c>
      <c r="Z51" s="5" t="str">
        <f>IF(  Z82&gt;$E$2, SUMIFS(IF($G$2="CPR",'Grid Data'!$V$4:$V$2342,'Grid Data'!$W$4:$W$2342),'Grid Data'!$N$4:$N$2342,$D51,'Grid Data'!$O$4:$O$2342,Z$4,'Grid Data'!$M$4:$M$2342,$D$2)*100-Z19, "--")</f>
        <v>--</v>
      </c>
      <c r="AA51" s="5" t="str">
        <f>IF(  AA82&gt;$E$2, SUMIFS(IF($G$2="CPR",'Grid Data'!$V$4:$V$2342,'Grid Data'!$W$4:$W$2342),'Grid Data'!$N$4:$N$2342,$D51,'Grid Data'!$O$4:$O$2342,AA$4,'Grid Data'!$M$4:$M$2342,$D$2)*100-AA19, "--")</f>
        <v>--</v>
      </c>
      <c r="AB51" s="5" t="str">
        <f>IF(  AB82&gt;$E$2, SUMIFS(IF($G$2="CPR",'Grid Data'!$V$4:$V$2342,'Grid Data'!$W$4:$W$2342),'Grid Data'!$N$4:$N$2342,$D51,'Grid Data'!$O$4:$O$2342,AB$4,'Grid Data'!$M$4:$M$2342,$D$2)*100-AB19, "--")</f>
        <v>--</v>
      </c>
      <c r="AC51" s="5" t="str">
        <f>IF(  AC82&gt;$E$2, SUMIFS(IF($G$2="CPR",'Grid Data'!$V$4:$V$2342,'Grid Data'!$W$4:$W$2342),'Grid Data'!$N$4:$N$2342,$D51,'Grid Data'!$O$4:$O$2342,AC$4,'Grid Data'!$M$4:$M$2342,$D$2)*100-AC19, "--")</f>
        <v>--</v>
      </c>
      <c r="AD51" s="5">
        <f>IF(  AD82&gt;$E$2, SUMIFS(IF($G$2="CPR",'Grid Data'!$V$4:$V$2342,'Grid Data'!$W$4:$W$2342),'Grid Data'!$N$4:$N$2342,$D51,'Grid Data'!$O$4:$O$2342,AD$4,'Grid Data'!$M$4:$M$2342,$D$2)*100-AD19, "--")</f>
        <v>-0.71589999999999954</v>
      </c>
      <c r="AE51" s="5">
        <f>IF(  AE82&gt;$E$2, SUMIFS(IF($G$2="CPR",'Grid Data'!$V$4:$V$2342,'Grid Data'!$W$4:$W$2342),'Grid Data'!$N$4:$N$2342,$D51,'Grid Data'!$O$4:$O$2342,AE$4,'Grid Data'!$M$4:$M$2342,$D$2)*100-AE19, "--")</f>
        <v>-3.2849000000000004</v>
      </c>
      <c r="AF51" s="5">
        <f>IF(  AF82&gt;$E$2, SUMIFS(IF($G$2="CPR",'Grid Data'!$V$4:$V$2342,'Grid Data'!$W$4:$W$2342),'Grid Data'!$N$4:$N$2342,$D51,'Grid Data'!$O$4:$O$2342,AF$4,'Grid Data'!$M$4:$M$2342,$D$2)*100-AF19, "--")</f>
        <v>16.722799999999999</v>
      </c>
      <c r="AG51" s="5">
        <f>IF(  AG82&gt;$E$2, SUMIFS(IF($G$2="CPR",'Grid Data'!$V$4:$V$2342,'Grid Data'!$W$4:$W$2342),'Grid Data'!$N$4:$N$2342,$D51,'Grid Data'!$O$4:$O$2342,AG$4,'Grid Data'!$M$4:$M$2342,$D$2)*100-AG19, "--")</f>
        <v>-3.9265999999999996</v>
      </c>
      <c r="AH51" s="5" t="str">
        <f>IF(  AH82&gt;$E$2, SUMIFS(IF($G$2="CPR",'Grid Data'!$V$4:$V$2342,'Grid Data'!$W$4:$W$2342),'Grid Data'!$N$4:$N$2342,$D51,'Grid Data'!$O$4:$O$2342,AH$4,'Grid Data'!$M$4:$M$2342,$D$2)*100-AH19, "--")</f>
        <v>--</v>
      </c>
    </row>
    <row r="52" spans="4:34" x14ac:dyDescent="0.35">
      <c r="D52">
        <v>5750</v>
      </c>
      <c r="E52" s="5">
        <f>IF(  E83&gt;$E$2, SUMIFS(IF($G$2="CPR",'Grid Data'!$V$4:$V$2342,'Grid Data'!$W$4:$W$2342),'Grid Data'!$N$4:$N$2342,$D52,'Grid Data'!$O$4:$O$2342,E$4,'Grid Data'!$M$4:$M$2342,$D$2)*100-E20, "--")</f>
        <v>0.34030000000000005</v>
      </c>
      <c r="F52" s="5">
        <f>IF(  F83&gt;$E$2, SUMIFS(IF($G$2="CPR",'Grid Data'!$V$4:$V$2342,'Grid Data'!$W$4:$W$2342),'Grid Data'!$N$4:$N$2342,$D52,'Grid Data'!$O$4:$O$2342,F$4,'Grid Data'!$M$4:$M$2342,$D$2)*100-F20, "--")</f>
        <v>0.45460000000000012</v>
      </c>
      <c r="G52" s="5">
        <f>IF(  G83&gt;$E$2, SUMIFS(IF($G$2="CPR",'Grid Data'!$V$4:$V$2342,'Grid Data'!$W$4:$W$2342),'Grid Data'!$N$4:$N$2342,$D52,'Grid Data'!$O$4:$O$2342,G$4,'Grid Data'!$M$4:$M$2342,$D$2)*100-G20, "--")</f>
        <v>-5.1824999999999903</v>
      </c>
      <c r="H52" s="5">
        <f>IF(  H83&gt;$E$2, SUMIFS(IF($G$2="CPR",'Grid Data'!$V$4:$V$2342,'Grid Data'!$W$4:$W$2342),'Grid Data'!$N$4:$N$2342,$D52,'Grid Data'!$O$4:$O$2342,H$4,'Grid Data'!$M$4:$M$2342,$D$2)*100-H20, "--")</f>
        <v>21.928700000000003</v>
      </c>
      <c r="I52" s="5">
        <f>IF(  I83&gt;$E$2, SUMIFS(IF($G$2="CPR",'Grid Data'!$V$4:$V$2342,'Grid Data'!$W$4:$W$2342),'Grid Data'!$N$4:$N$2342,$D52,'Grid Data'!$O$4:$O$2342,I$4,'Grid Data'!$M$4:$M$2342,$D$2)*100-I20, "--")</f>
        <v>15.762999999999998</v>
      </c>
      <c r="J52" s="5">
        <f>IF(  J83&gt;$E$2, SUMIFS(IF($G$2="CPR",'Grid Data'!$V$4:$V$2342,'Grid Data'!$W$4:$W$2342),'Grid Data'!$N$4:$N$2342,$D52,'Grid Data'!$O$4:$O$2342,J$4,'Grid Data'!$M$4:$M$2342,$D$2)*100-J20, "--")</f>
        <v>24.672099999999997</v>
      </c>
      <c r="K52" s="5">
        <f>IF(  K83&gt;$E$2, SUMIFS(IF($G$2="CPR",'Grid Data'!$V$4:$V$2342,'Grid Data'!$W$4:$W$2342),'Grid Data'!$N$4:$N$2342,$D52,'Grid Data'!$O$4:$O$2342,K$4,'Grid Data'!$M$4:$M$2342,$D$2)*100-K20, "--")</f>
        <v>19.731899999999996</v>
      </c>
      <c r="L52" s="5">
        <f>IF(  L83&gt;$E$2, SUMIFS(IF($G$2="CPR",'Grid Data'!$V$4:$V$2342,'Grid Data'!$W$4:$W$2342),'Grid Data'!$N$4:$N$2342,$D52,'Grid Data'!$O$4:$O$2342,L$4,'Grid Data'!$M$4:$M$2342,$D$2)*100-L20, "--")</f>
        <v>11.801400000000001</v>
      </c>
      <c r="M52" s="5">
        <f>IF(  M83&gt;$E$2, SUMIFS(IF($G$2="CPR",'Grid Data'!$V$4:$V$2342,'Grid Data'!$W$4:$W$2342),'Grid Data'!$N$4:$N$2342,$D52,'Grid Data'!$O$4:$O$2342,M$4,'Grid Data'!$M$4:$M$2342,$D$2)*100-M20, "--")</f>
        <v>5.9238999999999962</v>
      </c>
      <c r="N52" s="5">
        <f>IF(  N83&gt;$E$2, SUMIFS(IF($G$2="CPR",'Grid Data'!$V$4:$V$2342,'Grid Data'!$W$4:$W$2342),'Grid Data'!$N$4:$N$2342,$D52,'Grid Data'!$O$4:$O$2342,N$4,'Grid Data'!$M$4:$M$2342,$D$2)*100-N20, "--")</f>
        <v>17.643200000000004</v>
      </c>
      <c r="O52" s="5">
        <f>IF(  O83&gt;$E$2, SUMIFS(IF($G$2="CPR",'Grid Data'!$V$4:$V$2342,'Grid Data'!$W$4:$W$2342),'Grid Data'!$N$4:$N$2342,$D52,'Grid Data'!$O$4:$O$2342,O$4,'Grid Data'!$M$4:$M$2342,$D$2)*100-O20, "--")</f>
        <v>9.2509999999999977</v>
      </c>
      <c r="P52" s="5">
        <f>IF(  P83&gt;$E$2, SUMIFS(IF($G$2="CPR",'Grid Data'!$V$4:$V$2342,'Grid Data'!$W$4:$W$2342),'Grid Data'!$N$4:$N$2342,$D52,'Grid Data'!$O$4:$O$2342,P$4,'Grid Data'!$M$4:$M$2342,$D$2)*100-P20, "--")</f>
        <v>10.194400000000002</v>
      </c>
      <c r="Q52" s="5">
        <f>IF(  Q83&gt;$E$2, SUMIFS(IF($G$2="CPR",'Grid Data'!$V$4:$V$2342,'Grid Data'!$W$4:$W$2342),'Grid Data'!$N$4:$N$2342,$D52,'Grid Data'!$O$4:$O$2342,Q$4,'Grid Data'!$M$4:$M$2342,$D$2)*100-Q20, "--")</f>
        <v>3.5050999999999988</v>
      </c>
      <c r="R52" s="5">
        <f>IF(  R83&gt;$E$2, SUMIFS(IF($G$2="CPR",'Grid Data'!$V$4:$V$2342,'Grid Data'!$W$4:$W$2342),'Grid Data'!$N$4:$N$2342,$D52,'Grid Data'!$O$4:$O$2342,R$4,'Grid Data'!$M$4:$M$2342,$D$2)*100-R20, "--")</f>
        <v>1.7240000000000002</v>
      </c>
      <c r="S52" s="5">
        <f>IF(  S83&gt;$E$2, SUMIFS(IF($G$2="CPR",'Grid Data'!$V$4:$V$2342,'Grid Data'!$W$4:$W$2342),'Grid Data'!$N$4:$N$2342,$D52,'Grid Data'!$O$4:$O$2342,S$4,'Grid Data'!$M$4:$M$2342,$D$2)*100-S20, "--")</f>
        <v>1.9657000000000018</v>
      </c>
      <c r="T52" s="5">
        <f>IF(  T83&gt;$E$2, SUMIFS(IF($G$2="CPR",'Grid Data'!$V$4:$V$2342,'Grid Data'!$W$4:$W$2342),'Grid Data'!$N$4:$N$2342,$D52,'Grid Data'!$O$4:$O$2342,T$4,'Grid Data'!$M$4:$M$2342,$D$2)*100-T20, "--")</f>
        <v>1.1071000000000026</v>
      </c>
      <c r="U52" s="5" t="str">
        <f>IF(  U83&gt;$E$2, SUMIFS(IF($G$2="CPR",'Grid Data'!$V$4:$V$2342,'Grid Data'!$W$4:$W$2342),'Grid Data'!$N$4:$N$2342,$D52,'Grid Data'!$O$4:$O$2342,U$4,'Grid Data'!$M$4:$M$2342,$D$2)*100-U20, "--")</f>
        <v>--</v>
      </c>
      <c r="V52" s="5" t="str">
        <f>IF(  V83&gt;$E$2, SUMIFS(IF($G$2="CPR",'Grid Data'!$V$4:$V$2342,'Grid Data'!$W$4:$W$2342),'Grid Data'!$N$4:$N$2342,$D52,'Grid Data'!$O$4:$O$2342,V$4,'Grid Data'!$M$4:$M$2342,$D$2)*100-V20, "--")</f>
        <v>--</v>
      </c>
      <c r="W52" s="5" t="str">
        <f>IF(  W83&gt;$E$2, SUMIFS(IF($G$2="CPR",'Grid Data'!$V$4:$V$2342,'Grid Data'!$W$4:$W$2342),'Grid Data'!$N$4:$N$2342,$D52,'Grid Data'!$O$4:$O$2342,W$4,'Grid Data'!$M$4:$M$2342,$D$2)*100-W20, "--")</f>
        <v>--</v>
      </c>
      <c r="X52" s="5">
        <f>IF(  X83&gt;$E$2, SUMIFS(IF($G$2="CPR",'Grid Data'!$V$4:$V$2342,'Grid Data'!$W$4:$W$2342),'Grid Data'!$N$4:$N$2342,$D52,'Grid Data'!$O$4:$O$2342,X$4,'Grid Data'!$M$4:$M$2342,$D$2)*100-X20, "--")</f>
        <v>-3.1808000000000014</v>
      </c>
      <c r="Y52" s="5">
        <f>IF(  Y83&gt;$E$2, SUMIFS(IF($G$2="CPR",'Grid Data'!$V$4:$V$2342,'Grid Data'!$W$4:$W$2342),'Grid Data'!$N$4:$N$2342,$D52,'Grid Data'!$O$4:$O$2342,Y$4,'Grid Data'!$M$4:$M$2342,$D$2)*100-Y20, "--")</f>
        <v>-9.8549000000000007</v>
      </c>
      <c r="Z52" s="5" t="str">
        <f>IF(  Z83&gt;$E$2, SUMIFS(IF($G$2="CPR",'Grid Data'!$V$4:$V$2342,'Grid Data'!$W$4:$W$2342),'Grid Data'!$N$4:$N$2342,$D52,'Grid Data'!$O$4:$O$2342,Z$4,'Grid Data'!$M$4:$M$2342,$D$2)*100-Z20, "--")</f>
        <v>--</v>
      </c>
      <c r="AA52" s="5" t="str">
        <f>IF(  AA83&gt;$E$2, SUMIFS(IF($G$2="CPR",'Grid Data'!$V$4:$V$2342,'Grid Data'!$W$4:$W$2342),'Grid Data'!$N$4:$N$2342,$D52,'Grid Data'!$O$4:$O$2342,AA$4,'Grid Data'!$M$4:$M$2342,$D$2)*100-AA20, "--")</f>
        <v>--</v>
      </c>
      <c r="AB52" s="5" t="str">
        <f>IF(  AB83&gt;$E$2, SUMIFS(IF($G$2="CPR",'Grid Data'!$V$4:$V$2342,'Grid Data'!$W$4:$W$2342),'Grid Data'!$N$4:$N$2342,$D52,'Grid Data'!$O$4:$O$2342,AB$4,'Grid Data'!$M$4:$M$2342,$D$2)*100-AB20, "--")</f>
        <v>--</v>
      </c>
      <c r="AC52" s="5" t="str">
        <f>IF(  AC83&gt;$E$2, SUMIFS(IF($G$2="CPR",'Grid Data'!$V$4:$V$2342,'Grid Data'!$W$4:$W$2342),'Grid Data'!$N$4:$N$2342,$D52,'Grid Data'!$O$4:$O$2342,AC$4,'Grid Data'!$M$4:$M$2342,$D$2)*100-AC20, "--")</f>
        <v>--</v>
      </c>
      <c r="AD52" s="5" t="str">
        <f>IF(  AD83&gt;$E$2, SUMIFS(IF($G$2="CPR",'Grid Data'!$V$4:$V$2342,'Grid Data'!$W$4:$W$2342),'Grid Data'!$N$4:$N$2342,$D52,'Grid Data'!$O$4:$O$2342,AD$4,'Grid Data'!$M$4:$M$2342,$D$2)*100-AD20, "--")</f>
        <v>--</v>
      </c>
      <c r="AE52" s="5">
        <f>IF(  AE83&gt;$E$2, SUMIFS(IF($G$2="CPR",'Grid Data'!$V$4:$V$2342,'Grid Data'!$W$4:$W$2342),'Grid Data'!$N$4:$N$2342,$D52,'Grid Data'!$O$4:$O$2342,AE$4,'Grid Data'!$M$4:$M$2342,$D$2)*100-AE20, "--")</f>
        <v>-8.5716999999999999</v>
      </c>
      <c r="AF52" s="5">
        <f>IF(  AF83&gt;$E$2, SUMIFS(IF($G$2="CPR",'Grid Data'!$V$4:$V$2342,'Grid Data'!$W$4:$W$2342),'Grid Data'!$N$4:$N$2342,$D52,'Grid Data'!$O$4:$O$2342,AF$4,'Grid Data'!$M$4:$M$2342,$D$2)*100-AF20, "--")</f>
        <v>10.607200000000001</v>
      </c>
      <c r="AG52" s="5">
        <f>IF(  AG83&gt;$E$2, SUMIFS(IF($G$2="CPR",'Grid Data'!$V$4:$V$2342,'Grid Data'!$W$4:$W$2342),'Grid Data'!$N$4:$N$2342,$D52,'Grid Data'!$O$4:$O$2342,AG$4,'Grid Data'!$M$4:$M$2342,$D$2)*100-AG20, "--")</f>
        <v>-6.0512000000000006</v>
      </c>
      <c r="AH52" s="5" t="str">
        <f>IF(  AH83&gt;$E$2, SUMIFS(IF($G$2="CPR",'Grid Data'!$V$4:$V$2342,'Grid Data'!$W$4:$W$2342),'Grid Data'!$N$4:$N$2342,$D52,'Grid Data'!$O$4:$O$2342,AH$4,'Grid Data'!$M$4:$M$2342,$D$2)*100-AH20, "--")</f>
        <v>--</v>
      </c>
    </row>
    <row r="53" spans="4:34" x14ac:dyDescent="0.35">
      <c r="D53">
        <v>6000</v>
      </c>
      <c r="E53" s="5">
        <f>IF(  E84&gt;$E$2, SUMIFS(IF($G$2="CPR",'Grid Data'!$V$4:$V$2342,'Grid Data'!$W$4:$W$2342),'Grid Data'!$N$4:$N$2342,$D53,'Grid Data'!$O$4:$O$2342,E$4,'Grid Data'!$M$4:$M$2342,$D$2)*100-E21, "--")</f>
        <v>-2.1209999999999996</v>
      </c>
      <c r="F53" s="5">
        <f>IF(  F84&gt;$E$2, SUMIFS(IF($G$2="CPR",'Grid Data'!$V$4:$V$2342,'Grid Data'!$W$4:$W$2342),'Grid Data'!$N$4:$N$2342,$D53,'Grid Data'!$O$4:$O$2342,F$4,'Grid Data'!$M$4:$M$2342,$D$2)*100-F21, "--")</f>
        <v>-0.7816999999999994</v>
      </c>
      <c r="G53" s="5">
        <f>IF(  G84&gt;$E$2, SUMIFS(IF($G$2="CPR",'Grid Data'!$V$4:$V$2342,'Grid Data'!$W$4:$W$2342),'Grid Data'!$N$4:$N$2342,$D53,'Grid Data'!$O$4:$O$2342,G$4,'Grid Data'!$M$4:$M$2342,$D$2)*100-G21, "--")</f>
        <v>7.4472000000000094</v>
      </c>
      <c r="H53" s="5">
        <f>IF(  H84&gt;$E$2, SUMIFS(IF($G$2="CPR",'Grid Data'!$V$4:$V$2342,'Grid Data'!$W$4:$W$2342),'Grid Data'!$N$4:$N$2342,$D53,'Grid Data'!$O$4:$O$2342,H$4,'Grid Data'!$M$4:$M$2342,$D$2)*100-H21, "--")</f>
        <v>16.636999999999993</v>
      </c>
      <c r="I53" s="5">
        <f>IF(  I84&gt;$E$2, SUMIFS(IF($G$2="CPR",'Grid Data'!$V$4:$V$2342,'Grid Data'!$W$4:$W$2342),'Grid Data'!$N$4:$N$2342,$D53,'Grid Data'!$O$4:$O$2342,I$4,'Grid Data'!$M$4:$M$2342,$D$2)*100-I21, "--")</f>
        <v>16.584200000000003</v>
      </c>
      <c r="J53" s="5">
        <f>IF(  J84&gt;$E$2, SUMIFS(IF($G$2="CPR",'Grid Data'!$V$4:$V$2342,'Grid Data'!$W$4:$W$2342),'Grid Data'!$N$4:$N$2342,$D53,'Grid Data'!$O$4:$O$2342,J$4,'Grid Data'!$M$4:$M$2342,$D$2)*100-J21, "--")</f>
        <v>23.638400000000008</v>
      </c>
      <c r="K53" s="5">
        <f>IF(  K84&gt;$E$2, SUMIFS(IF($G$2="CPR",'Grid Data'!$V$4:$V$2342,'Grid Data'!$W$4:$W$2342),'Grid Data'!$N$4:$N$2342,$D53,'Grid Data'!$O$4:$O$2342,K$4,'Grid Data'!$M$4:$M$2342,$D$2)*100-K21, "--")</f>
        <v>18.600100000000005</v>
      </c>
      <c r="L53" s="5">
        <f>IF(  L84&gt;$E$2, SUMIFS(IF($G$2="CPR",'Grid Data'!$V$4:$V$2342,'Grid Data'!$W$4:$W$2342),'Grid Data'!$N$4:$N$2342,$D53,'Grid Data'!$O$4:$O$2342,L$4,'Grid Data'!$M$4:$M$2342,$D$2)*100-L21, "--")</f>
        <v>4.9918000000000049</v>
      </c>
      <c r="M53" s="5">
        <f>IF(  M84&gt;$E$2, SUMIFS(IF($G$2="CPR",'Grid Data'!$V$4:$V$2342,'Grid Data'!$W$4:$W$2342),'Grid Data'!$N$4:$N$2342,$D53,'Grid Data'!$O$4:$O$2342,M$4,'Grid Data'!$M$4:$M$2342,$D$2)*100-M21, "--")</f>
        <v>13.288699999999995</v>
      </c>
      <c r="N53" s="5">
        <f>IF(  N84&gt;$E$2, SUMIFS(IF($G$2="CPR",'Grid Data'!$V$4:$V$2342,'Grid Data'!$W$4:$W$2342),'Grid Data'!$N$4:$N$2342,$D53,'Grid Data'!$O$4:$O$2342,N$4,'Grid Data'!$M$4:$M$2342,$D$2)*100-N21, "--")</f>
        <v>15.422400000000003</v>
      </c>
      <c r="O53" s="5">
        <f>IF(  O84&gt;$E$2, SUMIFS(IF($G$2="CPR",'Grid Data'!$V$4:$V$2342,'Grid Data'!$W$4:$W$2342),'Grid Data'!$N$4:$N$2342,$D53,'Grid Data'!$O$4:$O$2342,O$4,'Grid Data'!$M$4:$M$2342,$D$2)*100-O21, "--")</f>
        <v>10.002500000000005</v>
      </c>
      <c r="P53" s="5">
        <f>IF(  P84&gt;$E$2, SUMIFS(IF($G$2="CPR",'Grid Data'!$V$4:$V$2342,'Grid Data'!$W$4:$W$2342),'Grid Data'!$N$4:$N$2342,$D53,'Grid Data'!$O$4:$O$2342,P$4,'Grid Data'!$M$4:$M$2342,$D$2)*100-P21, "--")</f>
        <v>11.065000000000001</v>
      </c>
      <c r="Q53" s="5">
        <f>IF(  Q84&gt;$E$2, SUMIFS(IF($G$2="CPR",'Grid Data'!$V$4:$V$2342,'Grid Data'!$W$4:$W$2342),'Grid Data'!$N$4:$N$2342,$D53,'Grid Data'!$O$4:$O$2342,Q$4,'Grid Data'!$M$4:$M$2342,$D$2)*100-Q21, "--")</f>
        <v>0.55399999999999849</v>
      </c>
      <c r="R53" s="5">
        <f>IF(  R84&gt;$E$2, SUMIFS(IF($G$2="CPR",'Grid Data'!$V$4:$V$2342,'Grid Data'!$W$4:$W$2342),'Grid Data'!$N$4:$N$2342,$D53,'Grid Data'!$O$4:$O$2342,R$4,'Grid Data'!$M$4:$M$2342,$D$2)*100-R21, "--")</f>
        <v>3.3889999999999958</v>
      </c>
      <c r="S53" s="5">
        <f>IF(  S84&gt;$E$2, SUMIFS(IF($G$2="CPR",'Grid Data'!$V$4:$V$2342,'Grid Data'!$W$4:$W$2342),'Grid Data'!$N$4:$N$2342,$D53,'Grid Data'!$O$4:$O$2342,S$4,'Grid Data'!$M$4:$M$2342,$D$2)*100-S21, "--")</f>
        <v>3.681599999999996</v>
      </c>
      <c r="T53" s="5">
        <f>IF(  T84&gt;$E$2, SUMIFS(IF($G$2="CPR",'Grid Data'!$V$4:$V$2342,'Grid Data'!$W$4:$W$2342),'Grid Data'!$N$4:$N$2342,$D53,'Grid Data'!$O$4:$O$2342,T$4,'Grid Data'!$M$4:$M$2342,$D$2)*100-T21, "--")</f>
        <v>8.9118999999999993</v>
      </c>
      <c r="U53" s="5" t="str">
        <f>IF(  U84&gt;$E$2, SUMIFS(IF($G$2="CPR",'Grid Data'!$V$4:$V$2342,'Grid Data'!$W$4:$W$2342),'Grid Data'!$N$4:$N$2342,$D53,'Grid Data'!$O$4:$O$2342,U$4,'Grid Data'!$M$4:$M$2342,$D$2)*100-U21, "--")</f>
        <v>--</v>
      </c>
      <c r="V53" s="5" t="str">
        <f>IF(  V84&gt;$E$2, SUMIFS(IF($G$2="CPR",'Grid Data'!$V$4:$V$2342,'Grid Data'!$W$4:$W$2342),'Grid Data'!$N$4:$N$2342,$D53,'Grid Data'!$O$4:$O$2342,V$4,'Grid Data'!$M$4:$M$2342,$D$2)*100-V21, "--")</f>
        <v>--</v>
      </c>
      <c r="W53" s="5" t="str">
        <f>IF(  W84&gt;$E$2, SUMIFS(IF($G$2="CPR",'Grid Data'!$V$4:$V$2342,'Grid Data'!$W$4:$W$2342),'Grid Data'!$N$4:$N$2342,$D53,'Grid Data'!$O$4:$O$2342,W$4,'Grid Data'!$M$4:$M$2342,$D$2)*100-W21, "--")</f>
        <v>--</v>
      </c>
      <c r="X53" s="5" t="str">
        <f>IF(  X84&gt;$E$2, SUMIFS(IF($G$2="CPR",'Grid Data'!$V$4:$V$2342,'Grid Data'!$W$4:$W$2342),'Grid Data'!$N$4:$N$2342,$D53,'Grid Data'!$O$4:$O$2342,X$4,'Grid Data'!$M$4:$M$2342,$D$2)*100-X21, "--")</f>
        <v>--</v>
      </c>
      <c r="Y53" s="5" t="str">
        <f>IF(  Y84&gt;$E$2, SUMIFS(IF($G$2="CPR",'Grid Data'!$V$4:$V$2342,'Grid Data'!$W$4:$W$2342),'Grid Data'!$N$4:$N$2342,$D53,'Grid Data'!$O$4:$O$2342,Y$4,'Grid Data'!$M$4:$M$2342,$D$2)*100-Y21, "--")</f>
        <v>--</v>
      </c>
      <c r="Z53" s="5" t="str">
        <f>IF(  Z84&gt;$E$2, SUMIFS(IF($G$2="CPR",'Grid Data'!$V$4:$V$2342,'Grid Data'!$W$4:$W$2342),'Grid Data'!$N$4:$N$2342,$D53,'Grid Data'!$O$4:$O$2342,Z$4,'Grid Data'!$M$4:$M$2342,$D$2)*100-Z21, "--")</f>
        <v>--</v>
      </c>
      <c r="AA53" s="5" t="str">
        <f>IF(  AA84&gt;$E$2, SUMIFS(IF($G$2="CPR",'Grid Data'!$V$4:$V$2342,'Grid Data'!$W$4:$W$2342),'Grid Data'!$N$4:$N$2342,$D53,'Grid Data'!$O$4:$O$2342,AA$4,'Grid Data'!$M$4:$M$2342,$D$2)*100-AA21, "--")</f>
        <v>--</v>
      </c>
      <c r="AB53" s="5" t="str">
        <f>IF(  AB84&gt;$E$2, SUMIFS(IF($G$2="CPR",'Grid Data'!$V$4:$V$2342,'Grid Data'!$W$4:$W$2342),'Grid Data'!$N$4:$N$2342,$D53,'Grid Data'!$O$4:$O$2342,AB$4,'Grid Data'!$M$4:$M$2342,$D$2)*100-AB21, "--")</f>
        <v>--</v>
      </c>
      <c r="AC53" s="5" t="str">
        <f>IF(  AC84&gt;$E$2, SUMIFS(IF($G$2="CPR",'Grid Data'!$V$4:$V$2342,'Grid Data'!$W$4:$W$2342),'Grid Data'!$N$4:$N$2342,$D53,'Grid Data'!$O$4:$O$2342,AC$4,'Grid Data'!$M$4:$M$2342,$D$2)*100-AC21, "--")</f>
        <v>--</v>
      </c>
      <c r="AD53" s="5" t="str">
        <f>IF(  AD84&gt;$E$2, SUMIFS(IF($G$2="CPR",'Grid Data'!$V$4:$V$2342,'Grid Data'!$W$4:$W$2342),'Grid Data'!$N$4:$N$2342,$D53,'Grid Data'!$O$4:$O$2342,AD$4,'Grid Data'!$M$4:$M$2342,$D$2)*100-AD21, "--")</f>
        <v>--</v>
      </c>
      <c r="AE53" s="5">
        <f>IF(  AE84&gt;$E$2, SUMIFS(IF($G$2="CPR",'Grid Data'!$V$4:$V$2342,'Grid Data'!$W$4:$W$2342),'Grid Data'!$N$4:$N$2342,$D53,'Grid Data'!$O$4:$O$2342,AE$4,'Grid Data'!$M$4:$M$2342,$D$2)*100-AE21, "--")</f>
        <v>-1.9900000000000002</v>
      </c>
      <c r="AF53" s="5">
        <f>IF(  AF84&gt;$E$2, SUMIFS(IF($G$2="CPR",'Grid Data'!$V$4:$V$2342,'Grid Data'!$W$4:$W$2342),'Grid Data'!$N$4:$N$2342,$D53,'Grid Data'!$O$4:$O$2342,AF$4,'Grid Data'!$M$4:$M$2342,$D$2)*100-AF21, "--")</f>
        <v>-3.9834000000000005</v>
      </c>
      <c r="AG53" s="5">
        <f>IF(  AG84&gt;$E$2, SUMIFS(IF($G$2="CPR",'Grid Data'!$V$4:$V$2342,'Grid Data'!$W$4:$W$2342),'Grid Data'!$N$4:$N$2342,$D53,'Grid Data'!$O$4:$O$2342,AG$4,'Grid Data'!$M$4:$M$2342,$D$2)*100-AG21, "--")</f>
        <v>-4.0370999999999988</v>
      </c>
      <c r="AH53" s="5" t="str">
        <f>IF(  AH84&gt;$E$2, SUMIFS(IF($G$2="CPR",'Grid Data'!$V$4:$V$2342,'Grid Data'!$W$4:$W$2342),'Grid Data'!$N$4:$N$2342,$D53,'Grid Data'!$O$4:$O$2342,AH$4,'Grid Data'!$M$4:$M$2342,$D$2)*100-AH21, "--")</f>
        <v>--</v>
      </c>
    </row>
    <row r="54" spans="4:34" x14ac:dyDescent="0.35">
      <c r="D54">
        <v>6250</v>
      </c>
      <c r="E54" s="5">
        <f>IF(  E85&gt;$E$2, SUMIFS(IF($G$2="CPR",'Grid Data'!$V$4:$V$2342,'Grid Data'!$W$4:$W$2342),'Grid Data'!$N$4:$N$2342,$D54,'Grid Data'!$O$4:$O$2342,E$4,'Grid Data'!$M$4:$M$2342,$D$2)*100-E22, "--")</f>
        <v>-1.4325999999999994</v>
      </c>
      <c r="F54" s="5">
        <f>IF(  F85&gt;$E$2, SUMIFS(IF($G$2="CPR",'Grid Data'!$V$4:$V$2342,'Grid Data'!$W$4:$W$2342),'Grid Data'!$N$4:$N$2342,$D54,'Grid Data'!$O$4:$O$2342,F$4,'Grid Data'!$M$4:$M$2342,$D$2)*100-F22, "--")</f>
        <v>-1.3151999999999999</v>
      </c>
      <c r="G54" s="5">
        <f>IF(  G85&gt;$E$2, SUMIFS(IF($G$2="CPR",'Grid Data'!$V$4:$V$2342,'Grid Data'!$W$4:$W$2342),'Grid Data'!$N$4:$N$2342,$D54,'Grid Data'!$O$4:$O$2342,G$4,'Grid Data'!$M$4:$M$2342,$D$2)*100-G22, "--")</f>
        <v>7.1482000000000028</v>
      </c>
      <c r="H54" s="5">
        <f>IF(  H85&gt;$E$2, SUMIFS(IF($G$2="CPR",'Grid Data'!$V$4:$V$2342,'Grid Data'!$W$4:$W$2342),'Grid Data'!$N$4:$N$2342,$D54,'Grid Data'!$O$4:$O$2342,H$4,'Grid Data'!$M$4:$M$2342,$D$2)*100-H22, "--")</f>
        <v>14.490299999999991</v>
      </c>
      <c r="I54" s="5">
        <f>IF(  I85&gt;$E$2, SUMIFS(IF($G$2="CPR",'Grid Data'!$V$4:$V$2342,'Grid Data'!$W$4:$W$2342),'Grid Data'!$N$4:$N$2342,$D54,'Grid Data'!$O$4:$O$2342,I$4,'Grid Data'!$M$4:$M$2342,$D$2)*100-I22, "--")</f>
        <v>16.817499999999995</v>
      </c>
      <c r="J54" s="5">
        <f>IF(  J85&gt;$E$2, SUMIFS(IF($G$2="CPR",'Grid Data'!$V$4:$V$2342,'Grid Data'!$W$4:$W$2342),'Grid Data'!$N$4:$N$2342,$D54,'Grid Data'!$O$4:$O$2342,J$4,'Grid Data'!$M$4:$M$2342,$D$2)*100-J22, "--")</f>
        <v>17.832600000000006</v>
      </c>
      <c r="K54" s="5">
        <f>IF(  K85&gt;$E$2, SUMIFS(IF($G$2="CPR",'Grid Data'!$V$4:$V$2342,'Grid Data'!$W$4:$W$2342),'Grid Data'!$N$4:$N$2342,$D54,'Grid Data'!$O$4:$O$2342,K$4,'Grid Data'!$M$4:$M$2342,$D$2)*100-K22, "--")</f>
        <v>20.132600000000004</v>
      </c>
      <c r="L54" s="5">
        <f>IF(  L85&gt;$E$2, SUMIFS(IF($G$2="CPR",'Grid Data'!$V$4:$V$2342,'Grid Data'!$W$4:$W$2342),'Grid Data'!$N$4:$N$2342,$D54,'Grid Data'!$O$4:$O$2342,L$4,'Grid Data'!$M$4:$M$2342,$D$2)*100-L22, "--")</f>
        <v>14.452100000000002</v>
      </c>
      <c r="M54" s="5">
        <f>IF(  M85&gt;$E$2, SUMIFS(IF($G$2="CPR",'Grid Data'!$V$4:$V$2342,'Grid Data'!$W$4:$W$2342),'Grid Data'!$N$4:$N$2342,$D54,'Grid Data'!$O$4:$O$2342,M$4,'Grid Data'!$M$4:$M$2342,$D$2)*100-M22, "--")</f>
        <v>10.925799999999995</v>
      </c>
      <c r="N54" s="5">
        <f>IF(  N85&gt;$E$2, SUMIFS(IF($G$2="CPR",'Grid Data'!$V$4:$V$2342,'Grid Data'!$W$4:$W$2342),'Grid Data'!$N$4:$N$2342,$D54,'Grid Data'!$O$4:$O$2342,N$4,'Grid Data'!$M$4:$M$2342,$D$2)*100-N22, "--")</f>
        <v>12.229499999999994</v>
      </c>
      <c r="O54" s="5">
        <f>IF(  O85&gt;$E$2, SUMIFS(IF($G$2="CPR",'Grid Data'!$V$4:$V$2342,'Grid Data'!$W$4:$W$2342),'Grid Data'!$N$4:$N$2342,$D54,'Grid Data'!$O$4:$O$2342,O$4,'Grid Data'!$M$4:$M$2342,$D$2)*100-O22, "--")</f>
        <v>17.773999999999994</v>
      </c>
      <c r="P54" s="5">
        <f>IF(  P85&gt;$E$2, SUMIFS(IF($G$2="CPR",'Grid Data'!$V$4:$V$2342,'Grid Data'!$W$4:$W$2342),'Grid Data'!$N$4:$N$2342,$D54,'Grid Data'!$O$4:$O$2342,P$4,'Grid Data'!$M$4:$M$2342,$D$2)*100-P22, "--")</f>
        <v>10.460200000000007</v>
      </c>
      <c r="Q54" s="5">
        <f>IF(  Q85&gt;$E$2, SUMIFS(IF($G$2="CPR",'Grid Data'!$V$4:$V$2342,'Grid Data'!$W$4:$W$2342),'Grid Data'!$N$4:$N$2342,$D54,'Grid Data'!$O$4:$O$2342,Q$4,'Grid Data'!$M$4:$M$2342,$D$2)*100-Q22, "--")</f>
        <v>8.3232999999999961</v>
      </c>
      <c r="R54" s="5">
        <f>IF(  R85&gt;$E$2, SUMIFS(IF($G$2="CPR",'Grid Data'!$V$4:$V$2342,'Grid Data'!$W$4:$W$2342),'Grid Data'!$N$4:$N$2342,$D54,'Grid Data'!$O$4:$O$2342,R$4,'Grid Data'!$M$4:$M$2342,$D$2)*100-R22, "--")</f>
        <v>10.588899999999999</v>
      </c>
      <c r="S54" s="5">
        <f>IF(  S85&gt;$E$2, SUMIFS(IF($G$2="CPR",'Grid Data'!$V$4:$V$2342,'Grid Data'!$W$4:$W$2342),'Grid Data'!$N$4:$N$2342,$D54,'Grid Data'!$O$4:$O$2342,S$4,'Grid Data'!$M$4:$M$2342,$D$2)*100-S22, "--")</f>
        <v>0.31409999999999627</v>
      </c>
      <c r="T54" s="5">
        <f>IF(  T85&gt;$E$2, SUMIFS(IF($G$2="CPR",'Grid Data'!$V$4:$V$2342,'Grid Data'!$W$4:$W$2342),'Grid Data'!$N$4:$N$2342,$D54,'Grid Data'!$O$4:$O$2342,T$4,'Grid Data'!$M$4:$M$2342,$D$2)*100-T22, "--")</f>
        <v>8.0551999999999992</v>
      </c>
      <c r="U54" s="5" t="str">
        <f>IF(  U85&gt;$E$2, SUMIFS(IF($G$2="CPR",'Grid Data'!$V$4:$V$2342,'Grid Data'!$W$4:$W$2342),'Grid Data'!$N$4:$N$2342,$D54,'Grid Data'!$O$4:$O$2342,U$4,'Grid Data'!$M$4:$M$2342,$D$2)*100-U22, "--")</f>
        <v>--</v>
      </c>
      <c r="V54" s="5" t="str">
        <f>IF(  V85&gt;$E$2, SUMIFS(IF($G$2="CPR",'Grid Data'!$V$4:$V$2342,'Grid Data'!$W$4:$W$2342),'Grid Data'!$N$4:$N$2342,$D54,'Grid Data'!$O$4:$O$2342,V$4,'Grid Data'!$M$4:$M$2342,$D$2)*100-V22, "--")</f>
        <v>--</v>
      </c>
      <c r="W54" s="5" t="str">
        <f>IF(  W85&gt;$E$2, SUMIFS(IF($G$2="CPR",'Grid Data'!$V$4:$V$2342,'Grid Data'!$W$4:$W$2342),'Grid Data'!$N$4:$N$2342,$D54,'Grid Data'!$O$4:$O$2342,W$4,'Grid Data'!$M$4:$M$2342,$D$2)*100-W22, "--")</f>
        <v>--</v>
      </c>
      <c r="X54" s="5" t="str">
        <f>IF(  X85&gt;$E$2, SUMIFS(IF($G$2="CPR",'Grid Data'!$V$4:$V$2342,'Grid Data'!$W$4:$W$2342),'Grid Data'!$N$4:$N$2342,$D54,'Grid Data'!$O$4:$O$2342,X$4,'Grid Data'!$M$4:$M$2342,$D$2)*100-X22, "--")</f>
        <v>--</v>
      </c>
      <c r="Y54" s="5" t="str">
        <f>IF(  Y85&gt;$E$2, SUMIFS(IF($G$2="CPR",'Grid Data'!$V$4:$V$2342,'Grid Data'!$W$4:$W$2342),'Grid Data'!$N$4:$N$2342,$D54,'Grid Data'!$O$4:$O$2342,Y$4,'Grid Data'!$M$4:$M$2342,$D$2)*100-Y22, "--")</f>
        <v>--</v>
      </c>
      <c r="Z54" s="5" t="str">
        <f>IF(  Z85&gt;$E$2, SUMIFS(IF($G$2="CPR",'Grid Data'!$V$4:$V$2342,'Grid Data'!$W$4:$W$2342),'Grid Data'!$N$4:$N$2342,$D54,'Grid Data'!$O$4:$O$2342,Z$4,'Grid Data'!$M$4:$M$2342,$D$2)*100-Z22, "--")</f>
        <v>--</v>
      </c>
      <c r="AA54" s="5" t="str">
        <f>IF(  AA85&gt;$E$2, SUMIFS(IF($G$2="CPR",'Grid Data'!$V$4:$V$2342,'Grid Data'!$W$4:$W$2342),'Grid Data'!$N$4:$N$2342,$D54,'Grid Data'!$O$4:$O$2342,AA$4,'Grid Data'!$M$4:$M$2342,$D$2)*100-AA22, "--")</f>
        <v>--</v>
      </c>
      <c r="AB54" s="5" t="str">
        <f>IF(  AB85&gt;$E$2, SUMIFS(IF($G$2="CPR",'Grid Data'!$V$4:$V$2342,'Grid Data'!$W$4:$W$2342),'Grid Data'!$N$4:$N$2342,$D54,'Grid Data'!$O$4:$O$2342,AB$4,'Grid Data'!$M$4:$M$2342,$D$2)*100-AB22, "--")</f>
        <v>--</v>
      </c>
      <c r="AC54" s="5" t="str">
        <f>IF(  AC85&gt;$E$2, SUMIFS(IF($G$2="CPR",'Grid Data'!$V$4:$V$2342,'Grid Data'!$W$4:$W$2342),'Grid Data'!$N$4:$N$2342,$D54,'Grid Data'!$O$4:$O$2342,AC$4,'Grid Data'!$M$4:$M$2342,$D$2)*100-AC22, "--")</f>
        <v>--</v>
      </c>
      <c r="AD54" s="5" t="str">
        <f>IF(  AD85&gt;$E$2, SUMIFS(IF($G$2="CPR",'Grid Data'!$V$4:$V$2342,'Grid Data'!$W$4:$W$2342),'Grid Data'!$N$4:$N$2342,$D54,'Grid Data'!$O$4:$O$2342,AD$4,'Grid Data'!$M$4:$M$2342,$D$2)*100-AD22, "--")</f>
        <v>--</v>
      </c>
      <c r="AE54" s="5">
        <f>IF(  AE85&gt;$E$2, SUMIFS(IF($G$2="CPR",'Grid Data'!$V$4:$V$2342,'Grid Data'!$W$4:$W$2342),'Grid Data'!$N$4:$N$2342,$D54,'Grid Data'!$O$4:$O$2342,AE$4,'Grid Data'!$M$4:$M$2342,$D$2)*100-AE22, "--")</f>
        <v>34.292300000000004</v>
      </c>
      <c r="AF54" s="5">
        <f>IF(  AF85&gt;$E$2, SUMIFS(IF($G$2="CPR",'Grid Data'!$V$4:$V$2342,'Grid Data'!$W$4:$W$2342),'Grid Data'!$N$4:$N$2342,$D54,'Grid Data'!$O$4:$O$2342,AF$4,'Grid Data'!$M$4:$M$2342,$D$2)*100-AF22, "--")</f>
        <v>8.2371000000000016</v>
      </c>
      <c r="AG54" s="5">
        <f>IF(  AG85&gt;$E$2, SUMIFS(IF($G$2="CPR",'Grid Data'!$V$4:$V$2342,'Grid Data'!$W$4:$W$2342),'Grid Data'!$N$4:$N$2342,$D54,'Grid Data'!$O$4:$O$2342,AG$4,'Grid Data'!$M$4:$M$2342,$D$2)*100-AG22, "--")</f>
        <v>-6.2424000000000008</v>
      </c>
      <c r="AH54" s="5" t="str">
        <f>IF(  AH85&gt;$E$2, SUMIFS(IF($G$2="CPR",'Grid Data'!$V$4:$V$2342,'Grid Data'!$W$4:$W$2342),'Grid Data'!$N$4:$N$2342,$D54,'Grid Data'!$O$4:$O$2342,AH$4,'Grid Data'!$M$4:$M$2342,$D$2)*100-AH22, "--")</f>
        <v>--</v>
      </c>
    </row>
    <row r="55" spans="4:34" x14ac:dyDescent="0.35">
      <c r="D55">
        <v>6500</v>
      </c>
      <c r="E55" s="5">
        <f>IF(  E86&gt;$E$2, SUMIFS(IF($G$2="CPR",'Grid Data'!$V$4:$V$2342,'Grid Data'!$W$4:$W$2342),'Grid Data'!$N$4:$N$2342,$D55,'Grid Data'!$O$4:$O$2342,E$4,'Grid Data'!$M$4:$M$2342,$D$2)*100-E23, "--")</f>
        <v>-3.0505</v>
      </c>
      <c r="F55" s="5">
        <f>IF(  F86&gt;$E$2, SUMIFS(IF($G$2="CPR",'Grid Data'!$V$4:$V$2342,'Grid Data'!$W$4:$W$2342),'Grid Data'!$N$4:$N$2342,$D55,'Grid Data'!$O$4:$O$2342,F$4,'Grid Data'!$M$4:$M$2342,$D$2)*100-F23, "--")</f>
        <v>-4.0500000000000007</v>
      </c>
      <c r="G55" s="5">
        <f>IF(  G86&gt;$E$2, SUMIFS(IF($G$2="CPR",'Grid Data'!$V$4:$V$2342,'Grid Data'!$W$4:$W$2342),'Grid Data'!$N$4:$N$2342,$D55,'Grid Data'!$O$4:$O$2342,G$4,'Grid Data'!$M$4:$M$2342,$D$2)*100-G23, "--")</f>
        <v>3.8504000000000218</v>
      </c>
      <c r="H55" s="5">
        <f>IF(  H86&gt;$E$2, SUMIFS(IF($G$2="CPR",'Grid Data'!$V$4:$V$2342,'Grid Data'!$W$4:$W$2342),'Grid Data'!$N$4:$N$2342,$D55,'Grid Data'!$O$4:$O$2342,H$4,'Grid Data'!$M$4:$M$2342,$D$2)*100-H23, "--")</f>
        <v>12.475800000000007</v>
      </c>
      <c r="I55" s="5">
        <f>IF(  I86&gt;$E$2, SUMIFS(IF($G$2="CPR",'Grid Data'!$V$4:$V$2342,'Grid Data'!$W$4:$W$2342),'Grid Data'!$N$4:$N$2342,$D55,'Grid Data'!$O$4:$O$2342,I$4,'Grid Data'!$M$4:$M$2342,$D$2)*100-I23, "--")</f>
        <v>23.855800000000009</v>
      </c>
      <c r="J55" s="5">
        <f>IF(  J86&gt;$E$2, SUMIFS(IF($G$2="CPR",'Grid Data'!$V$4:$V$2342,'Grid Data'!$W$4:$W$2342),'Grid Data'!$N$4:$N$2342,$D55,'Grid Data'!$O$4:$O$2342,J$4,'Grid Data'!$M$4:$M$2342,$D$2)*100-J23, "--")</f>
        <v>22.401399999999995</v>
      </c>
      <c r="K55" s="5">
        <f>IF(  K86&gt;$E$2, SUMIFS(IF($G$2="CPR",'Grid Data'!$V$4:$V$2342,'Grid Data'!$W$4:$W$2342),'Grid Data'!$N$4:$N$2342,$D55,'Grid Data'!$O$4:$O$2342,K$4,'Grid Data'!$M$4:$M$2342,$D$2)*100-K23, "--")</f>
        <v>16.471399999999996</v>
      </c>
      <c r="L55" s="5">
        <f>IF(  L86&gt;$E$2, SUMIFS(IF($G$2="CPR",'Grid Data'!$V$4:$V$2342,'Grid Data'!$W$4:$W$2342),'Grid Data'!$N$4:$N$2342,$D55,'Grid Data'!$O$4:$O$2342,L$4,'Grid Data'!$M$4:$M$2342,$D$2)*100-L23, "--")</f>
        <v>14.163899999999998</v>
      </c>
      <c r="M55" s="5">
        <f>IF(  M86&gt;$E$2, SUMIFS(IF($G$2="CPR",'Grid Data'!$V$4:$V$2342,'Grid Data'!$W$4:$W$2342),'Grid Data'!$N$4:$N$2342,$D55,'Grid Data'!$O$4:$O$2342,M$4,'Grid Data'!$M$4:$M$2342,$D$2)*100-M23, "--")</f>
        <v>9.430100000000003</v>
      </c>
      <c r="N55" s="5">
        <f>IF(  N86&gt;$E$2, SUMIFS(IF($G$2="CPR",'Grid Data'!$V$4:$V$2342,'Grid Data'!$W$4:$W$2342),'Grid Data'!$N$4:$N$2342,$D55,'Grid Data'!$O$4:$O$2342,N$4,'Grid Data'!$M$4:$M$2342,$D$2)*100-N23, "--")</f>
        <v>18.57909999999999</v>
      </c>
      <c r="O55" s="5">
        <f>IF(  O86&gt;$E$2, SUMIFS(IF($G$2="CPR",'Grid Data'!$V$4:$V$2342,'Grid Data'!$W$4:$W$2342),'Grid Data'!$N$4:$N$2342,$D55,'Grid Data'!$O$4:$O$2342,O$4,'Grid Data'!$M$4:$M$2342,$D$2)*100-O23, "--")</f>
        <v>15.444799999999994</v>
      </c>
      <c r="P55" s="5">
        <f>IF(  P86&gt;$E$2, SUMIFS(IF($G$2="CPR",'Grid Data'!$V$4:$V$2342,'Grid Data'!$W$4:$W$2342),'Grid Data'!$N$4:$N$2342,$D55,'Grid Data'!$O$4:$O$2342,P$4,'Grid Data'!$M$4:$M$2342,$D$2)*100-P23, "--")</f>
        <v>13.475000000000001</v>
      </c>
      <c r="Q55" s="5">
        <f>IF(  Q86&gt;$E$2, SUMIFS(IF($G$2="CPR",'Grid Data'!$V$4:$V$2342,'Grid Data'!$W$4:$W$2342),'Grid Data'!$N$4:$N$2342,$D55,'Grid Data'!$O$4:$O$2342,Q$4,'Grid Data'!$M$4:$M$2342,$D$2)*100-Q23, "--")</f>
        <v>-1.6126999999999967</v>
      </c>
      <c r="R55" s="5">
        <f>IF(  R86&gt;$E$2, SUMIFS(IF($G$2="CPR",'Grid Data'!$V$4:$V$2342,'Grid Data'!$W$4:$W$2342),'Grid Data'!$N$4:$N$2342,$D55,'Grid Data'!$O$4:$O$2342,R$4,'Grid Data'!$M$4:$M$2342,$D$2)*100-R23, "--")</f>
        <v>2.8472999999999971</v>
      </c>
      <c r="S55" s="5">
        <f>IF(  S86&gt;$E$2, SUMIFS(IF($G$2="CPR",'Grid Data'!$V$4:$V$2342,'Grid Data'!$W$4:$W$2342),'Grid Data'!$N$4:$N$2342,$D55,'Grid Data'!$O$4:$O$2342,S$4,'Grid Data'!$M$4:$M$2342,$D$2)*100-S23, "--")</f>
        <v>6.5664999999999978</v>
      </c>
      <c r="T55" s="5" t="str">
        <f>IF(  T86&gt;$E$2, SUMIFS(IF($G$2="CPR",'Grid Data'!$V$4:$V$2342,'Grid Data'!$W$4:$W$2342),'Grid Data'!$N$4:$N$2342,$D55,'Grid Data'!$O$4:$O$2342,T$4,'Grid Data'!$M$4:$M$2342,$D$2)*100-T23, "--")</f>
        <v>--</v>
      </c>
      <c r="U55" s="5" t="str">
        <f>IF(  U86&gt;$E$2, SUMIFS(IF($G$2="CPR",'Grid Data'!$V$4:$V$2342,'Grid Data'!$W$4:$W$2342),'Grid Data'!$N$4:$N$2342,$D55,'Grid Data'!$O$4:$O$2342,U$4,'Grid Data'!$M$4:$M$2342,$D$2)*100-U23, "--")</f>
        <v>--</v>
      </c>
      <c r="V55" s="5" t="str">
        <f>IF(  V86&gt;$E$2, SUMIFS(IF($G$2="CPR",'Grid Data'!$V$4:$V$2342,'Grid Data'!$W$4:$W$2342),'Grid Data'!$N$4:$N$2342,$D55,'Grid Data'!$O$4:$O$2342,V$4,'Grid Data'!$M$4:$M$2342,$D$2)*100-V23, "--")</f>
        <v>--</v>
      </c>
      <c r="W55" s="5" t="str">
        <f>IF(  W86&gt;$E$2, SUMIFS(IF($G$2="CPR",'Grid Data'!$V$4:$V$2342,'Grid Data'!$W$4:$W$2342),'Grid Data'!$N$4:$N$2342,$D55,'Grid Data'!$O$4:$O$2342,W$4,'Grid Data'!$M$4:$M$2342,$D$2)*100-W23, "--")</f>
        <v>--</v>
      </c>
      <c r="X55" s="5" t="str">
        <f>IF(  X86&gt;$E$2, SUMIFS(IF($G$2="CPR",'Grid Data'!$V$4:$V$2342,'Grid Data'!$W$4:$W$2342),'Grid Data'!$N$4:$N$2342,$D55,'Grid Data'!$O$4:$O$2342,X$4,'Grid Data'!$M$4:$M$2342,$D$2)*100-X23, "--")</f>
        <v>--</v>
      </c>
      <c r="Y55" s="5" t="str">
        <f>IF(  Y86&gt;$E$2, SUMIFS(IF($G$2="CPR",'Grid Data'!$V$4:$V$2342,'Grid Data'!$W$4:$W$2342),'Grid Data'!$N$4:$N$2342,$D55,'Grid Data'!$O$4:$O$2342,Y$4,'Grid Data'!$M$4:$M$2342,$D$2)*100-Y23, "--")</f>
        <v>--</v>
      </c>
      <c r="Z55" s="5" t="str">
        <f>IF(  Z86&gt;$E$2, SUMIFS(IF($G$2="CPR",'Grid Data'!$V$4:$V$2342,'Grid Data'!$W$4:$W$2342),'Grid Data'!$N$4:$N$2342,$D55,'Grid Data'!$O$4:$O$2342,Z$4,'Grid Data'!$M$4:$M$2342,$D$2)*100-Z23, "--")</f>
        <v>--</v>
      </c>
      <c r="AA55" s="5" t="str">
        <f>IF(  AA86&gt;$E$2, SUMIFS(IF($G$2="CPR",'Grid Data'!$V$4:$V$2342,'Grid Data'!$W$4:$W$2342),'Grid Data'!$N$4:$N$2342,$D55,'Grid Data'!$O$4:$O$2342,AA$4,'Grid Data'!$M$4:$M$2342,$D$2)*100-AA23, "--")</f>
        <v>--</v>
      </c>
      <c r="AB55" s="5" t="str">
        <f>IF(  AB86&gt;$E$2, SUMIFS(IF($G$2="CPR",'Grid Data'!$V$4:$V$2342,'Grid Data'!$W$4:$W$2342),'Grid Data'!$N$4:$N$2342,$D55,'Grid Data'!$O$4:$O$2342,AB$4,'Grid Data'!$M$4:$M$2342,$D$2)*100-AB23, "--")</f>
        <v>--</v>
      </c>
      <c r="AC55" s="5" t="str">
        <f>IF(  AC86&gt;$E$2, SUMIFS(IF($G$2="CPR",'Grid Data'!$V$4:$V$2342,'Grid Data'!$W$4:$W$2342),'Grid Data'!$N$4:$N$2342,$D55,'Grid Data'!$O$4:$O$2342,AC$4,'Grid Data'!$M$4:$M$2342,$D$2)*100-AC23, "--")</f>
        <v>--</v>
      </c>
      <c r="AD55" s="5" t="str">
        <f>IF(  AD86&gt;$E$2, SUMIFS(IF($G$2="CPR",'Grid Data'!$V$4:$V$2342,'Grid Data'!$W$4:$W$2342),'Grid Data'!$N$4:$N$2342,$D55,'Grid Data'!$O$4:$O$2342,AD$4,'Grid Data'!$M$4:$M$2342,$D$2)*100-AD23, "--")</f>
        <v>--</v>
      </c>
      <c r="AE55" s="5">
        <f>IF(  AE86&gt;$E$2, SUMIFS(IF($G$2="CPR",'Grid Data'!$V$4:$V$2342,'Grid Data'!$W$4:$W$2342),'Grid Data'!$N$4:$N$2342,$D55,'Grid Data'!$O$4:$O$2342,AE$4,'Grid Data'!$M$4:$M$2342,$D$2)*100-AE23, "--")</f>
        <v>-6.8628</v>
      </c>
      <c r="AF55" s="5">
        <f>IF(  AF86&gt;$E$2, SUMIFS(IF($G$2="CPR",'Grid Data'!$V$4:$V$2342,'Grid Data'!$W$4:$W$2342),'Grid Data'!$N$4:$N$2342,$D55,'Grid Data'!$O$4:$O$2342,AF$4,'Grid Data'!$M$4:$M$2342,$D$2)*100-AF23, "--")</f>
        <v>-10.8903</v>
      </c>
      <c r="AG55" s="5">
        <f>IF(  AG86&gt;$E$2, SUMIFS(IF($G$2="CPR",'Grid Data'!$V$4:$V$2342,'Grid Data'!$W$4:$W$2342),'Grid Data'!$N$4:$N$2342,$D55,'Grid Data'!$O$4:$O$2342,AG$4,'Grid Data'!$M$4:$M$2342,$D$2)*100-AG23, "--")</f>
        <v>-8.5588999999999995</v>
      </c>
      <c r="AH55" s="5">
        <f>IF(  AH86&gt;$E$2, SUMIFS(IF($G$2="CPR",'Grid Data'!$V$4:$V$2342,'Grid Data'!$W$4:$W$2342),'Grid Data'!$N$4:$N$2342,$D55,'Grid Data'!$O$4:$O$2342,AH$4,'Grid Data'!$M$4:$M$2342,$D$2)*100-AH23, "--")</f>
        <v>-21.160200000000003</v>
      </c>
    </row>
    <row r="56" spans="4:34" x14ac:dyDescent="0.35">
      <c r="D56">
        <v>6750</v>
      </c>
      <c r="E56" s="5">
        <f>IF(  E87&gt;$E$2, SUMIFS(IF($G$2="CPR",'Grid Data'!$V$4:$V$2342,'Grid Data'!$W$4:$W$2342),'Grid Data'!$N$4:$N$2342,$D56,'Grid Data'!$O$4:$O$2342,E$4,'Grid Data'!$M$4:$M$2342,$D$2)*100-E24, "--")</f>
        <v>-0.92070000000000007</v>
      </c>
      <c r="F56" s="5">
        <f>IF(  F87&gt;$E$2, SUMIFS(IF($G$2="CPR",'Grid Data'!$V$4:$V$2342,'Grid Data'!$W$4:$W$2342),'Grid Data'!$N$4:$N$2342,$D56,'Grid Data'!$O$4:$O$2342,F$4,'Grid Data'!$M$4:$M$2342,$D$2)*100-F24, "--")</f>
        <v>-3.4375</v>
      </c>
      <c r="G56" s="5">
        <f>IF(  G87&gt;$E$2, SUMIFS(IF($G$2="CPR",'Grid Data'!$V$4:$V$2342,'Grid Data'!$W$4:$W$2342),'Grid Data'!$N$4:$N$2342,$D56,'Grid Data'!$O$4:$O$2342,G$4,'Grid Data'!$M$4:$M$2342,$D$2)*100-G24, "--")</f>
        <v>1.3252999999999986</v>
      </c>
      <c r="H56" s="5">
        <f>IF(  H87&gt;$E$2, SUMIFS(IF($G$2="CPR",'Grid Data'!$V$4:$V$2342,'Grid Data'!$W$4:$W$2342),'Grid Data'!$N$4:$N$2342,$D56,'Grid Data'!$O$4:$O$2342,H$4,'Grid Data'!$M$4:$M$2342,$D$2)*100-H24, "--")</f>
        <v>4.3634000000000128</v>
      </c>
      <c r="I56" s="5">
        <f>IF(  I87&gt;$E$2, SUMIFS(IF($G$2="CPR",'Grid Data'!$V$4:$V$2342,'Grid Data'!$W$4:$W$2342),'Grid Data'!$N$4:$N$2342,$D56,'Grid Data'!$O$4:$O$2342,I$4,'Grid Data'!$M$4:$M$2342,$D$2)*100-I24, "--")</f>
        <v>9.3472000000000008</v>
      </c>
      <c r="J56" s="5">
        <f>IF(  J87&gt;$E$2, SUMIFS(IF($G$2="CPR",'Grid Data'!$V$4:$V$2342,'Grid Data'!$W$4:$W$2342),'Grid Data'!$N$4:$N$2342,$D56,'Grid Data'!$O$4:$O$2342,J$4,'Grid Data'!$M$4:$M$2342,$D$2)*100-J24, "--")</f>
        <v>10.079300000000003</v>
      </c>
      <c r="K56" s="5">
        <f>IF(  K87&gt;$E$2, SUMIFS(IF($G$2="CPR",'Grid Data'!$V$4:$V$2342,'Grid Data'!$W$4:$W$2342),'Grid Data'!$N$4:$N$2342,$D56,'Grid Data'!$O$4:$O$2342,K$4,'Grid Data'!$M$4:$M$2342,$D$2)*100-K24, "--")</f>
        <v>13.995500000000007</v>
      </c>
      <c r="L56" s="5">
        <f>IF(  L87&gt;$E$2, SUMIFS(IF($G$2="CPR",'Grid Data'!$V$4:$V$2342,'Grid Data'!$W$4:$W$2342),'Grid Data'!$N$4:$N$2342,$D56,'Grid Data'!$O$4:$O$2342,L$4,'Grid Data'!$M$4:$M$2342,$D$2)*100-L24, "--")</f>
        <v>9.8714000000000084</v>
      </c>
      <c r="M56" s="5">
        <f>IF(  M87&gt;$E$2, SUMIFS(IF($G$2="CPR",'Grid Data'!$V$4:$V$2342,'Grid Data'!$W$4:$W$2342),'Grid Data'!$N$4:$N$2342,$D56,'Grid Data'!$O$4:$O$2342,M$4,'Grid Data'!$M$4:$M$2342,$D$2)*100-M24, "--")</f>
        <v>3.8541000000000025</v>
      </c>
      <c r="N56" s="5">
        <f>IF(  N87&gt;$E$2, SUMIFS(IF($G$2="CPR",'Grid Data'!$V$4:$V$2342,'Grid Data'!$W$4:$W$2342),'Grid Data'!$N$4:$N$2342,$D56,'Grid Data'!$O$4:$O$2342,N$4,'Grid Data'!$M$4:$M$2342,$D$2)*100-N24, "--")</f>
        <v>7.0970999999999904</v>
      </c>
      <c r="O56" s="5">
        <f>IF(  O87&gt;$E$2, SUMIFS(IF($G$2="CPR",'Grid Data'!$V$4:$V$2342,'Grid Data'!$W$4:$W$2342),'Grid Data'!$N$4:$N$2342,$D56,'Grid Data'!$O$4:$O$2342,O$4,'Grid Data'!$M$4:$M$2342,$D$2)*100-O24, "--")</f>
        <v>10.918799999999997</v>
      </c>
      <c r="P56" s="5">
        <f>IF(  P87&gt;$E$2, SUMIFS(IF($G$2="CPR",'Grid Data'!$V$4:$V$2342,'Grid Data'!$W$4:$W$2342),'Grid Data'!$N$4:$N$2342,$D56,'Grid Data'!$O$4:$O$2342,P$4,'Grid Data'!$M$4:$M$2342,$D$2)*100-P24, "--")</f>
        <v>16.7652</v>
      </c>
      <c r="Q56" s="5">
        <f>IF(  Q87&gt;$E$2, SUMIFS(IF($G$2="CPR",'Grid Data'!$V$4:$V$2342,'Grid Data'!$W$4:$W$2342),'Grid Data'!$N$4:$N$2342,$D56,'Grid Data'!$O$4:$O$2342,Q$4,'Grid Data'!$M$4:$M$2342,$D$2)*100-Q24, "--")</f>
        <v>4.584699999999998</v>
      </c>
      <c r="R56" s="5">
        <f>IF(  R87&gt;$E$2, SUMIFS(IF($G$2="CPR",'Grid Data'!$V$4:$V$2342,'Grid Data'!$W$4:$W$2342),'Grid Data'!$N$4:$N$2342,$D56,'Grid Data'!$O$4:$O$2342,R$4,'Grid Data'!$M$4:$M$2342,$D$2)*100-R24, "--")</f>
        <v>1.0985999999999976</v>
      </c>
      <c r="S56" s="5">
        <f>IF(  S87&gt;$E$2, SUMIFS(IF($G$2="CPR",'Grid Data'!$V$4:$V$2342,'Grid Data'!$W$4:$W$2342),'Grid Data'!$N$4:$N$2342,$D56,'Grid Data'!$O$4:$O$2342,S$4,'Grid Data'!$M$4:$M$2342,$D$2)*100-S24, "--")</f>
        <v>3.6644000000000005</v>
      </c>
      <c r="T56" s="5" t="str">
        <f>IF(  T87&gt;$E$2, SUMIFS(IF($G$2="CPR",'Grid Data'!$V$4:$V$2342,'Grid Data'!$W$4:$W$2342),'Grid Data'!$N$4:$N$2342,$D56,'Grid Data'!$O$4:$O$2342,T$4,'Grid Data'!$M$4:$M$2342,$D$2)*100-T24, "--")</f>
        <v>--</v>
      </c>
      <c r="U56" s="5" t="str">
        <f>IF(  U87&gt;$E$2, SUMIFS(IF($G$2="CPR",'Grid Data'!$V$4:$V$2342,'Grid Data'!$W$4:$W$2342),'Grid Data'!$N$4:$N$2342,$D56,'Grid Data'!$O$4:$O$2342,U$4,'Grid Data'!$M$4:$M$2342,$D$2)*100-U24, "--")</f>
        <v>--</v>
      </c>
      <c r="V56" s="5" t="str">
        <f>IF(  V87&gt;$E$2, SUMIFS(IF($G$2="CPR",'Grid Data'!$V$4:$V$2342,'Grid Data'!$W$4:$W$2342),'Grid Data'!$N$4:$N$2342,$D56,'Grid Data'!$O$4:$O$2342,V$4,'Grid Data'!$M$4:$M$2342,$D$2)*100-V24, "--")</f>
        <v>--</v>
      </c>
      <c r="W56" s="5" t="str">
        <f>IF(  W87&gt;$E$2, SUMIFS(IF($G$2="CPR",'Grid Data'!$V$4:$V$2342,'Grid Data'!$W$4:$W$2342),'Grid Data'!$N$4:$N$2342,$D56,'Grid Data'!$O$4:$O$2342,W$4,'Grid Data'!$M$4:$M$2342,$D$2)*100-W24, "--")</f>
        <v>--</v>
      </c>
      <c r="X56" s="5" t="str">
        <f>IF(  X87&gt;$E$2, SUMIFS(IF($G$2="CPR",'Grid Data'!$V$4:$V$2342,'Grid Data'!$W$4:$W$2342),'Grid Data'!$N$4:$N$2342,$D56,'Grid Data'!$O$4:$O$2342,X$4,'Grid Data'!$M$4:$M$2342,$D$2)*100-X24, "--")</f>
        <v>--</v>
      </c>
      <c r="Y56" s="5" t="str">
        <f>IF(  Y87&gt;$E$2, SUMIFS(IF($G$2="CPR",'Grid Data'!$V$4:$V$2342,'Grid Data'!$W$4:$W$2342),'Grid Data'!$N$4:$N$2342,$D56,'Grid Data'!$O$4:$O$2342,Y$4,'Grid Data'!$M$4:$M$2342,$D$2)*100-Y24, "--")</f>
        <v>--</v>
      </c>
      <c r="Z56" s="5" t="str">
        <f>IF(  Z87&gt;$E$2, SUMIFS(IF($G$2="CPR",'Grid Data'!$V$4:$V$2342,'Grid Data'!$W$4:$W$2342),'Grid Data'!$N$4:$N$2342,$D56,'Grid Data'!$O$4:$O$2342,Z$4,'Grid Data'!$M$4:$M$2342,$D$2)*100-Z24, "--")</f>
        <v>--</v>
      </c>
      <c r="AA56" s="5" t="str">
        <f>IF(  AA87&gt;$E$2, SUMIFS(IF($G$2="CPR",'Grid Data'!$V$4:$V$2342,'Grid Data'!$W$4:$W$2342),'Grid Data'!$N$4:$N$2342,$D56,'Grid Data'!$O$4:$O$2342,AA$4,'Grid Data'!$M$4:$M$2342,$D$2)*100-AA24, "--")</f>
        <v>--</v>
      </c>
      <c r="AB56" s="5" t="str">
        <f>IF(  AB87&gt;$E$2, SUMIFS(IF($G$2="CPR",'Grid Data'!$V$4:$V$2342,'Grid Data'!$W$4:$W$2342),'Grid Data'!$N$4:$N$2342,$D56,'Grid Data'!$O$4:$O$2342,AB$4,'Grid Data'!$M$4:$M$2342,$D$2)*100-AB24, "--")</f>
        <v>--</v>
      </c>
      <c r="AC56" s="5" t="str">
        <f>IF(  AC87&gt;$E$2, SUMIFS(IF($G$2="CPR",'Grid Data'!$V$4:$V$2342,'Grid Data'!$W$4:$W$2342),'Grid Data'!$N$4:$N$2342,$D56,'Grid Data'!$O$4:$O$2342,AC$4,'Grid Data'!$M$4:$M$2342,$D$2)*100-AC24, "--")</f>
        <v>--</v>
      </c>
      <c r="AD56" s="5" t="str">
        <f>IF(  AD87&gt;$E$2, SUMIFS(IF($G$2="CPR",'Grid Data'!$V$4:$V$2342,'Grid Data'!$W$4:$W$2342),'Grid Data'!$N$4:$N$2342,$D56,'Grid Data'!$O$4:$O$2342,AD$4,'Grid Data'!$M$4:$M$2342,$D$2)*100-AD24, "--")</f>
        <v>--</v>
      </c>
      <c r="AE56" s="5">
        <f>IF(  AE87&gt;$E$2, SUMIFS(IF($G$2="CPR",'Grid Data'!$V$4:$V$2342,'Grid Data'!$W$4:$W$2342),'Grid Data'!$N$4:$N$2342,$D56,'Grid Data'!$O$4:$O$2342,AE$4,'Grid Data'!$M$4:$M$2342,$D$2)*100-AE24, "--")</f>
        <v>-7.0982000000000003</v>
      </c>
      <c r="AF56" s="5">
        <f>IF(  AF87&gt;$E$2, SUMIFS(IF($G$2="CPR",'Grid Data'!$V$4:$V$2342,'Grid Data'!$W$4:$W$2342),'Grid Data'!$N$4:$N$2342,$D56,'Grid Data'!$O$4:$O$2342,AF$4,'Grid Data'!$M$4:$M$2342,$D$2)*100-AF24, "--")</f>
        <v>-3.3202999999999996</v>
      </c>
      <c r="AG56" s="5">
        <f>IF(  AG87&gt;$E$2, SUMIFS(IF($G$2="CPR",'Grid Data'!$V$4:$V$2342,'Grid Data'!$W$4:$W$2342),'Grid Data'!$N$4:$N$2342,$D56,'Grid Data'!$O$4:$O$2342,AG$4,'Grid Data'!$M$4:$M$2342,$D$2)*100-AG24, "--")</f>
        <v>2.5119000000000007</v>
      </c>
      <c r="AH56" s="5">
        <f>IF(  AH87&gt;$E$2, SUMIFS(IF($G$2="CPR",'Grid Data'!$V$4:$V$2342,'Grid Data'!$W$4:$W$2342),'Grid Data'!$N$4:$N$2342,$D56,'Grid Data'!$O$4:$O$2342,AH$4,'Grid Data'!$M$4:$M$2342,$D$2)*100-AH24, "--")</f>
        <v>-13.654999999999999</v>
      </c>
    </row>
    <row r="57" spans="4:34" x14ac:dyDescent="0.35">
      <c r="D57">
        <v>7000</v>
      </c>
      <c r="E57" s="5">
        <f>IF(  E88&gt;$E$2, SUMIFS(IF($G$2="CPR",'Grid Data'!$V$4:$V$2342,'Grid Data'!$W$4:$W$2342),'Grid Data'!$N$4:$N$2342,$D57,'Grid Data'!$O$4:$O$2342,E$4,'Grid Data'!$M$4:$M$2342,$D$2)*100-E25, "--")</f>
        <v>-3.5622999999999996</v>
      </c>
      <c r="F57" s="5">
        <f>IF(  F88&gt;$E$2, SUMIFS(IF($G$2="CPR",'Grid Data'!$V$4:$V$2342,'Grid Data'!$W$4:$W$2342),'Grid Data'!$N$4:$N$2342,$D57,'Grid Data'!$O$4:$O$2342,F$4,'Grid Data'!$M$4:$M$2342,$D$2)*100-F25, "--")</f>
        <v>6.2200000000000699E-2</v>
      </c>
      <c r="G57" s="5">
        <f>IF(  G88&gt;$E$2, SUMIFS(IF($G$2="CPR",'Grid Data'!$V$4:$V$2342,'Grid Data'!$W$4:$W$2342),'Grid Data'!$N$4:$N$2342,$D57,'Grid Data'!$O$4:$O$2342,G$4,'Grid Data'!$M$4:$M$2342,$D$2)*100-G25, "--")</f>
        <v>-7.40000000000407E-3</v>
      </c>
      <c r="H57" s="5">
        <f>IF(  H88&gt;$E$2, SUMIFS(IF($G$2="CPR",'Grid Data'!$V$4:$V$2342,'Grid Data'!$W$4:$W$2342),'Grid Data'!$N$4:$N$2342,$D57,'Grid Data'!$O$4:$O$2342,H$4,'Grid Data'!$M$4:$M$2342,$D$2)*100-H25, "--")</f>
        <v>5.1316000000000059</v>
      </c>
      <c r="I57" s="5">
        <f>IF(  I88&gt;$E$2, SUMIFS(IF($G$2="CPR",'Grid Data'!$V$4:$V$2342,'Grid Data'!$W$4:$W$2342),'Grid Data'!$N$4:$N$2342,$D57,'Grid Data'!$O$4:$O$2342,I$4,'Grid Data'!$M$4:$M$2342,$D$2)*100-I25, "--")</f>
        <v>9.8689999999999998</v>
      </c>
      <c r="J57" s="5">
        <f>IF(  J88&gt;$E$2, SUMIFS(IF($G$2="CPR",'Grid Data'!$V$4:$V$2342,'Grid Data'!$W$4:$W$2342),'Grid Data'!$N$4:$N$2342,$D57,'Grid Data'!$O$4:$O$2342,J$4,'Grid Data'!$M$4:$M$2342,$D$2)*100-J25, "--")</f>
        <v>-0.32139999999999702</v>
      </c>
      <c r="K57" s="5">
        <f>IF(  K88&gt;$E$2, SUMIFS(IF($G$2="CPR",'Grid Data'!$V$4:$V$2342,'Grid Data'!$W$4:$W$2342),'Grid Data'!$N$4:$N$2342,$D57,'Grid Data'!$O$4:$O$2342,K$4,'Grid Data'!$M$4:$M$2342,$D$2)*100-K25, "--")</f>
        <v>11.391400000000004</v>
      </c>
      <c r="L57" s="5">
        <f>IF(  L88&gt;$E$2, SUMIFS(IF($G$2="CPR",'Grid Data'!$V$4:$V$2342,'Grid Data'!$W$4:$W$2342),'Grid Data'!$N$4:$N$2342,$D57,'Grid Data'!$O$4:$O$2342,L$4,'Grid Data'!$M$4:$M$2342,$D$2)*100-L25, "--")</f>
        <v>-1.7431999999999945</v>
      </c>
      <c r="M57" s="5">
        <f>IF(  M88&gt;$E$2, SUMIFS(IF($G$2="CPR",'Grid Data'!$V$4:$V$2342,'Grid Data'!$W$4:$W$2342),'Grid Data'!$N$4:$N$2342,$D57,'Grid Data'!$O$4:$O$2342,M$4,'Grid Data'!$M$4:$M$2342,$D$2)*100-M25, "--")</f>
        <v>11.328099999999999</v>
      </c>
      <c r="N57" s="5">
        <f>IF(  N88&gt;$E$2, SUMIFS(IF($G$2="CPR",'Grid Data'!$V$4:$V$2342,'Grid Data'!$W$4:$W$2342),'Grid Data'!$N$4:$N$2342,$D57,'Grid Data'!$O$4:$O$2342,N$4,'Grid Data'!$M$4:$M$2342,$D$2)*100-N25, "--")</f>
        <v>-6.3356999999999957</v>
      </c>
      <c r="O57" s="5">
        <f>IF(  O88&gt;$E$2, SUMIFS(IF($G$2="CPR",'Grid Data'!$V$4:$V$2342,'Grid Data'!$W$4:$W$2342),'Grid Data'!$N$4:$N$2342,$D57,'Grid Data'!$O$4:$O$2342,O$4,'Grid Data'!$M$4:$M$2342,$D$2)*100-O25, "--")</f>
        <v>6.0288000000000039</v>
      </c>
      <c r="P57" s="5">
        <f>IF(  P88&gt;$E$2, SUMIFS(IF($G$2="CPR",'Grid Data'!$V$4:$V$2342,'Grid Data'!$W$4:$W$2342),'Grid Data'!$N$4:$N$2342,$D57,'Grid Data'!$O$4:$O$2342,P$4,'Grid Data'!$M$4:$M$2342,$D$2)*100-P25, "--")</f>
        <v>5.412700000000001</v>
      </c>
      <c r="Q57" s="5">
        <f>IF(  Q88&gt;$E$2, SUMIFS(IF($G$2="CPR",'Grid Data'!$V$4:$V$2342,'Grid Data'!$W$4:$W$2342),'Grid Data'!$N$4:$N$2342,$D57,'Grid Data'!$O$4:$O$2342,Q$4,'Grid Data'!$M$4:$M$2342,$D$2)*100-Q25, "--")</f>
        <v>9.2872999999999948</v>
      </c>
      <c r="R57" s="5">
        <f>IF(  R88&gt;$E$2, SUMIFS(IF($G$2="CPR",'Grid Data'!$V$4:$V$2342,'Grid Data'!$W$4:$W$2342),'Grid Data'!$N$4:$N$2342,$D57,'Grid Data'!$O$4:$O$2342,R$4,'Grid Data'!$M$4:$M$2342,$D$2)*100-R25, "--")</f>
        <v>3.9332999999999956</v>
      </c>
      <c r="S57" s="5">
        <f>IF(  S88&gt;$E$2, SUMIFS(IF($G$2="CPR",'Grid Data'!$V$4:$V$2342,'Grid Data'!$W$4:$W$2342),'Grid Data'!$N$4:$N$2342,$D57,'Grid Data'!$O$4:$O$2342,S$4,'Grid Data'!$M$4:$M$2342,$D$2)*100-S25, "--")</f>
        <v>12.685099999999998</v>
      </c>
      <c r="T57" s="5" t="str">
        <f>IF(  T88&gt;$E$2, SUMIFS(IF($G$2="CPR",'Grid Data'!$V$4:$V$2342,'Grid Data'!$W$4:$W$2342),'Grid Data'!$N$4:$N$2342,$D57,'Grid Data'!$O$4:$O$2342,T$4,'Grid Data'!$M$4:$M$2342,$D$2)*100-T25, "--")</f>
        <v>--</v>
      </c>
      <c r="U57" s="5" t="str">
        <f>IF(  U88&gt;$E$2, SUMIFS(IF($G$2="CPR",'Grid Data'!$V$4:$V$2342,'Grid Data'!$W$4:$W$2342),'Grid Data'!$N$4:$N$2342,$D57,'Grid Data'!$O$4:$O$2342,U$4,'Grid Data'!$M$4:$M$2342,$D$2)*100-U25, "--")</f>
        <v>--</v>
      </c>
      <c r="V57" s="5" t="str">
        <f>IF(  V88&gt;$E$2, SUMIFS(IF($G$2="CPR",'Grid Data'!$V$4:$V$2342,'Grid Data'!$W$4:$W$2342),'Grid Data'!$N$4:$N$2342,$D57,'Grid Data'!$O$4:$O$2342,V$4,'Grid Data'!$M$4:$M$2342,$D$2)*100-V25, "--")</f>
        <v>--</v>
      </c>
      <c r="W57" s="5" t="str">
        <f>IF(  W88&gt;$E$2, SUMIFS(IF($G$2="CPR",'Grid Data'!$V$4:$V$2342,'Grid Data'!$W$4:$W$2342),'Grid Data'!$N$4:$N$2342,$D57,'Grid Data'!$O$4:$O$2342,W$4,'Grid Data'!$M$4:$M$2342,$D$2)*100-W25, "--")</f>
        <v>--</v>
      </c>
      <c r="X57" s="5" t="str">
        <f>IF(  X88&gt;$E$2, SUMIFS(IF($G$2="CPR",'Grid Data'!$V$4:$V$2342,'Grid Data'!$W$4:$W$2342),'Grid Data'!$N$4:$N$2342,$D57,'Grid Data'!$O$4:$O$2342,X$4,'Grid Data'!$M$4:$M$2342,$D$2)*100-X25, "--")</f>
        <v>--</v>
      </c>
      <c r="Y57" s="5" t="str">
        <f>IF(  Y88&gt;$E$2, SUMIFS(IF($G$2="CPR",'Grid Data'!$V$4:$V$2342,'Grid Data'!$W$4:$W$2342),'Grid Data'!$N$4:$N$2342,$D57,'Grid Data'!$O$4:$O$2342,Y$4,'Grid Data'!$M$4:$M$2342,$D$2)*100-Y25, "--")</f>
        <v>--</v>
      </c>
      <c r="Z57" s="5" t="str">
        <f>IF(  Z88&gt;$E$2, SUMIFS(IF($G$2="CPR",'Grid Data'!$V$4:$V$2342,'Grid Data'!$W$4:$W$2342),'Grid Data'!$N$4:$N$2342,$D57,'Grid Data'!$O$4:$O$2342,Z$4,'Grid Data'!$M$4:$M$2342,$D$2)*100-Z25, "--")</f>
        <v>--</v>
      </c>
      <c r="AA57" s="5" t="str">
        <f>IF(  AA88&gt;$E$2, SUMIFS(IF($G$2="CPR",'Grid Data'!$V$4:$V$2342,'Grid Data'!$W$4:$W$2342),'Grid Data'!$N$4:$N$2342,$D57,'Grid Data'!$O$4:$O$2342,AA$4,'Grid Data'!$M$4:$M$2342,$D$2)*100-AA25, "--")</f>
        <v>--</v>
      </c>
      <c r="AB57" s="5" t="str">
        <f>IF(  AB88&gt;$E$2, SUMIFS(IF($G$2="CPR",'Grid Data'!$V$4:$V$2342,'Grid Data'!$W$4:$W$2342),'Grid Data'!$N$4:$N$2342,$D57,'Grid Data'!$O$4:$O$2342,AB$4,'Grid Data'!$M$4:$M$2342,$D$2)*100-AB25, "--")</f>
        <v>--</v>
      </c>
      <c r="AC57" s="5" t="str">
        <f>IF(  AC88&gt;$E$2, SUMIFS(IF($G$2="CPR",'Grid Data'!$V$4:$V$2342,'Grid Data'!$W$4:$W$2342),'Grid Data'!$N$4:$N$2342,$D57,'Grid Data'!$O$4:$O$2342,AC$4,'Grid Data'!$M$4:$M$2342,$D$2)*100-AC25, "--")</f>
        <v>--</v>
      </c>
      <c r="AD57" s="5" t="str">
        <f>IF(  AD88&gt;$E$2, SUMIFS(IF($G$2="CPR",'Grid Data'!$V$4:$V$2342,'Grid Data'!$W$4:$W$2342),'Grid Data'!$N$4:$N$2342,$D57,'Grid Data'!$O$4:$O$2342,AD$4,'Grid Data'!$M$4:$M$2342,$D$2)*100-AD25, "--")</f>
        <v>--</v>
      </c>
      <c r="AE57" s="5" t="str">
        <f>IF(  AE88&gt;$E$2, SUMIFS(IF($G$2="CPR",'Grid Data'!$V$4:$V$2342,'Grid Data'!$W$4:$W$2342),'Grid Data'!$N$4:$N$2342,$D57,'Grid Data'!$O$4:$O$2342,AE$4,'Grid Data'!$M$4:$M$2342,$D$2)*100-AE25, "--")</f>
        <v>--</v>
      </c>
      <c r="AF57" s="5">
        <f>IF(  AF88&gt;$E$2, SUMIFS(IF($G$2="CPR",'Grid Data'!$V$4:$V$2342,'Grid Data'!$W$4:$W$2342),'Grid Data'!$N$4:$N$2342,$D57,'Grid Data'!$O$4:$O$2342,AF$4,'Grid Data'!$M$4:$M$2342,$D$2)*100-AF25, "--")</f>
        <v>-1.1557999999999993</v>
      </c>
      <c r="AG57" s="5">
        <f>IF(  AG88&gt;$E$2, SUMIFS(IF($G$2="CPR",'Grid Data'!$V$4:$V$2342,'Grid Data'!$W$4:$W$2342),'Grid Data'!$N$4:$N$2342,$D57,'Grid Data'!$O$4:$O$2342,AG$4,'Grid Data'!$M$4:$M$2342,$D$2)*100-AG25, "--")</f>
        <v>-9.8856999999999999</v>
      </c>
      <c r="AH57" s="5">
        <f>IF(  AH88&gt;$E$2, SUMIFS(IF($G$2="CPR",'Grid Data'!$V$4:$V$2342,'Grid Data'!$W$4:$W$2342),'Grid Data'!$N$4:$N$2342,$D57,'Grid Data'!$O$4:$O$2342,AH$4,'Grid Data'!$M$4:$M$2342,$D$2)*100-AH25, "--")</f>
        <v>-12.279199999999999</v>
      </c>
    </row>
    <row r="58" spans="4:34" x14ac:dyDescent="0.35">
      <c r="D58">
        <v>7250</v>
      </c>
      <c r="E58" s="5">
        <f>IF(  E89&gt;$E$2, SUMIFS(IF($G$2="CPR",'Grid Data'!$V$4:$V$2342,'Grid Data'!$W$4:$W$2342),'Grid Data'!$N$4:$N$2342,$D58,'Grid Data'!$O$4:$O$2342,E$4,'Grid Data'!$M$4:$M$2342,$D$2)*100-E26, "--")</f>
        <v>1.5820999999999992</v>
      </c>
      <c r="F58" s="5">
        <f>IF(  F89&gt;$E$2, SUMIFS(IF($G$2="CPR",'Grid Data'!$V$4:$V$2342,'Grid Data'!$W$4:$W$2342),'Grid Data'!$N$4:$N$2342,$D58,'Grid Data'!$O$4:$O$2342,F$4,'Grid Data'!$M$4:$M$2342,$D$2)*100-F26, "--")</f>
        <v>9.6820000000000022</v>
      </c>
      <c r="G58" s="5">
        <f>IF(  G89&gt;$E$2, SUMIFS(IF($G$2="CPR",'Grid Data'!$V$4:$V$2342,'Grid Data'!$W$4:$W$2342),'Grid Data'!$N$4:$N$2342,$D58,'Grid Data'!$O$4:$O$2342,G$4,'Grid Data'!$M$4:$M$2342,$D$2)*100-G26, "--")</f>
        <v>7.4200000000004707E-2</v>
      </c>
      <c r="H58" s="5">
        <f>IF(  H89&gt;$E$2, SUMIFS(IF($G$2="CPR",'Grid Data'!$V$4:$V$2342,'Grid Data'!$W$4:$W$2342),'Grid Data'!$N$4:$N$2342,$D58,'Grid Data'!$O$4:$O$2342,H$4,'Grid Data'!$M$4:$M$2342,$D$2)*100-H26, "--")</f>
        <v>0.88579999999998904</v>
      </c>
      <c r="I58" s="5">
        <f>IF(  I89&gt;$E$2, SUMIFS(IF($G$2="CPR",'Grid Data'!$V$4:$V$2342,'Grid Data'!$W$4:$W$2342),'Grid Data'!$N$4:$N$2342,$D58,'Grid Data'!$O$4:$O$2342,I$4,'Grid Data'!$M$4:$M$2342,$D$2)*100-I26, "--")</f>
        <v>-4.2343000000000046</v>
      </c>
      <c r="J58" s="5">
        <f>IF(  J89&gt;$E$2, SUMIFS(IF($G$2="CPR",'Grid Data'!$V$4:$V$2342,'Grid Data'!$W$4:$W$2342),'Grid Data'!$N$4:$N$2342,$D58,'Grid Data'!$O$4:$O$2342,J$4,'Grid Data'!$M$4:$M$2342,$D$2)*100-J26, "--")</f>
        <v>10.894699999999993</v>
      </c>
      <c r="K58" s="5">
        <f>IF(  K89&gt;$E$2, SUMIFS(IF($G$2="CPR",'Grid Data'!$V$4:$V$2342,'Grid Data'!$W$4:$W$2342),'Grid Data'!$N$4:$N$2342,$D58,'Grid Data'!$O$4:$O$2342,K$4,'Grid Data'!$M$4:$M$2342,$D$2)*100-K26, "--")</f>
        <v>9.6405999999999992</v>
      </c>
      <c r="L58" s="5">
        <f>IF(  L89&gt;$E$2, SUMIFS(IF($G$2="CPR",'Grid Data'!$V$4:$V$2342,'Grid Data'!$W$4:$W$2342),'Grid Data'!$N$4:$N$2342,$D58,'Grid Data'!$O$4:$O$2342,L$4,'Grid Data'!$M$4:$M$2342,$D$2)*100-L26, "--")</f>
        <v>17.586499999999994</v>
      </c>
      <c r="M58" s="5">
        <f>IF(  M89&gt;$E$2, SUMIFS(IF($G$2="CPR",'Grid Data'!$V$4:$V$2342,'Grid Data'!$W$4:$W$2342),'Grid Data'!$N$4:$N$2342,$D58,'Grid Data'!$O$4:$O$2342,M$4,'Grid Data'!$M$4:$M$2342,$D$2)*100-M26, "--")</f>
        <v>-1.901600000000002</v>
      </c>
      <c r="N58" s="5">
        <f>IF(  N89&gt;$E$2, SUMIFS(IF($G$2="CPR",'Grid Data'!$V$4:$V$2342,'Grid Data'!$W$4:$W$2342),'Grid Data'!$N$4:$N$2342,$D58,'Grid Data'!$O$4:$O$2342,N$4,'Grid Data'!$M$4:$M$2342,$D$2)*100-N26, "--")</f>
        <v>4.4587000000000003</v>
      </c>
      <c r="O58" s="5">
        <f>IF(  O89&gt;$E$2, SUMIFS(IF($G$2="CPR",'Grid Data'!$V$4:$V$2342,'Grid Data'!$W$4:$W$2342),'Grid Data'!$N$4:$N$2342,$D58,'Grid Data'!$O$4:$O$2342,O$4,'Grid Data'!$M$4:$M$2342,$D$2)*100-O26, "--")</f>
        <v>0.46940000000000026</v>
      </c>
      <c r="P58" s="5">
        <f>IF(  P89&gt;$E$2, SUMIFS(IF($G$2="CPR",'Grid Data'!$V$4:$V$2342,'Grid Data'!$W$4:$W$2342),'Grid Data'!$N$4:$N$2342,$D58,'Grid Data'!$O$4:$O$2342,P$4,'Grid Data'!$M$4:$M$2342,$D$2)*100-P26, "--")</f>
        <v>6.7522999999999982</v>
      </c>
      <c r="Q58" s="5">
        <f>IF(  Q89&gt;$E$2, SUMIFS(IF($G$2="CPR",'Grid Data'!$V$4:$V$2342,'Grid Data'!$W$4:$W$2342),'Grid Data'!$N$4:$N$2342,$D58,'Grid Data'!$O$4:$O$2342,Q$4,'Grid Data'!$M$4:$M$2342,$D$2)*100-Q26, "--")</f>
        <v>3.5497999999999976</v>
      </c>
      <c r="R58" s="5">
        <f>IF(  R89&gt;$E$2, SUMIFS(IF($G$2="CPR",'Grid Data'!$V$4:$V$2342,'Grid Data'!$W$4:$W$2342),'Grid Data'!$N$4:$N$2342,$D58,'Grid Data'!$O$4:$O$2342,R$4,'Grid Data'!$M$4:$M$2342,$D$2)*100-R26, "--")</f>
        <v>0.1103999999999985</v>
      </c>
      <c r="S58" s="5">
        <f>IF(  S89&gt;$E$2, SUMIFS(IF($G$2="CPR",'Grid Data'!$V$4:$V$2342,'Grid Data'!$W$4:$W$2342),'Grid Data'!$N$4:$N$2342,$D58,'Grid Data'!$O$4:$O$2342,S$4,'Grid Data'!$M$4:$M$2342,$D$2)*100-S26, "--")</f>
        <v>5.0385000000000062</v>
      </c>
      <c r="T58" s="5" t="str">
        <f>IF(  T89&gt;$E$2, SUMIFS(IF($G$2="CPR",'Grid Data'!$V$4:$V$2342,'Grid Data'!$W$4:$W$2342),'Grid Data'!$N$4:$N$2342,$D58,'Grid Data'!$O$4:$O$2342,T$4,'Grid Data'!$M$4:$M$2342,$D$2)*100-T26, "--")</f>
        <v>--</v>
      </c>
      <c r="U58" s="5" t="str">
        <f>IF(  U89&gt;$E$2, SUMIFS(IF($G$2="CPR",'Grid Data'!$V$4:$V$2342,'Grid Data'!$W$4:$W$2342),'Grid Data'!$N$4:$N$2342,$D58,'Grid Data'!$O$4:$O$2342,U$4,'Grid Data'!$M$4:$M$2342,$D$2)*100-U26, "--")</f>
        <v>--</v>
      </c>
      <c r="V58" s="5" t="str">
        <f>IF(  V89&gt;$E$2, SUMIFS(IF($G$2="CPR",'Grid Data'!$V$4:$V$2342,'Grid Data'!$W$4:$W$2342),'Grid Data'!$N$4:$N$2342,$D58,'Grid Data'!$O$4:$O$2342,V$4,'Grid Data'!$M$4:$M$2342,$D$2)*100-V26, "--")</f>
        <v>--</v>
      </c>
      <c r="W58" s="5" t="str">
        <f>IF(  W89&gt;$E$2, SUMIFS(IF($G$2="CPR",'Grid Data'!$V$4:$V$2342,'Grid Data'!$W$4:$W$2342),'Grid Data'!$N$4:$N$2342,$D58,'Grid Data'!$O$4:$O$2342,W$4,'Grid Data'!$M$4:$M$2342,$D$2)*100-W26, "--")</f>
        <v>--</v>
      </c>
      <c r="X58" s="5" t="str">
        <f>IF(  X89&gt;$E$2, SUMIFS(IF($G$2="CPR",'Grid Data'!$V$4:$V$2342,'Grid Data'!$W$4:$W$2342),'Grid Data'!$N$4:$N$2342,$D58,'Grid Data'!$O$4:$O$2342,X$4,'Grid Data'!$M$4:$M$2342,$D$2)*100-X26, "--")</f>
        <v>--</v>
      </c>
      <c r="Y58" s="5" t="str">
        <f>IF(  Y89&gt;$E$2, SUMIFS(IF($G$2="CPR",'Grid Data'!$V$4:$V$2342,'Grid Data'!$W$4:$W$2342),'Grid Data'!$N$4:$N$2342,$D58,'Grid Data'!$O$4:$O$2342,Y$4,'Grid Data'!$M$4:$M$2342,$D$2)*100-Y26, "--")</f>
        <v>--</v>
      </c>
      <c r="Z58" s="5" t="str">
        <f>IF(  Z89&gt;$E$2, SUMIFS(IF($G$2="CPR",'Grid Data'!$V$4:$V$2342,'Grid Data'!$W$4:$W$2342),'Grid Data'!$N$4:$N$2342,$D58,'Grid Data'!$O$4:$O$2342,Z$4,'Grid Data'!$M$4:$M$2342,$D$2)*100-Z26, "--")</f>
        <v>--</v>
      </c>
      <c r="AA58" s="5" t="str">
        <f>IF(  AA89&gt;$E$2, SUMIFS(IF($G$2="CPR",'Grid Data'!$V$4:$V$2342,'Grid Data'!$W$4:$W$2342),'Grid Data'!$N$4:$N$2342,$D58,'Grid Data'!$O$4:$O$2342,AA$4,'Grid Data'!$M$4:$M$2342,$D$2)*100-AA26, "--")</f>
        <v>--</v>
      </c>
      <c r="AB58" s="5" t="str">
        <f>IF(  AB89&gt;$E$2, SUMIFS(IF($G$2="CPR",'Grid Data'!$V$4:$V$2342,'Grid Data'!$W$4:$W$2342),'Grid Data'!$N$4:$N$2342,$D58,'Grid Data'!$O$4:$O$2342,AB$4,'Grid Data'!$M$4:$M$2342,$D$2)*100-AB26, "--")</f>
        <v>--</v>
      </c>
      <c r="AC58" s="5" t="str">
        <f>IF(  AC89&gt;$E$2, SUMIFS(IF($G$2="CPR",'Grid Data'!$V$4:$V$2342,'Grid Data'!$W$4:$W$2342),'Grid Data'!$N$4:$N$2342,$D58,'Grid Data'!$O$4:$O$2342,AC$4,'Grid Data'!$M$4:$M$2342,$D$2)*100-AC26, "--")</f>
        <v>--</v>
      </c>
      <c r="AD58" s="5" t="str">
        <f>IF(  AD89&gt;$E$2, SUMIFS(IF($G$2="CPR",'Grid Data'!$V$4:$V$2342,'Grid Data'!$W$4:$W$2342),'Grid Data'!$N$4:$N$2342,$D58,'Grid Data'!$O$4:$O$2342,AD$4,'Grid Data'!$M$4:$M$2342,$D$2)*100-AD26, "--")</f>
        <v>--</v>
      </c>
      <c r="AE58" s="5" t="str">
        <f>IF(  AE89&gt;$E$2, SUMIFS(IF($G$2="CPR",'Grid Data'!$V$4:$V$2342,'Grid Data'!$W$4:$W$2342),'Grid Data'!$N$4:$N$2342,$D58,'Grid Data'!$O$4:$O$2342,AE$4,'Grid Data'!$M$4:$M$2342,$D$2)*100-AE26, "--")</f>
        <v>--</v>
      </c>
      <c r="AF58" s="5" t="str">
        <f>IF(  AF89&gt;$E$2, SUMIFS(IF($G$2="CPR",'Grid Data'!$V$4:$V$2342,'Grid Data'!$W$4:$W$2342),'Grid Data'!$N$4:$N$2342,$D58,'Grid Data'!$O$4:$O$2342,AF$4,'Grid Data'!$M$4:$M$2342,$D$2)*100-AF26, "--")</f>
        <v>--</v>
      </c>
      <c r="AG58" s="5">
        <f>IF(  AG89&gt;$E$2, SUMIFS(IF($G$2="CPR",'Grid Data'!$V$4:$V$2342,'Grid Data'!$W$4:$W$2342),'Grid Data'!$N$4:$N$2342,$D58,'Grid Data'!$O$4:$O$2342,AG$4,'Grid Data'!$M$4:$M$2342,$D$2)*100-AG26, "--")</f>
        <v>-6.6648999999999994</v>
      </c>
      <c r="AH58" s="5">
        <f>IF(  AH89&gt;$E$2, SUMIFS(IF($G$2="CPR",'Grid Data'!$V$4:$V$2342,'Grid Data'!$W$4:$W$2342),'Grid Data'!$N$4:$N$2342,$D58,'Grid Data'!$O$4:$O$2342,AH$4,'Grid Data'!$M$4:$M$2342,$D$2)*100-AH26, "--")</f>
        <v>-12.855</v>
      </c>
    </row>
    <row r="59" spans="4:34" x14ac:dyDescent="0.35">
      <c r="D59">
        <v>7500</v>
      </c>
      <c r="E59" s="5">
        <f>IF(  E90&gt;$E$2, SUMIFS(IF($G$2="CPR",'Grid Data'!$V$4:$V$2342,'Grid Data'!$W$4:$W$2342),'Grid Data'!$N$4:$N$2342,$D59,'Grid Data'!$O$4:$O$2342,E$4,'Grid Data'!$M$4:$M$2342,$D$2)*100-E27, "--")</f>
        <v>2.3536999999999995</v>
      </c>
      <c r="F59" s="5">
        <f>IF(  F90&gt;$E$2, SUMIFS(IF($G$2="CPR",'Grid Data'!$V$4:$V$2342,'Grid Data'!$W$4:$W$2342),'Grid Data'!$N$4:$N$2342,$D59,'Grid Data'!$O$4:$O$2342,F$4,'Grid Data'!$M$4:$M$2342,$D$2)*100-F27, "--")</f>
        <v>6.8720000000000008</v>
      </c>
      <c r="G59" s="5">
        <f>IF(  G90&gt;$E$2, SUMIFS(IF($G$2="CPR",'Grid Data'!$V$4:$V$2342,'Grid Data'!$W$4:$W$2342),'Grid Data'!$N$4:$N$2342,$D59,'Grid Data'!$O$4:$O$2342,G$4,'Grid Data'!$M$4:$M$2342,$D$2)*100-G27, "--")</f>
        <v>-4.039999999999111E-2</v>
      </c>
      <c r="H59" s="5">
        <f>IF(  H90&gt;$E$2, SUMIFS(IF($G$2="CPR",'Grid Data'!$V$4:$V$2342,'Grid Data'!$W$4:$W$2342),'Grid Data'!$N$4:$N$2342,$D59,'Grid Data'!$O$4:$O$2342,H$4,'Grid Data'!$M$4:$M$2342,$D$2)*100-H27, "--")</f>
        <v>-1.493300000000005</v>
      </c>
      <c r="I59" s="5">
        <f>IF(  I90&gt;$E$2, SUMIFS(IF($G$2="CPR",'Grid Data'!$V$4:$V$2342,'Grid Data'!$W$4:$W$2342),'Grid Data'!$N$4:$N$2342,$D59,'Grid Data'!$O$4:$O$2342,I$4,'Grid Data'!$M$4:$M$2342,$D$2)*100-I27, "--")</f>
        <v>4.2815999999999832</v>
      </c>
      <c r="J59" s="5">
        <f>IF(  J90&gt;$E$2, SUMIFS(IF($G$2="CPR",'Grid Data'!$V$4:$V$2342,'Grid Data'!$W$4:$W$2342),'Grid Data'!$N$4:$N$2342,$D59,'Grid Data'!$O$4:$O$2342,J$4,'Grid Data'!$M$4:$M$2342,$D$2)*100-J27, "--")</f>
        <v>-8.5681999999999903</v>
      </c>
      <c r="K59" s="5">
        <f>IF(  K90&gt;$E$2, SUMIFS(IF($G$2="CPR",'Grid Data'!$V$4:$V$2342,'Grid Data'!$W$4:$W$2342),'Grid Data'!$N$4:$N$2342,$D59,'Grid Data'!$O$4:$O$2342,K$4,'Grid Data'!$M$4:$M$2342,$D$2)*100-K27, "--")</f>
        <v>-0.50520000000000209</v>
      </c>
      <c r="L59" s="5">
        <f>IF(  L90&gt;$E$2, SUMIFS(IF($G$2="CPR",'Grid Data'!$V$4:$V$2342,'Grid Data'!$W$4:$W$2342),'Grid Data'!$N$4:$N$2342,$D59,'Grid Data'!$O$4:$O$2342,L$4,'Grid Data'!$M$4:$M$2342,$D$2)*100-L27, "--")</f>
        <v>0.98029999999999973</v>
      </c>
      <c r="M59" s="5">
        <f>IF(  M90&gt;$E$2, SUMIFS(IF($G$2="CPR",'Grid Data'!$V$4:$V$2342,'Grid Data'!$W$4:$W$2342),'Grid Data'!$N$4:$N$2342,$D59,'Grid Data'!$O$4:$O$2342,M$4,'Grid Data'!$M$4:$M$2342,$D$2)*100-M27, "--")</f>
        <v>0.28300000000000125</v>
      </c>
      <c r="N59" s="5">
        <f>IF(  N90&gt;$E$2, SUMIFS(IF($G$2="CPR",'Grid Data'!$V$4:$V$2342,'Grid Data'!$W$4:$W$2342),'Grid Data'!$N$4:$N$2342,$D59,'Grid Data'!$O$4:$O$2342,N$4,'Grid Data'!$M$4:$M$2342,$D$2)*100-N27, "--")</f>
        <v>0.58009999999999451</v>
      </c>
      <c r="O59" s="5">
        <f>IF(  O90&gt;$E$2, SUMIFS(IF($G$2="CPR",'Grid Data'!$V$4:$V$2342,'Grid Data'!$W$4:$W$2342),'Grid Data'!$N$4:$N$2342,$D59,'Grid Data'!$O$4:$O$2342,O$4,'Grid Data'!$M$4:$M$2342,$D$2)*100-O27, "--")</f>
        <v>-9.2543000000000006</v>
      </c>
      <c r="P59" s="5">
        <f>IF(  P90&gt;$E$2, SUMIFS(IF($G$2="CPR",'Grid Data'!$V$4:$V$2342,'Grid Data'!$W$4:$W$2342),'Grid Data'!$N$4:$N$2342,$D59,'Grid Data'!$O$4:$O$2342,P$4,'Grid Data'!$M$4:$M$2342,$D$2)*100-P27, "--")</f>
        <v>-3.9029999999999987</v>
      </c>
      <c r="Q59" s="5">
        <f>IF(  Q90&gt;$E$2, SUMIFS(IF($G$2="CPR",'Grid Data'!$V$4:$V$2342,'Grid Data'!$W$4:$W$2342),'Grid Data'!$N$4:$N$2342,$D59,'Grid Data'!$O$4:$O$2342,Q$4,'Grid Data'!$M$4:$M$2342,$D$2)*100-Q27, "--")</f>
        <v>2.5831000000000017</v>
      </c>
      <c r="R59" s="5">
        <f>IF(  R90&gt;$E$2, SUMIFS(IF($G$2="CPR",'Grid Data'!$V$4:$V$2342,'Grid Data'!$W$4:$W$2342),'Grid Data'!$N$4:$N$2342,$D59,'Grid Data'!$O$4:$O$2342,R$4,'Grid Data'!$M$4:$M$2342,$D$2)*100-R27, "--")</f>
        <v>-1.9331999999999994</v>
      </c>
      <c r="S59" s="5">
        <f>IF(  S90&gt;$E$2, SUMIFS(IF($G$2="CPR",'Grid Data'!$V$4:$V$2342,'Grid Data'!$W$4:$W$2342),'Grid Data'!$N$4:$N$2342,$D59,'Grid Data'!$O$4:$O$2342,S$4,'Grid Data'!$M$4:$M$2342,$D$2)*100-S27, "--")</f>
        <v>-15.770900000000001</v>
      </c>
      <c r="T59" s="5" t="str">
        <f>IF(  T90&gt;$E$2, SUMIFS(IF($G$2="CPR",'Grid Data'!$V$4:$V$2342,'Grid Data'!$W$4:$W$2342),'Grid Data'!$N$4:$N$2342,$D59,'Grid Data'!$O$4:$O$2342,T$4,'Grid Data'!$M$4:$M$2342,$D$2)*100-T27, "--")</f>
        <v>--</v>
      </c>
      <c r="U59" s="5" t="str">
        <f>IF(  U90&gt;$E$2, SUMIFS(IF($G$2="CPR",'Grid Data'!$V$4:$V$2342,'Grid Data'!$W$4:$W$2342),'Grid Data'!$N$4:$N$2342,$D59,'Grid Data'!$O$4:$O$2342,U$4,'Grid Data'!$M$4:$M$2342,$D$2)*100-U27, "--")</f>
        <v>--</v>
      </c>
      <c r="V59" s="5" t="str">
        <f>IF(  V90&gt;$E$2, SUMIFS(IF($G$2="CPR",'Grid Data'!$V$4:$V$2342,'Grid Data'!$W$4:$W$2342),'Grid Data'!$N$4:$N$2342,$D59,'Grid Data'!$O$4:$O$2342,V$4,'Grid Data'!$M$4:$M$2342,$D$2)*100-V27, "--")</f>
        <v>--</v>
      </c>
      <c r="W59" s="5" t="str">
        <f>IF(  W90&gt;$E$2, SUMIFS(IF($G$2="CPR",'Grid Data'!$V$4:$V$2342,'Grid Data'!$W$4:$W$2342),'Grid Data'!$N$4:$N$2342,$D59,'Grid Data'!$O$4:$O$2342,W$4,'Grid Data'!$M$4:$M$2342,$D$2)*100-W27, "--")</f>
        <v>--</v>
      </c>
      <c r="X59" s="5" t="str">
        <f>IF(  X90&gt;$E$2, SUMIFS(IF($G$2="CPR",'Grid Data'!$V$4:$V$2342,'Grid Data'!$W$4:$W$2342),'Grid Data'!$N$4:$N$2342,$D59,'Grid Data'!$O$4:$O$2342,X$4,'Grid Data'!$M$4:$M$2342,$D$2)*100-X27, "--")</f>
        <v>--</v>
      </c>
      <c r="Y59" s="5" t="str">
        <f>IF(  Y90&gt;$E$2, SUMIFS(IF($G$2="CPR",'Grid Data'!$V$4:$V$2342,'Grid Data'!$W$4:$W$2342),'Grid Data'!$N$4:$N$2342,$D59,'Grid Data'!$O$4:$O$2342,Y$4,'Grid Data'!$M$4:$M$2342,$D$2)*100-Y27, "--")</f>
        <v>--</v>
      </c>
      <c r="Z59" s="5" t="str">
        <f>IF(  Z90&gt;$E$2, SUMIFS(IF($G$2="CPR",'Grid Data'!$V$4:$V$2342,'Grid Data'!$W$4:$W$2342),'Grid Data'!$N$4:$N$2342,$D59,'Grid Data'!$O$4:$O$2342,Z$4,'Grid Data'!$M$4:$M$2342,$D$2)*100-Z27, "--")</f>
        <v>--</v>
      </c>
      <c r="AA59" s="5" t="str">
        <f>IF(  AA90&gt;$E$2, SUMIFS(IF($G$2="CPR",'Grid Data'!$V$4:$V$2342,'Grid Data'!$W$4:$W$2342),'Grid Data'!$N$4:$N$2342,$D59,'Grid Data'!$O$4:$O$2342,AA$4,'Grid Data'!$M$4:$M$2342,$D$2)*100-AA27, "--")</f>
        <v>--</v>
      </c>
      <c r="AB59" s="5" t="str">
        <f>IF(  AB90&gt;$E$2, SUMIFS(IF($G$2="CPR",'Grid Data'!$V$4:$V$2342,'Grid Data'!$W$4:$W$2342),'Grid Data'!$N$4:$N$2342,$D59,'Grid Data'!$O$4:$O$2342,AB$4,'Grid Data'!$M$4:$M$2342,$D$2)*100-AB27, "--")</f>
        <v>--</v>
      </c>
      <c r="AC59" s="5" t="str">
        <f>IF(  AC90&gt;$E$2, SUMIFS(IF($G$2="CPR",'Grid Data'!$V$4:$V$2342,'Grid Data'!$W$4:$W$2342),'Grid Data'!$N$4:$N$2342,$D59,'Grid Data'!$O$4:$O$2342,AC$4,'Grid Data'!$M$4:$M$2342,$D$2)*100-AC27, "--")</f>
        <v>--</v>
      </c>
      <c r="AD59" s="5" t="str">
        <f>IF(  AD90&gt;$E$2, SUMIFS(IF($G$2="CPR",'Grid Data'!$V$4:$V$2342,'Grid Data'!$W$4:$W$2342),'Grid Data'!$N$4:$N$2342,$D59,'Grid Data'!$O$4:$O$2342,AD$4,'Grid Data'!$M$4:$M$2342,$D$2)*100-AD27, "--")</f>
        <v>--</v>
      </c>
      <c r="AE59" s="5" t="str">
        <f>IF(  AE90&gt;$E$2, SUMIFS(IF($G$2="CPR",'Grid Data'!$V$4:$V$2342,'Grid Data'!$W$4:$W$2342),'Grid Data'!$N$4:$N$2342,$D59,'Grid Data'!$O$4:$O$2342,AE$4,'Grid Data'!$M$4:$M$2342,$D$2)*100-AE27, "--")</f>
        <v>--</v>
      </c>
      <c r="AF59" s="5" t="str">
        <f>IF(  AF90&gt;$E$2, SUMIFS(IF($G$2="CPR",'Grid Data'!$V$4:$V$2342,'Grid Data'!$W$4:$W$2342),'Grid Data'!$N$4:$N$2342,$D59,'Grid Data'!$O$4:$O$2342,AF$4,'Grid Data'!$M$4:$M$2342,$D$2)*100-AF27, "--")</f>
        <v>--</v>
      </c>
      <c r="AG59" s="5">
        <f>IF(  AG90&gt;$E$2, SUMIFS(IF($G$2="CPR",'Grid Data'!$V$4:$V$2342,'Grid Data'!$W$4:$W$2342),'Grid Data'!$N$4:$N$2342,$D59,'Grid Data'!$O$4:$O$2342,AG$4,'Grid Data'!$M$4:$M$2342,$D$2)*100-AG27, "--")</f>
        <v>-4.9362000000000004</v>
      </c>
      <c r="AH59" s="5">
        <f>IF(  AH90&gt;$E$2, SUMIFS(IF($G$2="CPR",'Grid Data'!$V$4:$V$2342,'Grid Data'!$W$4:$W$2342),'Grid Data'!$N$4:$N$2342,$D59,'Grid Data'!$O$4:$O$2342,AH$4,'Grid Data'!$M$4:$M$2342,$D$2)*100-AH27, "--")</f>
        <v>-14.911799999999999</v>
      </c>
    </row>
    <row r="60" spans="4:34" x14ac:dyDescent="0.35">
      <c r="D60">
        <v>7750</v>
      </c>
      <c r="E60" s="5">
        <f>IF(  E91&gt;$E$2, SUMIFS(IF($G$2="CPR",'Grid Data'!$V$4:$V$2342,'Grid Data'!$W$4:$W$2342),'Grid Data'!$N$4:$N$2342,$D60,'Grid Data'!$O$4:$O$2342,E$4,'Grid Data'!$M$4:$M$2342,$D$2)*100-E28, "--")</f>
        <v>4.3461999999999996</v>
      </c>
      <c r="F60" s="5">
        <f>IF(  F91&gt;$E$2, SUMIFS(IF($G$2="CPR",'Grid Data'!$V$4:$V$2342,'Grid Data'!$W$4:$W$2342),'Grid Data'!$N$4:$N$2342,$D60,'Grid Data'!$O$4:$O$2342,F$4,'Grid Data'!$M$4:$M$2342,$D$2)*100-F28, "--")</f>
        <v>-17.558900000000001</v>
      </c>
      <c r="G60" s="5">
        <f>IF(  G91&gt;$E$2, SUMIFS(IF($G$2="CPR",'Grid Data'!$V$4:$V$2342,'Grid Data'!$W$4:$W$2342),'Grid Data'!$N$4:$N$2342,$D60,'Grid Data'!$O$4:$O$2342,G$4,'Grid Data'!$M$4:$M$2342,$D$2)*100-G28, "--")</f>
        <v>6.069999999999709E-2</v>
      </c>
      <c r="H60" s="5">
        <f>IF(  H91&gt;$E$2, SUMIFS(IF($G$2="CPR",'Grid Data'!$V$4:$V$2342,'Grid Data'!$W$4:$W$2342),'Grid Data'!$N$4:$N$2342,$D60,'Grid Data'!$O$4:$O$2342,H$4,'Grid Data'!$M$4:$M$2342,$D$2)*100-H28, "--")</f>
        <v>4.3477000000000032</v>
      </c>
      <c r="I60" s="5">
        <f>IF(  I91&gt;$E$2, SUMIFS(IF($G$2="CPR",'Grid Data'!$V$4:$V$2342,'Grid Data'!$W$4:$W$2342),'Grid Data'!$N$4:$N$2342,$D60,'Grid Data'!$O$4:$O$2342,I$4,'Grid Data'!$M$4:$M$2342,$D$2)*100-I28, "--")</f>
        <v>9.8700999999999937</v>
      </c>
      <c r="J60" s="5">
        <f>IF(  J91&gt;$E$2, SUMIFS(IF($G$2="CPR",'Grid Data'!$V$4:$V$2342,'Grid Data'!$W$4:$W$2342),'Grid Data'!$N$4:$N$2342,$D60,'Grid Data'!$O$4:$O$2342,J$4,'Grid Data'!$M$4:$M$2342,$D$2)*100-J28, "--")</f>
        <v>-6.3859999999999886</v>
      </c>
      <c r="K60" s="5">
        <f>IF(  K91&gt;$E$2, SUMIFS(IF($G$2="CPR",'Grid Data'!$V$4:$V$2342,'Grid Data'!$W$4:$W$2342),'Grid Data'!$N$4:$N$2342,$D60,'Grid Data'!$O$4:$O$2342,K$4,'Grid Data'!$M$4:$M$2342,$D$2)*100-K28, "--")</f>
        <v>-2.890900000000002</v>
      </c>
      <c r="L60" s="5">
        <f>IF(  L91&gt;$E$2, SUMIFS(IF($G$2="CPR",'Grid Data'!$V$4:$V$2342,'Grid Data'!$W$4:$W$2342),'Grid Data'!$N$4:$N$2342,$D60,'Grid Data'!$O$4:$O$2342,L$4,'Grid Data'!$M$4:$M$2342,$D$2)*100-L28, "--")</f>
        <v>8.0626999999999995</v>
      </c>
      <c r="M60" s="5">
        <f>IF(  M91&gt;$E$2, SUMIFS(IF($G$2="CPR",'Grid Data'!$V$4:$V$2342,'Grid Data'!$W$4:$W$2342),'Grid Data'!$N$4:$N$2342,$D60,'Grid Data'!$O$4:$O$2342,M$4,'Grid Data'!$M$4:$M$2342,$D$2)*100-M28, "--")</f>
        <v>14.790399999999998</v>
      </c>
      <c r="N60" s="5">
        <f>IF(  N91&gt;$E$2, SUMIFS(IF($G$2="CPR",'Grid Data'!$V$4:$V$2342,'Grid Data'!$W$4:$W$2342),'Grid Data'!$N$4:$N$2342,$D60,'Grid Data'!$O$4:$O$2342,N$4,'Grid Data'!$M$4:$M$2342,$D$2)*100-N28, "--")</f>
        <v>21.8887</v>
      </c>
      <c r="O60" s="5">
        <f>IF(  O91&gt;$E$2, SUMIFS(IF($G$2="CPR",'Grid Data'!$V$4:$V$2342,'Grid Data'!$W$4:$W$2342),'Grid Data'!$N$4:$N$2342,$D60,'Grid Data'!$O$4:$O$2342,O$4,'Grid Data'!$M$4:$M$2342,$D$2)*100-O28, "--")</f>
        <v>24.351400000000002</v>
      </c>
      <c r="P60" s="5">
        <f>IF(  P91&gt;$E$2, SUMIFS(IF($G$2="CPR",'Grid Data'!$V$4:$V$2342,'Grid Data'!$W$4:$W$2342),'Grid Data'!$N$4:$N$2342,$D60,'Grid Data'!$O$4:$O$2342,P$4,'Grid Data'!$M$4:$M$2342,$D$2)*100-P28, "--")</f>
        <v>2.4553999999999974</v>
      </c>
      <c r="Q60" s="5">
        <f>IF(  Q91&gt;$E$2, SUMIFS(IF($G$2="CPR",'Grid Data'!$V$4:$V$2342,'Grid Data'!$W$4:$W$2342),'Grid Data'!$N$4:$N$2342,$D60,'Grid Data'!$O$4:$O$2342,Q$4,'Grid Data'!$M$4:$M$2342,$D$2)*100-Q28, "--")</f>
        <v>-3.5920000000000059</v>
      </c>
      <c r="R60" s="5">
        <f>IF(  R91&gt;$E$2, SUMIFS(IF($G$2="CPR",'Grid Data'!$V$4:$V$2342,'Grid Data'!$W$4:$W$2342),'Grid Data'!$N$4:$N$2342,$D60,'Grid Data'!$O$4:$O$2342,R$4,'Grid Data'!$M$4:$M$2342,$D$2)*100-R28, "--")</f>
        <v>-11.926000000000009</v>
      </c>
      <c r="S60" s="5">
        <f>IF(  S91&gt;$E$2, SUMIFS(IF($G$2="CPR",'Grid Data'!$V$4:$V$2342,'Grid Data'!$W$4:$W$2342),'Grid Data'!$N$4:$N$2342,$D60,'Grid Data'!$O$4:$O$2342,S$4,'Grid Data'!$M$4:$M$2342,$D$2)*100-S28, "--")</f>
        <v>-3.8266000000000062</v>
      </c>
      <c r="T60" s="5" t="str">
        <f>IF(  T91&gt;$E$2, SUMIFS(IF($G$2="CPR",'Grid Data'!$V$4:$V$2342,'Grid Data'!$W$4:$W$2342),'Grid Data'!$N$4:$N$2342,$D60,'Grid Data'!$O$4:$O$2342,T$4,'Grid Data'!$M$4:$M$2342,$D$2)*100-T28, "--")</f>
        <v>--</v>
      </c>
      <c r="U60" s="5" t="str">
        <f>IF(  U91&gt;$E$2, SUMIFS(IF($G$2="CPR",'Grid Data'!$V$4:$V$2342,'Grid Data'!$W$4:$W$2342),'Grid Data'!$N$4:$N$2342,$D60,'Grid Data'!$O$4:$O$2342,U$4,'Grid Data'!$M$4:$M$2342,$D$2)*100-U28, "--")</f>
        <v>--</v>
      </c>
      <c r="V60" s="5" t="str">
        <f>IF(  V91&gt;$E$2, SUMIFS(IF($G$2="CPR",'Grid Data'!$V$4:$V$2342,'Grid Data'!$W$4:$W$2342),'Grid Data'!$N$4:$N$2342,$D60,'Grid Data'!$O$4:$O$2342,V$4,'Grid Data'!$M$4:$M$2342,$D$2)*100-V28, "--")</f>
        <v>--</v>
      </c>
      <c r="W60" s="5" t="str">
        <f>IF(  W91&gt;$E$2, SUMIFS(IF($G$2="CPR",'Grid Data'!$V$4:$V$2342,'Grid Data'!$W$4:$W$2342),'Grid Data'!$N$4:$N$2342,$D60,'Grid Data'!$O$4:$O$2342,W$4,'Grid Data'!$M$4:$M$2342,$D$2)*100-W28, "--")</f>
        <v>--</v>
      </c>
      <c r="X60" s="5" t="str">
        <f>IF(  X91&gt;$E$2, SUMIFS(IF($G$2="CPR",'Grid Data'!$V$4:$V$2342,'Grid Data'!$W$4:$W$2342),'Grid Data'!$N$4:$N$2342,$D60,'Grid Data'!$O$4:$O$2342,X$4,'Grid Data'!$M$4:$M$2342,$D$2)*100-X28, "--")</f>
        <v>--</v>
      </c>
      <c r="Y60" s="5" t="str">
        <f>IF(  Y91&gt;$E$2, SUMIFS(IF($G$2="CPR",'Grid Data'!$V$4:$V$2342,'Grid Data'!$W$4:$W$2342),'Grid Data'!$N$4:$N$2342,$D60,'Grid Data'!$O$4:$O$2342,Y$4,'Grid Data'!$M$4:$M$2342,$D$2)*100-Y28, "--")</f>
        <v>--</v>
      </c>
      <c r="Z60" s="5" t="str">
        <f>IF(  Z91&gt;$E$2, SUMIFS(IF($G$2="CPR",'Grid Data'!$V$4:$V$2342,'Grid Data'!$W$4:$W$2342),'Grid Data'!$N$4:$N$2342,$D60,'Grid Data'!$O$4:$O$2342,Z$4,'Grid Data'!$M$4:$M$2342,$D$2)*100-Z28, "--")</f>
        <v>--</v>
      </c>
      <c r="AA60" s="5" t="str">
        <f>IF(  AA91&gt;$E$2, SUMIFS(IF($G$2="CPR",'Grid Data'!$V$4:$V$2342,'Grid Data'!$W$4:$W$2342),'Grid Data'!$N$4:$N$2342,$D60,'Grid Data'!$O$4:$O$2342,AA$4,'Grid Data'!$M$4:$M$2342,$D$2)*100-AA28, "--")</f>
        <v>--</v>
      </c>
      <c r="AB60" s="5" t="str">
        <f>IF(  AB91&gt;$E$2, SUMIFS(IF($G$2="CPR",'Grid Data'!$V$4:$V$2342,'Grid Data'!$W$4:$W$2342),'Grid Data'!$N$4:$N$2342,$D60,'Grid Data'!$O$4:$O$2342,AB$4,'Grid Data'!$M$4:$M$2342,$D$2)*100-AB28, "--")</f>
        <v>--</v>
      </c>
      <c r="AC60" s="5" t="str">
        <f>IF(  AC91&gt;$E$2, SUMIFS(IF($G$2="CPR",'Grid Data'!$V$4:$V$2342,'Grid Data'!$W$4:$W$2342),'Grid Data'!$N$4:$N$2342,$D60,'Grid Data'!$O$4:$O$2342,AC$4,'Grid Data'!$M$4:$M$2342,$D$2)*100-AC28, "--")</f>
        <v>--</v>
      </c>
      <c r="AD60" s="5" t="str">
        <f>IF(  AD91&gt;$E$2, SUMIFS(IF($G$2="CPR",'Grid Data'!$V$4:$V$2342,'Grid Data'!$W$4:$W$2342),'Grid Data'!$N$4:$N$2342,$D60,'Grid Data'!$O$4:$O$2342,AD$4,'Grid Data'!$M$4:$M$2342,$D$2)*100-AD28, "--")</f>
        <v>--</v>
      </c>
      <c r="AE60" s="5" t="str">
        <f>IF(  AE91&gt;$E$2, SUMIFS(IF($G$2="CPR",'Grid Data'!$V$4:$V$2342,'Grid Data'!$W$4:$W$2342),'Grid Data'!$N$4:$N$2342,$D60,'Grid Data'!$O$4:$O$2342,AE$4,'Grid Data'!$M$4:$M$2342,$D$2)*100-AE28, "--")</f>
        <v>--</v>
      </c>
      <c r="AF60" s="5" t="str">
        <f>IF(  AF91&gt;$E$2, SUMIFS(IF($G$2="CPR",'Grid Data'!$V$4:$V$2342,'Grid Data'!$W$4:$W$2342),'Grid Data'!$N$4:$N$2342,$D60,'Grid Data'!$O$4:$O$2342,AF$4,'Grid Data'!$M$4:$M$2342,$D$2)*100-AF28, "--")</f>
        <v>--</v>
      </c>
      <c r="AG60" s="5" t="str">
        <f>IF(  AG91&gt;$E$2, SUMIFS(IF($G$2="CPR",'Grid Data'!$V$4:$V$2342,'Grid Data'!$W$4:$W$2342),'Grid Data'!$N$4:$N$2342,$D60,'Grid Data'!$O$4:$O$2342,AG$4,'Grid Data'!$M$4:$M$2342,$D$2)*100-AG28, "--")</f>
        <v>--</v>
      </c>
      <c r="AH60" s="5" t="str">
        <f>IF(  AH91&gt;$E$2, SUMIFS(IF($G$2="CPR",'Grid Data'!$V$4:$V$2342,'Grid Data'!$W$4:$W$2342),'Grid Data'!$N$4:$N$2342,$D60,'Grid Data'!$O$4:$O$2342,AH$4,'Grid Data'!$M$4:$M$2342,$D$2)*100-AH28, "--")</f>
        <v>--</v>
      </c>
    </row>
    <row r="61" spans="4:34" x14ac:dyDescent="0.35">
      <c r="D61">
        <v>8000</v>
      </c>
      <c r="E61" s="5" t="str">
        <f>IF(  E92&gt;$E$2, SUMIFS(IF($G$2="CPR",'Grid Data'!$V$4:$V$2342,'Grid Data'!$W$4:$W$2342),'Grid Data'!$N$4:$N$2342,$D61,'Grid Data'!$O$4:$O$2342,E$4,'Grid Data'!$M$4:$M$2342,$D$2)*100-E29, "--")</f>
        <v>--</v>
      </c>
      <c r="F61" s="5" t="str">
        <f>IF(  F92&gt;$E$2, SUMIFS(IF($G$2="CPR",'Grid Data'!$V$4:$V$2342,'Grid Data'!$W$4:$W$2342),'Grid Data'!$N$4:$N$2342,$D61,'Grid Data'!$O$4:$O$2342,F$4,'Grid Data'!$M$4:$M$2342,$D$2)*100-F29, "--")</f>
        <v>--</v>
      </c>
      <c r="G61" s="5" t="str">
        <f>IF(  G92&gt;$E$2, SUMIFS(IF($G$2="CPR",'Grid Data'!$V$4:$V$2342,'Grid Data'!$W$4:$W$2342),'Grid Data'!$N$4:$N$2342,$D61,'Grid Data'!$O$4:$O$2342,G$4,'Grid Data'!$M$4:$M$2342,$D$2)*100-G29, "--")</f>
        <v>--</v>
      </c>
      <c r="H61" s="5" t="str">
        <f>IF(  H92&gt;$E$2, SUMIFS(IF($G$2="CPR",'Grid Data'!$V$4:$V$2342,'Grid Data'!$W$4:$W$2342),'Grid Data'!$N$4:$N$2342,$D61,'Grid Data'!$O$4:$O$2342,H$4,'Grid Data'!$M$4:$M$2342,$D$2)*100-H29, "--")</f>
        <v>--</v>
      </c>
      <c r="I61" s="5" t="str">
        <f>IF(  I92&gt;$E$2, SUMIFS(IF($G$2="CPR",'Grid Data'!$V$4:$V$2342,'Grid Data'!$W$4:$W$2342),'Grid Data'!$N$4:$N$2342,$D61,'Grid Data'!$O$4:$O$2342,I$4,'Grid Data'!$M$4:$M$2342,$D$2)*100-I29, "--")</f>
        <v>--</v>
      </c>
      <c r="J61" s="5" t="str">
        <f>IF(  J92&gt;$E$2, SUMIFS(IF($G$2="CPR",'Grid Data'!$V$4:$V$2342,'Grid Data'!$W$4:$W$2342),'Grid Data'!$N$4:$N$2342,$D61,'Grid Data'!$O$4:$O$2342,J$4,'Grid Data'!$M$4:$M$2342,$D$2)*100-J29, "--")</f>
        <v>--</v>
      </c>
      <c r="K61" s="5" t="str">
        <f>IF(  K92&gt;$E$2, SUMIFS(IF($G$2="CPR",'Grid Data'!$V$4:$V$2342,'Grid Data'!$W$4:$W$2342),'Grid Data'!$N$4:$N$2342,$D61,'Grid Data'!$O$4:$O$2342,K$4,'Grid Data'!$M$4:$M$2342,$D$2)*100-K29, "--")</f>
        <v>--</v>
      </c>
      <c r="L61" s="5" t="str">
        <f>IF(  L92&gt;$E$2, SUMIFS(IF($G$2="CPR",'Grid Data'!$V$4:$V$2342,'Grid Data'!$W$4:$W$2342),'Grid Data'!$N$4:$N$2342,$D61,'Grid Data'!$O$4:$O$2342,L$4,'Grid Data'!$M$4:$M$2342,$D$2)*100-L29, "--")</f>
        <v>--</v>
      </c>
      <c r="M61" s="5" t="str">
        <f>IF(  M92&gt;$E$2, SUMIFS(IF($G$2="CPR",'Grid Data'!$V$4:$V$2342,'Grid Data'!$W$4:$W$2342),'Grid Data'!$N$4:$N$2342,$D61,'Grid Data'!$O$4:$O$2342,M$4,'Grid Data'!$M$4:$M$2342,$D$2)*100-M29, "--")</f>
        <v>--</v>
      </c>
      <c r="N61" s="5">
        <f>IF(  N92&gt;$E$2, SUMIFS(IF($G$2="CPR",'Grid Data'!$V$4:$V$2342,'Grid Data'!$W$4:$W$2342),'Grid Data'!$N$4:$N$2342,$D61,'Grid Data'!$O$4:$O$2342,N$4,'Grid Data'!$M$4:$M$2342,$D$2)*100-N29, "--")</f>
        <v>-26.878599999999992</v>
      </c>
      <c r="O61" s="5">
        <f>IF(  O92&gt;$E$2, SUMIFS(IF($G$2="CPR",'Grid Data'!$V$4:$V$2342,'Grid Data'!$W$4:$W$2342),'Grid Data'!$N$4:$N$2342,$D61,'Grid Data'!$O$4:$O$2342,O$4,'Grid Data'!$M$4:$M$2342,$D$2)*100-O29, "--")</f>
        <v>38.141600000000004</v>
      </c>
      <c r="P61" s="5">
        <f>IF(  P92&gt;$E$2, SUMIFS(IF($G$2="CPR",'Grid Data'!$V$4:$V$2342,'Grid Data'!$W$4:$W$2342),'Grid Data'!$N$4:$N$2342,$D61,'Grid Data'!$O$4:$O$2342,P$4,'Grid Data'!$M$4:$M$2342,$D$2)*100-P29, "--")</f>
        <v>-7.7297999999999973</v>
      </c>
      <c r="Q61" s="5">
        <f>IF(  Q92&gt;$E$2, SUMIFS(IF($G$2="CPR",'Grid Data'!$V$4:$V$2342,'Grid Data'!$W$4:$W$2342),'Grid Data'!$N$4:$N$2342,$D61,'Grid Data'!$O$4:$O$2342,Q$4,'Grid Data'!$M$4:$M$2342,$D$2)*100-Q29, "--")</f>
        <v>0.2441999999999922</v>
      </c>
      <c r="R61" s="5" t="str">
        <f>IF(  R92&gt;$E$2, SUMIFS(IF($G$2="CPR",'Grid Data'!$V$4:$V$2342,'Grid Data'!$W$4:$W$2342),'Grid Data'!$N$4:$N$2342,$D61,'Grid Data'!$O$4:$O$2342,R$4,'Grid Data'!$M$4:$M$2342,$D$2)*100-R29, "--")</f>
        <v>--</v>
      </c>
      <c r="S61" s="5" t="str">
        <f>IF(  S92&gt;$E$2, SUMIFS(IF($G$2="CPR",'Grid Data'!$V$4:$V$2342,'Grid Data'!$W$4:$W$2342),'Grid Data'!$N$4:$N$2342,$D61,'Grid Data'!$O$4:$O$2342,S$4,'Grid Data'!$M$4:$M$2342,$D$2)*100-S29, "--")</f>
        <v>--</v>
      </c>
      <c r="T61" s="5" t="str">
        <f>IF(  T92&gt;$E$2, SUMIFS(IF($G$2="CPR",'Grid Data'!$V$4:$V$2342,'Grid Data'!$W$4:$W$2342),'Grid Data'!$N$4:$N$2342,$D61,'Grid Data'!$O$4:$O$2342,T$4,'Grid Data'!$M$4:$M$2342,$D$2)*100-T29, "--")</f>
        <v>--</v>
      </c>
      <c r="U61" s="5" t="str">
        <f>IF(  U92&gt;$E$2, SUMIFS(IF($G$2="CPR",'Grid Data'!$V$4:$V$2342,'Grid Data'!$W$4:$W$2342),'Grid Data'!$N$4:$N$2342,$D61,'Grid Data'!$O$4:$O$2342,U$4,'Grid Data'!$M$4:$M$2342,$D$2)*100-U29, "--")</f>
        <v>--</v>
      </c>
      <c r="V61" s="5" t="str">
        <f>IF(  V92&gt;$E$2, SUMIFS(IF($G$2="CPR",'Grid Data'!$V$4:$V$2342,'Grid Data'!$W$4:$W$2342),'Grid Data'!$N$4:$N$2342,$D61,'Grid Data'!$O$4:$O$2342,V$4,'Grid Data'!$M$4:$M$2342,$D$2)*100-V29, "--")</f>
        <v>--</v>
      </c>
      <c r="W61" s="5" t="str">
        <f>IF(  W92&gt;$E$2, SUMIFS(IF($G$2="CPR",'Grid Data'!$V$4:$V$2342,'Grid Data'!$W$4:$W$2342),'Grid Data'!$N$4:$N$2342,$D61,'Grid Data'!$O$4:$O$2342,W$4,'Grid Data'!$M$4:$M$2342,$D$2)*100-W29, "--")</f>
        <v>--</v>
      </c>
      <c r="X61" s="5" t="str">
        <f>IF(  X92&gt;$E$2, SUMIFS(IF($G$2="CPR",'Grid Data'!$V$4:$V$2342,'Grid Data'!$W$4:$W$2342),'Grid Data'!$N$4:$N$2342,$D61,'Grid Data'!$O$4:$O$2342,X$4,'Grid Data'!$M$4:$M$2342,$D$2)*100-X29, "--")</f>
        <v>--</v>
      </c>
      <c r="Y61" s="5" t="str">
        <f>IF(  Y92&gt;$E$2, SUMIFS(IF($G$2="CPR",'Grid Data'!$V$4:$V$2342,'Grid Data'!$W$4:$W$2342),'Grid Data'!$N$4:$N$2342,$D61,'Grid Data'!$O$4:$O$2342,Y$4,'Grid Data'!$M$4:$M$2342,$D$2)*100-Y29, "--")</f>
        <v>--</v>
      </c>
      <c r="Z61" s="5" t="str">
        <f>IF(  Z92&gt;$E$2, SUMIFS(IF($G$2="CPR",'Grid Data'!$V$4:$V$2342,'Grid Data'!$W$4:$W$2342),'Grid Data'!$N$4:$N$2342,$D61,'Grid Data'!$O$4:$O$2342,Z$4,'Grid Data'!$M$4:$M$2342,$D$2)*100-Z29, "--")</f>
        <v>--</v>
      </c>
      <c r="AA61" s="5" t="str">
        <f>IF(  AA92&gt;$E$2, SUMIFS(IF($G$2="CPR",'Grid Data'!$V$4:$V$2342,'Grid Data'!$W$4:$W$2342),'Grid Data'!$N$4:$N$2342,$D61,'Grid Data'!$O$4:$O$2342,AA$4,'Grid Data'!$M$4:$M$2342,$D$2)*100-AA29, "--")</f>
        <v>--</v>
      </c>
      <c r="AB61" s="5" t="str">
        <f>IF(  AB92&gt;$E$2, SUMIFS(IF($G$2="CPR",'Grid Data'!$V$4:$V$2342,'Grid Data'!$W$4:$W$2342),'Grid Data'!$N$4:$N$2342,$D61,'Grid Data'!$O$4:$O$2342,AB$4,'Grid Data'!$M$4:$M$2342,$D$2)*100-AB29, "--")</f>
        <v>--</v>
      </c>
      <c r="AC61" s="5" t="str">
        <f>IF(  AC92&gt;$E$2, SUMIFS(IF($G$2="CPR",'Grid Data'!$V$4:$V$2342,'Grid Data'!$W$4:$W$2342),'Grid Data'!$N$4:$N$2342,$D61,'Grid Data'!$O$4:$O$2342,AC$4,'Grid Data'!$M$4:$M$2342,$D$2)*100-AC29, "--")</f>
        <v>--</v>
      </c>
      <c r="AD61" s="5" t="str">
        <f>IF(  AD92&gt;$E$2, SUMIFS(IF($G$2="CPR",'Grid Data'!$V$4:$V$2342,'Grid Data'!$W$4:$W$2342),'Grid Data'!$N$4:$N$2342,$D61,'Grid Data'!$O$4:$O$2342,AD$4,'Grid Data'!$M$4:$M$2342,$D$2)*100-AD29, "--")</f>
        <v>--</v>
      </c>
      <c r="AE61" s="5" t="str">
        <f>IF(  AE92&gt;$E$2, SUMIFS(IF($G$2="CPR",'Grid Data'!$V$4:$V$2342,'Grid Data'!$W$4:$W$2342),'Grid Data'!$N$4:$N$2342,$D61,'Grid Data'!$O$4:$O$2342,AE$4,'Grid Data'!$M$4:$M$2342,$D$2)*100-AE29, "--")</f>
        <v>--</v>
      </c>
      <c r="AF61" s="5" t="str">
        <f>IF(  AF92&gt;$E$2, SUMIFS(IF($G$2="CPR",'Grid Data'!$V$4:$V$2342,'Grid Data'!$W$4:$W$2342),'Grid Data'!$N$4:$N$2342,$D61,'Grid Data'!$O$4:$O$2342,AF$4,'Grid Data'!$M$4:$M$2342,$D$2)*100-AF29, "--")</f>
        <v>--</v>
      </c>
      <c r="AG61" s="5">
        <f>IF(  AG92&gt;$E$2, SUMIFS(IF($G$2="CPR",'Grid Data'!$V$4:$V$2342,'Grid Data'!$W$4:$W$2342),'Grid Data'!$N$4:$N$2342,$D61,'Grid Data'!$O$4:$O$2342,AG$4,'Grid Data'!$M$4:$M$2342,$D$2)*100-AG29, "--")</f>
        <v>11.113600000000002</v>
      </c>
      <c r="AH61" s="5">
        <f>IF(  AH92&gt;$E$2, SUMIFS(IF($G$2="CPR",'Grid Data'!$V$4:$V$2342,'Grid Data'!$W$4:$W$2342),'Grid Data'!$N$4:$N$2342,$D61,'Grid Data'!$O$4:$O$2342,AH$4,'Grid Data'!$M$4:$M$2342,$D$2)*100-AH29, "--")</f>
        <v>-27.128999999999994</v>
      </c>
    </row>
    <row r="62" spans="4:34" x14ac:dyDescent="0.35">
      <c r="D62">
        <v>8250</v>
      </c>
      <c r="E62" s="5" t="str">
        <f>IF(  E93&gt;$E$2, SUMIFS(IF($G$2="CPR",'Grid Data'!$V$4:$V$2342,'Grid Data'!$W$4:$W$2342),'Grid Data'!$N$4:$N$2342,$D62,'Grid Data'!$O$4:$O$2342,E$4,'Grid Data'!$M$4:$M$2342,$D$2)*100-E30, "--")</f>
        <v>--</v>
      </c>
      <c r="F62" s="5" t="str">
        <f>IF(  F93&gt;$E$2, SUMIFS(IF($G$2="CPR",'Grid Data'!$V$4:$V$2342,'Grid Data'!$W$4:$W$2342),'Grid Data'!$N$4:$N$2342,$D62,'Grid Data'!$O$4:$O$2342,F$4,'Grid Data'!$M$4:$M$2342,$D$2)*100-F30, "--")</f>
        <v>--</v>
      </c>
      <c r="G62" s="5" t="str">
        <f>IF(  G93&gt;$E$2, SUMIFS(IF($G$2="CPR",'Grid Data'!$V$4:$V$2342,'Grid Data'!$W$4:$W$2342),'Grid Data'!$N$4:$N$2342,$D62,'Grid Data'!$O$4:$O$2342,G$4,'Grid Data'!$M$4:$M$2342,$D$2)*100-G30, "--")</f>
        <v>--</v>
      </c>
      <c r="H62" s="5" t="str">
        <f>IF(  H93&gt;$E$2, SUMIFS(IF($G$2="CPR",'Grid Data'!$V$4:$V$2342,'Grid Data'!$W$4:$W$2342),'Grid Data'!$N$4:$N$2342,$D62,'Grid Data'!$O$4:$O$2342,H$4,'Grid Data'!$M$4:$M$2342,$D$2)*100-H30, "--")</f>
        <v>--</v>
      </c>
      <c r="I62" s="5" t="str">
        <f>IF(  I93&gt;$E$2, SUMIFS(IF($G$2="CPR",'Grid Data'!$V$4:$V$2342,'Grid Data'!$W$4:$W$2342),'Grid Data'!$N$4:$N$2342,$D62,'Grid Data'!$O$4:$O$2342,I$4,'Grid Data'!$M$4:$M$2342,$D$2)*100-I30, "--")</f>
        <v>--</v>
      </c>
      <c r="J62" s="5" t="str">
        <f>IF(  J93&gt;$E$2, SUMIFS(IF($G$2="CPR",'Grid Data'!$V$4:$V$2342,'Grid Data'!$W$4:$W$2342),'Grid Data'!$N$4:$N$2342,$D62,'Grid Data'!$O$4:$O$2342,J$4,'Grid Data'!$M$4:$M$2342,$D$2)*100-J30, "--")</f>
        <v>--</v>
      </c>
      <c r="K62" s="5" t="str">
        <f>IF(  K93&gt;$E$2, SUMIFS(IF($G$2="CPR",'Grid Data'!$V$4:$V$2342,'Grid Data'!$W$4:$W$2342),'Grid Data'!$N$4:$N$2342,$D62,'Grid Data'!$O$4:$O$2342,K$4,'Grid Data'!$M$4:$M$2342,$D$2)*100-K30, "--")</f>
        <v>--</v>
      </c>
      <c r="L62" s="5" t="str">
        <f>IF(  L93&gt;$E$2, SUMIFS(IF($G$2="CPR",'Grid Data'!$V$4:$V$2342,'Grid Data'!$W$4:$W$2342),'Grid Data'!$N$4:$N$2342,$D62,'Grid Data'!$O$4:$O$2342,L$4,'Grid Data'!$M$4:$M$2342,$D$2)*100-L30, "--")</f>
        <v>--</v>
      </c>
      <c r="M62" s="5" t="str">
        <f>IF(  M93&gt;$E$2, SUMIFS(IF($G$2="CPR",'Grid Data'!$V$4:$V$2342,'Grid Data'!$W$4:$W$2342),'Grid Data'!$N$4:$N$2342,$D62,'Grid Data'!$O$4:$O$2342,M$4,'Grid Data'!$M$4:$M$2342,$D$2)*100-M30, "--")</f>
        <v>--</v>
      </c>
      <c r="N62" s="5" t="str">
        <f>IF(  N93&gt;$E$2, SUMIFS(IF($G$2="CPR",'Grid Data'!$V$4:$V$2342,'Grid Data'!$W$4:$W$2342),'Grid Data'!$N$4:$N$2342,$D62,'Grid Data'!$O$4:$O$2342,N$4,'Grid Data'!$M$4:$M$2342,$D$2)*100-N30, "--")</f>
        <v>--</v>
      </c>
      <c r="O62" s="5" t="str">
        <f>IF(  O93&gt;$E$2, SUMIFS(IF($G$2="CPR",'Grid Data'!$V$4:$V$2342,'Grid Data'!$W$4:$W$2342),'Grid Data'!$N$4:$N$2342,$D62,'Grid Data'!$O$4:$O$2342,O$4,'Grid Data'!$M$4:$M$2342,$D$2)*100-O30, "--")</f>
        <v>--</v>
      </c>
      <c r="P62" s="5" t="str">
        <f>IF(  P93&gt;$E$2, SUMIFS(IF($G$2="CPR",'Grid Data'!$V$4:$V$2342,'Grid Data'!$W$4:$W$2342),'Grid Data'!$N$4:$N$2342,$D62,'Grid Data'!$O$4:$O$2342,P$4,'Grid Data'!$M$4:$M$2342,$D$2)*100-P30, "--")</f>
        <v>--</v>
      </c>
      <c r="Q62" s="5">
        <f>IF(  Q93&gt;$E$2, SUMIFS(IF($G$2="CPR",'Grid Data'!$V$4:$V$2342,'Grid Data'!$W$4:$W$2342),'Grid Data'!$N$4:$N$2342,$D62,'Grid Data'!$O$4:$O$2342,Q$4,'Grid Data'!$M$4:$M$2342,$D$2)*100-Q30, "--")</f>
        <v>-16.764799999999994</v>
      </c>
      <c r="R62" s="5" t="str">
        <f>IF(  R93&gt;$E$2, SUMIFS(IF($G$2="CPR",'Grid Data'!$V$4:$V$2342,'Grid Data'!$W$4:$W$2342),'Grid Data'!$N$4:$N$2342,$D62,'Grid Data'!$O$4:$O$2342,R$4,'Grid Data'!$M$4:$M$2342,$D$2)*100-R30, "--")</f>
        <v>--</v>
      </c>
      <c r="S62" s="5" t="str">
        <f>IF(  S93&gt;$E$2, SUMIFS(IF($G$2="CPR",'Grid Data'!$V$4:$V$2342,'Grid Data'!$W$4:$W$2342),'Grid Data'!$N$4:$N$2342,$D62,'Grid Data'!$O$4:$O$2342,S$4,'Grid Data'!$M$4:$M$2342,$D$2)*100-S30, "--")</f>
        <v>--</v>
      </c>
      <c r="T62" s="5" t="str">
        <f>IF(  T93&gt;$E$2, SUMIFS(IF($G$2="CPR",'Grid Data'!$V$4:$V$2342,'Grid Data'!$W$4:$W$2342),'Grid Data'!$N$4:$N$2342,$D62,'Grid Data'!$O$4:$O$2342,T$4,'Grid Data'!$M$4:$M$2342,$D$2)*100-T30, "--")</f>
        <v>--</v>
      </c>
      <c r="U62" s="5" t="str">
        <f>IF(  U93&gt;$E$2, SUMIFS(IF($G$2="CPR",'Grid Data'!$V$4:$V$2342,'Grid Data'!$W$4:$W$2342),'Grid Data'!$N$4:$N$2342,$D62,'Grid Data'!$O$4:$O$2342,U$4,'Grid Data'!$M$4:$M$2342,$D$2)*100-U30, "--")</f>
        <v>--</v>
      </c>
      <c r="V62" s="5" t="str">
        <f>IF(  V93&gt;$E$2, SUMIFS(IF($G$2="CPR",'Grid Data'!$V$4:$V$2342,'Grid Data'!$W$4:$W$2342),'Grid Data'!$N$4:$N$2342,$D62,'Grid Data'!$O$4:$O$2342,V$4,'Grid Data'!$M$4:$M$2342,$D$2)*100-V30, "--")</f>
        <v>--</v>
      </c>
      <c r="W62" s="5" t="str">
        <f>IF(  W93&gt;$E$2, SUMIFS(IF($G$2="CPR",'Grid Data'!$V$4:$V$2342,'Grid Data'!$W$4:$W$2342),'Grid Data'!$N$4:$N$2342,$D62,'Grid Data'!$O$4:$O$2342,W$4,'Grid Data'!$M$4:$M$2342,$D$2)*100-W30, "--")</f>
        <v>--</v>
      </c>
      <c r="X62" s="5" t="str">
        <f>IF(  X93&gt;$E$2, SUMIFS(IF($G$2="CPR",'Grid Data'!$V$4:$V$2342,'Grid Data'!$W$4:$W$2342),'Grid Data'!$N$4:$N$2342,$D62,'Grid Data'!$O$4:$O$2342,X$4,'Grid Data'!$M$4:$M$2342,$D$2)*100-X30, "--")</f>
        <v>--</v>
      </c>
      <c r="Y62" s="5" t="str">
        <f>IF(  Y93&gt;$E$2, SUMIFS(IF($G$2="CPR",'Grid Data'!$V$4:$V$2342,'Grid Data'!$W$4:$W$2342),'Grid Data'!$N$4:$N$2342,$D62,'Grid Data'!$O$4:$O$2342,Y$4,'Grid Data'!$M$4:$M$2342,$D$2)*100-Y30, "--")</f>
        <v>--</v>
      </c>
      <c r="Z62" s="5" t="str">
        <f>IF(  Z93&gt;$E$2, SUMIFS(IF($G$2="CPR",'Grid Data'!$V$4:$V$2342,'Grid Data'!$W$4:$W$2342),'Grid Data'!$N$4:$N$2342,$D62,'Grid Data'!$O$4:$O$2342,Z$4,'Grid Data'!$M$4:$M$2342,$D$2)*100-Z30, "--")</f>
        <v>--</v>
      </c>
      <c r="AA62" s="5" t="str">
        <f>IF(  AA93&gt;$E$2, SUMIFS(IF($G$2="CPR",'Grid Data'!$V$4:$V$2342,'Grid Data'!$W$4:$W$2342),'Grid Data'!$N$4:$N$2342,$D62,'Grid Data'!$O$4:$O$2342,AA$4,'Grid Data'!$M$4:$M$2342,$D$2)*100-AA30, "--")</f>
        <v>--</v>
      </c>
      <c r="AB62" s="5" t="str">
        <f>IF(  AB93&gt;$E$2, SUMIFS(IF($G$2="CPR",'Grid Data'!$V$4:$V$2342,'Grid Data'!$W$4:$W$2342),'Grid Data'!$N$4:$N$2342,$D62,'Grid Data'!$O$4:$O$2342,AB$4,'Grid Data'!$M$4:$M$2342,$D$2)*100-AB30, "--")</f>
        <v>--</v>
      </c>
      <c r="AC62" s="5" t="str">
        <f>IF(  AC93&gt;$E$2, SUMIFS(IF($G$2="CPR",'Grid Data'!$V$4:$V$2342,'Grid Data'!$W$4:$W$2342),'Grid Data'!$N$4:$N$2342,$D62,'Grid Data'!$O$4:$O$2342,AC$4,'Grid Data'!$M$4:$M$2342,$D$2)*100-AC30, "--")</f>
        <v>--</v>
      </c>
      <c r="AD62" s="5" t="str">
        <f>IF(  AD93&gt;$E$2, SUMIFS(IF($G$2="CPR",'Grid Data'!$V$4:$V$2342,'Grid Data'!$W$4:$W$2342),'Grid Data'!$N$4:$N$2342,$D62,'Grid Data'!$O$4:$O$2342,AD$4,'Grid Data'!$M$4:$M$2342,$D$2)*100-AD30, "--")</f>
        <v>--</v>
      </c>
      <c r="AE62" s="5" t="str">
        <f>IF(  AE93&gt;$E$2, SUMIFS(IF($G$2="CPR",'Grid Data'!$V$4:$V$2342,'Grid Data'!$W$4:$W$2342),'Grid Data'!$N$4:$N$2342,$D62,'Grid Data'!$O$4:$O$2342,AE$4,'Grid Data'!$M$4:$M$2342,$D$2)*100-AE30, "--")</f>
        <v>--</v>
      </c>
      <c r="AF62" s="5" t="str">
        <f>IF(  AF93&gt;$E$2, SUMIFS(IF($G$2="CPR",'Grid Data'!$V$4:$V$2342,'Grid Data'!$W$4:$W$2342),'Grid Data'!$N$4:$N$2342,$D62,'Grid Data'!$O$4:$O$2342,AF$4,'Grid Data'!$M$4:$M$2342,$D$2)*100-AF30, "--")</f>
        <v>--</v>
      </c>
      <c r="AG62" s="5" t="str">
        <f>IF(  AG93&gt;$E$2, SUMIFS(IF($G$2="CPR",'Grid Data'!$V$4:$V$2342,'Grid Data'!$W$4:$W$2342),'Grid Data'!$N$4:$N$2342,$D62,'Grid Data'!$O$4:$O$2342,AG$4,'Grid Data'!$M$4:$M$2342,$D$2)*100-AG30, "--")</f>
        <v>--</v>
      </c>
      <c r="AH62" s="5" t="str">
        <f>IF(  AH93&gt;$E$2, SUMIFS(IF($G$2="CPR",'Grid Data'!$V$4:$V$2342,'Grid Data'!$W$4:$W$2342),'Grid Data'!$N$4:$N$2342,$D62,'Grid Data'!$O$4:$O$2342,AH$4,'Grid Data'!$M$4:$M$2342,$D$2)*100-AH30, "--")</f>
        <v>--</v>
      </c>
    </row>
    <row r="63" spans="4:34" x14ac:dyDescent="0.35">
      <c r="D63">
        <v>8500</v>
      </c>
      <c r="E63" s="5" t="str">
        <f>IF(  E94&gt;$E$2, SUMIFS(IF($G$2="CPR",'Grid Data'!$V$4:$V$2342,'Grid Data'!$W$4:$W$2342),'Grid Data'!$N$4:$N$2342,$D63,'Grid Data'!$O$4:$O$2342,E$4,'Grid Data'!$M$4:$M$2342,$D$2)*100-E31, "--")</f>
        <v>--</v>
      </c>
      <c r="F63" s="5" t="str">
        <f>IF(  F94&gt;$E$2, SUMIFS(IF($G$2="CPR",'Grid Data'!$V$4:$V$2342,'Grid Data'!$W$4:$W$2342),'Grid Data'!$N$4:$N$2342,$D63,'Grid Data'!$O$4:$O$2342,F$4,'Grid Data'!$M$4:$M$2342,$D$2)*100-F31, "--")</f>
        <v>--</v>
      </c>
      <c r="G63" s="5" t="str">
        <f>IF(  G94&gt;$E$2, SUMIFS(IF($G$2="CPR",'Grid Data'!$V$4:$V$2342,'Grid Data'!$W$4:$W$2342),'Grid Data'!$N$4:$N$2342,$D63,'Grid Data'!$O$4:$O$2342,G$4,'Grid Data'!$M$4:$M$2342,$D$2)*100-G31, "--")</f>
        <v>--</v>
      </c>
      <c r="H63" s="5" t="str">
        <f>IF(  H94&gt;$E$2, SUMIFS(IF($G$2="CPR",'Grid Data'!$V$4:$V$2342,'Grid Data'!$W$4:$W$2342),'Grid Data'!$N$4:$N$2342,$D63,'Grid Data'!$O$4:$O$2342,H$4,'Grid Data'!$M$4:$M$2342,$D$2)*100-H31, "--")</f>
        <v>--</v>
      </c>
      <c r="I63" s="5" t="str">
        <f>IF(  I94&gt;$E$2, SUMIFS(IF($G$2="CPR",'Grid Data'!$V$4:$V$2342,'Grid Data'!$W$4:$W$2342),'Grid Data'!$N$4:$N$2342,$D63,'Grid Data'!$O$4:$O$2342,I$4,'Grid Data'!$M$4:$M$2342,$D$2)*100-I31, "--")</f>
        <v>--</v>
      </c>
      <c r="J63" s="5" t="str">
        <f>IF(  J94&gt;$E$2, SUMIFS(IF($G$2="CPR",'Grid Data'!$V$4:$V$2342,'Grid Data'!$W$4:$W$2342),'Grid Data'!$N$4:$N$2342,$D63,'Grid Data'!$O$4:$O$2342,J$4,'Grid Data'!$M$4:$M$2342,$D$2)*100-J31, "--")</f>
        <v>--</v>
      </c>
      <c r="K63" s="5" t="str">
        <f>IF(  K94&gt;$E$2, SUMIFS(IF($G$2="CPR",'Grid Data'!$V$4:$V$2342,'Grid Data'!$W$4:$W$2342),'Grid Data'!$N$4:$N$2342,$D63,'Grid Data'!$O$4:$O$2342,K$4,'Grid Data'!$M$4:$M$2342,$D$2)*100-K31, "--")</f>
        <v>--</v>
      </c>
      <c r="L63" s="5" t="str">
        <f>IF(  L94&gt;$E$2, SUMIFS(IF($G$2="CPR",'Grid Data'!$V$4:$V$2342,'Grid Data'!$W$4:$W$2342),'Grid Data'!$N$4:$N$2342,$D63,'Grid Data'!$O$4:$O$2342,L$4,'Grid Data'!$M$4:$M$2342,$D$2)*100-L31, "--")</f>
        <v>--</v>
      </c>
      <c r="M63" s="5" t="str">
        <f>IF(  M94&gt;$E$2, SUMIFS(IF($G$2="CPR",'Grid Data'!$V$4:$V$2342,'Grid Data'!$W$4:$W$2342),'Grid Data'!$N$4:$N$2342,$D63,'Grid Data'!$O$4:$O$2342,M$4,'Grid Data'!$M$4:$M$2342,$D$2)*100-M31, "--")</f>
        <v>--</v>
      </c>
      <c r="N63" s="5" t="str">
        <f>IF(  N94&gt;$E$2, SUMIFS(IF($G$2="CPR",'Grid Data'!$V$4:$V$2342,'Grid Data'!$W$4:$W$2342),'Grid Data'!$N$4:$N$2342,$D63,'Grid Data'!$O$4:$O$2342,N$4,'Grid Data'!$M$4:$M$2342,$D$2)*100-N31, "--")</f>
        <v>--</v>
      </c>
      <c r="O63" s="5" t="str">
        <f>IF(  O94&gt;$E$2, SUMIFS(IF($G$2="CPR",'Grid Data'!$V$4:$V$2342,'Grid Data'!$W$4:$W$2342),'Grid Data'!$N$4:$N$2342,$D63,'Grid Data'!$O$4:$O$2342,O$4,'Grid Data'!$M$4:$M$2342,$D$2)*100-O31, "--")</f>
        <v>--</v>
      </c>
      <c r="P63" s="5" t="str">
        <f>IF(  P94&gt;$E$2, SUMIFS(IF($G$2="CPR",'Grid Data'!$V$4:$V$2342,'Grid Data'!$W$4:$W$2342),'Grid Data'!$N$4:$N$2342,$D63,'Grid Data'!$O$4:$O$2342,P$4,'Grid Data'!$M$4:$M$2342,$D$2)*100-P31, "--")</f>
        <v>--</v>
      </c>
      <c r="Q63" s="5" t="str">
        <f>IF(  Q94&gt;$E$2, SUMIFS(IF($G$2="CPR",'Grid Data'!$V$4:$V$2342,'Grid Data'!$W$4:$W$2342),'Grid Data'!$N$4:$N$2342,$D63,'Grid Data'!$O$4:$O$2342,Q$4,'Grid Data'!$M$4:$M$2342,$D$2)*100-Q31, "--")</f>
        <v>--</v>
      </c>
      <c r="R63" s="5" t="str">
        <f>IF(  R94&gt;$E$2, SUMIFS(IF($G$2="CPR",'Grid Data'!$V$4:$V$2342,'Grid Data'!$W$4:$W$2342),'Grid Data'!$N$4:$N$2342,$D63,'Grid Data'!$O$4:$O$2342,R$4,'Grid Data'!$M$4:$M$2342,$D$2)*100-R31, "--")</f>
        <v>--</v>
      </c>
      <c r="S63" s="5" t="str">
        <f>IF(  S94&gt;$E$2, SUMIFS(IF($G$2="CPR",'Grid Data'!$V$4:$V$2342,'Grid Data'!$W$4:$W$2342),'Grid Data'!$N$4:$N$2342,$D63,'Grid Data'!$O$4:$O$2342,S$4,'Grid Data'!$M$4:$M$2342,$D$2)*100-S31, "--")</f>
        <v>--</v>
      </c>
      <c r="T63" s="5" t="str">
        <f>IF(  T94&gt;$E$2, SUMIFS(IF($G$2="CPR",'Grid Data'!$V$4:$V$2342,'Grid Data'!$W$4:$W$2342),'Grid Data'!$N$4:$N$2342,$D63,'Grid Data'!$O$4:$O$2342,T$4,'Grid Data'!$M$4:$M$2342,$D$2)*100-T31, "--")</f>
        <v>--</v>
      </c>
      <c r="U63" s="5" t="str">
        <f>IF(  U94&gt;$E$2, SUMIFS(IF($G$2="CPR",'Grid Data'!$V$4:$V$2342,'Grid Data'!$W$4:$W$2342),'Grid Data'!$N$4:$N$2342,$D63,'Grid Data'!$O$4:$O$2342,U$4,'Grid Data'!$M$4:$M$2342,$D$2)*100-U31, "--")</f>
        <v>--</v>
      </c>
      <c r="V63" s="5" t="str">
        <f>IF(  V94&gt;$E$2, SUMIFS(IF($G$2="CPR",'Grid Data'!$V$4:$V$2342,'Grid Data'!$W$4:$W$2342),'Grid Data'!$N$4:$N$2342,$D63,'Grid Data'!$O$4:$O$2342,V$4,'Grid Data'!$M$4:$M$2342,$D$2)*100-V31, "--")</f>
        <v>--</v>
      </c>
      <c r="W63" s="5" t="str">
        <f>IF(  W94&gt;$E$2, SUMIFS(IF($G$2="CPR",'Grid Data'!$V$4:$V$2342,'Grid Data'!$W$4:$W$2342),'Grid Data'!$N$4:$N$2342,$D63,'Grid Data'!$O$4:$O$2342,W$4,'Grid Data'!$M$4:$M$2342,$D$2)*100-W31, "--")</f>
        <v>--</v>
      </c>
      <c r="X63" s="5" t="str">
        <f>IF(  X94&gt;$E$2, SUMIFS(IF($G$2="CPR",'Grid Data'!$V$4:$V$2342,'Grid Data'!$W$4:$W$2342),'Grid Data'!$N$4:$N$2342,$D63,'Grid Data'!$O$4:$O$2342,X$4,'Grid Data'!$M$4:$M$2342,$D$2)*100-X31, "--")</f>
        <v>--</v>
      </c>
      <c r="Y63" s="5" t="str">
        <f>IF(  Y94&gt;$E$2, SUMIFS(IF($G$2="CPR",'Grid Data'!$V$4:$V$2342,'Grid Data'!$W$4:$W$2342),'Grid Data'!$N$4:$N$2342,$D63,'Grid Data'!$O$4:$O$2342,Y$4,'Grid Data'!$M$4:$M$2342,$D$2)*100-Y31, "--")</f>
        <v>--</v>
      </c>
      <c r="Z63" s="5" t="str">
        <f>IF(  Z94&gt;$E$2, SUMIFS(IF($G$2="CPR",'Grid Data'!$V$4:$V$2342,'Grid Data'!$W$4:$W$2342),'Grid Data'!$N$4:$N$2342,$D63,'Grid Data'!$O$4:$O$2342,Z$4,'Grid Data'!$M$4:$M$2342,$D$2)*100-Z31, "--")</f>
        <v>--</v>
      </c>
      <c r="AA63" s="5" t="str">
        <f>IF(  AA94&gt;$E$2, SUMIFS(IF($G$2="CPR",'Grid Data'!$V$4:$V$2342,'Grid Data'!$W$4:$W$2342),'Grid Data'!$N$4:$N$2342,$D63,'Grid Data'!$O$4:$O$2342,AA$4,'Grid Data'!$M$4:$M$2342,$D$2)*100-AA31, "--")</f>
        <v>--</v>
      </c>
      <c r="AB63" s="5" t="str">
        <f>IF(  AB94&gt;$E$2, SUMIFS(IF($G$2="CPR",'Grid Data'!$V$4:$V$2342,'Grid Data'!$W$4:$W$2342),'Grid Data'!$N$4:$N$2342,$D63,'Grid Data'!$O$4:$O$2342,AB$4,'Grid Data'!$M$4:$M$2342,$D$2)*100-AB31, "--")</f>
        <v>--</v>
      </c>
      <c r="AC63" s="5" t="str">
        <f>IF(  AC94&gt;$E$2, SUMIFS(IF($G$2="CPR",'Grid Data'!$V$4:$V$2342,'Grid Data'!$W$4:$W$2342),'Grid Data'!$N$4:$N$2342,$D63,'Grid Data'!$O$4:$O$2342,AC$4,'Grid Data'!$M$4:$M$2342,$D$2)*100-AC31, "--")</f>
        <v>--</v>
      </c>
      <c r="AD63" s="5" t="str">
        <f>IF(  AD94&gt;$E$2, SUMIFS(IF($G$2="CPR",'Grid Data'!$V$4:$V$2342,'Grid Data'!$W$4:$W$2342),'Grid Data'!$N$4:$N$2342,$D63,'Grid Data'!$O$4:$O$2342,AD$4,'Grid Data'!$M$4:$M$2342,$D$2)*100-AD31, "--")</f>
        <v>--</v>
      </c>
      <c r="AE63" s="5" t="str">
        <f>IF(  AE94&gt;$E$2, SUMIFS(IF($G$2="CPR",'Grid Data'!$V$4:$V$2342,'Grid Data'!$W$4:$W$2342),'Grid Data'!$N$4:$N$2342,$D63,'Grid Data'!$O$4:$O$2342,AE$4,'Grid Data'!$M$4:$M$2342,$D$2)*100-AE31, "--")</f>
        <v>--</v>
      </c>
      <c r="AF63" s="5" t="str">
        <f>IF(  AF94&gt;$E$2, SUMIFS(IF($G$2="CPR",'Grid Data'!$V$4:$V$2342,'Grid Data'!$W$4:$W$2342),'Grid Data'!$N$4:$N$2342,$D63,'Grid Data'!$O$4:$O$2342,AF$4,'Grid Data'!$M$4:$M$2342,$D$2)*100-AF31, "--")</f>
        <v>--</v>
      </c>
      <c r="AG63" s="5">
        <f>IF(  AG94&gt;$E$2, SUMIFS(IF($G$2="CPR",'Grid Data'!$V$4:$V$2342,'Grid Data'!$W$4:$W$2342),'Grid Data'!$N$4:$N$2342,$D63,'Grid Data'!$O$4:$O$2342,AG$4,'Grid Data'!$M$4:$M$2342,$D$2)*100-AG31, "--")</f>
        <v>-10.679299999999998</v>
      </c>
      <c r="AH63" s="5">
        <f>IF(  AH94&gt;$E$2, SUMIFS(IF($G$2="CPR",'Grid Data'!$V$4:$V$2342,'Grid Data'!$W$4:$W$2342),'Grid Data'!$N$4:$N$2342,$D63,'Grid Data'!$O$4:$O$2342,AH$4,'Grid Data'!$M$4:$M$2342,$D$2)*100-AH31, "--")</f>
        <v>-22.3263</v>
      </c>
    </row>
    <row r="64" spans="4:34" x14ac:dyDescent="0.35">
      <c r="D64">
        <v>9000</v>
      </c>
      <c r="E64" s="5" t="str">
        <f>IF(  E95&gt;$E$2, SUMIFS(IF($G$2="CPR",'Grid Data'!$V$4:$V$2342,'Grid Data'!$W$4:$W$2342),'Grid Data'!$N$4:$N$2342,$D64,'Grid Data'!$O$4:$O$2342,E$4,'Grid Data'!$M$4:$M$2342,$D$2)*100-E32, "--")</f>
        <v>--</v>
      </c>
      <c r="F64" s="5" t="str">
        <f>IF(  F95&gt;$E$2, SUMIFS(IF($G$2="CPR",'Grid Data'!$V$4:$V$2342,'Grid Data'!$W$4:$W$2342),'Grid Data'!$N$4:$N$2342,$D64,'Grid Data'!$O$4:$O$2342,F$4,'Grid Data'!$M$4:$M$2342,$D$2)*100-F32, "--")</f>
        <v>--</v>
      </c>
      <c r="G64" s="5" t="str">
        <f>IF(  G95&gt;$E$2, SUMIFS(IF($G$2="CPR",'Grid Data'!$V$4:$V$2342,'Grid Data'!$W$4:$W$2342),'Grid Data'!$N$4:$N$2342,$D64,'Grid Data'!$O$4:$O$2342,G$4,'Grid Data'!$M$4:$M$2342,$D$2)*100-G32, "--")</f>
        <v>--</v>
      </c>
      <c r="H64" s="5" t="str">
        <f>IF(  H95&gt;$E$2, SUMIFS(IF($G$2="CPR",'Grid Data'!$V$4:$V$2342,'Grid Data'!$W$4:$W$2342),'Grid Data'!$N$4:$N$2342,$D64,'Grid Data'!$O$4:$O$2342,H$4,'Grid Data'!$M$4:$M$2342,$D$2)*100-H32, "--")</f>
        <v>--</v>
      </c>
      <c r="I64" s="5" t="str">
        <f>IF(  I95&gt;$E$2, SUMIFS(IF($G$2="CPR",'Grid Data'!$V$4:$V$2342,'Grid Data'!$W$4:$W$2342),'Grid Data'!$N$4:$N$2342,$D64,'Grid Data'!$O$4:$O$2342,I$4,'Grid Data'!$M$4:$M$2342,$D$2)*100-I32, "--")</f>
        <v>--</v>
      </c>
      <c r="J64" s="5" t="str">
        <f>IF(  J95&gt;$E$2, SUMIFS(IF($G$2="CPR",'Grid Data'!$V$4:$V$2342,'Grid Data'!$W$4:$W$2342),'Grid Data'!$N$4:$N$2342,$D64,'Grid Data'!$O$4:$O$2342,J$4,'Grid Data'!$M$4:$M$2342,$D$2)*100-J32, "--")</f>
        <v>--</v>
      </c>
      <c r="K64" s="5" t="str">
        <f>IF(  K95&gt;$E$2, SUMIFS(IF($G$2="CPR",'Grid Data'!$V$4:$V$2342,'Grid Data'!$W$4:$W$2342),'Grid Data'!$N$4:$N$2342,$D64,'Grid Data'!$O$4:$O$2342,K$4,'Grid Data'!$M$4:$M$2342,$D$2)*100-K32, "--")</f>
        <v>--</v>
      </c>
      <c r="L64" s="5" t="str">
        <f>IF(  L95&gt;$E$2, SUMIFS(IF($G$2="CPR",'Grid Data'!$V$4:$V$2342,'Grid Data'!$W$4:$W$2342),'Grid Data'!$N$4:$N$2342,$D64,'Grid Data'!$O$4:$O$2342,L$4,'Grid Data'!$M$4:$M$2342,$D$2)*100-L32, "--")</f>
        <v>--</v>
      </c>
      <c r="M64" s="5" t="str">
        <f>IF(  M95&gt;$E$2, SUMIFS(IF($G$2="CPR",'Grid Data'!$V$4:$V$2342,'Grid Data'!$W$4:$W$2342),'Grid Data'!$N$4:$N$2342,$D64,'Grid Data'!$O$4:$O$2342,M$4,'Grid Data'!$M$4:$M$2342,$D$2)*100-M32, "--")</f>
        <v>--</v>
      </c>
      <c r="N64" s="5" t="str">
        <f>IF(  N95&gt;$E$2, SUMIFS(IF($G$2="CPR",'Grid Data'!$V$4:$V$2342,'Grid Data'!$W$4:$W$2342),'Grid Data'!$N$4:$N$2342,$D64,'Grid Data'!$O$4:$O$2342,N$4,'Grid Data'!$M$4:$M$2342,$D$2)*100-N32, "--")</f>
        <v>--</v>
      </c>
      <c r="O64" s="5" t="str">
        <f>IF(  O95&gt;$E$2, SUMIFS(IF($G$2="CPR",'Grid Data'!$V$4:$V$2342,'Grid Data'!$W$4:$W$2342),'Grid Data'!$N$4:$N$2342,$D64,'Grid Data'!$O$4:$O$2342,O$4,'Grid Data'!$M$4:$M$2342,$D$2)*100-O32, "--")</f>
        <v>--</v>
      </c>
      <c r="P64" s="5" t="str">
        <f>IF(  P95&gt;$E$2, SUMIFS(IF($G$2="CPR",'Grid Data'!$V$4:$V$2342,'Grid Data'!$W$4:$W$2342),'Grid Data'!$N$4:$N$2342,$D64,'Grid Data'!$O$4:$O$2342,P$4,'Grid Data'!$M$4:$M$2342,$D$2)*100-P32, "--")</f>
        <v>--</v>
      </c>
      <c r="Q64" s="5" t="str">
        <f>IF(  Q95&gt;$E$2, SUMIFS(IF($G$2="CPR",'Grid Data'!$V$4:$V$2342,'Grid Data'!$W$4:$W$2342),'Grid Data'!$N$4:$N$2342,$D64,'Grid Data'!$O$4:$O$2342,Q$4,'Grid Data'!$M$4:$M$2342,$D$2)*100-Q32, "--")</f>
        <v>--</v>
      </c>
      <c r="R64" s="5" t="str">
        <f>IF(  R95&gt;$E$2, SUMIFS(IF($G$2="CPR",'Grid Data'!$V$4:$V$2342,'Grid Data'!$W$4:$W$2342),'Grid Data'!$N$4:$N$2342,$D64,'Grid Data'!$O$4:$O$2342,R$4,'Grid Data'!$M$4:$M$2342,$D$2)*100-R32, "--")</f>
        <v>--</v>
      </c>
      <c r="S64" s="5" t="str">
        <f>IF(  S95&gt;$E$2, SUMIFS(IF($G$2="CPR",'Grid Data'!$V$4:$V$2342,'Grid Data'!$W$4:$W$2342),'Grid Data'!$N$4:$N$2342,$D64,'Grid Data'!$O$4:$O$2342,S$4,'Grid Data'!$M$4:$M$2342,$D$2)*100-S32, "--")</f>
        <v>--</v>
      </c>
      <c r="T64" s="5" t="str">
        <f>IF(  T95&gt;$E$2, SUMIFS(IF($G$2="CPR",'Grid Data'!$V$4:$V$2342,'Grid Data'!$W$4:$W$2342),'Grid Data'!$N$4:$N$2342,$D64,'Grid Data'!$O$4:$O$2342,T$4,'Grid Data'!$M$4:$M$2342,$D$2)*100-T32, "--")</f>
        <v>--</v>
      </c>
      <c r="U64" s="5" t="str">
        <f>IF(  U95&gt;$E$2, SUMIFS(IF($G$2="CPR",'Grid Data'!$V$4:$V$2342,'Grid Data'!$W$4:$W$2342),'Grid Data'!$N$4:$N$2342,$D64,'Grid Data'!$O$4:$O$2342,U$4,'Grid Data'!$M$4:$M$2342,$D$2)*100-U32, "--")</f>
        <v>--</v>
      </c>
      <c r="V64" s="5" t="str">
        <f>IF(  V95&gt;$E$2, SUMIFS(IF($G$2="CPR",'Grid Data'!$V$4:$V$2342,'Grid Data'!$W$4:$W$2342),'Grid Data'!$N$4:$N$2342,$D64,'Grid Data'!$O$4:$O$2342,V$4,'Grid Data'!$M$4:$M$2342,$D$2)*100-V32, "--")</f>
        <v>--</v>
      </c>
      <c r="W64" s="5" t="str">
        <f>IF(  W95&gt;$E$2, SUMIFS(IF($G$2="CPR",'Grid Data'!$V$4:$V$2342,'Grid Data'!$W$4:$W$2342),'Grid Data'!$N$4:$N$2342,$D64,'Grid Data'!$O$4:$O$2342,W$4,'Grid Data'!$M$4:$M$2342,$D$2)*100-W32, "--")</f>
        <v>--</v>
      </c>
      <c r="X64" s="5" t="str">
        <f>IF(  X95&gt;$E$2, SUMIFS(IF($G$2="CPR",'Grid Data'!$V$4:$V$2342,'Grid Data'!$W$4:$W$2342),'Grid Data'!$N$4:$N$2342,$D64,'Grid Data'!$O$4:$O$2342,X$4,'Grid Data'!$M$4:$M$2342,$D$2)*100-X32, "--")</f>
        <v>--</v>
      </c>
      <c r="Y64" s="5" t="str">
        <f>IF(  Y95&gt;$E$2, SUMIFS(IF($G$2="CPR",'Grid Data'!$V$4:$V$2342,'Grid Data'!$W$4:$W$2342),'Grid Data'!$N$4:$N$2342,$D64,'Grid Data'!$O$4:$O$2342,Y$4,'Grid Data'!$M$4:$M$2342,$D$2)*100-Y32, "--")</f>
        <v>--</v>
      </c>
      <c r="Z64" s="5" t="str">
        <f>IF(  Z95&gt;$E$2, SUMIFS(IF($G$2="CPR",'Grid Data'!$V$4:$V$2342,'Grid Data'!$W$4:$W$2342),'Grid Data'!$N$4:$N$2342,$D64,'Grid Data'!$O$4:$O$2342,Z$4,'Grid Data'!$M$4:$M$2342,$D$2)*100-Z32, "--")</f>
        <v>--</v>
      </c>
      <c r="AA64" s="5" t="str">
        <f>IF(  AA95&gt;$E$2, SUMIFS(IF($G$2="CPR",'Grid Data'!$V$4:$V$2342,'Grid Data'!$W$4:$W$2342),'Grid Data'!$N$4:$N$2342,$D64,'Grid Data'!$O$4:$O$2342,AA$4,'Grid Data'!$M$4:$M$2342,$D$2)*100-AA32, "--")</f>
        <v>--</v>
      </c>
      <c r="AB64" s="5" t="str">
        <f>IF(  AB95&gt;$E$2, SUMIFS(IF($G$2="CPR",'Grid Data'!$V$4:$V$2342,'Grid Data'!$W$4:$W$2342),'Grid Data'!$N$4:$N$2342,$D64,'Grid Data'!$O$4:$O$2342,AB$4,'Grid Data'!$M$4:$M$2342,$D$2)*100-AB32, "--")</f>
        <v>--</v>
      </c>
      <c r="AC64" s="5" t="str">
        <f>IF(  AC95&gt;$E$2, SUMIFS(IF($G$2="CPR",'Grid Data'!$V$4:$V$2342,'Grid Data'!$W$4:$W$2342),'Grid Data'!$N$4:$N$2342,$D64,'Grid Data'!$O$4:$O$2342,AC$4,'Grid Data'!$M$4:$M$2342,$D$2)*100-AC32, "--")</f>
        <v>--</v>
      </c>
      <c r="AD64" s="5" t="str">
        <f>IF(  AD95&gt;$E$2, SUMIFS(IF($G$2="CPR",'Grid Data'!$V$4:$V$2342,'Grid Data'!$W$4:$W$2342),'Grid Data'!$N$4:$N$2342,$D64,'Grid Data'!$O$4:$O$2342,AD$4,'Grid Data'!$M$4:$M$2342,$D$2)*100-AD32, "--")</f>
        <v>--</v>
      </c>
      <c r="AE64" s="5" t="str">
        <f>IF(  AE95&gt;$E$2, SUMIFS(IF($G$2="CPR",'Grid Data'!$V$4:$V$2342,'Grid Data'!$W$4:$W$2342),'Grid Data'!$N$4:$N$2342,$D64,'Grid Data'!$O$4:$O$2342,AE$4,'Grid Data'!$M$4:$M$2342,$D$2)*100-AE32, "--")</f>
        <v>--</v>
      </c>
      <c r="AF64" s="5" t="str">
        <f>IF(  AF95&gt;$E$2, SUMIFS(IF($G$2="CPR",'Grid Data'!$V$4:$V$2342,'Grid Data'!$W$4:$W$2342),'Grid Data'!$N$4:$N$2342,$D64,'Grid Data'!$O$4:$O$2342,AF$4,'Grid Data'!$M$4:$M$2342,$D$2)*100-AF32, "--")</f>
        <v>--</v>
      </c>
      <c r="AG64" s="5" t="str">
        <f>IF(  AG95&gt;$E$2, SUMIFS(IF($G$2="CPR",'Grid Data'!$V$4:$V$2342,'Grid Data'!$W$4:$W$2342),'Grid Data'!$N$4:$N$2342,$D64,'Grid Data'!$O$4:$O$2342,AG$4,'Grid Data'!$M$4:$M$2342,$D$2)*100-AG32, "--")</f>
        <v>--</v>
      </c>
      <c r="AH64" s="5" t="str">
        <f>IF(  AH95&gt;$E$2, SUMIFS(IF($G$2="CPR",'Grid Data'!$V$4:$V$2342,'Grid Data'!$W$4:$W$2342),'Grid Data'!$N$4:$N$2342,$D64,'Grid Data'!$O$4:$O$2342,AH$4,'Grid Data'!$M$4:$M$2342,$D$2)*100-AH32, "--")</f>
        <v>--</v>
      </c>
    </row>
    <row r="65" spans="3:34" x14ac:dyDescent="0.35">
      <c r="D65">
        <v>20000</v>
      </c>
      <c r="E65" s="5" t="str">
        <f>IF(  E96&gt;$E$2, SUMIFS(IF($G$2="CPR",'Grid Data'!$V$4:$V$2342,'Grid Data'!$W$4:$W$2342),'Grid Data'!$N$4:$N$2342,$D65,'Grid Data'!$O$4:$O$2342,E$4,'Grid Data'!$M$4:$M$2342,$D$2)*100-E33, "--")</f>
        <v>--</v>
      </c>
      <c r="F65" s="5" t="str">
        <f>IF(  F96&gt;$E$2, SUMIFS(IF($G$2="CPR",'Grid Data'!$V$4:$V$2342,'Grid Data'!$W$4:$W$2342),'Grid Data'!$N$4:$N$2342,$D65,'Grid Data'!$O$4:$O$2342,F$4,'Grid Data'!$M$4:$M$2342,$D$2)*100-F33, "--")</f>
        <v>--</v>
      </c>
      <c r="G65" s="5" t="str">
        <f>IF(  G96&gt;$E$2, SUMIFS(IF($G$2="CPR",'Grid Data'!$V$4:$V$2342,'Grid Data'!$W$4:$W$2342),'Grid Data'!$N$4:$N$2342,$D65,'Grid Data'!$O$4:$O$2342,G$4,'Grid Data'!$M$4:$M$2342,$D$2)*100-G33, "--")</f>
        <v>--</v>
      </c>
      <c r="H65" s="5" t="str">
        <f>IF(  H96&gt;$E$2, SUMIFS(IF($G$2="CPR",'Grid Data'!$V$4:$V$2342,'Grid Data'!$W$4:$W$2342),'Grid Data'!$N$4:$N$2342,$D65,'Grid Data'!$O$4:$O$2342,H$4,'Grid Data'!$M$4:$M$2342,$D$2)*100-H33, "--")</f>
        <v>--</v>
      </c>
      <c r="I65" s="5" t="str">
        <f>IF(  I96&gt;$E$2, SUMIFS(IF($G$2="CPR",'Grid Data'!$V$4:$V$2342,'Grid Data'!$W$4:$W$2342),'Grid Data'!$N$4:$N$2342,$D65,'Grid Data'!$O$4:$O$2342,I$4,'Grid Data'!$M$4:$M$2342,$D$2)*100-I33, "--")</f>
        <v>--</v>
      </c>
      <c r="J65" s="5" t="str">
        <f>IF(  J96&gt;$E$2, SUMIFS(IF($G$2="CPR",'Grid Data'!$V$4:$V$2342,'Grid Data'!$W$4:$W$2342),'Grid Data'!$N$4:$N$2342,$D65,'Grid Data'!$O$4:$O$2342,J$4,'Grid Data'!$M$4:$M$2342,$D$2)*100-J33, "--")</f>
        <v>--</v>
      </c>
      <c r="K65" s="5" t="str">
        <f>IF(  K96&gt;$E$2, SUMIFS(IF($G$2="CPR",'Grid Data'!$V$4:$V$2342,'Grid Data'!$W$4:$W$2342),'Grid Data'!$N$4:$N$2342,$D65,'Grid Data'!$O$4:$O$2342,K$4,'Grid Data'!$M$4:$M$2342,$D$2)*100-K33, "--")</f>
        <v>--</v>
      </c>
      <c r="L65" s="5" t="str">
        <f>IF(  L96&gt;$E$2, SUMIFS(IF($G$2="CPR",'Grid Data'!$V$4:$V$2342,'Grid Data'!$W$4:$W$2342),'Grid Data'!$N$4:$N$2342,$D65,'Grid Data'!$O$4:$O$2342,L$4,'Grid Data'!$M$4:$M$2342,$D$2)*100-L33, "--")</f>
        <v>--</v>
      </c>
      <c r="M65" s="5" t="str">
        <f>IF(  M96&gt;$E$2, SUMIFS(IF($G$2="CPR",'Grid Data'!$V$4:$V$2342,'Grid Data'!$W$4:$W$2342),'Grid Data'!$N$4:$N$2342,$D65,'Grid Data'!$O$4:$O$2342,M$4,'Grid Data'!$M$4:$M$2342,$D$2)*100-M33, "--")</f>
        <v>--</v>
      </c>
      <c r="N65" s="5" t="str">
        <f>IF(  N96&gt;$E$2, SUMIFS(IF($G$2="CPR",'Grid Data'!$V$4:$V$2342,'Grid Data'!$W$4:$W$2342),'Grid Data'!$N$4:$N$2342,$D65,'Grid Data'!$O$4:$O$2342,N$4,'Grid Data'!$M$4:$M$2342,$D$2)*100-N33, "--")</f>
        <v>--</v>
      </c>
      <c r="O65" s="5" t="str">
        <f>IF(  O96&gt;$E$2, SUMIFS(IF($G$2="CPR",'Grid Data'!$V$4:$V$2342,'Grid Data'!$W$4:$W$2342),'Grid Data'!$N$4:$N$2342,$D65,'Grid Data'!$O$4:$O$2342,O$4,'Grid Data'!$M$4:$M$2342,$D$2)*100-O33, "--")</f>
        <v>--</v>
      </c>
      <c r="P65" s="5" t="str">
        <f>IF(  P96&gt;$E$2, SUMIFS(IF($G$2="CPR",'Grid Data'!$V$4:$V$2342,'Grid Data'!$W$4:$W$2342),'Grid Data'!$N$4:$N$2342,$D65,'Grid Data'!$O$4:$O$2342,P$4,'Grid Data'!$M$4:$M$2342,$D$2)*100-P33, "--")</f>
        <v>--</v>
      </c>
      <c r="Q65" s="5" t="str">
        <f>IF(  Q96&gt;$E$2, SUMIFS(IF($G$2="CPR",'Grid Data'!$V$4:$V$2342,'Grid Data'!$W$4:$W$2342),'Grid Data'!$N$4:$N$2342,$D65,'Grid Data'!$O$4:$O$2342,Q$4,'Grid Data'!$M$4:$M$2342,$D$2)*100-Q33, "--")</f>
        <v>--</v>
      </c>
      <c r="R65" s="5" t="str">
        <f>IF(  R96&gt;$E$2, SUMIFS(IF($G$2="CPR",'Grid Data'!$V$4:$V$2342,'Grid Data'!$W$4:$W$2342),'Grid Data'!$N$4:$N$2342,$D65,'Grid Data'!$O$4:$O$2342,R$4,'Grid Data'!$M$4:$M$2342,$D$2)*100-R33, "--")</f>
        <v>--</v>
      </c>
      <c r="S65" s="5" t="str">
        <f>IF(  S96&gt;$E$2, SUMIFS(IF($G$2="CPR",'Grid Data'!$V$4:$V$2342,'Grid Data'!$W$4:$W$2342),'Grid Data'!$N$4:$N$2342,$D65,'Grid Data'!$O$4:$O$2342,S$4,'Grid Data'!$M$4:$M$2342,$D$2)*100-S33, "--")</f>
        <v>--</v>
      </c>
      <c r="T65" s="5" t="str">
        <f>IF(  T96&gt;$E$2, SUMIFS(IF($G$2="CPR",'Grid Data'!$V$4:$V$2342,'Grid Data'!$W$4:$W$2342),'Grid Data'!$N$4:$N$2342,$D65,'Grid Data'!$O$4:$O$2342,T$4,'Grid Data'!$M$4:$M$2342,$D$2)*100-T33, "--")</f>
        <v>--</v>
      </c>
      <c r="U65" s="5" t="str">
        <f>IF(  U96&gt;$E$2, SUMIFS(IF($G$2="CPR",'Grid Data'!$V$4:$V$2342,'Grid Data'!$W$4:$W$2342),'Grid Data'!$N$4:$N$2342,$D65,'Grid Data'!$O$4:$O$2342,U$4,'Grid Data'!$M$4:$M$2342,$D$2)*100-U33, "--")</f>
        <v>--</v>
      </c>
      <c r="V65" s="5" t="str">
        <f>IF(  V96&gt;$E$2, SUMIFS(IF($G$2="CPR",'Grid Data'!$V$4:$V$2342,'Grid Data'!$W$4:$W$2342),'Grid Data'!$N$4:$N$2342,$D65,'Grid Data'!$O$4:$O$2342,V$4,'Grid Data'!$M$4:$M$2342,$D$2)*100-V33, "--")</f>
        <v>--</v>
      </c>
      <c r="W65" s="5" t="str">
        <f>IF(  W96&gt;$E$2, SUMIFS(IF($G$2="CPR",'Grid Data'!$V$4:$V$2342,'Grid Data'!$W$4:$W$2342),'Grid Data'!$N$4:$N$2342,$D65,'Grid Data'!$O$4:$O$2342,W$4,'Grid Data'!$M$4:$M$2342,$D$2)*100-W33, "--")</f>
        <v>--</v>
      </c>
      <c r="X65" s="5" t="str">
        <f>IF(  X96&gt;$E$2, SUMIFS(IF($G$2="CPR",'Grid Data'!$V$4:$V$2342,'Grid Data'!$W$4:$W$2342),'Grid Data'!$N$4:$N$2342,$D65,'Grid Data'!$O$4:$O$2342,X$4,'Grid Data'!$M$4:$M$2342,$D$2)*100-X33, "--")</f>
        <v>--</v>
      </c>
      <c r="Y65" s="5" t="str">
        <f>IF(  Y96&gt;$E$2, SUMIFS(IF($G$2="CPR",'Grid Data'!$V$4:$V$2342,'Grid Data'!$W$4:$W$2342),'Grid Data'!$N$4:$N$2342,$D65,'Grid Data'!$O$4:$O$2342,Y$4,'Grid Data'!$M$4:$M$2342,$D$2)*100-Y33, "--")</f>
        <v>--</v>
      </c>
      <c r="Z65" s="5" t="str">
        <f>IF(  Z96&gt;$E$2, SUMIFS(IF($G$2="CPR",'Grid Data'!$V$4:$V$2342,'Grid Data'!$W$4:$W$2342),'Grid Data'!$N$4:$N$2342,$D65,'Grid Data'!$O$4:$O$2342,Z$4,'Grid Data'!$M$4:$M$2342,$D$2)*100-Z33, "--")</f>
        <v>--</v>
      </c>
      <c r="AA65" s="5" t="str">
        <f>IF(  AA96&gt;$E$2, SUMIFS(IF($G$2="CPR",'Grid Data'!$V$4:$V$2342,'Grid Data'!$W$4:$W$2342),'Grid Data'!$N$4:$N$2342,$D65,'Grid Data'!$O$4:$O$2342,AA$4,'Grid Data'!$M$4:$M$2342,$D$2)*100-AA33, "--")</f>
        <v>--</v>
      </c>
      <c r="AB65" s="5" t="str">
        <f>IF(  AB96&gt;$E$2, SUMIFS(IF($G$2="CPR",'Grid Data'!$V$4:$V$2342,'Grid Data'!$W$4:$W$2342),'Grid Data'!$N$4:$N$2342,$D65,'Grid Data'!$O$4:$O$2342,AB$4,'Grid Data'!$M$4:$M$2342,$D$2)*100-AB33, "--")</f>
        <v>--</v>
      </c>
      <c r="AC65" s="5" t="str">
        <f>IF(  AC96&gt;$E$2, SUMIFS(IF($G$2="CPR",'Grid Data'!$V$4:$V$2342,'Grid Data'!$W$4:$W$2342),'Grid Data'!$N$4:$N$2342,$D65,'Grid Data'!$O$4:$O$2342,AC$4,'Grid Data'!$M$4:$M$2342,$D$2)*100-AC33, "--")</f>
        <v>--</v>
      </c>
      <c r="AD65" s="5" t="str">
        <f>IF(  AD96&gt;$E$2, SUMIFS(IF($G$2="CPR",'Grid Data'!$V$4:$V$2342,'Grid Data'!$W$4:$W$2342),'Grid Data'!$N$4:$N$2342,$D65,'Grid Data'!$O$4:$O$2342,AD$4,'Grid Data'!$M$4:$M$2342,$D$2)*100-AD33, "--")</f>
        <v>--</v>
      </c>
      <c r="AE65" s="5" t="str">
        <f>IF(  AE96&gt;$E$2, SUMIFS(IF($G$2="CPR",'Grid Data'!$V$4:$V$2342,'Grid Data'!$W$4:$W$2342),'Grid Data'!$N$4:$N$2342,$D65,'Grid Data'!$O$4:$O$2342,AE$4,'Grid Data'!$M$4:$M$2342,$D$2)*100-AE33, "--")</f>
        <v>--</v>
      </c>
      <c r="AF65" s="5" t="str">
        <f>IF(  AF96&gt;$E$2, SUMIFS(IF($G$2="CPR",'Grid Data'!$V$4:$V$2342,'Grid Data'!$W$4:$W$2342),'Grid Data'!$N$4:$N$2342,$D65,'Grid Data'!$O$4:$O$2342,AF$4,'Grid Data'!$M$4:$M$2342,$D$2)*100-AF33, "--")</f>
        <v>--</v>
      </c>
      <c r="AG65" s="5" t="str">
        <f>IF(  AG96&gt;$E$2, SUMIFS(IF($G$2="CPR",'Grid Data'!$V$4:$V$2342,'Grid Data'!$W$4:$W$2342),'Grid Data'!$N$4:$N$2342,$D65,'Grid Data'!$O$4:$O$2342,AG$4,'Grid Data'!$M$4:$M$2342,$D$2)*100-AG33, "--")</f>
        <v>--</v>
      </c>
      <c r="AH65" s="5" t="str">
        <f>IF(  AH96&gt;$E$2, SUMIFS(IF($G$2="CPR",'Grid Data'!$V$4:$V$2342,'Grid Data'!$W$4:$W$2342),'Grid Data'!$N$4:$N$2342,$D65,'Grid Data'!$O$4:$O$2342,AH$4,'Grid Data'!$M$4:$M$2342,$D$2)*100-AH33, "--")</f>
        <v>--</v>
      </c>
    </row>
    <row r="67" spans="3:34" x14ac:dyDescent="0.35">
      <c r="C67" s="3" t="s">
        <v>14</v>
      </c>
      <c r="D67" s="3" t="s">
        <v>8</v>
      </c>
      <c r="E67">
        <v>5</v>
      </c>
      <c r="F67">
        <v>6</v>
      </c>
      <c r="G67">
        <v>7</v>
      </c>
      <c r="H67">
        <v>8</v>
      </c>
      <c r="I67">
        <v>9</v>
      </c>
      <c r="J67">
        <v>10</v>
      </c>
      <c r="K67">
        <v>12</v>
      </c>
      <c r="L67">
        <v>14</v>
      </c>
      <c r="M67">
        <v>16</v>
      </c>
      <c r="N67">
        <v>18</v>
      </c>
      <c r="O67">
        <v>20</v>
      </c>
      <c r="P67">
        <v>24</v>
      </c>
      <c r="Q67">
        <v>30</v>
      </c>
      <c r="R67">
        <v>36</v>
      </c>
      <c r="S67">
        <v>42</v>
      </c>
      <c r="T67">
        <v>48</v>
      </c>
      <c r="U67">
        <v>54</v>
      </c>
      <c r="V67">
        <v>60</v>
      </c>
      <c r="W67">
        <v>72</v>
      </c>
      <c r="X67">
        <v>84</v>
      </c>
      <c r="Y67">
        <v>96</v>
      </c>
      <c r="Z67">
        <v>108</v>
      </c>
      <c r="AA67">
        <v>120</v>
      </c>
      <c r="AB67">
        <v>144</v>
      </c>
      <c r="AC67">
        <v>168</v>
      </c>
      <c r="AD67">
        <v>192</v>
      </c>
      <c r="AE67">
        <v>216</v>
      </c>
      <c r="AF67">
        <v>240</v>
      </c>
      <c r="AG67">
        <v>320</v>
      </c>
      <c r="AH67">
        <v>360</v>
      </c>
    </row>
    <row r="68" spans="3:34" x14ac:dyDescent="0.35">
      <c r="D68">
        <v>2000</v>
      </c>
      <c r="E68" s="2">
        <f>SUMIFS('Grid Data'!$D$4:$D$2342,'Grid Data'!$B$4:$B$2342,$D68,'Grid Data'!$C$4:$C$2342,E$4,'Grid Data'!$A$4:$A$2342,$D$2)</f>
        <v>0</v>
      </c>
      <c r="F68" s="2">
        <f>SUMIFS('Grid Data'!$D$4:$D$2342,'Grid Data'!$B$4:$B$2342,$D68,'Grid Data'!$C$4:$C$2342,F$4,'Grid Data'!$A$4:$A$2342,$D$2)</f>
        <v>0</v>
      </c>
      <c r="G68" s="2">
        <f>SUMIFS('Grid Data'!$D$4:$D$2342,'Grid Data'!$B$4:$B$2342,$D68,'Grid Data'!$C$4:$C$2342,G$4,'Grid Data'!$A$4:$A$2342,$D$2)</f>
        <v>0</v>
      </c>
      <c r="H68" s="2">
        <f>SUMIFS('Grid Data'!$D$4:$D$2342,'Grid Data'!$B$4:$B$2342,$D68,'Grid Data'!$C$4:$C$2342,H$4,'Grid Data'!$A$4:$A$2342,$D$2)</f>
        <v>0</v>
      </c>
      <c r="I68" s="2">
        <f>SUMIFS('Grid Data'!$D$4:$D$2342,'Grid Data'!$B$4:$B$2342,$D68,'Grid Data'!$C$4:$C$2342,I$4,'Grid Data'!$A$4:$A$2342,$D$2)</f>
        <v>0</v>
      </c>
      <c r="J68" s="2">
        <f>SUMIFS('Grid Data'!$D$4:$D$2342,'Grid Data'!$B$4:$B$2342,$D68,'Grid Data'!$C$4:$C$2342,J$4,'Grid Data'!$A$4:$A$2342,$D$2)</f>
        <v>1</v>
      </c>
      <c r="K68" s="2">
        <f>SUMIFS('Grid Data'!$D$4:$D$2342,'Grid Data'!$B$4:$B$2342,$D68,'Grid Data'!$C$4:$C$2342,K$4,'Grid Data'!$A$4:$A$2342,$D$2)</f>
        <v>0</v>
      </c>
      <c r="L68" s="2">
        <f>SUMIFS('Grid Data'!$D$4:$D$2342,'Grid Data'!$B$4:$B$2342,$D68,'Grid Data'!$C$4:$C$2342,L$4,'Grid Data'!$A$4:$A$2342,$D$2)</f>
        <v>0</v>
      </c>
      <c r="M68" s="2">
        <f>SUMIFS('Grid Data'!$D$4:$D$2342,'Grid Data'!$B$4:$B$2342,$D68,'Grid Data'!$C$4:$C$2342,M$4,'Grid Data'!$A$4:$A$2342,$D$2)</f>
        <v>0</v>
      </c>
      <c r="N68" s="2">
        <f>SUMIFS('Grid Data'!$D$4:$D$2342,'Grid Data'!$B$4:$B$2342,$D68,'Grid Data'!$C$4:$C$2342,N$4,'Grid Data'!$A$4:$A$2342,$D$2)</f>
        <v>0</v>
      </c>
      <c r="O68" s="2">
        <f>SUMIFS('Grid Data'!$D$4:$D$2342,'Grid Data'!$B$4:$B$2342,$D68,'Grid Data'!$C$4:$C$2342,O$4,'Grid Data'!$A$4:$A$2342,$D$2)</f>
        <v>0</v>
      </c>
      <c r="P68" s="2">
        <f>SUMIFS('Grid Data'!$D$4:$D$2342,'Grid Data'!$B$4:$B$2342,$D68,'Grid Data'!$C$4:$C$2342,P$4,'Grid Data'!$A$4:$A$2342,$D$2)</f>
        <v>1</v>
      </c>
      <c r="Q68" s="2">
        <f>SUMIFS('Grid Data'!$D$4:$D$2342,'Grid Data'!$B$4:$B$2342,$D68,'Grid Data'!$C$4:$C$2342,Q$4,'Grid Data'!$A$4:$A$2342,$D$2)</f>
        <v>1</v>
      </c>
      <c r="R68" s="2">
        <f>SUMIFS('Grid Data'!$D$4:$D$2342,'Grid Data'!$B$4:$B$2342,$D68,'Grid Data'!$C$4:$C$2342,R$4,'Grid Data'!$A$4:$A$2342,$D$2)</f>
        <v>1</v>
      </c>
      <c r="S68" s="2">
        <f>SUMIFS('Grid Data'!$D$4:$D$2342,'Grid Data'!$B$4:$B$2342,$D68,'Grid Data'!$C$4:$C$2342,S$4,'Grid Data'!$A$4:$A$2342,$D$2)</f>
        <v>0</v>
      </c>
      <c r="T68" s="2">
        <f>SUMIFS('Grid Data'!$D$4:$D$2342,'Grid Data'!$B$4:$B$2342,$D68,'Grid Data'!$C$4:$C$2342,T$4,'Grid Data'!$A$4:$A$2342,$D$2)</f>
        <v>21</v>
      </c>
      <c r="U68" s="2">
        <f>SUMIFS('Grid Data'!$D$4:$D$2342,'Grid Data'!$B$4:$B$2342,$D68,'Grid Data'!$C$4:$C$2342,U$4,'Grid Data'!$A$4:$A$2342,$D$2)</f>
        <v>1782</v>
      </c>
      <c r="V68" s="2">
        <f>SUMIFS('Grid Data'!$D$4:$D$2342,'Grid Data'!$B$4:$B$2342,$D68,'Grid Data'!$C$4:$C$2342,V$4,'Grid Data'!$A$4:$A$2342,$D$2)</f>
        <v>5910</v>
      </c>
      <c r="W68" s="2">
        <f>SUMIFS('Grid Data'!$D$4:$D$2342,'Grid Data'!$B$4:$B$2342,$D68,'Grid Data'!$C$4:$C$2342,W$4,'Grid Data'!$A$4:$A$2342,$D$2)</f>
        <v>2134</v>
      </c>
      <c r="X68" s="2">
        <f>SUMIFS('Grid Data'!$D$4:$D$2342,'Grid Data'!$B$4:$B$2342,$D68,'Grid Data'!$C$4:$C$2342,X$4,'Grid Data'!$A$4:$A$2342,$D$2)</f>
        <v>1</v>
      </c>
      <c r="Y68" s="2">
        <f>SUMIFS('Grid Data'!$D$4:$D$2342,'Grid Data'!$B$4:$B$2342,$D68,'Grid Data'!$C$4:$C$2342,Y$4,'Grid Data'!$A$4:$A$2342,$D$2)</f>
        <v>2</v>
      </c>
      <c r="Z68" s="2">
        <f>SUMIFS('Grid Data'!$D$4:$D$2342,'Grid Data'!$B$4:$B$2342,$D68,'Grid Data'!$C$4:$C$2342,Z$4,'Grid Data'!$A$4:$A$2342,$D$2)</f>
        <v>7</v>
      </c>
      <c r="AA68" s="2">
        <f>SUMIFS('Grid Data'!$D$4:$D$2342,'Grid Data'!$B$4:$B$2342,$D68,'Grid Data'!$C$4:$C$2342,AA$4,'Grid Data'!$A$4:$A$2342,$D$2)</f>
        <v>4</v>
      </c>
      <c r="AB68" s="2">
        <f>SUMIFS('Grid Data'!$D$4:$D$2342,'Grid Data'!$B$4:$B$2342,$D68,'Grid Data'!$C$4:$C$2342,AB$4,'Grid Data'!$A$4:$A$2342,$D$2)</f>
        <v>18</v>
      </c>
      <c r="AC68" s="2">
        <f>SUMIFS('Grid Data'!$D$4:$D$2342,'Grid Data'!$B$4:$B$2342,$D68,'Grid Data'!$C$4:$C$2342,AC$4,'Grid Data'!$A$4:$A$2342,$D$2)</f>
        <v>5</v>
      </c>
      <c r="AD68" s="2">
        <f>SUMIFS('Grid Data'!$D$4:$D$2342,'Grid Data'!$B$4:$B$2342,$D68,'Grid Data'!$C$4:$C$2342,AD$4,'Grid Data'!$A$4:$A$2342,$D$2)</f>
        <v>0</v>
      </c>
      <c r="AE68" s="2">
        <f>SUMIFS('Grid Data'!$D$4:$D$2342,'Grid Data'!$B$4:$B$2342,$D68,'Grid Data'!$C$4:$C$2342,AE$4,'Grid Data'!$A$4:$A$2342,$D$2)</f>
        <v>0</v>
      </c>
      <c r="AF68" s="2">
        <f>SUMIFS('Grid Data'!$D$4:$D$2342,'Grid Data'!$B$4:$B$2342,$D68,'Grid Data'!$C$4:$C$2342,AF$4,'Grid Data'!$A$4:$A$2342,$D$2)</f>
        <v>0</v>
      </c>
      <c r="AG68" s="2">
        <f>SUMIFS('Grid Data'!$D$4:$D$2342,'Grid Data'!$B$4:$B$2342,$D68,'Grid Data'!$C$4:$C$2342,AG$4,'Grid Data'!$A$4:$A$2342,$D$2)</f>
        <v>0</v>
      </c>
      <c r="AH68" s="2">
        <f>SUMIFS('Grid Data'!$D$4:$D$2342,'Grid Data'!$B$4:$B$2342,$D68,'Grid Data'!$C$4:$C$2342,AH$4,'Grid Data'!$A$4:$A$2342,$D$2)</f>
        <v>0</v>
      </c>
    </row>
    <row r="69" spans="3:34" x14ac:dyDescent="0.35">
      <c r="D69">
        <v>2250</v>
      </c>
      <c r="E69" s="2">
        <f>SUMIFS('Grid Data'!$D$4:$D$2342,'Grid Data'!$B$4:$B$2342,$D69,'Grid Data'!$C$4:$C$2342,E$4,'Grid Data'!$A$4:$A$2342,$D$2)</f>
        <v>0</v>
      </c>
      <c r="F69" s="2">
        <f>SUMIFS('Grid Data'!$D$4:$D$2342,'Grid Data'!$B$4:$B$2342,$D69,'Grid Data'!$C$4:$C$2342,F$4,'Grid Data'!$A$4:$A$2342,$D$2)</f>
        <v>0</v>
      </c>
      <c r="G69" s="2">
        <f>SUMIFS('Grid Data'!$D$4:$D$2342,'Grid Data'!$B$4:$B$2342,$D69,'Grid Data'!$C$4:$C$2342,G$4,'Grid Data'!$A$4:$A$2342,$D$2)</f>
        <v>0</v>
      </c>
      <c r="H69" s="2">
        <f>SUMIFS('Grid Data'!$D$4:$D$2342,'Grid Data'!$B$4:$B$2342,$D69,'Grid Data'!$C$4:$C$2342,H$4,'Grid Data'!$A$4:$A$2342,$D$2)</f>
        <v>0</v>
      </c>
      <c r="I69" s="2">
        <f>SUMIFS('Grid Data'!$D$4:$D$2342,'Grid Data'!$B$4:$B$2342,$D69,'Grid Data'!$C$4:$C$2342,I$4,'Grid Data'!$A$4:$A$2342,$D$2)</f>
        <v>1</v>
      </c>
      <c r="J69" s="2">
        <f>SUMIFS('Grid Data'!$D$4:$D$2342,'Grid Data'!$B$4:$B$2342,$D69,'Grid Data'!$C$4:$C$2342,J$4,'Grid Data'!$A$4:$A$2342,$D$2)</f>
        <v>3</v>
      </c>
      <c r="K69" s="2">
        <f>SUMIFS('Grid Data'!$D$4:$D$2342,'Grid Data'!$B$4:$B$2342,$D69,'Grid Data'!$C$4:$C$2342,K$4,'Grid Data'!$A$4:$A$2342,$D$2)</f>
        <v>1</v>
      </c>
      <c r="L69" s="2">
        <f>SUMIFS('Grid Data'!$D$4:$D$2342,'Grid Data'!$B$4:$B$2342,$D69,'Grid Data'!$C$4:$C$2342,L$4,'Grid Data'!$A$4:$A$2342,$D$2)</f>
        <v>2</v>
      </c>
      <c r="M69" s="2">
        <f>SUMIFS('Grid Data'!$D$4:$D$2342,'Grid Data'!$B$4:$B$2342,$D69,'Grid Data'!$C$4:$C$2342,M$4,'Grid Data'!$A$4:$A$2342,$D$2)</f>
        <v>0</v>
      </c>
      <c r="N69" s="2">
        <f>SUMIFS('Grid Data'!$D$4:$D$2342,'Grid Data'!$B$4:$B$2342,$D69,'Grid Data'!$C$4:$C$2342,N$4,'Grid Data'!$A$4:$A$2342,$D$2)</f>
        <v>7</v>
      </c>
      <c r="O69" s="2">
        <f>SUMIFS('Grid Data'!$D$4:$D$2342,'Grid Data'!$B$4:$B$2342,$D69,'Grid Data'!$C$4:$C$2342,O$4,'Grid Data'!$A$4:$A$2342,$D$2)</f>
        <v>5</v>
      </c>
      <c r="P69" s="2">
        <f>SUMIFS('Grid Data'!$D$4:$D$2342,'Grid Data'!$B$4:$B$2342,$D69,'Grid Data'!$C$4:$C$2342,P$4,'Grid Data'!$A$4:$A$2342,$D$2)</f>
        <v>14</v>
      </c>
      <c r="Q69" s="2">
        <f>SUMIFS('Grid Data'!$D$4:$D$2342,'Grid Data'!$B$4:$B$2342,$D69,'Grid Data'!$C$4:$C$2342,Q$4,'Grid Data'!$A$4:$A$2342,$D$2)</f>
        <v>25</v>
      </c>
      <c r="R69" s="2">
        <f>SUMIFS('Grid Data'!$D$4:$D$2342,'Grid Data'!$B$4:$B$2342,$D69,'Grid Data'!$C$4:$C$2342,R$4,'Grid Data'!$A$4:$A$2342,$D$2)</f>
        <v>33</v>
      </c>
      <c r="S69" s="2">
        <f>SUMIFS('Grid Data'!$D$4:$D$2342,'Grid Data'!$B$4:$B$2342,$D69,'Grid Data'!$C$4:$C$2342,S$4,'Grid Data'!$A$4:$A$2342,$D$2)</f>
        <v>43</v>
      </c>
      <c r="T69" s="2">
        <f>SUMIFS('Grid Data'!$D$4:$D$2342,'Grid Data'!$B$4:$B$2342,$D69,'Grid Data'!$C$4:$C$2342,T$4,'Grid Data'!$A$4:$A$2342,$D$2)</f>
        <v>2847</v>
      </c>
      <c r="U69" s="2">
        <f>SUMIFS('Grid Data'!$D$4:$D$2342,'Grid Data'!$B$4:$B$2342,$D69,'Grid Data'!$C$4:$C$2342,U$4,'Grid Data'!$A$4:$A$2342,$D$2)</f>
        <v>68954</v>
      </c>
      <c r="V69" s="2">
        <f>SUMIFS('Grid Data'!$D$4:$D$2342,'Grid Data'!$B$4:$B$2342,$D69,'Grid Data'!$C$4:$C$2342,V$4,'Grid Data'!$A$4:$A$2342,$D$2)</f>
        <v>137832</v>
      </c>
      <c r="W69" s="2">
        <f>SUMIFS('Grid Data'!$D$4:$D$2342,'Grid Data'!$B$4:$B$2342,$D69,'Grid Data'!$C$4:$C$2342,W$4,'Grid Data'!$A$4:$A$2342,$D$2)</f>
        <v>168198</v>
      </c>
      <c r="X69" s="2">
        <f>SUMIFS('Grid Data'!$D$4:$D$2342,'Grid Data'!$B$4:$B$2342,$D69,'Grid Data'!$C$4:$C$2342,X$4,'Grid Data'!$A$4:$A$2342,$D$2)</f>
        <v>2</v>
      </c>
      <c r="Y69" s="2">
        <f>SUMIFS('Grid Data'!$D$4:$D$2342,'Grid Data'!$B$4:$B$2342,$D69,'Grid Data'!$C$4:$C$2342,Y$4,'Grid Data'!$A$4:$A$2342,$D$2)</f>
        <v>0</v>
      </c>
      <c r="Z69" s="2">
        <f>SUMIFS('Grid Data'!$D$4:$D$2342,'Grid Data'!$B$4:$B$2342,$D69,'Grid Data'!$C$4:$C$2342,Z$4,'Grid Data'!$A$4:$A$2342,$D$2)</f>
        <v>1</v>
      </c>
      <c r="AA69" s="2">
        <f>SUMIFS('Grid Data'!$D$4:$D$2342,'Grid Data'!$B$4:$B$2342,$D69,'Grid Data'!$C$4:$C$2342,AA$4,'Grid Data'!$A$4:$A$2342,$D$2)</f>
        <v>0</v>
      </c>
      <c r="AB69" s="2">
        <f>SUMIFS('Grid Data'!$D$4:$D$2342,'Grid Data'!$B$4:$B$2342,$D69,'Grid Data'!$C$4:$C$2342,AB$4,'Grid Data'!$A$4:$A$2342,$D$2)</f>
        <v>1</v>
      </c>
      <c r="AC69" s="2">
        <f>SUMIFS('Grid Data'!$D$4:$D$2342,'Grid Data'!$B$4:$B$2342,$D69,'Grid Data'!$C$4:$C$2342,AC$4,'Grid Data'!$A$4:$A$2342,$D$2)</f>
        <v>14</v>
      </c>
      <c r="AD69" s="2">
        <f>SUMIFS('Grid Data'!$D$4:$D$2342,'Grid Data'!$B$4:$B$2342,$D69,'Grid Data'!$C$4:$C$2342,AD$4,'Grid Data'!$A$4:$A$2342,$D$2)</f>
        <v>0</v>
      </c>
      <c r="AE69" s="2">
        <f>SUMIFS('Grid Data'!$D$4:$D$2342,'Grid Data'!$B$4:$B$2342,$D69,'Grid Data'!$C$4:$C$2342,AE$4,'Grid Data'!$A$4:$A$2342,$D$2)</f>
        <v>0</v>
      </c>
      <c r="AF69" s="2">
        <f>SUMIFS('Grid Data'!$D$4:$D$2342,'Grid Data'!$B$4:$B$2342,$D69,'Grid Data'!$C$4:$C$2342,AF$4,'Grid Data'!$A$4:$A$2342,$D$2)</f>
        <v>0</v>
      </c>
      <c r="AG69" s="2">
        <f>SUMIFS('Grid Data'!$D$4:$D$2342,'Grid Data'!$B$4:$B$2342,$D69,'Grid Data'!$C$4:$C$2342,AG$4,'Grid Data'!$A$4:$A$2342,$D$2)</f>
        <v>0</v>
      </c>
      <c r="AH69" s="2">
        <f>SUMIFS('Grid Data'!$D$4:$D$2342,'Grid Data'!$B$4:$B$2342,$D69,'Grid Data'!$C$4:$C$2342,AH$4,'Grid Data'!$A$4:$A$2342,$D$2)</f>
        <v>0</v>
      </c>
    </row>
    <row r="70" spans="3:34" x14ac:dyDescent="0.35">
      <c r="D70">
        <v>2500</v>
      </c>
      <c r="E70" s="2">
        <f>SUMIFS('Grid Data'!$D$4:$D$2342,'Grid Data'!$B$4:$B$2342,$D70,'Grid Data'!$C$4:$C$2342,E$4,'Grid Data'!$A$4:$A$2342,$D$2)</f>
        <v>6</v>
      </c>
      <c r="F70" s="2">
        <f>SUMIFS('Grid Data'!$D$4:$D$2342,'Grid Data'!$B$4:$B$2342,$D70,'Grid Data'!$C$4:$C$2342,F$4,'Grid Data'!$A$4:$A$2342,$D$2)</f>
        <v>3</v>
      </c>
      <c r="G70" s="2">
        <f>SUMIFS('Grid Data'!$D$4:$D$2342,'Grid Data'!$B$4:$B$2342,$D70,'Grid Data'!$C$4:$C$2342,G$4,'Grid Data'!$A$4:$A$2342,$D$2)</f>
        <v>12</v>
      </c>
      <c r="H70" s="2">
        <f>SUMIFS('Grid Data'!$D$4:$D$2342,'Grid Data'!$B$4:$B$2342,$D70,'Grid Data'!$C$4:$C$2342,H$4,'Grid Data'!$A$4:$A$2342,$D$2)</f>
        <v>6</v>
      </c>
      <c r="I70" s="2">
        <f>SUMIFS('Grid Data'!$D$4:$D$2342,'Grid Data'!$B$4:$B$2342,$D70,'Grid Data'!$C$4:$C$2342,I$4,'Grid Data'!$A$4:$A$2342,$D$2)</f>
        <v>1</v>
      </c>
      <c r="J70" s="2">
        <f>SUMIFS('Grid Data'!$D$4:$D$2342,'Grid Data'!$B$4:$B$2342,$D70,'Grid Data'!$C$4:$C$2342,J$4,'Grid Data'!$A$4:$A$2342,$D$2)</f>
        <v>0</v>
      </c>
      <c r="K70" s="2">
        <f>SUMIFS('Grid Data'!$D$4:$D$2342,'Grid Data'!$B$4:$B$2342,$D70,'Grid Data'!$C$4:$C$2342,K$4,'Grid Data'!$A$4:$A$2342,$D$2)</f>
        <v>8</v>
      </c>
      <c r="L70" s="2">
        <f>SUMIFS('Grid Data'!$D$4:$D$2342,'Grid Data'!$B$4:$B$2342,$D70,'Grid Data'!$C$4:$C$2342,L$4,'Grid Data'!$A$4:$A$2342,$D$2)</f>
        <v>0</v>
      </c>
      <c r="M70" s="2">
        <f>SUMIFS('Grid Data'!$D$4:$D$2342,'Grid Data'!$B$4:$B$2342,$D70,'Grid Data'!$C$4:$C$2342,M$4,'Grid Data'!$A$4:$A$2342,$D$2)</f>
        <v>0</v>
      </c>
      <c r="N70" s="2">
        <f>SUMIFS('Grid Data'!$D$4:$D$2342,'Grid Data'!$B$4:$B$2342,$D70,'Grid Data'!$C$4:$C$2342,N$4,'Grid Data'!$A$4:$A$2342,$D$2)</f>
        <v>1</v>
      </c>
      <c r="O70" s="2">
        <f>SUMIFS('Grid Data'!$D$4:$D$2342,'Grid Data'!$B$4:$B$2342,$D70,'Grid Data'!$C$4:$C$2342,O$4,'Grid Data'!$A$4:$A$2342,$D$2)</f>
        <v>4</v>
      </c>
      <c r="P70" s="2">
        <f>SUMIFS('Grid Data'!$D$4:$D$2342,'Grid Data'!$B$4:$B$2342,$D70,'Grid Data'!$C$4:$C$2342,P$4,'Grid Data'!$A$4:$A$2342,$D$2)</f>
        <v>9</v>
      </c>
      <c r="Q70" s="2">
        <f>SUMIFS('Grid Data'!$D$4:$D$2342,'Grid Data'!$B$4:$B$2342,$D70,'Grid Data'!$C$4:$C$2342,Q$4,'Grid Data'!$A$4:$A$2342,$D$2)</f>
        <v>5</v>
      </c>
      <c r="R70" s="2">
        <f>SUMIFS('Grid Data'!$D$4:$D$2342,'Grid Data'!$B$4:$B$2342,$D70,'Grid Data'!$C$4:$C$2342,R$4,'Grid Data'!$A$4:$A$2342,$D$2)</f>
        <v>11</v>
      </c>
      <c r="S70" s="2">
        <f>SUMIFS('Grid Data'!$D$4:$D$2342,'Grid Data'!$B$4:$B$2342,$D70,'Grid Data'!$C$4:$C$2342,S$4,'Grid Data'!$A$4:$A$2342,$D$2)</f>
        <v>57</v>
      </c>
      <c r="T70" s="2">
        <f>SUMIFS('Grid Data'!$D$4:$D$2342,'Grid Data'!$B$4:$B$2342,$D70,'Grid Data'!$C$4:$C$2342,T$4,'Grid Data'!$A$4:$A$2342,$D$2)</f>
        <v>4280</v>
      </c>
      <c r="U70" s="2">
        <f>SUMIFS('Grid Data'!$D$4:$D$2342,'Grid Data'!$B$4:$B$2342,$D70,'Grid Data'!$C$4:$C$2342,U$4,'Grid Data'!$A$4:$A$2342,$D$2)</f>
        <v>64490</v>
      </c>
      <c r="V70" s="2">
        <f>SUMIFS('Grid Data'!$D$4:$D$2342,'Grid Data'!$B$4:$B$2342,$D70,'Grid Data'!$C$4:$C$2342,V$4,'Grid Data'!$A$4:$A$2342,$D$2)</f>
        <v>73771</v>
      </c>
      <c r="W70" s="2">
        <f>SUMIFS('Grid Data'!$D$4:$D$2342,'Grid Data'!$B$4:$B$2342,$D70,'Grid Data'!$C$4:$C$2342,W$4,'Grid Data'!$A$4:$A$2342,$D$2)</f>
        <v>101915</v>
      </c>
      <c r="X70" s="2">
        <f>SUMIFS('Grid Data'!$D$4:$D$2342,'Grid Data'!$B$4:$B$2342,$D70,'Grid Data'!$C$4:$C$2342,X$4,'Grid Data'!$A$4:$A$2342,$D$2)</f>
        <v>1</v>
      </c>
      <c r="Y70" s="2">
        <f>SUMIFS('Grid Data'!$D$4:$D$2342,'Grid Data'!$B$4:$B$2342,$D70,'Grid Data'!$C$4:$C$2342,Y$4,'Grid Data'!$A$4:$A$2342,$D$2)</f>
        <v>0</v>
      </c>
      <c r="Z70" s="2">
        <f>SUMIFS('Grid Data'!$D$4:$D$2342,'Grid Data'!$B$4:$B$2342,$D70,'Grid Data'!$C$4:$C$2342,Z$4,'Grid Data'!$A$4:$A$2342,$D$2)</f>
        <v>1</v>
      </c>
      <c r="AA70" s="2">
        <f>SUMIFS('Grid Data'!$D$4:$D$2342,'Grid Data'!$B$4:$B$2342,$D70,'Grid Data'!$C$4:$C$2342,AA$4,'Grid Data'!$A$4:$A$2342,$D$2)</f>
        <v>3</v>
      </c>
      <c r="AB70" s="2">
        <f>SUMIFS('Grid Data'!$D$4:$D$2342,'Grid Data'!$B$4:$B$2342,$D70,'Grid Data'!$C$4:$C$2342,AB$4,'Grid Data'!$A$4:$A$2342,$D$2)</f>
        <v>8</v>
      </c>
      <c r="AC70" s="2">
        <f>SUMIFS('Grid Data'!$D$4:$D$2342,'Grid Data'!$B$4:$B$2342,$D70,'Grid Data'!$C$4:$C$2342,AC$4,'Grid Data'!$A$4:$A$2342,$D$2)</f>
        <v>15</v>
      </c>
      <c r="AD70" s="2">
        <f>SUMIFS('Grid Data'!$D$4:$D$2342,'Grid Data'!$B$4:$B$2342,$D70,'Grid Data'!$C$4:$C$2342,AD$4,'Grid Data'!$A$4:$A$2342,$D$2)</f>
        <v>2</v>
      </c>
      <c r="AE70" s="2">
        <f>SUMIFS('Grid Data'!$D$4:$D$2342,'Grid Data'!$B$4:$B$2342,$D70,'Grid Data'!$C$4:$C$2342,AE$4,'Grid Data'!$A$4:$A$2342,$D$2)</f>
        <v>0</v>
      </c>
      <c r="AF70" s="2">
        <f>SUMIFS('Grid Data'!$D$4:$D$2342,'Grid Data'!$B$4:$B$2342,$D70,'Grid Data'!$C$4:$C$2342,AF$4,'Grid Data'!$A$4:$A$2342,$D$2)</f>
        <v>0</v>
      </c>
      <c r="AG70" s="2">
        <f>SUMIFS('Grid Data'!$D$4:$D$2342,'Grid Data'!$B$4:$B$2342,$D70,'Grid Data'!$C$4:$C$2342,AG$4,'Grid Data'!$A$4:$A$2342,$D$2)</f>
        <v>0</v>
      </c>
      <c r="AH70" s="2">
        <f>SUMIFS('Grid Data'!$D$4:$D$2342,'Grid Data'!$B$4:$B$2342,$D70,'Grid Data'!$C$4:$C$2342,AH$4,'Grid Data'!$A$4:$A$2342,$D$2)</f>
        <v>0</v>
      </c>
    </row>
    <row r="71" spans="3:34" x14ac:dyDescent="0.35">
      <c r="D71">
        <v>2750</v>
      </c>
      <c r="E71" s="2">
        <f>SUMIFS('Grid Data'!$D$4:$D$2342,'Grid Data'!$B$4:$B$2342,$D71,'Grid Data'!$C$4:$C$2342,E$4,'Grid Data'!$A$4:$A$2342,$D$2)</f>
        <v>5</v>
      </c>
      <c r="F71" s="2">
        <f>SUMIFS('Grid Data'!$D$4:$D$2342,'Grid Data'!$B$4:$B$2342,$D71,'Grid Data'!$C$4:$C$2342,F$4,'Grid Data'!$A$4:$A$2342,$D$2)</f>
        <v>1</v>
      </c>
      <c r="G71" s="2">
        <f>SUMIFS('Grid Data'!$D$4:$D$2342,'Grid Data'!$B$4:$B$2342,$D71,'Grid Data'!$C$4:$C$2342,G$4,'Grid Data'!$A$4:$A$2342,$D$2)</f>
        <v>1</v>
      </c>
      <c r="H71" s="2">
        <f>SUMIFS('Grid Data'!$D$4:$D$2342,'Grid Data'!$B$4:$B$2342,$D71,'Grid Data'!$C$4:$C$2342,H$4,'Grid Data'!$A$4:$A$2342,$D$2)</f>
        <v>1</v>
      </c>
      <c r="I71" s="2">
        <f>SUMIFS('Grid Data'!$D$4:$D$2342,'Grid Data'!$B$4:$B$2342,$D71,'Grid Data'!$C$4:$C$2342,I$4,'Grid Data'!$A$4:$A$2342,$D$2)</f>
        <v>2</v>
      </c>
      <c r="J71" s="2">
        <f>SUMIFS('Grid Data'!$D$4:$D$2342,'Grid Data'!$B$4:$B$2342,$D71,'Grid Data'!$C$4:$C$2342,J$4,'Grid Data'!$A$4:$A$2342,$D$2)</f>
        <v>1</v>
      </c>
      <c r="K71" s="2">
        <f>SUMIFS('Grid Data'!$D$4:$D$2342,'Grid Data'!$B$4:$B$2342,$D71,'Grid Data'!$C$4:$C$2342,K$4,'Grid Data'!$A$4:$A$2342,$D$2)</f>
        <v>5</v>
      </c>
      <c r="L71" s="2">
        <f>SUMIFS('Grid Data'!$D$4:$D$2342,'Grid Data'!$B$4:$B$2342,$D71,'Grid Data'!$C$4:$C$2342,L$4,'Grid Data'!$A$4:$A$2342,$D$2)</f>
        <v>3</v>
      </c>
      <c r="M71" s="2">
        <f>SUMIFS('Grid Data'!$D$4:$D$2342,'Grid Data'!$B$4:$B$2342,$D71,'Grid Data'!$C$4:$C$2342,M$4,'Grid Data'!$A$4:$A$2342,$D$2)</f>
        <v>3</v>
      </c>
      <c r="N71" s="2">
        <f>SUMIFS('Grid Data'!$D$4:$D$2342,'Grid Data'!$B$4:$B$2342,$D71,'Grid Data'!$C$4:$C$2342,N$4,'Grid Data'!$A$4:$A$2342,$D$2)</f>
        <v>3</v>
      </c>
      <c r="O71" s="2">
        <f>SUMIFS('Grid Data'!$D$4:$D$2342,'Grid Data'!$B$4:$B$2342,$D71,'Grid Data'!$C$4:$C$2342,O$4,'Grid Data'!$A$4:$A$2342,$D$2)</f>
        <v>5</v>
      </c>
      <c r="P71" s="2">
        <f>SUMIFS('Grid Data'!$D$4:$D$2342,'Grid Data'!$B$4:$B$2342,$D71,'Grid Data'!$C$4:$C$2342,P$4,'Grid Data'!$A$4:$A$2342,$D$2)</f>
        <v>10</v>
      </c>
      <c r="Q71" s="2">
        <f>SUMIFS('Grid Data'!$D$4:$D$2342,'Grid Data'!$B$4:$B$2342,$D71,'Grid Data'!$C$4:$C$2342,Q$4,'Grid Data'!$A$4:$A$2342,$D$2)</f>
        <v>18</v>
      </c>
      <c r="R71" s="2">
        <f>SUMIFS('Grid Data'!$D$4:$D$2342,'Grid Data'!$B$4:$B$2342,$D71,'Grid Data'!$C$4:$C$2342,R$4,'Grid Data'!$A$4:$A$2342,$D$2)</f>
        <v>46</v>
      </c>
      <c r="S71" s="2">
        <f>SUMIFS('Grid Data'!$D$4:$D$2342,'Grid Data'!$B$4:$B$2342,$D71,'Grid Data'!$C$4:$C$2342,S$4,'Grid Data'!$A$4:$A$2342,$D$2)</f>
        <v>150</v>
      </c>
      <c r="T71" s="2">
        <f>SUMIFS('Grid Data'!$D$4:$D$2342,'Grid Data'!$B$4:$B$2342,$D71,'Grid Data'!$C$4:$C$2342,T$4,'Grid Data'!$A$4:$A$2342,$D$2)</f>
        <v>13066</v>
      </c>
      <c r="U71" s="2">
        <f>SUMIFS('Grid Data'!$D$4:$D$2342,'Grid Data'!$B$4:$B$2342,$D71,'Grid Data'!$C$4:$C$2342,U$4,'Grid Data'!$A$4:$A$2342,$D$2)</f>
        <v>81799</v>
      </c>
      <c r="V71" s="2">
        <f>SUMIFS('Grid Data'!$D$4:$D$2342,'Grid Data'!$B$4:$B$2342,$D71,'Grid Data'!$C$4:$C$2342,V$4,'Grid Data'!$A$4:$A$2342,$D$2)</f>
        <v>96827</v>
      </c>
      <c r="W71" s="2">
        <f>SUMIFS('Grid Data'!$D$4:$D$2342,'Grid Data'!$B$4:$B$2342,$D71,'Grid Data'!$C$4:$C$2342,W$4,'Grid Data'!$A$4:$A$2342,$D$2)</f>
        <v>171683</v>
      </c>
      <c r="X71" s="2">
        <f>SUMIFS('Grid Data'!$D$4:$D$2342,'Grid Data'!$B$4:$B$2342,$D71,'Grid Data'!$C$4:$C$2342,X$4,'Grid Data'!$A$4:$A$2342,$D$2)</f>
        <v>2566</v>
      </c>
      <c r="Y71" s="2">
        <f>SUMIFS('Grid Data'!$D$4:$D$2342,'Grid Data'!$B$4:$B$2342,$D71,'Grid Data'!$C$4:$C$2342,Y$4,'Grid Data'!$A$4:$A$2342,$D$2)</f>
        <v>3</v>
      </c>
      <c r="Z71" s="2">
        <f>SUMIFS('Grid Data'!$D$4:$D$2342,'Grid Data'!$B$4:$B$2342,$D71,'Grid Data'!$C$4:$C$2342,Z$4,'Grid Data'!$A$4:$A$2342,$D$2)</f>
        <v>26</v>
      </c>
      <c r="AA71" s="2">
        <f>SUMIFS('Grid Data'!$D$4:$D$2342,'Grid Data'!$B$4:$B$2342,$D71,'Grid Data'!$C$4:$C$2342,AA$4,'Grid Data'!$A$4:$A$2342,$D$2)</f>
        <v>2507</v>
      </c>
      <c r="AB71" s="2">
        <f>SUMIFS('Grid Data'!$D$4:$D$2342,'Grid Data'!$B$4:$B$2342,$D71,'Grid Data'!$C$4:$C$2342,AB$4,'Grid Data'!$A$4:$A$2342,$D$2)</f>
        <v>422</v>
      </c>
      <c r="AC71" s="2">
        <f>SUMIFS('Grid Data'!$D$4:$D$2342,'Grid Data'!$B$4:$B$2342,$D71,'Grid Data'!$C$4:$C$2342,AC$4,'Grid Data'!$A$4:$A$2342,$D$2)</f>
        <v>764</v>
      </c>
      <c r="AD71" s="2">
        <f>SUMIFS('Grid Data'!$D$4:$D$2342,'Grid Data'!$B$4:$B$2342,$D71,'Grid Data'!$C$4:$C$2342,AD$4,'Grid Data'!$A$4:$A$2342,$D$2)</f>
        <v>0</v>
      </c>
      <c r="AE71" s="2">
        <f>SUMIFS('Grid Data'!$D$4:$D$2342,'Grid Data'!$B$4:$B$2342,$D71,'Grid Data'!$C$4:$C$2342,AE$4,'Grid Data'!$A$4:$A$2342,$D$2)</f>
        <v>0</v>
      </c>
      <c r="AF71" s="2">
        <f>SUMIFS('Grid Data'!$D$4:$D$2342,'Grid Data'!$B$4:$B$2342,$D71,'Grid Data'!$C$4:$C$2342,AF$4,'Grid Data'!$A$4:$A$2342,$D$2)</f>
        <v>1</v>
      </c>
      <c r="AG71" s="2">
        <f>SUMIFS('Grid Data'!$D$4:$D$2342,'Grid Data'!$B$4:$B$2342,$D71,'Grid Data'!$C$4:$C$2342,AG$4,'Grid Data'!$A$4:$A$2342,$D$2)</f>
        <v>0</v>
      </c>
      <c r="AH71" s="2">
        <f>SUMIFS('Grid Data'!$D$4:$D$2342,'Grid Data'!$B$4:$B$2342,$D71,'Grid Data'!$C$4:$C$2342,AH$4,'Grid Data'!$A$4:$A$2342,$D$2)</f>
        <v>0</v>
      </c>
    </row>
    <row r="72" spans="3:34" x14ac:dyDescent="0.35">
      <c r="D72">
        <v>3000</v>
      </c>
      <c r="E72" s="2">
        <f>SUMIFS('Grid Data'!$D$4:$D$2342,'Grid Data'!$B$4:$B$2342,$D72,'Grid Data'!$C$4:$C$2342,E$4,'Grid Data'!$A$4:$A$2342,$D$2)</f>
        <v>6</v>
      </c>
      <c r="F72" s="2">
        <f>SUMIFS('Grid Data'!$D$4:$D$2342,'Grid Data'!$B$4:$B$2342,$D72,'Grid Data'!$C$4:$C$2342,F$4,'Grid Data'!$A$4:$A$2342,$D$2)</f>
        <v>1</v>
      </c>
      <c r="G72" s="2">
        <f>SUMIFS('Grid Data'!$D$4:$D$2342,'Grid Data'!$B$4:$B$2342,$D72,'Grid Data'!$C$4:$C$2342,G$4,'Grid Data'!$A$4:$A$2342,$D$2)</f>
        <v>1</v>
      </c>
      <c r="H72" s="2">
        <f>SUMIFS('Grid Data'!$D$4:$D$2342,'Grid Data'!$B$4:$B$2342,$D72,'Grid Data'!$C$4:$C$2342,H$4,'Grid Data'!$A$4:$A$2342,$D$2)</f>
        <v>2</v>
      </c>
      <c r="I72" s="2">
        <f>SUMIFS('Grid Data'!$D$4:$D$2342,'Grid Data'!$B$4:$B$2342,$D72,'Grid Data'!$C$4:$C$2342,I$4,'Grid Data'!$A$4:$A$2342,$D$2)</f>
        <v>1</v>
      </c>
      <c r="J72" s="2">
        <f>SUMIFS('Grid Data'!$D$4:$D$2342,'Grid Data'!$B$4:$B$2342,$D72,'Grid Data'!$C$4:$C$2342,J$4,'Grid Data'!$A$4:$A$2342,$D$2)</f>
        <v>3</v>
      </c>
      <c r="K72" s="2">
        <f>SUMIFS('Grid Data'!$D$4:$D$2342,'Grid Data'!$B$4:$B$2342,$D72,'Grid Data'!$C$4:$C$2342,K$4,'Grid Data'!$A$4:$A$2342,$D$2)</f>
        <v>7</v>
      </c>
      <c r="L72" s="2">
        <f>SUMIFS('Grid Data'!$D$4:$D$2342,'Grid Data'!$B$4:$B$2342,$D72,'Grid Data'!$C$4:$C$2342,L$4,'Grid Data'!$A$4:$A$2342,$D$2)</f>
        <v>0</v>
      </c>
      <c r="M72" s="2">
        <f>SUMIFS('Grid Data'!$D$4:$D$2342,'Grid Data'!$B$4:$B$2342,$D72,'Grid Data'!$C$4:$C$2342,M$4,'Grid Data'!$A$4:$A$2342,$D$2)</f>
        <v>2</v>
      </c>
      <c r="N72" s="2">
        <f>SUMIFS('Grid Data'!$D$4:$D$2342,'Grid Data'!$B$4:$B$2342,$D72,'Grid Data'!$C$4:$C$2342,N$4,'Grid Data'!$A$4:$A$2342,$D$2)</f>
        <v>2</v>
      </c>
      <c r="O72" s="2">
        <f>SUMIFS('Grid Data'!$D$4:$D$2342,'Grid Data'!$B$4:$B$2342,$D72,'Grid Data'!$C$4:$C$2342,O$4,'Grid Data'!$A$4:$A$2342,$D$2)</f>
        <v>0</v>
      </c>
      <c r="P72" s="2">
        <f>SUMIFS('Grid Data'!$D$4:$D$2342,'Grid Data'!$B$4:$B$2342,$D72,'Grid Data'!$C$4:$C$2342,P$4,'Grid Data'!$A$4:$A$2342,$D$2)</f>
        <v>8</v>
      </c>
      <c r="Q72" s="2">
        <f>SUMIFS('Grid Data'!$D$4:$D$2342,'Grid Data'!$B$4:$B$2342,$D72,'Grid Data'!$C$4:$C$2342,Q$4,'Grid Data'!$A$4:$A$2342,$D$2)</f>
        <v>25</v>
      </c>
      <c r="R72" s="2">
        <f>SUMIFS('Grid Data'!$D$4:$D$2342,'Grid Data'!$B$4:$B$2342,$D72,'Grid Data'!$C$4:$C$2342,R$4,'Grid Data'!$A$4:$A$2342,$D$2)</f>
        <v>51</v>
      </c>
      <c r="S72" s="2">
        <f>SUMIFS('Grid Data'!$D$4:$D$2342,'Grid Data'!$B$4:$B$2342,$D72,'Grid Data'!$C$4:$C$2342,S$4,'Grid Data'!$A$4:$A$2342,$D$2)</f>
        <v>138</v>
      </c>
      <c r="T72" s="2">
        <f>SUMIFS('Grid Data'!$D$4:$D$2342,'Grid Data'!$B$4:$B$2342,$D72,'Grid Data'!$C$4:$C$2342,T$4,'Grid Data'!$A$4:$A$2342,$D$2)</f>
        <v>11887</v>
      </c>
      <c r="U72" s="2">
        <f>SUMIFS('Grid Data'!$D$4:$D$2342,'Grid Data'!$B$4:$B$2342,$D72,'Grid Data'!$C$4:$C$2342,U$4,'Grid Data'!$A$4:$A$2342,$D$2)</f>
        <v>58866</v>
      </c>
      <c r="V72" s="2">
        <f>SUMIFS('Grid Data'!$D$4:$D$2342,'Grid Data'!$B$4:$B$2342,$D72,'Grid Data'!$C$4:$C$2342,V$4,'Grid Data'!$A$4:$A$2342,$D$2)</f>
        <v>57154</v>
      </c>
      <c r="W72" s="2">
        <f>SUMIFS('Grid Data'!$D$4:$D$2342,'Grid Data'!$B$4:$B$2342,$D72,'Grid Data'!$C$4:$C$2342,W$4,'Grid Data'!$A$4:$A$2342,$D$2)</f>
        <v>96339</v>
      </c>
      <c r="X72" s="2">
        <f>SUMIFS('Grid Data'!$D$4:$D$2342,'Grid Data'!$B$4:$B$2342,$D72,'Grid Data'!$C$4:$C$2342,X$4,'Grid Data'!$A$4:$A$2342,$D$2)</f>
        <v>8244</v>
      </c>
      <c r="Y72" s="2">
        <f>SUMIFS('Grid Data'!$D$4:$D$2342,'Grid Data'!$B$4:$B$2342,$D72,'Grid Data'!$C$4:$C$2342,Y$4,'Grid Data'!$A$4:$A$2342,$D$2)</f>
        <v>10</v>
      </c>
      <c r="Z72" s="2">
        <f>SUMIFS('Grid Data'!$D$4:$D$2342,'Grid Data'!$B$4:$B$2342,$D72,'Grid Data'!$C$4:$C$2342,Z$4,'Grid Data'!$A$4:$A$2342,$D$2)</f>
        <v>138</v>
      </c>
      <c r="AA72" s="2">
        <f>SUMIFS('Grid Data'!$D$4:$D$2342,'Grid Data'!$B$4:$B$2342,$D72,'Grid Data'!$C$4:$C$2342,AA$4,'Grid Data'!$A$4:$A$2342,$D$2)</f>
        <v>3527</v>
      </c>
      <c r="AB72" s="2">
        <f>SUMIFS('Grid Data'!$D$4:$D$2342,'Grid Data'!$B$4:$B$2342,$D72,'Grid Data'!$C$4:$C$2342,AB$4,'Grid Data'!$A$4:$A$2342,$D$2)</f>
        <v>219</v>
      </c>
      <c r="AC72" s="2">
        <f>SUMIFS('Grid Data'!$D$4:$D$2342,'Grid Data'!$B$4:$B$2342,$D72,'Grid Data'!$C$4:$C$2342,AC$4,'Grid Data'!$A$4:$A$2342,$D$2)</f>
        <v>2732</v>
      </c>
      <c r="AD72" s="2">
        <f>SUMIFS('Grid Data'!$D$4:$D$2342,'Grid Data'!$B$4:$B$2342,$D72,'Grid Data'!$C$4:$C$2342,AD$4,'Grid Data'!$A$4:$A$2342,$D$2)</f>
        <v>6</v>
      </c>
      <c r="AE72" s="2">
        <f>SUMIFS('Grid Data'!$D$4:$D$2342,'Grid Data'!$B$4:$B$2342,$D72,'Grid Data'!$C$4:$C$2342,AE$4,'Grid Data'!$A$4:$A$2342,$D$2)</f>
        <v>1</v>
      </c>
      <c r="AF72" s="2">
        <f>SUMIFS('Grid Data'!$D$4:$D$2342,'Grid Data'!$B$4:$B$2342,$D72,'Grid Data'!$C$4:$C$2342,AF$4,'Grid Data'!$A$4:$A$2342,$D$2)</f>
        <v>0</v>
      </c>
      <c r="AG72" s="2">
        <f>SUMIFS('Grid Data'!$D$4:$D$2342,'Grid Data'!$B$4:$B$2342,$D72,'Grid Data'!$C$4:$C$2342,AG$4,'Grid Data'!$A$4:$A$2342,$D$2)</f>
        <v>1</v>
      </c>
      <c r="AH72" s="2">
        <f>SUMIFS('Grid Data'!$D$4:$D$2342,'Grid Data'!$B$4:$B$2342,$D72,'Grid Data'!$C$4:$C$2342,AH$4,'Grid Data'!$A$4:$A$2342,$D$2)</f>
        <v>0</v>
      </c>
    </row>
    <row r="73" spans="3:34" x14ac:dyDescent="0.35">
      <c r="D73">
        <v>3250</v>
      </c>
      <c r="E73" s="2">
        <f>SUMIFS('Grid Data'!$D$4:$D$2342,'Grid Data'!$B$4:$B$2342,$D73,'Grid Data'!$C$4:$C$2342,E$4,'Grid Data'!$A$4:$A$2342,$D$2)</f>
        <v>54</v>
      </c>
      <c r="F73" s="2">
        <f>SUMIFS('Grid Data'!$D$4:$D$2342,'Grid Data'!$B$4:$B$2342,$D73,'Grid Data'!$C$4:$C$2342,F$4,'Grid Data'!$A$4:$A$2342,$D$2)</f>
        <v>16</v>
      </c>
      <c r="G73" s="2">
        <f>SUMIFS('Grid Data'!$D$4:$D$2342,'Grid Data'!$B$4:$B$2342,$D73,'Grid Data'!$C$4:$C$2342,G$4,'Grid Data'!$A$4:$A$2342,$D$2)</f>
        <v>3</v>
      </c>
      <c r="H73" s="2">
        <f>SUMIFS('Grid Data'!$D$4:$D$2342,'Grid Data'!$B$4:$B$2342,$D73,'Grid Data'!$C$4:$C$2342,H$4,'Grid Data'!$A$4:$A$2342,$D$2)</f>
        <v>4</v>
      </c>
      <c r="I73" s="2">
        <f>SUMIFS('Grid Data'!$D$4:$D$2342,'Grid Data'!$B$4:$B$2342,$D73,'Grid Data'!$C$4:$C$2342,I$4,'Grid Data'!$A$4:$A$2342,$D$2)</f>
        <v>9</v>
      </c>
      <c r="J73" s="2">
        <f>SUMIFS('Grid Data'!$D$4:$D$2342,'Grid Data'!$B$4:$B$2342,$D73,'Grid Data'!$C$4:$C$2342,J$4,'Grid Data'!$A$4:$A$2342,$D$2)</f>
        <v>6</v>
      </c>
      <c r="K73" s="2">
        <f>SUMIFS('Grid Data'!$D$4:$D$2342,'Grid Data'!$B$4:$B$2342,$D73,'Grid Data'!$C$4:$C$2342,K$4,'Grid Data'!$A$4:$A$2342,$D$2)</f>
        <v>7</v>
      </c>
      <c r="L73" s="2">
        <f>SUMIFS('Grid Data'!$D$4:$D$2342,'Grid Data'!$B$4:$B$2342,$D73,'Grid Data'!$C$4:$C$2342,L$4,'Grid Data'!$A$4:$A$2342,$D$2)</f>
        <v>15</v>
      </c>
      <c r="M73" s="2">
        <f>SUMIFS('Grid Data'!$D$4:$D$2342,'Grid Data'!$B$4:$B$2342,$D73,'Grid Data'!$C$4:$C$2342,M$4,'Grid Data'!$A$4:$A$2342,$D$2)</f>
        <v>14</v>
      </c>
      <c r="N73" s="2">
        <f>SUMIFS('Grid Data'!$D$4:$D$2342,'Grid Data'!$B$4:$B$2342,$D73,'Grid Data'!$C$4:$C$2342,N$4,'Grid Data'!$A$4:$A$2342,$D$2)</f>
        <v>7</v>
      </c>
      <c r="O73" s="2">
        <f>SUMIFS('Grid Data'!$D$4:$D$2342,'Grid Data'!$B$4:$B$2342,$D73,'Grid Data'!$C$4:$C$2342,O$4,'Grid Data'!$A$4:$A$2342,$D$2)</f>
        <v>10</v>
      </c>
      <c r="P73" s="2">
        <f>SUMIFS('Grid Data'!$D$4:$D$2342,'Grid Data'!$B$4:$B$2342,$D73,'Grid Data'!$C$4:$C$2342,P$4,'Grid Data'!$A$4:$A$2342,$D$2)</f>
        <v>23</v>
      </c>
      <c r="Q73" s="2">
        <f>SUMIFS('Grid Data'!$D$4:$D$2342,'Grid Data'!$B$4:$B$2342,$D73,'Grid Data'!$C$4:$C$2342,Q$4,'Grid Data'!$A$4:$A$2342,$D$2)</f>
        <v>35</v>
      </c>
      <c r="R73" s="2">
        <f>SUMIFS('Grid Data'!$D$4:$D$2342,'Grid Data'!$B$4:$B$2342,$D73,'Grid Data'!$C$4:$C$2342,R$4,'Grid Data'!$A$4:$A$2342,$D$2)</f>
        <v>103</v>
      </c>
      <c r="S73" s="2">
        <f>SUMIFS('Grid Data'!$D$4:$D$2342,'Grid Data'!$B$4:$B$2342,$D73,'Grid Data'!$C$4:$C$2342,S$4,'Grid Data'!$A$4:$A$2342,$D$2)</f>
        <v>473</v>
      </c>
      <c r="T73" s="2">
        <f>SUMIFS('Grid Data'!$D$4:$D$2342,'Grid Data'!$B$4:$B$2342,$D73,'Grid Data'!$C$4:$C$2342,T$4,'Grid Data'!$A$4:$A$2342,$D$2)</f>
        <v>21424</v>
      </c>
      <c r="U73" s="2">
        <f>SUMIFS('Grid Data'!$D$4:$D$2342,'Grid Data'!$B$4:$B$2342,$D73,'Grid Data'!$C$4:$C$2342,U$4,'Grid Data'!$A$4:$A$2342,$D$2)</f>
        <v>38629</v>
      </c>
      <c r="V73" s="2">
        <f>SUMIFS('Grid Data'!$D$4:$D$2342,'Grid Data'!$B$4:$B$2342,$D73,'Grid Data'!$C$4:$C$2342,V$4,'Grid Data'!$A$4:$A$2342,$D$2)</f>
        <v>33593</v>
      </c>
      <c r="W73" s="2">
        <f>SUMIFS('Grid Data'!$D$4:$D$2342,'Grid Data'!$B$4:$B$2342,$D73,'Grid Data'!$C$4:$C$2342,W$4,'Grid Data'!$A$4:$A$2342,$D$2)</f>
        <v>57683</v>
      </c>
      <c r="X73" s="2">
        <f>SUMIFS('Grid Data'!$D$4:$D$2342,'Grid Data'!$B$4:$B$2342,$D73,'Grid Data'!$C$4:$C$2342,X$4,'Grid Data'!$A$4:$A$2342,$D$2)</f>
        <v>17762</v>
      </c>
      <c r="Y73" s="2">
        <f>SUMIFS('Grid Data'!$D$4:$D$2342,'Grid Data'!$B$4:$B$2342,$D73,'Grid Data'!$C$4:$C$2342,Y$4,'Grid Data'!$A$4:$A$2342,$D$2)</f>
        <v>299</v>
      </c>
      <c r="Z73" s="2">
        <f>SUMIFS('Grid Data'!$D$4:$D$2342,'Grid Data'!$B$4:$B$2342,$D73,'Grid Data'!$C$4:$C$2342,Z$4,'Grid Data'!$A$4:$A$2342,$D$2)</f>
        <v>5501</v>
      </c>
      <c r="AA73" s="2">
        <f>SUMIFS('Grid Data'!$D$4:$D$2342,'Grid Data'!$B$4:$B$2342,$D73,'Grid Data'!$C$4:$C$2342,AA$4,'Grid Data'!$A$4:$A$2342,$D$2)</f>
        <v>36619</v>
      </c>
      <c r="AB73" s="2">
        <f>SUMIFS('Grid Data'!$D$4:$D$2342,'Grid Data'!$B$4:$B$2342,$D73,'Grid Data'!$C$4:$C$2342,AB$4,'Grid Data'!$A$4:$A$2342,$D$2)</f>
        <v>9272</v>
      </c>
      <c r="AC73" s="2">
        <f>SUMIFS('Grid Data'!$D$4:$D$2342,'Grid Data'!$B$4:$B$2342,$D73,'Grid Data'!$C$4:$C$2342,AC$4,'Grid Data'!$A$4:$A$2342,$D$2)</f>
        <v>38617</v>
      </c>
      <c r="AD73" s="2">
        <f>SUMIFS('Grid Data'!$D$4:$D$2342,'Grid Data'!$B$4:$B$2342,$D73,'Grid Data'!$C$4:$C$2342,AD$4,'Grid Data'!$A$4:$A$2342,$D$2)</f>
        <v>16</v>
      </c>
      <c r="AE73" s="2">
        <f>SUMIFS('Grid Data'!$D$4:$D$2342,'Grid Data'!$B$4:$B$2342,$D73,'Grid Data'!$C$4:$C$2342,AE$4,'Grid Data'!$A$4:$A$2342,$D$2)</f>
        <v>0</v>
      </c>
      <c r="AF73" s="2">
        <f>SUMIFS('Grid Data'!$D$4:$D$2342,'Grid Data'!$B$4:$B$2342,$D73,'Grid Data'!$C$4:$C$2342,AF$4,'Grid Data'!$A$4:$A$2342,$D$2)</f>
        <v>0</v>
      </c>
      <c r="AG73" s="2">
        <f>SUMIFS('Grid Data'!$D$4:$D$2342,'Grid Data'!$B$4:$B$2342,$D73,'Grid Data'!$C$4:$C$2342,AG$4,'Grid Data'!$A$4:$A$2342,$D$2)</f>
        <v>0</v>
      </c>
      <c r="AH73" s="2">
        <f>SUMIFS('Grid Data'!$D$4:$D$2342,'Grid Data'!$B$4:$B$2342,$D73,'Grid Data'!$C$4:$C$2342,AH$4,'Grid Data'!$A$4:$A$2342,$D$2)</f>
        <v>0</v>
      </c>
    </row>
    <row r="74" spans="3:34" x14ac:dyDescent="0.35">
      <c r="D74">
        <v>3500</v>
      </c>
      <c r="E74" s="2">
        <f>SUMIFS('Grid Data'!$D$4:$D$2342,'Grid Data'!$B$4:$B$2342,$D74,'Grid Data'!$C$4:$C$2342,E$4,'Grid Data'!$A$4:$A$2342,$D$2)</f>
        <v>171</v>
      </c>
      <c r="F74" s="2">
        <f>SUMIFS('Grid Data'!$D$4:$D$2342,'Grid Data'!$B$4:$B$2342,$D74,'Grid Data'!$C$4:$C$2342,F$4,'Grid Data'!$A$4:$A$2342,$D$2)</f>
        <v>14</v>
      </c>
      <c r="G74" s="2">
        <f>SUMIFS('Grid Data'!$D$4:$D$2342,'Grid Data'!$B$4:$B$2342,$D74,'Grid Data'!$C$4:$C$2342,G$4,'Grid Data'!$A$4:$A$2342,$D$2)</f>
        <v>10</v>
      </c>
      <c r="H74" s="2">
        <f>SUMIFS('Grid Data'!$D$4:$D$2342,'Grid Data'!$B$4:$B$2342,$D74,'Grid Data'!$C$4:$C$2342,H$4,'Grid Data'!$A$4:$A$2342,$D$2)</f>
        <v>9</v>
      </c>
      <c r="I74" s="2">
        <f>SUMIFS('Grid Data'!$D$4:$D$2342,'Grid Data'!$B$4:$B$2342,$D74,'Grid Data'!$C$4:$C$2342,I$4,'Grid Data'!$A$4:$A$2342,$D$2)</f>
        <v>9</v>
      </c>
      <c r="J74" s="2">
        <f>SUMIFS('Grid Data'!$D$4:$D$2342,'Grid Data'!$B$4:$B$2342,$D74,'Grid Data'!$C$4:$C$2342,J$4,'Grid Data'!$A$4:$A$2342,$D$2)</f>
        <v>3</v>
      </c>
      <c r="K74" s="2">
        <f>SUMIFS('Grid Data'!$D$4:$D$2342,'Grid Data'!$B$4:$B$2342,$D74,'Grid Data'!$C$4:$C$2342,K$4,'Grid Data'!$A$4:$A$2342,$D$2)</f>
        <v>10</v>
      </c>
      <c r="L74" s="2">
        <f>SUMIFS('Grid Data'!$D$4:$D$2342,'Grid Data'!$B$4:$B$2342,$D74,'Grid Data'!$C$4:$C$2342,L$4,'Grid Data'!$A$4:$A$2342,$D$2)</f>
        <v>35</v>
      </c>
      <c r="M74" s="2">
        <f>SUMIFS('Grid Data'!$D$4:$D$2342,'Grid Data'!$B$4:$B$2342,$D74,'Grid Data'!$C$4:$C$2342,M$4,'Grid Data'!$A$4:$A$2342,$D$2)</f>
        <v>36</v>
      </c>
      <c r="N74" s="2">
        <f>SUMIFS('Grid Data'!$D$4:$D$2342,'Grid Data'!$B$4:$B$2342,$D74,'Grid Data'!$C$4:$C$2342,N$4,'Grid Data'!$A$4:$A$2342,$D$2)</f>
        <v>13</v>
      </c>
      <c r="O74" s="2">
        <f>SUMIFS('Grid Data'!$D$4:$D$2342,'Grid Data'!$B$4:$B$2342,$D74,'Grid Data'!$C$4:$C$2342,O$4,'Grid Data'!$A$4:$A$2342,$D$2)</f>
        <v>8</v>
      </c>
      <c r="P74" s="2">
        <f>SUMIFS('Grid Data'!$D$4:$D$2342,'Grid Data'!$B$4:$B$2342,$D74,'Grid Data'!$C$4:$C$2342,P$4,'Grid Data'!$A$4:$A$2342,$D$2)</f>
        <v>23</v>
      </c>
      <c r="Q74" s="2">
        <f>SUMIFS('Grid Data'!$D$4:$D$2342,'Grid Data'!$B$4:$B$2342,$D74,'Grid Data'!$C$4:$C$2342,Q$4,'Grid Data'!$A$4:$A$2342,$D$2)</f>
        <v>37</v>
      </c>
      <c r="R74" s="2">
        <f>SUMIFS('Grid Data'!$D$4:$D$2342,'Grid Data'!$B$4:$B$2342,$D74,'Grid Data'!$C$4:$C$2342,R$4,'Grid Data'!$A$4:$A$2342,$D$2)</f>
        <v>69</v>
      </c>
      <c r="S74" s="2">
        <f>SUMIFS('Grid Data'!$D$4:$D$2342,'Grid Data'!$B$4:$B$2342,$D74,'Grid Data'!$C$4:$C$2342,S$4,'Grid Data'!$A$4:$A$2342,$D$2)</f>
        <v>256</v>
      </c>
      <c r="T74" s="2">
        <f>SUMIFS('Grid Data'!$D$4:$D$2342,'Grid Data'!$B$4:$B$2342,$D74,'Grid Data'!$C$4:$C$2342,T$4,'Grid Data'!$A$4:$A$2342,$D$2)</f>
        <v>17312</v>
      </c>
      <c r="U74" s="2">
        <f>SUMIFS('Grid Data'!$D$4:$D$2342,'Grid Data'!$B$4:$B$2342,$D74,'Grid Data'!$C$4:$C$2342,U$4,'Grid Data'!$A$4:$A$2342,$D$2)</f>
        <v>19321</v>
      </c>
      <c r="V74" s="2">
        <f>SUMIFS('Grid Data'!$D$4:$D$2342,'Grid Data'!$B$4:$B$2342,$D74,'Grid Data'!$C$4:$C$2342,V$4,'Grid Data'!$A$4:$A$2342,$D$2)</f>
        <v>9800</v>
      </c>
      <c r="W74" s="2">
        <f>SUMIFS('Grid Data'!$D$4:$D$2342,'Grid Data'!$B$4:$B$2342,$D74,'Grid Data'!$C$4:$C$2342,W$4,'Grid Data'!$A$4:$A$2342,$D$2)</f>
        <v>25446</v>
      </c>
      <c r="X74" s="2">
        <f>SUMIFS('Grid Data'!$D$4:$D$2342,'Grid Data'!$B$4:$B$2342,$D74,'Grid Data'!$C$4:$C$2342,X$4,'Grid Data'!$A$4:$A$2342,$D$2)</f>
        <v>34952</v>
      </c>
      <c r="Y74" s="2">
        <f>SUMIFS('Grid Data'!$D$4:$D$2342,'Grid Data'!$B$4:$B$2342,$D74,'Grid Data'!$C$4:$C$2342,Y$4,'Grid Data'!$A$4:$A$2342,$D$2)</f>
        <v>685</v>
      </c>
      <c r="Z74" s="2">
        <f>SUMIFS('Grid Data'!$D$4:$D$2342,'Grid Data'!$B$4:$B$2342,$D74,'Grid Data'!$C$4:$C$2342,Z$4,'Grid Data'!$A$4:$A$2342,$D$2)</f>
        <v>9422</v>
      </c>
      <c r="AA74" s="2">
        <f>SUMIFS('Grid Data'!$D$4:$D$2342,'Grid Data'!$B$4:$B$2342,$D74,'Grid Data'!$C$4:$C$2342,AA$4,'Grid Data'!$A$4:$A$2342,$D$2)</f>
        <v>34553</v>
      </c>
      <c r="AB74" s="2">
        <f>SUMIFS('Grid Data'!$D$4:$D$2342,'Grid Data'!$B$4:$B$2342,$D74,'Grid Data'!$C$4:$C$2342,AB$4,'Grid Data'!$A$4:$A$2342,$D$2)</f>
        <v>16066</v>
      </c>
      <c r="AC74" s="2">
        <f>SUMIFS('Grid Data'!$D$4:$D$2342,'Grid Data'!$B$4:$B$2342,$D74,'Grid Data'!$C$4:$C$2342,AC$4,'Grid Data'!$A$4:$A$2342,$D$2)</f>
        <v>26933</v>
      </c>
      <c r="AD74" s="2">
        <f>SUMIFS('Grid Data'!$D$4:$D$2342,'Grid Data'!$B$4:$B$2342,$D74,'Grid Data'!$C$4:$C$2342,AD$4,'Grid Data'!$A$4:$A$2342,$D$2)</f>
        <v>98</v>
      </c>
      <c r="AE74" s="2">
        <f>SUMIFS('Grid Data'!$D$4:$D$2342,'Grid Data'!$B$4:$B$2342,$D74,'Grid Data'!$C$4:$C$2342,AE$4,'Grid Data'!$A$4:$A$2342,$D$2)</f>
        <v>0</v>
      </c>
      <c r="AF74" s="2">
        <f>SUMIFS('Grid Data'!$D$4:$D$2342,'Grid Data'!$B$4:$B$2342,$D74,'Grid Data'!$C$4:$C$2342,AF$4,'Grid Data'!$A$4:$A$2342,$D$2)</f>
        <v>0</v>
      </c>
      <c r="AG74" s="2">
        <f>SUMIFS('Grid Data'!$D$4:$D$2342,'Grid Data'!$B$4:$B$2342,$D74,'Grid Data'!$C$4:$C$2342,AG$4,'Grid Data'!$A$4:$A$2342,$D$2)</f>
        <v>0</v>
      </c>
      <c r="AH74" s="2">
        <f>SUMIFS('Grid Data'!$D$4:$D$2342,'Grid Data'!$B$4:$B$2342,$D74,'Grid Data'!$C$4:$C$2342,AH$4,'Grid Data'!$A$4:$A$2342,$D$2)</f>
        <v>0</v>
      </c>
    </row>
    <row r="75" spans="3:34" x14ac:dyDescent="0.35">
      <c r="D75">
        <v>3750</v>
      </c>
      <c r="E75" s="2">
        <f>SUMIFS('Grid Data'!$D$4:$D$2342,'Grid Data'!$B$4:$B$2342,$D75,'Grid Data'!$C$4:$C$2342,E$4,'Grid Data'!$A$4:$A$2342,$D$2)</f>
        <v>336</v>
      </c>
      <c r="F75" s="2">
        <f>SUMIFS('Grid Data'!$D$4:$D$2342,'Grid Data'!$B$4:$B$2342,$D75,'Grid Data'!$C$4:$C$2342,F$4,'Grid Data'!$A$4:$A$2342,$D$2)</f>
        <v>72</v>
      </c>
      <c r="G75" s="2">
        <f>SUMIFS('Grid Data'!$D$4:$D$2342,'Grid Data'!$B$4:$B$2342,$D75,'Grid Data'!$C$4:$C$2342,G$4,'Grid Data'!$A$4:$A$2342,$D$2)</f>
        <v>44</v>
      </c>
      <c r="H75" s="2">
        <f>SUMIFS('Grid Data'!$D$4:$D$2342,'Grid Data'!$B$4:$B$2342,$D75,'Grid Data'!$C$4:$C$2342,H$4,'Grid Data'!$A$4:$A$2342,$D$2)</f>
        <v>28</v>
      </c>
      <c r="I75" s="2">
        <f>SUMIFS('Grid Data'!$D$4:$D$2342,'Grid Data'!$B$4:$B$2342,$D75,'Grid Data'!$C$4:$C$2342,I$4,'Grid Data'!$A$4:$A$2342,$D$2)</f>
        <v>65</v>
      </c>
      <c r="J75" s="2">
        <f>SUMIFS('Grid Data'!$D$4:$D$2342,'Grid Data'!$B$4:$B$2342,$D75,'Grid Data'!$C$4:$C$2342,J$4,'Grid Data'!$A$4:$A$2342,$D$2)</f>
        <v>43</v>
      </c>
      <c r="K75" s="2">
        <f>SUMIFS('Grid Data'!$D$4:$D$2342,'Grid Data'!$B$4:$B$2342,$D75,'Grid Data'!$C$4:$C$2342,K$4,'Grid Data'!$A$4:$A$2342,$D$2)</f>
        <v>55</v>
      </c>
      <c r="L75" s="2">
        <f>SUMIFS('Grid Data'!$D$4:$D$2342,'Grid Data'!$B$4:$B$2342,$D75,'Grid Data'!$C$4:$C$2342,L$4,'Grid Data'!$A$4:$A$2342,$D$2)</f>
        <v>90</v>
      </c>
      <c r="M75" s="2">
        <f>SUMIFS('Grid Data'!$D$4:$D$2342,'Grid Data'!$B$4:$B$2342,$D75,'Grid Data'!$C$4:$C$2342,M$4,'Grid Data'!$A$4:$A$2342,$D$2)</f>
        <v>273</v>
      </c>
      <c r="N75" s="2">
        <f>SUMIFS('Grid Data'!$D$4:$D$2342,'Grid Data'!$B$4:$B$2342,$D75,'Grid Data'!$C$4:$C$2342,N$4,'Grid Data'!$A$4:$A$2342,$D$2)</f>
        <v>76</v>
      </c>
      <c r="O75" s="2">
        <f>SUMIFS('Grid Data'!$D$4:$D$2342,'Grid Data'!$B$4:$B$2342,$D75,'Grid Data'!$C$4:$C$2342,O$4,'Grid Data'!$A$4:$A$2342,$D$2)</f>
        <v>21</v>
      </c>
      <c r="P75" s="2">
        <f>SUMIFS('Grid Data'!$D$4:$D$2342,'Grid Data'!$B$4:$B$2342,$D75,'Grid Data'!$C$4:$C$2342,P$4,'Grid Data'!$A$4:$A$2342,$D$2)</f>
        <v>34</v>
      </c>
      <c r="Q75" s="2">
        <f>SUMIFS('Grid Data'!$D$4:$D$2342,'Grid Data'!$B$4:$B$2342,$D75,'Grid Data'!$C$4:$C$2342,Q$4,'Grid Data'!$A$4:$A$2342,$D$2)</f>
        <v>59</v>
      </c>
      <c r="R75" s="2">
        <f>SUMIFS('Grid Data'!$D$4:$D$2342,'Grid Data'!$B$4:$B$2342,$D75,'Grid Data'!$C$4:$C$2342,R$4,'Grid Data'!$A$4:$A$2342,$D$2)</f>
        <v>117</v>
      </c>
      <c r="S75" s="2">
        <f>SUMIFS('Grid Data'!$D$4:$D$2342,'Grid Data'!$B$4:$B$2342,$D75,'Grid Data'!$C$4:$C$2342,S$4,'Grid Data'!$A$4:$A$2342,$D$2)</f>
        <v>825</v>
      </c>
      <c r="T75" s="2">
        <f>SUMIFS('Grid Data'!$D$4:$D$2342,'Grid Data'!$B$4:$B$2342,$D75,'Grid Data'!$C$4:$C$2342,T$4,'Grid Data'!$A$4:$A$2342,$D$2)</f>
        <v>23705</v>
      </c>
      <c r="U75" s="2">
        <f>SUMIFS('Grid Data'!$D$4:$D$2342,'Grid Data'!$B$4:$B$2342,$D75,'Grid Data'!$C$4:$C$2342,U$4,'Grid Data'!$A$4:$A$2342,$D$2)</f>
        <v>12159</v>
      </c>
      <c r="V75" s="2">
        <f>SUMIFS('Grid Data'!$D$4:$D$2342,'Grid Data'!$B$4:$B$2342,$D75,'Grid Data'!$C$4:$C$2342,V$4,'Grid Data'!$A$4:$A$2342,$D$2)</f>
        <v>6719</v>
      </c>
      <c r="W75" s="2">
        <f>SUMIFS('Grid Data'!$D$4:$D$2342,'Grid Data'!$B$4:$B$2342,$D75,'Grid Data'!$C$4:$C$2342,W$4,'Grid Data'!$A$4:$A$2342,$D$2)</f>
        <v>16185</v>
      </c>
      <c r="X75" s="2">
        <f>SUMIFS('Grid Data'!$D$4:$D$2342,'Grid Data'!$B$4:$B$2342,$D75,'Grid Data'!$C$4:$C$2342,X$4,'Grid Data'!$A$4:$A$2342,$D$2)</f>
        <v>25092</v>
      </c>
      <c r="Y75" s="2">
        <f>SUMIFS('Grid Data'!$D$4:$D$2342,'Grid Data'!$B$4:$B$2342,$D75,'Grid Data'!$C$4:$C$2342,Y$4,'Grid Data'!$A$4:$A$2342,$D$2)</f>
        <v>2933</v>
      </c>
      <c r="Z75" s="2">
        <f>SUMIFS('Grid Data'!$D$4:$D$2342,'Grid Data'!$B$4:$B$2342,$D75,'Grid Data'!$C$4:$C$2342,Z$4,'Grid Data'!$A$4:$A$2342,$D$2)</f>
        <v>24416</v>
      </c>
      <c r="AA75" s="2">
        <f>SUMIFS('Grid Data'!$D$4:$D$2342,'Grid Data'!$B$4:$B$2342,$D75,'Grid Data'!$C$4:$C$2342,AA$4,'Grid Data'!$A$4:$A$2342,$D$2)</f>
        <v>21637</v>
      </c>
      <c r="AB75" s="2">
        <f>SUMIFS('Grid Data'!$D$4:$D$2342,'Grid Data'!$B$4:$B$2342,$D75,'Grid Data'!$C$4:$C$2342,AB$4,'Grid Data'!$A$4:$A$2342,$D$2)</f>
        <v>39452</v>
      </c>
      <c r="AC75" s="2">
        <f>SUMIFS('Grid Data'!$D$4:$D$2342,'Grid Data'!$B$4:$B$2342,$D75,'Grid Data'!$C$4:$C$2342,AC$4,'Grid Data'!$A$4:$A$2342,$D$2)</f>
        <v>35968</v>
      </c>
      <c r="AD75" s="2">
        <f>SUMIFS('Grid Data'!$D$4:$D$2342,'Grid Data'!$B$4:$B$2342,$D75,'Grid Data'!$C$4:$C$2342,AD$4,'Grid Data'!$A$4:$A$2342,$D$2)</f>
        <v>4122</v>
      </c>
      <c r="AE75" s="2">
        <f>SUMIFS('Grid Data'!$D$4:$D$2342,'Grid Data'!$B$4:$B$2342,$D75,'Grid Data'!$C$4:$C$2342,AE$4,'Grid Data'!$A$4:$A$2342,$D$2)</f>
        <v>4</v>
      </c>
      <c r="AF75" s="2">
        <f>SUMIFS('Grid Data'!$D$4:$D$2342,'Grid Data'!$B$4:$B$2342,$D75,'Grid Data'!$C$4:$C$2342,AF$4,'Grid Data'!$A$4:$A$2342,$D$2)</f>
        <v>0</v>
      </c>
      <c r="AG75" s="2">
        <f>SUMIFS('Grid Data'!$D$4:$D$2342,'Grid Data'!$B$4:$B$2342,$D75,'Grid Data'!$C$4:$C$2342,AG$4,'Grid Data'!$A$4:$A$2342,$D$2)</f>
        <v>10</v>
      </c>
      <c r="AH75" s="2">
        <f>SUMIFS('Grid Data'!$D$4:$D$2342,'Grid Data'!$B$4:$B$2342,$D75,'Grid Data'!$C$4:$C$2342,AH$4,'Grid Data'!$A$4:$A$2342,$D$2)</f>
        <v>0</v>
      </c>
    </row>
    <row r="76" spans="3:34" x14ac:dyDescent="0.35">
      <c r="D76">
        <v>4000</v>
      </c>
      <c r="E76" s="2">
        <f>SUMIFS('Grid Data'!$D$4:$D$2342,'Grid Data'!$B$4:$B$2342,$D76,'Grid Data'!$C$4:$C$2342,E$4,'Grid Data'!$A$4:$A$2342,$D$2)</f>
        <v>4782</v>
      </c>
      <c r="F76" s="2">
        <f>SUMIFS('Grid Data'!$D$4:$D$2342,'Grid Data'!$B$4:$B$2342,$D76,'Grid Data'!$C$4:$C$2342,F$4,'Grid Data'!$A$4:$A$2342,$D$2)</f>
        <v>631</v>
      </c>
      <c r="G76" s="2">
        <f>SUMIFS('Grid Data'!$D$4:$D$2342,'Grid Data'!$B$4:$B$2342,$D76,'Grid Data'!$C$4:$C$2342,G$4,'Grid Data'!$A$4:$A$2342,$D$2)</f>
        <v>440</v>
      </c>
      <c r="H76" s="2">
        <f>SUMIFS('Grid Data'!$D$4:$D$2342,'Grid Data'!$B$4:$B$2342,$D76,'Grid Data'!$C$4:$C$2342,H$4,'Grid Data'!$A$4:$A$2342,$D$2)</f>
        <v>632</v>
      </c>
      <c r="I76" s="2">
        <f>SUMIFS('Grid Data'!$D$4:$D$2342,'Grid Data'!$B$4:$B$2342,$D76,'Grid Data'!$C$4:$C$2342,I$4,'Grid Data'!$A$4:$A$2342,$D$2)</f>
        <v>492</v>
      </c>
      <c r="J76" s="2">
        <f>SUMIFS('Grid Data'!$D$4:$D$2342,'Grid Data'!$B$4:$B$2342,$D76,'Grid Data'!$C$4:$C$2342,J$4,'Grid Data'!$A$4:$A$2342,$D$2)</f>
        <v>288</v>
      </c>
      <c r="K76" s="2">
        <f>SUMIFS('Grid Data'!$D$4:$D$2342,'Grid Data'!$B$4:$B$2342,$D76,'Grid Data'!$C$4:$C$2342,K$4,'Grid Data'!$A$4:$A$2342,$D$2)</f>
        <v>347</v>
      </c>
      <c r="L76" s="2">
        <f>SUMIFS('Grid Data'!$D$4:$D$2342,'Grid Data'!$B$4:$B$2342,$D76,'Grid Data'!$C$4:$C$2342,L$4,'Grid Data'!$A$4:$A$2342,$D$2)</f>
        <v>683</v>
      </c>
      <c r="M76" s="2">
        <f>SUMIFS('Grid Data'!$D$4:$D$2342,'Grid Data'!$B$4:$B$2342,$D76,'Grid Data'!$C$4:$C$2342,M$4,'Grid Data'!$A$4:$A$2342,$D$2)</f>
        <v>1047</v>
      </c>
      <c r="N76" s="2">
        <f>SUMIFS('Grid Data'!$D$4:$D$2342,'Grid Data'!$B$4:$B$2342,$D76,'Grid Data'!$C$4:$C$2342,N$4,'Grid Data'!$A$4:$A$2342,$D$2)</f>
        <v>406</v>
      </c>
      <c r="O76" s="2">
        <f>SUMIFS('Grid Data'!$D$4:$D$2342,'Grid Data'!$B$4:$B$2342,$D76,'Grid Data'!$C$4:$C$2342,O$4,'Grid Data'!$A$4:$A$2342,$D$2)</f>
        <v>24</v>
      </c>
      <c r="P76" s="2">
        <f>SUMIFS('Grid Data'!$D$4:$D$2342,'Grid Data'!$B$4:$B$2342,$D76,'Grid Data'!$C$4:$C$2342,P$4,'Grid Data'!$A$4:$A$2342,$D$2)</f>
        <v>60</v>
      </c>
      <c r="Q76" s="2">
        <f>SUMIFS('Grid Data'!$D$4:$D$2342,'Grid Data'!$B$4:$B$2342,$D76,'Grid Data'!$C$4:$C$2342,Q$4,'Grid Data'!$A$4:$A$2342,$D$2)</f>
        <v>75</v>
      </c>
      <c r="R76" s="2">
        <f>SUMIFS('Grid Data'!$D$4:$D$2342,'Grid Data'!$B$4:$B$2342,$D76,'Grid Data'!$C$4:$C$2342,R$4,'Grid Data'!$A$4:$A$2342,$D$2)</f>
        <v>142</v>
      </c>
      <c r="S76" s="2">
        <f>SUMIFS('Grid Data'!$D$4:$D$2342,'Grid Data'!$B$4:$B$2342,$D76,'Grid Data'!$C$4:$C$2342,S$4,'Grid Data'!$A$4:$A$2342,$D$2)</f>
        <v>2222</v>
      </c>
      <c r="T76" s="2">
        <f>SUMIFS('Grid Data'!$D$4:$D$2342,'Grid Data'!$B$4:$B$2342,$D76,'Grid Data'!$C$4:$C$2342,T$4,'Grid Data'!$A$4:$A$2342,$D$2)</f>
        <v>17521</v>
      </c>
      <c r="U76" s="2">
        <f>SUMIFS('Grid Data'!$D$4:$D$2342,'Grid Data'!$B$4:$B$2342,$D76,'Grid Data'!$C$4:$C$2342,U$4,'Grid Data'!$A$4:$A$2342,$D$2)</f>
        <v>2780</v>
      </c>
      <c r="V76" s="2">
        <f>SUMIFS('Grid Data'!$D$4:$D$2342,'Grid Data'!$B$4:$B$2342,$D76,'Grid Data'!$C$4:$C$2342,V$4,'Grid Data'!$A$4:$A$2342,$D$2)</f>
        <v>1244</v>
      </c>
      <c r="W76" s="2">
        <f>SUMIFS('Grid Data'!$D$4:$D$2342,'Grid Data'!$B$4:$B$2342,$D76,'Grid Data'!$C$4:$C$2342,W$4,'Grid Data'!$A$4:$A$2342,$D$2)</f>
        <v>3053</v>
      </c>
      <c r="X76" s="2">
        <f>SUMIFS('Grid Data'!$D$4:$D$2342,'Grid Data'!$B$4:$B$2342,$D76,'Grid Data'!$C$4:$C$2342,X$4,'Grid Data'!$A$4:$A$2342,$D$2)</f>
        <v>14096</v>
      </c>
      <c r="Y76" s="2">
        <f>SUMIFS('Grid Data'!$D$4:$D$2342,'Grid Data'!$B$4:$B$2342,$D76,'Grid Data'!$C$4:$C$2342,Y$4,'Grid Data'!$A$4:$A$2342,$D$2)</f>
        <v>4580</v>
      </c>
      <c r="Z76" s="2">
        <f>SUMIFS('Grid Data'!$D$4:$D$2342,'Grid Data'!$B$4:$B$2342,$D76,'Grid Data'!$C$4:$C$2342,Z$4,'Grid Data'!$A$4:$A$2342,$D$2)</f>
        <v>23945</v>
      </c>
      <c r="AA76" s="2">
        <f>SUMIFS('Grid Data'!$D$4:$D$2342,'Grid Data'!$B$4:$B$2342,$D76,'Grid Data'!$C$4:$C$2342,AA$4,'Grid Data'!$A$4:$A$2342,$D$2)</f>
        <v>11189</v>
      </c>
      <c r="AB76" s="2">
        <f>SUMIFS('Grid Data'!$D$4:$D$2342,'Grid Data'!$B$4:$B$2342,$D76,'Grid Data'!$C$4:$C$2342,AB$4,'Grid Data'!$A$4:$A$2342,$D$2)</f>
        <v>27425</v>
      </c>
      <c r="AC76" s="2">
        <f>SUMIFS('Grid Data'!$D$4:$D$2342,'Grid Data'!$B$4:$B$2342,$D76,'Grid Data'!$C$4:$C$2342,AC$4,'Grid Data'!$A$4:$A$2342,$D$2)</f>
        <v>17756</v>
      </c>
      <c r="AD76" s="2">
        <f>SUMIFS('Grid Data'!$D$4:$D$2342,'Grid Data'!$B$4:$B$2342,$D76,'Grid Data'!$C$4:$C$2342,AD$4,'Grid Data'!$A$4:$A$2342,$D$2)</f>
        <v>6860</v>
      </c>
      <c r="AE76" s="2">
        <f>SUMIFS('Grid Data'!$D$4:$D$2342,'Grid Data'!$B$4:$B$2342,$D76,'Grid Data'!$C$4:$C$2342,AE$4,'Grid Data'!$A$4:$A$2342,$D$2)</f>
        <v>19</v>
      </c>
      <c r="AF76" s="2">
        <f>SUMIFS('Grid Data'!$D$4:$D$2342,'Grid Data'!$B$4:$B$2342,$D76,'Grid Data'!$C$4:$C$2342,AF$4,'Grid Data'!$A$4:$A$2342,$D$2)</f>
        <v>2</v>
      </c>
      <c r="AG76" s="2">
        <f>SUMIFS('Grid Data'!$D$4:$D$2342,'Grid Data'!$B$4:$B$2342,$D76,'Grid Data'!$C$4:$C$2342,AG$4,'Grid Data'!$A$4:$A$2342,$D$2)</f>
        <v>47</v>
      </c>
      <c r="AH76" s="2">
        <f>SUMIFS('Grid Data'!$D$4:$D$2342,'Grid Data'!$B$4:$B$2342,$D76,'Grid Data'!$C$4:$C$2342,AH$4,'Grid Data'!$A$4:$A$2342,$D$2)</f>
        <v>0</v>
      </c>
    </row>
    <row r="77" spans="3:34" x14ac:dyDescent="0.35">
      <c r="D77">
        <v>4250</v>
      </c>
      <c r="E77" s="2">
        <f>SUMIFS('Grid Data'!$D$4:$D$2342,'Grid Data'!$B$4:$B$2342,$D77,'Grid Data'!$C$4:$C$2342,E$4,'Grid Data'!$A$4:$A$2342,$D$2)</f>
        <v>1086</v>
      </c>
      <c r="F77" s="2">
        <f>SUMIFS('Grid Data'!$D$4:$D$2342,'Grid Data'!$B$4:$B$2342,$D77,'Grid Data'!$C$4:$C$2342,F$4,'Grid Data'!$A$4:$A$2342,$D$2)</f>
        <v>170</v>
      </c>
      <c r="G77" s="2">
        <f>SUMIFS('Grid Data'!$D$4:$D$2342,'Grid Data'!$B$4:$B$2342,$D77,'Grid Data'!$C$4:$C$2342,G$4,'Grid Data'!$A$4:$A$2342,$D$2)</f>
        <v>127</v>
      </c>
      <c r="H77" s="2">
        <f>SUMIFS('Grid Data'!$D$4:$D$2342,'Grid Data'!$B$4:$B$2342,$D77,'Grid Data'!$C$4:$C$2342,H$4,'Grid Data'!$A$4:$A$2342,$D$2)</f>
        <v>138</v>
      </c>
      <c r="I77" s="2">
        <f>SUMIFS('Grid Data'!$D$4:$D$2342,'Grid Data'!$B$4:$B$2342,$D77,'Grid Data'!$C$4:$C$2342,I$4,'Grid Data'!$A$4:$A$2342,$D$2)</f>
        <v>171</v>
      </c>
      <c r="J77" s="2">
        <f>SUMIFS('Grid Data'!$D$4:$D$2342,'Grid Data'!$B$4:$B$2342,$D77,'Grid Data'!$C$4:$C$2342,J$4,'Grid Data'!$A$4:$A$2342,$D$2)</f>
        <v>130</v>
      </c>
      <c r="K77" s="2">
        <f>SUMIFS('Grid Data'!$D$4:$D$2342,'Grid Data'!$B$4:$B$2342,$D77,'Grid Data'!$C$4:$C$2342,K$4,'Grid Data'!$A$4:$A$2342,$D$2)</f>
        <v>260</v>
      </c>
      <c r="L77" s="2">
        <f>SUMIFS('Grid Data'!$D$4:$D$2342,'Grid Data'!$B$4:$B$2342,$D77,'Grid Data'!$C$4:$C$2342,L$4,'Grid Data'!$A$4:$A$2342,$D$2)</f>
        <v>292</v>
      </c>
      <c r="M77" s="2">
        <f>SUMIFS('Grid Data'!$D$4:$D$2342,'Grid Data'!$B$4:$B$2342,$D77,'Grid Data'!$C$4:$C$2342,M$4,'Grid Data'!$A$4:$A$2342,$D$2)</f>
        <v>517</v>
      </c>
      <c r="N77" s="2">
        <f>SUMIFS('Grid Data'!$D$4:$D$2342,'Grid Data'!$B$4:$B$2342,$D77,'Grid Data'!$C$4:$C$2342,N$4,'Grid Data'!$A$4:$A$2342,$D$2)</f>
        <v>347</v>
      </c>
      <c r="O77" s="2">
        <f>SUMIFS('Grid Data'!$D$4:$D$2342,'Grid Data'!$B$4:$B$2342,$D77,'Grid Data'!$C$4:$C$2342,O$4,'Grid Data'!$A$4:$A$2342,$D$2)</f>
        <v>107</v>
      </c>
      <c r="P77" s="2">
        <f>SUMIFS('Grid Data'!$D$4:$D$2342,'Grid Data'!$B$4:$B$2342,$D77,'Grid Data'!$C$4:$C$2342,P$4,'Grid Data'!$A$4:$A$2342,$D$2)</f>
        <v>278</v>
      </c>
      <c r="Q77" s="2">
        <f>SUMIFS('Grid Data'!$D$4:$D$2342,'Grid Data'!$B$4:$B$2342,$D77,'Grid Data'!$C$4:$C$2342,Q$4,'Grid Data'!$A$4:$A$2342,$D$2)</f>
        <v>310</v>
      </c>
      <c r="R77" s="2">
        <f>SUMIFS('Grid Data'!$D$4:$D$2342,'Grid Data'!$B$4:$B$2342,$D77,'Grid Data'!$C$4:$C$2342,R$4,'Grid Data'!$A$4:$A$2342,$D$2)</f>
        <v>473</v>
      </c>
      <c r="S77" s="2">
        <f>SUMIFS('Grid Data'!$D$4:$D$2342,'Grid Data'!$B$4:$B$2342,$D77,'Grid Data'!$C$4:$C$2342,S$4,'Grid Data'!$A$4:$A$2342,$D$2)</f>
        <v>4319</v>
      </c>
      <c r="T77" s="2">
        <f>SUMIFS('Grid Data'!$D$4:$D$2342,'Grid Data'!$B$4:$B$2342,$D77,'Grid Data'!$C$4:$C$2342,T$4,'Grid Data'!$A$4:$A$2342,$D$2)</f>
        <v>17405</v>
      </c>
      <c r="U77" s="2">
        <f>SUMIFS('Grid Data'!$D$4:$D$2342,'Grid Data'!$B$4:$B$2342,$D77,'Grid Data'!$C$4:$C$2342,U$4,'Grid Data'!$A$4:$A$2342,$D$2)</f>
        <v>1598</v>
      </c>
      <c r="V77" s="2">
        <f>SUMIFS('Grid Data'!$D$4:$D$2342,'Grid Data'!$B$4:$B$2342,$D77,'Grid Data'!$C$4:$C$2342,V$4,'Grid Data'!$A$4:$A$2342,$D$2)</f>
        <v>695</v>
      </c>
      <c r="W77" s="2">
        <f>SUMIFS('Grid Data'!$D$4:$D$2342,'Grid Data'!$B$4:$B$2342,$D77,'Grid Data'!$C$4:$C$2342,W$4,'Grid Data'!$A$4:$A$2342,$D$2)</f>
        <v>1908</v>
      </c>
      <c r="X77" s="2">
        <f>SUMIFS('Grid Data'!$D$4:$D$2342,'Grid Data'!$B$4:$B$2342,$D77,'Grid Data'!$C$4:$C$2342,X$4,'Grid Data'!$A$4:$A$2342,$D$2)</f>
        <v>10220</v>
      </c>
      <c r="Y77" s="2">
        <f>SUMIFS('Grid Data'!$D$4:$D$2342,'Grid Data'!$B$4:$B$2342,$D77,'Grid Data'!$C$4:$C$2342,Y$4,'Grid Data'!$A$4:$A$2342,$D$2)</f>
        <v>7136</v>
      </c>
      <c r="Z77" s="2">
        <f>SUMIFS('Grid Data'!$D$4:$D$2342,'Grid Data'!$B$4:$B$2342,$D77,'Grid Data'!$C$4:$C$2342,Z$4,'Grid Data'!$A$4:$A$2342,$D$2)</f>
        <v>9347</v>
      </c>
      <c r="AA77" s="2">
        <f>SUMIFS('Grid Data'!$D$4:$D$2342,'Grid Data'!$B$4:$B$2342,$D77,'Grid Data'!$C$4:$C$2342,AA$4,'Grid Data'!$A$4:$A$2342,$D$2)</f>
        <v>3447</v>
      </c>
      <c r="AB77" s="2">
        <f>SUMIFS('Grid Data'!$D$4:$D$2342,'Grid Data'!$B$4:$B$2342,$D77,'Grid Data'!$C$4:$C$2342,AB$4,'Grid Data'!$A$4:$A$2342,$D$2)</f>
        <v>15335</v>
      </c>
      <c r="AC77" s="2">
        <f>SUMIFS('Grid Data'!$D$4:$D$2342,'Grid Data'!$B$4:$B$2342,$D77,'Grid Data'!$C$4:$C$2342,AC$4,'Grid Data'!$A$4:$A$2342,$D$2)</f>
        <v>8557</v>
      </c>
      <c r="AD77" s="2">
        <f>SUMIFS('Grid Data'!$D$4:$D$2342,'Grid Data'!$B$4:$B$2342,$D77,'Grid Data'!$C$4:$C$2342,AD$4,'Grid Data'!$A$4:$A$2342,$D$2)</f>
        <v>8293</v>
      </c>
      <c r="AE77" s="2">
        <f>SUMIFS('Grid Data'!$D$4:$D$2342,'Grid Data'!$B$4:$B$2342,$D77,'Grid Data'!$C$4:$C$2342,AE$4,'Grid Data'!$A$4:$A$2342,$D$2)</f>
        <v>73</v>
      </c>
      <c r="AF77" s="2">
        <f>SUMIFS('Grid Data'!$D$4:$D$2342,'Grid Data'!$B$4:$B$2342,$D77,'Grid Data'!$C$4:$C$2342,AF$4,'Grid Data'!$A$4:$A$2342,$D$2)</f>
        <v>5</v>
      </c>
      <c r="AG77" s="2">
        <f>SUMIFS('Grid Data'!$D$4:$D$2342,'Grid Data'!$B$4:$B$2342,$D77,'Grid Data'!$C$4:$C$2342,AG$4,'Grid Data'!$A$4:$A$2342,$D$2)</f>
        <v>56</v>
      </c>
      <c r="AH77" s="2">
        <f>SUMIFS('Grid Data'!$D$4:$D$2342,'Grid Data'!$B$4:$B$2342,$D77,'Grid Data'!$C$4:$C$2342,AH$4,'Grid Data'!$A$4:$A$2342,$D$2)</f>
        <v>0</v>
      </c>
    </row>
    <row r="78" spans="3:34" x14ac:dyDescent="0.35">
      <c r="D78">
        <v>4500</v>
      </c>
      <c r="E78" s="2">
        <f>SUMIFS('Grid Data'!$D$4:$D$2342,'Grid Data'!$B$4:$B$2342,$D78,'Grid Data'!$C$4:$C$2342,E$4,'Grid Data'!$A$4:$A$2342,$D$2)</f>
        <v>1562</v>
      </c>
      <c r="F78" s="2">
        <f>SUMIFS('Grid Data'!$D$4:$D$2342,'Grid Data'!$B$4:$B$2342,$D78,'Grid Data'!$C$4:$C$2342,F$4,'Grid Data'!$A$4:$A$2342,$D$2)</f>
        <v>224</v>
      </c>
      <c r="G78" s="2">
        <f>SUMIFS('Grid Data'!$D$4:$D$2342,'Grid Data'!$B$4:$B$2342,$D78,'Grid Data'!$C$4:$C$2342,G$4,'Grid Data'!$A$4:$A$2342,$D$2)</f>
        <v>220</v>
      </c>
      <c r="H78" s="2">
        <f>SUMIFS('Grid Data'!$D$4:$D$2342,'Grid Data'!$B$4:$B$2342,$D78,'Grid Data'!$C$4:$C$2342,H$4,'Grid Data'!$A$4:$A$2342,$D$2)</f>
        <v>321</v>
      </c>
      <c r="I78" s="2">
        <f>SUMIFS('Grid Data'!$D$4:$D$2342,'Grid Data'!$B$4:$B$2342,$D78,'Grid Data'!$C$4:$C$2342,I$4,'Grid Data'!$A$4:$A$2342,$D$2)</f>
        <v>368</v>
      </c>
      <c r="J78" s="2">
        <f>SUMIFS('Grid Data'!$D$4:$D$2342,'Grid Data'!$B$4:$B$2342,$D78,'Grid Data'!$C$4:$C$2342,J$4,'Grid Data'!$A$4:$A$2342,$D$2)</f>
        <v>303</v>
      </c>
      <c r="K78" s="2">
        <f>SUMIFS('Grid Data'!$D$4:$D$2342,'Grid Data'!$B$4:$B$2342,$D78,'Grid Data'!$C$4:$C$2342,K$4,'Grid Data'!$A$4:$A$2342,$D$2)</f>
        <v>678</v>
      </c>
      <c r="L78" s="2">
        <f>SUMIFS('Grid Data'!$D$4:$D$2342,'Grid Data'!$B$4:$B$2342,$D78,'Grid Data'!$C$4:$C$2342,L$4,'Grid Data'!$A$4:$A$2342,$D$2)</f>
        <v>813</v>
      </c>
      <c r="M78" s="2">
        <f>SUMIFS('Grid Data'!$D$4:$D$2342,'Grid Data'!$B$4:$B$2342,$D78,'Grid Data'!$C$4:$C$2342,M$4,'Grid Data'!$A$4:$A$2342,$D$2)</f>
        <v>841</v>
      </c>
      <c r="N78" s="2">
        <f>SUMIFS('Grid Data'!$D$4:$D$2342,'Grid Data'!$B$4:$B$2342,$D78,'Grid Data'!$C$4:$C$2342,N$4,'Grid Data'!$A$4:$A$2342,$D$2)</f>
        <v>577</v>
      </c>
      <c r="O78" s="2">
        <f>SUMIFS('Grid Data'!$D$4:$D$2342,'Grid Data'!$B$4:$B$2342,$D78,'Grid Data'!$C$4:$C$2342,O$4,'Grid Data'!$A$4:$A$2342,$D$2)</f>
        <v>239</v>
      </c>
      <c r="P78" s="2">
        <f>SUMIFS('Grid Data'!$D$4:$D$2342,'Grid Data'!$B$4:$B$2342,$D78,'Grid Data'!$C$4:$C$2342,P$4,'Grid Data'!$A$4:$A$2342,$D$2)</f>
        <v>755</v>
      </c>
      <c r="Q78" s="2">
        <f>SUMIFS('Grid Data'!$D$4:$D$2342,'Grid Data'!$B$4:$B$2342,$D78,'Grid Data'!$C$4:$C$2342,Q$4,'Grid Data'!$A$4:$A$2342,$D$2)</f>
        <v>475</v>
      </c>
      <c r="R78" s="2">
        <f>SUMIFS('Grid Data'!$D$4:$D$2342,'Grid Data'!$B$4:$B$2342,$D78,'Grid Data'!$C$4:$C$2342,R$4,'Grid Data'!$A$4:$A$2342,$D$2)</f>
        <v>645</v>
      </c>
      <c r="S78" s="2">
        <f>SUMIFS('Grid Data'!$D$4:$D$2342,'Grid Data'!$B$4:$B$2342,$D78,'Grid Data'!$C$4:$C$2342,S$4,'Grid Data'!$A$4:$A$2342,$D$2)</f>
        <v>7567</v>
      </c>
      <c r="T78" s="2">
        <f>SUMIFS('Grid Data'!$D$4:$D$2342,'Grid Data'!$B$4:$B$2342,$D78,'Grid Data'!$C$4:$C$2342,T$4,'Grid Data'!$A$4:$A$2342,$D$2)</f>
        <v>16274</v>
      </c>
      <c r="U78" s="2">
        <f>SUMIFS('Grid Data'!$D$4:$D$2342,'Grid Data'!$B$4:$B$2342,$D78,'Grid Data'!$C$4:$C$2342,U$4,'Grid Data'!$A$4:$A$2342,$D$2)</f>
        <v>435</v>
      </c>
      <c r="V78" s="2">
        <f>SUMIFS('Grid Data'!$D$4:$D$2342,'Grid Data'!$B$4:$B$2342,$D78,'Grid Data'!$C$4:$C$2342,V$4,'Grid Data'!$A$4:$A$2342,$D$2)</f>
        <v>163</v>
      </c>
      <c r="W78" s="2">
        <f>SUMIFS('Grid Data'!$D$4:$D$2342,'Grid Data'!$B$4:$B$2342,$D78,'Grid Data'!$C$4:$C$2342,W$4,'Grid Data'!$A$4:$A$2342,$D$2)</f>
        <v>735</v>
      </c>
      <c r="X78" s="2">
        <f>SUMIFS('Grid Data'!$D$4:$D$2342,'Grid Data'!$B$4:$B$2342,$D78,'Grid Data'!$C$4:$C$2342,X$4,'Grid Data'!$A$4:$A$2342,$D$2)</f>
        <v>5088</v>
      </c>
      <c r="Y78" s="2">
        <f>SUMIFS('Grid Data'!$D$4:$D$2342,'Grid Data'!$B$4:$B$2342,$D78,'Grid Data'!$C$4:$C$2342,Y$4,'Grid Data'!$A$4:$A$2342,$D$2)</f>
        <v>9313</v>
      </c>
      <c r="Z78" s="2">
        <f>SUMIFS('Grid Data'!$D$4:$D$2342,'Grid Data'!$B$4:$B$2342,$D78,'Grid Data'!$C$4:$C$2342,Z$4,'Grid Data'!$A$4:$A$2342,$D$2)</f>
        <v>5254</v>
      </c>
      <c r="AA78" s="2">
        <f>SUMIFS('Grid Data'!$D$4:$D$2342,'Grid Data'!$B$4:$B$2342,$D78,'Grid Data'!$C$4:$C$2342,AA$4,'Grid Data'!$A$4:$A$2342,$D$2)</f>
        <v>1441</v>
      </c>
      <c r="AB78" s="2">
        <f>SUMIFS('Grid Data'!$D$4:$D$2342,'Grid Data'!$B$4:$B$2342,$D78,'Grid Data'!$C$4:$C$2342,AB$4,'Grid Data'!$A$4:$A$2342,$D$2)</f>
        <v>5959</v>
      </c>
      <c r="AC78" s="2">
        <f>SUMIFS('Grid Data'!$D$4:$D$2342,'Grid Data'!$B$4:$B$2342,$D78,'Grid Data'!$C$4:$C$2342,AC$4,'Grid Data'!$A$4:$A$2342,$D$2)</f>
        <v>3670</v>
      </c>
      <c r="AD78" s="2">
        <f>SUMIFS('Grid Data'!$D$4:$D$2342,'Grid Data'!$B$4:$B$2342,$D78,'Grid Data'!$C$4:$C$2342,AD$4,'Grid Data'!$A$4:$A$2342,$D$2)</f>
        <v>8017</v>
      </c>
      <c r="AE78" s="2">
        <f>SUMIFS('Grid Data'!$D$4:$D$2342,'Grid Data'!$B$4:$B$2342,$D78,'Grid Data'!$C$4:$C$2342,AE$4,'Grid Data'!$A$4:$A$2342,$D$2)</f>
        <v>1568</v>
      </c>
      <c r="AF78" s="2">
        <f>SUMIFS('Grid Data'!$D$4:$D$2342,'Grid Data'!$B$4:$B$2342,$D78,'Grid Data'!$C$4:$C$2342,AF$4,'Grid Data'!$A$4:$A$2342,$D$2)</f>
        <v>29</v>
      </c>
      <c r="AG78" s="2">
        <f>SUMIFS('Grid Data'!$D$4:$D$2342,'Grid Data'!$B$4:$B$2342,$D78,'Grid Data'!$C$4:$C$2342,AG$4,'Grid Data'!$A$4:$A$2342,$D$2)</f>
        <v>99</v>
      </c>
      <c r="AH78" s="2">
        <f>SUMIFS('Grid Data'!$D$4:$D$2342,'Grid Data'!$B$4:$B$2342,$D78,'Grid Data'!$C$4:$C$2342,AH$4,'Grid Data'!$A$4:$A$2342,$D$2)</f>
        <v>0</v>
      </c>
    </row>
    <row r="79" spans="3:34" x14ac:dyDescent="0.35">
      <c r="D79">
        <v>4750</v>
      </c>
      <c r="E79" s="2">
        <f>SUMIFS('Grid Data'!$D$4:$D$2342,'Grid Data'!$B$4:$B$2342,$D79,'Grid Data'!$C$4:$C$2342,E$4,'Grid Data'!$A$4:$A$2342,$D$2)</f>
        <v>3267</v>
      </c>
      <c r="F79" s="2">
        <f>SUMIFS('Grid Data'!$D$4:$D$2342,'Grid Data'!$B$4:$B$2342,$D79,'Grid Data'!$C$4:$C$2342,F$4,'Grid Data'!$A$4:$A$2342,$D$2)</f>
        <v>292</v>
      </c>
      <c r="G79" s="2">
        <f>SUMIFS('Grid Data'!$D$4:$D$2342,'Grid Data'!$B$4:$B$2342,$D79,'Grid Data'!$C$4:$C$2342,G$4,'Grid Data'!$A$4:$A$2342,$D$2)</f>
        <v>282</v>
      </c>
      <c r="H79" s="2">
        <f>SUMIFS('Grid Data'!$D$4:$D$2342,'Grid Data'!$B$4:$B$2342,$D79,'Grid Data'!$C$4:$C$2342,H$4,'Grid Data'!$A$4:$A$2342,$D$2)</f>
        <v>257</v>
      </c>
      <c r="I79" s="2">
        <f>SUMIFS('Grid Data'!$D$4:$D$2342,'Grid Data'!$B$4:$B$2342,$D79,'Grid Data'!$C$4:$C$2342,I$4,'Grid Data'!$A$4:$A$2342,$D$2)</f>
        <v>319</v>
      </c>
      <c r="J79" s="2">
        <f>SUMIFS('Grid Data'!$D$4:$D$2342,'Grid Data'!$B$4:$B$2342,$D79,'Grid Data'!$C$4:$C$2342,J$4,'Grid Data'!$A$4:$A$2342,$D$2)</f>
        <v>268</v>
      </c>
      <c r="K79" s="2">
        <f>SUMIFS('Grid Data'!$D$4:$D$2342,'Grid Data'!$B$4:$B$2342,$D79,'Grid Data'!$C$4:$C$2342,K$4,'Grid Data'!$A$4:$A$2342,$D$2)</f>
        <v>505</v>
      </c>
      <c r="L79" s="2">
        <f>SUMIFS('Grid Data'!$D$4:$D$2342,'Grid Data'!$B$4:$B$2342,$D79,'Grid Data'!$C$4:$C$2342,L$4,'Grid Data'!$A$4:$A$2342,$D$2)</f>
        <v>466</v>
      </c>
      <c r="M79" s="2">
        <f>SUMIFS('Grid Data'!$D$4:$D$2342,'Grid Data'!$B$4:$B$2342,$D79,'Grid Data'!$C$4:$C$2342,M$4,'Grid Data'!$A$4:$A$2342,$D$2)</f>
        <v>2520</v>
      </c>
      <c r="N79" s="2">
        <f>SUMIFS('Grid Data'!$D$4:$D$2342,'Grid Data'!$B$4:$B$2342,$D79,'Grid Data'!$C$4:$C$2342,N$4,'Grid Data'!$A$4:$A$2342,$D$2)</f>
        <v>1052</v>
      </c>
      <c r="O79" s="2">
        <f>SUMIFS('Grid Data'!$D$4:$D$2342,'Grid Data'!$B$4:$B$2342,$D79,'Grid Data'!$C$4:$C$2342,O$4,'Grid Data'!$A$4:$A$2342,$D$2)</f>
        <v>338</v>
      </c>
      <c r="P79" s="2">
        <f>SUMIFS('Grid Data'!$D$4:$D$2342,'Grid Data'!$B$4:$B$2342,$D79,'Grid Data'!$C$4:$C$2342,P$4,'Grid Data'!$A$4:$A$2342,$D$2)</f>
        <v>909</v>
      </c>
      <c r="Q79" s="2">
        <f>SUMIFS('Grid Data'!$D$4:$D$2342,'Grid Data'!$B$4:$B$2342,$D79,'Grid Data'!$C$4:$C$2342,Q$4,'Grid Data'!$A$4:$A$2342,$D$2)</f>
        <v>643</v>
      </c>
      <c r="R79" s="2">
        <f>SUMIFS('Grid Data'!$D$4:$D$2342,'Grid Data'!$B$4:$B$2342,$D79,'Grid Data'!$C$4:$C$2342,R$4,'Grid Data'!$A$4:$A$2342,$D$2)</f>
        <v>2956</v>
      </c>
      <c r="S79" s="2">
        <f>SUMIFS('Grid Data'!$D$4:$D$2342,'Grid Data'!$B$4:$B$2342,$D79,'Grid Data'!$C$4:$C$2342,S$4,'Grid Data'!$A$4:$A$2342,$D$2)</f>
        <v>17045</v>
      </c>
      <c r="T79" s="2">
        <f>SUMIFS('Grid Data'!$D$4:$D$2342,'Grid Data'!$B$4:$B$2342,$D79,'Grid Data'!$C$4:$C$2342,T$4,'Grid Data'!$A$4:$A$2342,$D$2)</f>
        <v>23264</v>
      </c>
      <c r="U79" s="2">
        <f>SUMIFS('Grid Data'!$D$4:$D$2342,'Grid Data'!$B$4:$B$2342,$D79,'Grid Data'!$C$4:$C$2342,U$4,'Grid Data'!$A$4:$A$2342,$D$2)</f>
        <v>316</v>
      </c>
      <c r="V79" s="2">
        <f>SUMIFS('Grid Data'!$D$4:$D$2342,'Grid Data'!$B$4:$B$2342,$D79,'Grid Data'!$C$4:$C$2342,V$4,'Grid Data'!$A$4:$A$2342,$D$2)</f>
        <v>188</v>
      </c>
      <c r="W79" s="2">
        <f>SUMIFS('Grid Data'!$D$4:$D$2342,'Grid Data'!$B$4:$B$2342,$D79,'Grid Data'!$C$4:$C$2342,W$4,'Grid Data'!$A$4:$A$2342,$D$2)</f>
        <v>602</v>
      </c>
      <c r="X79" s="2">
        <f>SUMIFS('Grid Data'!$D$4:$D$2342,'Grid Data'!$B$4:$B$2342,$D79,'Grid Data'!$C$4:$C$2342,X$4,'Grid Data'!$A$4:$A$2342,$D$2)</f>
        <v>4040</v>
      </c>
      <c r="Y79" s="2">
        <f>SUMIFS('Grid Data'!$D$4:$D$2342,'Grid Data'!$B$4:$B$2342,$D79,'Grid Data'!$C$4:$C$2342,Y$4,'Grid Data'!$A$4:$A$2342,$D$2)</f>
        <v>7329</v>
      </c>
      <c r="Z79" s="2">
        <f>SUMIFS('Grid Data'!$D$4:$D$2342,'Grid Data'!$B$4:$B$2342,$D79,'Grid Data'!$C$4:$C$2342,Z$4,'Grid Data'!$A$4:$A$2342,$D$2)</f>
        <v>2392</v>
      </c>
      <c r="AA79" s="2">
        <f>SUMIFS('Grid Data'!$D$4:$D$2342,'Grid Data'!$B$4:$B$2342,$D79,'Grid Data'!$C$4:$C$2342,AA$4,'Grid Data'!$A$4:$A$2342,$D$2)</f>
        <v>643</v>
      </c>
      <c r="AB79" s="2">
        <f>SUMIFS('Grid Data'!$D$4:$D$2342,'Grid Data'!$B$4:$B$2342,$D79,'Grid Data'!$C$4:$C$2342,AB$4,'Grid Data'!$A$4:$A$2342,$D$2)</f>
        <v>1992</v>
      </c>
      <c r="AC79" s="2">
        <f>SUMIFS('Grid Data'!$D$4:$D$2342,'Grid Data'!$B$4:$B$2342,$D79,'Grid Data'!$C$4:$C$2342,AC$4,'Grid Data'!$A$4:$A$2342,$D$2)</f>
        <v>1719</v>
      </c>
      <c r="AD79" s="2">
        <f>SUMIFS('Grid Data'!$D$4:$D$2342,'Grid Data'!$B$4:$B$2342,$D79,'Grid Data'!$C$4:$C$2342,AD$4,'Grid Data'!$A$4:$A$2342,$D$2)</f>
        <v>6007</v>
      </c>
      <c r="AE79" s="2">
        <f>SUMIFS('Grid Data'!$D$4:$D$2342,'Grid Data'!$B$4:$B$2342,$D79,'Grid Data'!$C$4:$C$2342,AE$4,'Grid Data'!$A$4:$A$2342,$D$2)</f>
        <v>983</v>
      </c>
      <c r="AF79" s="2">
        <f>SUMIFS('Grid Data'!$D$4:$D$2342,'Grid Data'!$B$4:$B$2342,$D79,'Grid Data'!$C$4:$C$2342,AF$4,'Grid Data'!$A$4:$A$2342,$D$2)</f>
        <v>27</v>
      </c>
      <c r="AG79" s="2">
        <f>SUMIFS('Grid Data'!$D$4:$D$2342,'Grid Data'!$B$4:$B$2342,$D79,'Grid Data'!$C$4:$C$2342,AG$4,'Grid Data'!$A$4:$A$2342,$D$2)</f>
        <v>87</v>
      </c>
      <c r="AH79" s="2">
        <f>SUMIFS('Grid Data'!$D$4:$D$2342,'Grid Data'!$B$4:$B$2342,$D79,'Grid Data'!$C$4:$C$2342,AH$4,'Grid Data'!$A$4:$A$2342,$D$2)</f>
        <v>0</v>
      </c>
    </row>
    <row r="80" spans="3:34" x14ac:dyDescent="0.35">
      <c r="D80">
        <v>5000</v>
      </c>
      <c r="E80" s="2">
        <f>SUMIFS('Grid Data'!$D$4:$D$2342,'Grid Data'!$B$4:$B$2342,$D80,'Grid Data'!$C$4:$C$2342,E$4,'Grid Data'!$A$4:$A$2342,$D$2)</f>
        <v>14028</v>
      </c>
      <c r="F80" s="2">
        <f>SUMIFS('Grid Data'!$D$4:$D$2342,'Grid Data'!$B$4:$B$2342,$D80,'Grid Data'!$C$4:$C$2342,F$4,'Grid Data'!$A$4:$A$2342,$D$2)</f>
        <v>941</v>
      </c>
      <c r="G80" s="2">
        <f>SUMIFS('Grid Data'!$D$4:$D$2342,'Grid Data'!$B$4:$B$2342,$D80,'Grid Data'!$C$4:$C$2342,G$4,'Grid Data'!$A$4:$A$2342,$D$2)</f>
        <v>919</v>
      </c>
      <c r="H80" s="2">
        <f>SUMIFS('Grid Data'!$D$4:$D$2342,'Grid Data'!$B$4:$B$2342,$D80,'Grid Data'!$C$4:$C$2342,H$4,'Grid Data'!$A$4:$A$2342,$D$2)</f>
        <v>1155</v>
      </c>
      <c r="I80" s="2">
        <f>SUMIFS('Grid Data'!$D$4:$D$2342,'Grid Data'!$B$4:$B$2342,$D80,'Grid Data'!$C$4:$C$2342,I$4,'Grid Data'!$A$4:$A$2342,$D$2)</f>
        <v>1037</v>
      </c>
      <c r="J80" s="2">
        <f>SUMIFS('Grid Data'!$D$4:$D$2342,'Grid Data'!$B$4:$B$2342,$D80,'Grid Data'!$C$4:$C$2342,J$4,'Grid Data'!$A$4:$A$2342,$D$2)</f>
        <v>954</v>
      </c>
      <c r="K80" s="2">
        <f>SUMIFS('Grid Data'!$D$4:$D$2342,'Grid Data'!$B$4:$B$2342,$D80,'Grid Data'!$C$4:$C$2342,K$4,'Grid Data'!$A$4:$A$2342,$D$2)</f>
        <v>1789</v>
      </c>
      <c r="L80" s="2">
        <f>SUMIFS('Grid Data'!$D$4:$D$2342,'Grid Data'!$B$4:$B$2342,$D80,'Grid Data'!$C$4:$C$2342,L$4,'Grid Data'!$A$4:$A$2342,$D$2)</f>
        <v>2057</v>
      </c>
      <c r="M80" s="2">
        <f>SUMIFS('Grid Data'!$D$4:$D$2342,'Grid Data'!$B$4:$B$2342,$D80,'Grid Data'!$C$4:$C$2342,M$4,'Grid Data'!$A$4:$A$2342,$D$2)</f>
        <v>8813</v>
      </c>
      <c r="N80" s="2">
        <f>SUMIFS('Grid Data'!$D$4:$D$2342,'Grid Data'!$B$4:$B$2342,$D80,'Grid Data'!$C$4:$C$2342,N$4,'Grid Data'!$A$4:$A$2342,$D$2)</f>
        <v>3447</v>
      </c>
      <c r="O80" s="2">
        <f>SUMIFS('Grid Data'!$D$4:$D$2342,'Grid Data'!$B$4:$B$2342,$D80,'Grid Data'!$C$4:$C$2342,O$4,'Grid Data'!$A$4:$A$2342,$D$2)</f>
        <v>1372</v>
      </c>
      <c r="P80" s="2">
        <f>SUMIFS('Grid Data'!$D$4:$D$2342,'Grid Data'!$B$4:$B$2342,$D80,'Grid Data'!$C$4:$C$2342,P$4,'Grid Data'!$A$4:$A$2342,$D$2)</f>
        <v>3483</v>
      </c>
      <c r="Q80" s="2">
        <f>SUMIFS('Grid Data'!$D$4:$D$2342,'Grid Data'!$B$4:$B$2342,$D80,'Grid Data'!$C$4:$C$2342,Q$4,'Grid Data'!$A$4:$A$2342,$D$2)</f>
        <v>2913</v>
      </c>
      <c r="R80" s="2">
        <f>SUMIFS('Grid Data'!$D$4:$D$2342,'Grid Data'!$B$4:$B$2342,$D80,'Grid Data'!$C$4:$C$2342,R$4,'Grid Data'!$A$4:$A$2342,$D$2)</f>
        <v>6414</v>
      </c>
      <c r="S80" s="2">
        <f>SUMIFS('Grid Data'!$D$4:$D$2342,'Grid Data'!$B$4:$B$2342,$D80,'Grid Data'!$C$4:$C$2342,S$4,'Grid Data'!$A$4:$A$2342,$D$2)</f>
        <v>9587</v>
      </c>
      <c r="T80" s="2">
        <f>SUMIFS('Grid Data'!$D$4:$D$2342,'Grid Data'!$B$4:$B$2342,$D80,'Grid Data'!$C$4:$C$2342,T$4,'Grid Data'!$A$4:$A$2342,$D$2)</f>
        <v>14907</v>
      </c>
      <c r="U80" s="2">
        <f>SUMIFS('Grid Data'!$D$4:$D$2342,'Grid Data'!$B$4:$B$2342,$D80,'Grid Data'!$C$4:$C$2342,U$4,'Grid Data'!$A$4:$A$2342,$D$2)</f>
        <v>71</v>
      </c>
      <c r="V80" s="2">
        <f>SUMIFS('Grid Data'!$D$4:$D$2342,'Grid Data'!$B$4:$B$2342,$D80,'Grid Data'!$C$4:$C$2342,V$4,'Grid Data'!$A$4:$A$2342,$D$2)</f>
        <v>34</v>
      </c>
      <c r="W80" s="2">
        <f>SUMIFS('Grid Data'!$D$4:$D$2342,'Grid Data'!$B$4:$B$2342,$D80,'Grid Data'!$C$4:$C$2342,W$4,'Grid Data'!$A$4:$A$2342,$D$2)</f>
        <v>168</v>
      </c>
      <c r="X80" s="2">
        <f>SUMIFS('Grid Data'!$D$4:$D$2342,'Grid Data'!$B$4:$B$2342,$D80,'Grid Data'!$C$4:$C$2342,X$4,'Grid Data'!$A$4:$A$2342,$D$2)</f>
        <v>1237</v>
      </c>
      <c r="Y80" s="2">
        <f>SUMIFS('Grid Data'!$D$4:$D$2342,'Grid Data'!$B$4:$B$2342,$D80,'Grid Data'!$C$4:$C$2342,Y$4,'Grid Data'!$A$4:$A$2342,$D$2)</f>
        <v>6144</v>
      </c>
      <c r="Z80" s="2">
        <f>SUMIFS('Grid Data'!$D$4:$D$2342,'Grid Data'!$B$4:$B$2342,$D80,'Grid Data'!$C$4:$C$2342,Z$4,'Grid Data'!$A$4:$A$2342,$D$2)</f>
        <v>692</v>
      </c>
      <c r="AA80" s="2">
        <f>SUMIFS('Grid Data'!$D$4:$D$2342,'Grid Data'!$B$4:$B$2342,$D80,'Grid Data'!$C$4:$C$2342,AA$4,'Grid Data'!$A$4:$A$2342,$D$2)</f>
        <v>161</v>
      </c>
      <c r="AB80" s="2">
        <f>SUMIFS('Grid Data'!$D$4:$D$2342,'Grid Data'!$B$4:$B$2342,$D80,'Grid Data'!$C$4:$C$2342,AB$4,'Grid Data'!$A$4:$A$2342,$D$2)</f>
        <v>489</v>
      </c>
      <c r="AC80" s="2">
        <f>SUMIFS('Grid Data'!$D$4:$D$2342,'Grid Data'!$B$4:$B$2342,$D80,'Grid Data'!$C$4:$C$2342,AC$4,'Grid Data'!$A$4:$A$2342,$D$2)</f>
        <v>487</v>
      </c>
      <c r="AD80" s="2">
        <f>SUMIFS('Grid Data'!$D$4:$D$2342,'Grid Data'!$B$4:$B$2342,$D80,'Grid Data'!$C$4:$C$2342,AD$4,'Grid Data'!$A$4:$A$2342,$D$2)</f>
        <v>4086</v>
      </c>
      <c r="AE80" s="2">
        <f>SUMIFS('Grid Data'!$D$4:$D$2342,'Grid Data'!$B$4:$B$2342,$D80,'Grid Data'!$C$4:$C$2342,AE$4,'Grid Data'!$A$4:$A$2342,$D$2)</f>
        <v>4689</v>
      </c>
      <c r="AF80" s="2">
        <f>SUMIFS('Grid Data'!$D$4:$D$2342,'Grid Data'!$B$4:$B$2342,$D80,'Grid Data'!$C$4:$C$2342,AF$4,'Grid Data'!$A$4:$A$2342,$D$2)</f>
        <v>33</v>
      </c>
      <c r="AG80" s="2">
        <f>SUMIFS('Grid Data'!$D$4:$D$2342,'Grid Data'!$B$4:$B$2342,$D80,'Grid Data'!$C$4:$C$2342,AG$4,'Grid Data'!$A$4:$A$2342,$D$2)</f>
        <v>1537</v>
      </c>
      <c r="AH80" s="2">
        <f>SUMIFS('Grid Data'!$D$4:$D$2342,'Grid Data'!$B$4:$B$2342,$D80,'Grid Data'!$C$4:$C$2342,AH$4,'Grid Data'!$A$4:$A$2342,$D$2)</f>
        <v>7</v>
      </c>
    </row>
    <row r="81" spans="4:34" x14ac:dyDescent="0.35">
      <c r="D81">
        <v>5250</v>
      </c>
      <c r="E81" s="2">
        <f>SUMIFS('Grid Data'!$D$4:$D$2342,'Grid Data'!$B$4:$B$2342,$D81,'Grid Data'!$C$4:$C$2342,E$4,'Grid Data'!$A$4:$A$2342,$D$2)</f>
        <v>42987</v>
      </c>
      <c r="F81" s="2">
        <f>SUMIFS('Grid Data'!$D$4:$D$2342,'Grid Data'!$B$4:$B$2342,$D81,'Grid Data'!$C$4:$C$2342,F$4,'Grid Data'!$A$4:$A$2342,$D$2)</f>
        <v>469</v>
      </c>
      <c r="G81" s="2">
        <f>SUMIFS('Grid Data'!$D$4:$D$2342,'Grid Data'!$B$4:$B$2342,$D81,'Grid Data'!$C$4:$C$2342,G$4,'Grid Data'!$A$4:$A$2342,$D$2)</f>
        <v>388</v>
      </c>
      <c r="H81" s="2">
        <f>SUMIFS('Grid Data'!$D$4:$D$2342,'Grid Data'!$B$4:$B$2342,$D81,'Grid Data'!$C$4:$C$2342,H$4,'Grid Data'!$A$4:$A$2342,$D$2)</f>
        <v>392</v>
      </c>
      <c r="I81" s="2">
        <f>SUMIFS('Grid Data'!$D$4:$D$2342,'Grid Data'!$B$4:$B$2342,$D81,'Grid Data'!$C$4:$C$2342,I$4,'Grid Data'!$A$4:$A$2342,$D$2)</f>
        <v>692</v>
      </c>
      <c r="J81" s="2">
        <f>SUMIFS('Grid Data'!$D$4:$D$2342,'Grid Data'!$B$4:$B$2342,$D81,'Grid Data'!$C$4:$C$2342,J$4,'Grid Data'!$A$4:$A$2342,$D$2)</f>
        <v>1042</v>
      </c>
      <c r="K81" s="2">
        <f>SUMIFS('Grid Data'!$D$4:$D$2342,'Grid Data'!$B$4:$B$2342,$D81,'Grid Data'!$C$4:$C$2342,K$4,'Grid Data'!$A$4:$A$2342,$D$2)</f>
        <v>992</v>
      </c>
      <c r="L81" s="2">
        <f>SUMIFS('Grid Data'!$D$4:$D$2342,'Grid Data'!$B$4:$B$2342,$D81,'Grid Data'!$C$4:$C$2342,L$4,'Grid Data'!$A$4:$A$2342,$D$2)</f>
        <v>1775</v>
      </c>
      <c r="M81" s="2">
        <f>SUMIFS('Grid Data'!$D$4:$D$2342,'Grid Data'!$B$4:$B$2342,$D81,'Grid Data'!$C$4:$C$2342,M$4,'Grid Data'!$A$4:$A$2342,$D$2)</f>
        <v>15064</v>
      </c>
      <c r="N81" s="2">
        <f>SUMIFS('Grid Data'!$D$4:$D$2342,'Grid Data'!$B$4:$B$2342,$D81,'Grid Data'!$C$4:$C$2342,N$4,'Grid Data'!$A$4:$A$2342,$D$2)</f>
        <v>8139</v>
      </c>
      <c r="O81" s="2">
        <f>SUMIFS('Grid Data'!$D$4:$D$2342,'Grid Data'!$B$4:$B$2342,$D81,'Grid Data'!$C$4:$C$2342,O$4,'Grid Data'!$A$4:$A$2342,$D$2)</f>
        <v>724</v>
      </c>
      <c r="P81" s="2">
        <f>SUMIFS('Grid Data'!$D$4:$D$2342,'Grid Data'!$B$4:$B$2342,$D81,'Grid Data'!$C$4:$C$2342,P$4,'Grid Data'!$A$4:$A$2342,$D$2)</f>
        <v>2278</v>
      </c>
      <c r="Q81" s="2">
        <f>SUMIFS('Grid Data'!$D$4:$D$2342,'Grid Data'!$B$4:$B$2342,$D81,'Grid Data'!$C$4:$C$2342,Q$4,'Grid Data'!$A$4:$A$2342,$D$2)</f>
        <v>2303</v>
      </c>
      <c r="R81" s="2">
        <f>SUMIFS('Grid Data'!$D$4:$D$2342,'Grid Data'!$B$4:$B$2342,$D81,'Grid Data'!$C$4:$C$2342,R$4,'Grid Data'!$A$4:$A$2342,$D$2)</f>
        <v>12011</v>
      </c>
      <c r="S81" s="2">
        <f>SUMIFS('Grid Data'!$D$4:$D$2342,'Grid Data'!$B$4:$B$2342,$D81,'Grid Data'!$C$4:$C$2342,S$4,'Grid Data'!$A$4:$A$2342,$D$2)</f>
        <v>16938</v>
      </c>
      <c r="T81" s="2">
        <f>SUMIFS('Grid Data'!$D$4:$D$2342,'Grid Data'!$B$4:$B$2342,$D81,'Grid Data'!$C$4:$C$2342,T$4,'Grid Data'!$A$4:$A$2342,$D$2)</f>
        <v>18344</v>
      </c>
      <c r="U81" s="2">
        <f>SUMIFS('Grid Data'!$D$4:$D$2342,'Grid Data'!$B$4:$B$2342,$D81,'Grid Data'!$C$4:$C$2342,U$4,'Grid Data'!$A$4:$A$2342,$D$2)</f>
        <v>383</v>
      </c>
      <c r="V81" s="2">
        <f>SUMIFS('Grid Data'!$D$4:$D$2342,'Grid Data'!$B$4:$B$2342,$D81,'Grid Data'!$C$4:$C$2342,V$4,'Grid Data'!$A$4:$A$2342,$D$2)</f>
        <v>112</v>
      </c>
      <c r="W81" s="2">
        <f>SUMIFS('Grid Data'!$D$4:$D$2342,'Grid Data'!$B$4:$B$2342,$D81,'Grid Data'!$C$4:$C$2342,W$4,'Grid Data'!$A$4:$A$2342,$D$2)</f>
        <v>166</v>
      </c>
      <c r="X81" s="2">
        <f>SUMIFS('Grid Data'!$D$4:$D$2342,'Grid Data'!$B$4:$B$2342,$D81,'Grid Data'!$C$4:$C$2342,X$4,'Grid Data'!$A$4:$A$2342,$D$2)</f>
        <v>1220</v>
      </c>
      <c r="Y81" s="2">
        <f>SUMIFS('Grid Data'!$D$4:$D$2342,'Grid Data'!$B$4:$B$2342,$D81,'Grid Data'!$C$4:$C$2342,Y$4,'Grid Data'!$A$4:$A$2342,$D$2)</f>
        <v>2816</v>
      </c>
      <c r="Z81" s="2">
        <f>SUMIFS('Grid Data'!$D$4:$D$2342,'Grid Data'!$B$4:$B$2342,$D81,'Grid Data'!$C$4:$C$2342,Z$4,'Grid Data'!$A$4:$A$2342,$D$2)</f>
        <v>401</v>
      </c>
      <c r="AA81" s="2">
        <f>SUMIFS('Grid Data'!$D$4:$D$2342,'Grid Data'!$B$4:$B$2342,$D81,'Grid Data'!$C$4:$C$2342,AA$4,'Grid Data'!$A$4:$A$2342,$D$2)</f>
        <v>48</v>
      </c>
      <c r="AB81" s="2">
        <f>SUMIFS('Grid Data'!$D$4:$D$2342,'Grid Data'!$B$4:$B$2342,$D81,'Grid Data'!$C$4:$C$2342,AB$4,'Grid Data'!$A$4:$A$2342,$D$2)</f>
        <v>119</v>
      </c>
      <c r="AC81" s="2">
        <f>SUMIFS('Grid Data'!$D$4:$D$2342,'Grid Data'!$B$4:$B$2342,$D81,'Grid Data'!$C$4:$C$2342,AC$4,'Grid Data'!$A$4:$A$2342,$D$2)</f>
        <v>126</v>
      </c>
      <c r="AD81" s="2">
        <f>SUMIFS('Grid Data'!$D$4:$D$2342,'Grid Data'!$B$4:$B$2342,$D81,'Grid Data'!$C$4:$C$2342,AD$4,'Grid Data'!$A$4:$A$2342,$D$2)</f>
        <v>1575</v>
      </c>
      <c r="AE81" s="2">
        <f>SUMIFS('Grid Data'!$D$4:$D$2342,'Grid Data'!$B$4:$B$2342,$D81,'Grid Data'!$C$4:$C$2342,AE$4,'Grid Data'!$A$4:$A$2342,$D$2)</f>
        <v>1254</v>
      </c>
      <c r="AF81" s="2">
        <f>SUMIFS('Grid Data'!$D$4:$D$2342,'Grid Data'!$B$4:$B$2342,$D81,'Grid Data'!$C$4:$C$2342,AF$4,'Grid Data'!$A$4:$A$2342,$D$2)</f>
        <v>19</v>
      </c>
      <c r="AG81" s="2">
        <f>SUMIFS('Grid Data'!$D$4:$D$2342,'Grid Data'!$B$4:$B$2342,$D81,'Grid Data'!$C$4:$C$2342,AG$4,'Grid Data'!$A$4:$A$2342,$D$2)</f>
        <v>630</v>
      </c>
      <c r="AH81" s="2">
        <f>SUMIFS('Grid Data'!$D$4:$D$2342,'Grid Data'!$B$4:$B$2342,$D81,'Grid Data'!$C$4:$C$2342,AH$4,'Grid Data'!$A$4:$A$2342,$D$2)</f>
        <v>1</v>
      </c>
    </row>
    <row r="82" spans="4:34" x14ac:dyDescent="0.35">
      <c r="D82">
        <v>5500</v>
      </c>
      <c r="E82" s="2">
        <f>SUMIFS('Grid Data'!$D$4:$D$2342,'Grid Data'!$B$4:$B$2342,$D82,'Grid Data'!$C$4:$C$2342,E$4,'Grid Data'!$A$4:$A$2342,$D$2)</f>
        <v>58995</v>
      </c>
      <c r="F82" s="2">
        <f>SUMIFS('Grid Data'!$D$4:$D$2342,'Grid Data'!$B$4:$B$2342,$D82,'Grid Data'!$C$4:$C$2342,F$4,'Grid Data'!$A$4:$A$2342,$D$2)</f>
        <v>1384</v>
      </c>
      <c r="G82" s="2">
        <f>SUMIFS('Grid Data'!$D$4:$D$2342,'Grid Data'!$B$4:$B$2342,$D82,'Grid Data'!$C$4:$C$2342,G$4,'Grid Data'!$A$4:$A$2342,$D$2)</f>
        <v>862</v>
      </c>
      <c r="H82" s="2">
        <f>SUMIFS('Grid Data'!$D$4:$D$2342,'Grid Data'!$B$4:$B$2342,$D82,'Grid Data'!$C$4:$C$2342,H$4,'Grid Data'!$A$4:$A$2342,$D$2)</f>
        <v>820</v>
      </c>
      <c r="I82" s="2">
        <f>SUMIFS('Grid Data'!$D$4:$D$2342,'Grid Data'!$B$4:$B$2342,$D82,'Grid Data'!$C$4:$C$2342,I$4,'Grid Data'!$A$4:$A$2342,$D$2)</f>
        <v>1435</v>
      </c>
      <c r="J82" s="2">
        <f>SUMIFS('Grid Data'!$D$4:$D$2342,'Grid Data'!$B$4:$B$2342,$D82,'Grid Data'!$C$4:$C$2342,J$4,'Grid Data'!$A$4:$A$2342,$D$2)</f>
        <v>2275</v>
      </c>
      <c r="K82" s="2">
        <f>SUMIFS('Grid Data'!$D$4:$D$2342,'Grid Data'!$B$4:$B$2342,$D82,'Grid Data'!$C$4:$C$2342,K$4,'Grid Data'!$A$4:$A$2342,$D$2)</f>
        <v>2177</v>
      </c>
      <c r="L82" s="2">
        <f>SUMIFS('Grid Data'!$D$4:$D$2342,'Grid Data'!$B$4:$B$2342,$D82,'Grid Data'!$C$4:$C$2342,L$4,'Grid Data'!$A$4:$A$2342,$D$2)</f>
        <v>2438</v>
      </c>
      <c r="M82" s="2">
        <f>SUMIFS('Grid Data'!$D$4:$D$2342,'Grid Data'!$B$4:$B$2342,$D82,'Grid Data'!$C$4:$C$2342,M$4,'Grid Data'!$A$4:$A$2342,$D$2)</f>
        <v>7761</v>
      </c>
      <c r="N82" s="2">
        <f>SUMIFS('Grid Data'!$D$4:$D$2342,'Grid Data'!$B$4:$B$2342,$D82,'Grid Data'!$C$4:$C$2342,N$4,'Grid Data'!$A$4:$A$2342,$D$2)</f>
        <v>6769</v>
      </c>
      <c r="O82" s="2">
        <f>SUMIFS('Grid Data'!$D$4:$D$2342,'Grid Data'!$B$4:$B$2342,$D82,'Grid Data'!$C$4:$C$2342,O$4,'Grid Data'!$A$4:$A$2342,$D$2)</f>
        <v>2129</v>
      </c>
      <c r="P82" s="2">
        <f>SUMIFS('Grid Data'!$D$4:$D$2342,'Grid Data'!$B$4:$B$2342,$D82,'Grid Data'!$C$4:$C$2342,P$4,'Grid Data'!$A$4:$A$2342,$D$2)</f>
        <v>4750</v>
      </c>
      <c r="Q82" s="2">
        <f>SUMIFS('Grid Data'!$D$4:$D$2342,'Grid Data'!$B$4:$B$2342,$D82,'Grid Data'!$C$4:$C$2342,Q$4,'Grid Data'!$A$4:$A$2342,$D$2)</f>
        <v>5053</v>
      </c>
      <c r="R82" s="2">
        <f>SUMIFS('Grid Data'!$D$4:$D$2342,'Grid Data'!$B$4:$B$2342,$D82,'Grid Data'!$C$4:$C$2342,R$4,'Grid Data'!$A$4:$A$2342,$D$2)</f>
        <v>13722</v>
      </c>
      <c r="S82" s="2">
        <f>SUMIFS('Grid Data'!$D$4:$D$2342,'Grid Data'!$B$4:$B$2342,$D82,'Grid Data'!$C$4:$C$2342,S$4,'Grid Data'!$A$4:$A$2342,$D$2)</f>
        <v>11071</v>
      </c>
      <c r="T82" s="2">
        <f>SUMIFS('Grid Data'!$D$4:$D$2342,'Grid Data'!$B$4:$B$2342,$D82,'Grid Data'!$C$4:$C$2342,T$4,'Grid Data'!$A$4:$A$2342,$D$2)</f>
        <v>7508</v>
      </c>
      <c r="U82" s="2">
        <f>SUMIFS('Grid Data'!$D$4:$D$2342,'Grid Data'!$B$4:$B$2342,$D82,'Grid Data'!$C$4:$C$2342,U$4,'Grid Data'!$A$4:$A$2342,$D$2)</f>
        <v>12</v>
      </c>
      <c r="V82" s="2">
        <f>SUMIFS('Grid Data'!$D$4:$D$2342,'Grid Data'!$B$4:$B$2342,$D82,'Grid Data'!$C$4:$C$2342,V$4,'Grid Data'!$A$4:$A$2342,$D$2)</f>
        <v>0</v>
      </c>
      <c r="W82" s="2">
        <f>SUMIFS('Grid Data'!$D$4:$D$2342,'Grid Data'!$B$4:$B$2342,$D82,'Grid Data'!$C$4:$C$2342,W$4,'Grid Data'!$A$4:$A$2342,$D$2)</f>
        <v>9</v>
      </c>
      <c r="X82" s="2">
        <f>SUMIFS('Grid Data'!$D$4:$D$2342,'Grid Data'!$B$4:$B$2342,$D82,'Grid Data'!$C$4:$C$2342,X$4,'Grid Data'!$A$4:$A$2342,$D$2)</f>
        <v>256</v>
      </c>
      <c r="Y82" s="2">
        <f>SUMIFS('Grid Data'!$D$4:$D$2342,'Grid Data'!$B$4:$B$2342,$D82,'Grid Data'!$C$4:$C$2342,Y$4,'Grid Data'!$A$4:$A$2342,$D$2)</f>
        <v>1339</v>
      </c>
      <c r="Z82" s="2">
        <f>SUMIFS('Grid Data'!$D$4:$D$2342,'Grid Data'!$B$4:$B$2342,$D82,'Grid Data'!$C$4:$C$2342,Z$4,'Grid Data'!$A$4:$A$2342,$D$2)</f>
        <v>91</v>
      </c>
      <c r="AA82" s="2">
        <f>SUMIFS('Grid Data'!$D$4:$D$2342,'Grid Data'!$B$4:$B$2342,$D82,'Grid Data'!$C$4:$C$2342,AA$4,'Grid Data'!$A$4:$A$2342,$D$2)</f>
        <v>10</v>
      </c>
      <c r="AB82" s="2">
        <f>SUMIFS('Grid Data'!$D$4:$D$2342,'Grid Data'!$B$4:$B$2342,$D82,'Grid Data'!$C$4:$C$2342,AB$4,'Grid Data'!$A$4:$A$2342,$D$2)</f>
        <v>17</v>
      </c>
      <c r="AC82" s="2">
        <f>SUMIFS('Grid Data'!$D$4:$D$2342,'Grid Data'!$B$4:$B$2342,$D82,'Grid Data'!$C$4:$C$2342,AC$4,'Grid Data'!$A$4:$A$2342,$D$2)</f>
        <v>17</v>
      </c>
      <c r="AD82" s="2">
        <f>SUMIFS('Grid Data'!$D$4:$D$2342,'Grid Data'!$B$4:$B$2342,$D82,'Grid Data'!$C$4:$C$2342,AD$4,'Grid Data'!$A$4:$A$2342,$D$2)</f>
        <v>562</v>
      </c>
      <c r="AE82" s="2">
        <f>SUMIFS('Grid Data'!$D$4:$D$2342,'Grid Data'!$B$4:$B$2342,$D82,'Grid Data'!$C$4:$C$2342,AE$4,'Grid Data'!$A$4:$A$2342,$D$2)</f>
        <v>2513</v>
      </c>
      <c r="AF82" s="2">
        <f>SUMIFS('Grid Data'!$D$4:$D$2342,'Grid Data'!$B$4:$B$2342,$D82,'Grid Data'!$C$4:$C$2342,AF$4,'Grid Data'!$A$4:$A$2342,$D$2)</f>
        <v>213</v>
      </c>
      <c r="AG82" s="2">
        <f>SUMIFS('Grid Data'!$D$4:$D$2342,'Grid Data'!$B$4:$B$2342,$D82,'Grid Data'!$C$4:$C$2342,AG$4,'Grid Data'!$A$4:$A$2342,$D$2)</f>
        <v>4872</v>
      </c>
      <c r="AH82" s="2">
        <f>SUMIFS('Grid Data'!$D$4:$D$2342,'Grid Data'!$B$4:$B$2342,$D82,'Grid Data'!$C$4:$C$2342,AH$4,'Grid Data'!$A$4:$A$2342,$D$2)</f>
        <v>1</v>
      </c>
    </row>
    <row r="83" spans="4:34" x14ac:dyDescent="0.35">
      <c r="D83">
        <v>5750</v>
      </c>
      <c r="E83" s="2">
        <f>SUMIFS('Grid Data'!$D$4:$D$2342,'Grid Data'!$B$4:$B$2342,$D83,'Grid Data'!$C$4:$C$2342,E$4,'Grid Data'!$A$4:$A$2342,$D$2)</f>
        <v>111341</v>
      </c>
      <c r="F83" s="2">
        <f>SUMIFS('Grid Data'!$D$4:$D$2342,'Grid Data'!$B$4:$B$2342,$D83,'Grid Data'!$C$4:$C$2342,F$4,'Grid Data'!$A$4:$A$2342,$D$2)</f>
        <v>4699</v>
      </c>
      <c r="G83" s="2">
        <f>SUMIFS('Grid Data'!$D$4:$D$2342,'Grid Data'!$B$4:$B$2342,$D83,'Grid Data'!$C$4:$C$2342,G$4,'Grid Data'!$A$4:$A$2342,$D$2)</f>
        <v>2741</v>
      </c>
      <c r="H83" s="2">
        <f>SUMIFS('Grid Data'!$D$4:$D$2342,'Grid Data'!$B$4:$B$2342,$D83,'Grid Data'!$C$4:$C$2342,H$4,'Grid Data'!$A$4:$A$2342,$D$2)</f>
        <v>2072</v>
      </c>
      <c r="I83" s="2">
        <f>SUMIFS('Grid Data'!$D$4:$D$2342,'Grid Data'!$B$4:$B$2342,$D83,'Grid Data'!$C$4:$C$2342,I$4,'Grid Data'!$A$4:$A$2342,$D$2)</f>
        <v>5143</v>
      </c>
      <c r="J83" s="2">
        <f>SUMIFS('Grid Data'!$D$4:$D$2342,'Grid Data'!$B$4:$B$2342,$D83,'Grid Data'!$C$4:$C$2342,J$4,'Grid Data'!$A$4:$A$2342,$D$2)</f>
        <v>8505</v>
      </c>
      <c r="K83" s="2">
        <f>SUMIFS('Grid Data'!$D$4:$D$2342,'Grid Data'!$B$4:$B$2342,$D83,'Grid Data'!$C$4:$C$2342,K$4,'Grid Data'!$A$4:$A$2342,$D$2)</f>
        <v>6657</v>
      </c>
      <c r="L83" s="2">
        <f>SUMIFS('Grid Data'!$D$4:$D$2342,'Grid Data'!$B$4:$B$2342,$D83,'Grid Data'!$C$4:$C$2342,L$4,'Grid Data'!$A$4:$A$2342,$D$2)</f>
        <v>8250</v>
      </c>
      <c r="M83" s="2">
        <f>SUMIFS('Grid Data'!$D$4:$D$2342,'Grid Data'!$B$4:$B$2342,$D83,'Grid Data'!$C$4:$C$2342,M$4,'Grid Data'!$A$4:$A$2342,$D$2)</f>
        <v>20360</v>
      </c>
      <c r="N83" s="2">
        <f>SUMIFS('Grid Data'!$D$4:$D$2342,'Grid Data'!$B$4:$B$2342,$D83,'Grid Data'!$C$4:$C$2342,N$4,'Grid Data'!$A$4:$A$2342,$D$2)</f>
        <v>20904</v>
      </c>
      <c r="O83" s="2">
        <f>SUMIFS('Grid Data'!$D$4:$D$2342,'Grid Data'!$B$4:$B$2342,$D83,'Grid Data'!$C$4:$C$2342,O$4,'Grid Data'!$A$4:$A$2342,$D$2)</f>
        <v>4244</v>
      </c>
      <c r="P83" s="2">
        <f>SUMIFS('Grid Data'!$D$4:$D$2342,'Grid Data'!$B$4:$B$2342,$D83,'Grid Data'!$C$4:$C$2342,P$4,'Grid Data'!$A$4:$A$2342,$D$2)</f>
        <v>10428</v>
      </c>
      <c r="Q83" s="2">
        <f>SUMIFS('Grid Data'!$D$4:$D$2342,'Grid Data'!$B$4:$B$2342,$D83,'Grid Data'!$C$4:$C$2342,Q$4,'Grid Data'!$A$4:$A$2342,$D$2)</f>
        <v>7703</v>
      </c>
      <c r="R83" s="2">
        <f>SUMIFS('Grid Data'!$D$4:$D$2342,'Grid Data'!$B$4:$B$2342,$D83,'Grid Data'!$C$4:$C$2342,R$4,'Grid Data'!$A$4:$A$2342,$D$2)</f>
        <v>29038</v>
      </c>
      <c r="S83" s="2">
        <f>SUMIFS('Grid Data'!$D$4:$D$2342,'Grid Data'!$B$4:$B$2342,$D83,'Grid Data'!$C$4:$C$2342,S$4,'Grid Data'!$A$4:$A$2342,$D$2)</f>
        <v>20355</v>
      </c>
      <c r="T83" s="2">
        <f>SUMIFS('Grid Data'!$D$4:$D$2342,'Grid Data'!$B$4:$B$2342,$D83,'Grid Data'!$C$4:$C$2342,T$4,'Grid Data'!$A$4:$A$2342,$D$2)</f>
        <v>10232</v>
      </c>
      <c r="U83" s="2">
        <f>SUMIFS('Grid Data'!$D$4:$D$2342,'Grid Data'!$B$4:$B$2342,$D83,'Grid Data'!$C$4:$C$2342,U$4,'Grid Data'!$A$4:$A$2342,$D$2)</f>
        <v>2</v>
      </c>
      <c r="V83" s="2">
        <f>SUMIFS('Grid Data'!$D$4:$D$2342,'Grid Data'!$B$4:$B$2342,$D83,'Grid Data'!$C$4:$C$2342,V$4,'Grid Data'!$A$4:$A$2342,$D$2)</f>
        <v>1</v>
      </c>
      <c r="W83" s="2">
        <f>SUMIFS('Grid Data'!$D$4:$D$2342,'Grid Data'!$B$4:$B$2342,$D83,'Grid Data'!$C$4:$C$2342,W$4,'Grid Data'!$A$4:$A$2342,$D$2)</f>
        <v>17</v>
      </c>
      <c r="X83" s="2">
        <f>SUMIFS('Grid Data'!$D$4:$D$2342,'Grid Data'!$B$4:$B$2342,$D83,'Grid Data'!$C$4:$C$2342,X$4,'Grid Data'!$A$4:$A$2342,$D$2)</f>
        <v>457</v>
      </c>
      <c r="Y83" s="2">
        <f>SUMIFS('Grid Data'!$D$4:$D$2342,'Grid Data'!$B$4:$B$2342,$D83,'Grid Data'!$C$4:$C$2342,Y$4,'Grid Data'!$A$4:$A$2342,$D$2)</f>
        <v>1036</v>
      </c>
      <c r="Z83" s="2">
        <f>SUMIFS('Grid Data'!$D$4:$D$2342,'Grid Data'!$B$4:$B$2342,$D83,'Grid Data'!$C$4:$C$2342,Z$4,'Grid Data'!$A$4:$A$2342,$D$2)</f>
        <v>8</v>
      </c>
      <c r="AA83" s="2">
        <f>SUMIFS('Grid Data'!$D$4:$D$2342,'Grid Data'!$B$4:$B$2342,$D83,'Grid Data'!$C$4:$C$2342,AA$4,'Grid Data'!$A$4:$A$2342,$D$2)</f>
        <v>0</v>
      </c>
      <c r="AB83" s="2">
        <f>SUMIFS('Grid Data'!$D$4:$D$2342,'Grid Data'!$B$4:$B$2342,$D83,'Grid Data'!$C$4:$C$2342,AB$4,'Grid Data'!$A$4:$A$2342,$D$2)</f>
        <v>9</v>
      </c>
      <c r="AC83" s="2">
        <f>SUMIFS('Grid Data'!$D$4:$D$2342,'Grid Data'!$B$4:$B$2342,$D83,'Grid Data'!$C$4:$C$2342,AC$4,'Grid Data'!$A$4:$A$2342,$D$2)</f>
        <v>5</v>
      </c>
      <c r="AD83" s="2">
        <f>SUMIFS('Grid Data'!$D$4:$D$2342,'Grid Data'!$B$4:$B$2342,$D83,'Grid Data'!$C$4:$C$2342,AD$4,'Grid Data'!$A$4:$A$2342,$D$2)</f>
        <v>41</v>
      </c>
      <c r="AE83" s="2">
        <f>SUMIFS('Grid Data'!$D$4:$D$2342,'Grid Data'!$B$4:$B$2342,$D83,'Grid Data'!$C$4:$C$2342,AE$4,'Grid Data'!$A$4:$A$2342,$D$2)</f>
        <v>412</v>
      </c>
      <c r="AF83" s="2">
        <f>SUMIFS('Grid Data'!$D$4:$D$2342,'Grid Data'!$B$4:$B$2342,$D83,'Grid Data'!$C$4:$C$2342,AF$4,'Grid Data'!$A$4:$A$2342,$D$2)</f>
        <v>164</v>
      </c>
      <c r="AG83" s="2">
        <f>SUMIFS('Grid Data'!$D$4:$D$2342,'Grid Data'!$B$4:$B$2342,$D83,'Grid Data'!$C$4:$C$2342,AG$4,'Grid Data'!$A$4:$A$2342,$D$2)</f>
        <v>1891</v>
      </c>
      <c r="AH83" s="2">
        <f>SUMIFS('Grid Data'!$D$4:$D$2342,'Grid Data'!$B$4:$B$2342,$D83,'Grid Data'!$C$4:$C$2342,AH$4,'Grid Data'!$A$4:$A$2342,$D$2)</f>
        <v>10</v>
      </c>
    </row>
    <row r="84" spans="4:34" x14ac:dyDescent="0.35">
      <c r="D84">
        <v>6000</v>
      </c>
      <c r="E84" s="2">
        <f>SUMIFS('Grid Data'!$D$4:$D$2342,'Grid Data'!$B$4:$B$2342,$D84,'Grid Data'!$C$4:$C$2342,E$4,'Grid Data'!$A$4:$A$2342,$D$2)</f>
        <v>36230</v>
      </c>
      <c r="F84" s="2">
        <f>SUMIFS('Grid Data'!$D$4:$D$2342,'Grid Data'!$B$4:$B$2342,$D84,'Grid Data'!$C$4:$C$2342,F$4,'Grid Data'!$A$4:$A$2342,$D$2)</f>
        <v>6880</v>
      </c>
      <c r="G84" s="2">
        <f>SUMIFS('Grid Data'!$D$4:$D$2342,'Grid Data'!$B$4:$B$2342,$D84,'Grid Data'!$C$4:$C$2342,G$4,'Grid Data'!$A$4:$A$2342,$D$2)</f>
        <v>5616</v>
      </c>
      <c r="H84" s="2">
        <f>SUMIFS('Grid Data'!$D$4:$D$2342,'Grid Data'!$B$4:$B$2342,$D84,'Grid Data'!$C$4:$C$2342,H$4,'Grid Data'!$A$4:$A$2342,$D$2)</f>
        <v>4391</v>
      </c>
      <c r="I84" s="2">
        <f>SUMIFS('Grid Data'!$D$4:$D$2342,'Grid Data'!$B$4:$B$2342,$D84,'Grid Data'!$C$4:$C$2342,I$4,'Grid Data'!$A$4:$A$2342,$D$2)</f>
        <v>5924</v>
      </c>
      <c r="J84" s="2">
        <f>SUMIFS('Grid Data'!$D$4:$D$2342,'Grid Data'!$B$4:$B$2342,$D84,'Grid Data'!$C$4:$C$2342,J$4,'Grid Data'!$A$4:$A$2342,$D$2)</f>
        <v>6950</v>
      </c>
      <c r="K84" s="2">
        <f>SUMIFS('Grid Data'!$D$4:$D$2342,'Grid Data'!$B$4:$B$2342,$D84,'Grid Data'!$C$4:$C$2342,K$4,'Grid Data'!$A$4:$A$2342,$D$2)</f>
        <v>7044</v>
      </c>
      <c r="L84" s="2">
        <f>SUMIFS('Grid Data'!$D$4:$D$2342,'Grid Data'!$B$4:$B$2342,$D84,'Grid Data'!$C$4:$C$2342,L$4,'Grid Data'!$A$4:$A$2342,$D$2)</f>
        <v>5574</v>
      </c>
      <c r="M84" s="2">
        <f>SUMIFS('Grid Data'!$D$4:$D$2342,'Grid Data'!$B$4:$B$2342,$D84,'Grid Data'!$C$4:$C$2342,M$4,'Grid Data'!$A$4:$A$2342,$D$2)</f>
        <v>4760</v>
      </c>
      <c r="N84" s="2">
        <f>SUMIFS('Grid Data'!$D$4:$D$2342,'Grid Data'!$B$4:$B$2342,$D84,'Grid Data'!$C$4:$C$2342,N$4,'Grid Data'!$A$4:$A$2342,$D$2)</f>
        <v>6335</v>
      </c>
      <c r="O84" s="2">
        <f>SUMIFS('Grid Data'!$D$4:$D$2342,'Grid Data'!$B$4:$B$2342,$D84,'Grid Data'!$C$4:$C$2342,O$4,'Grid Data'!$A$4:$A$2342,$D$2)</f>
        <v>5476</v>
      </c>
      <c r="P84" s="2">
        <f>SUMIFS('Grid Data'!$D$4:$D$2342,'Grid Data'!$B$4:$B$2342,$D84,'Grid Data'!$C$4:$C$2342,P$4,'Grid Data'!$A$4:$A$2342,$D$2)</f>
        <v>10027</v>
      </c>
      <c r="Q84" s="2">
        <f>SUMIFS('Grid Data'!$D$4:$D$2342,'Grid Data'!$B$4:$B$2342,$D84,'Grid Data'!$C$4:$C$2342,Q$4,'Grid Data'!$A$4:$A$2342,$D$2)</f>
        <v>9064</v>
      </c>
      <c r="R84" s="2">
        <f>SUMIFS('Grid Data'!$D$4:$D$2342,'Grid Data'!$B$4:$B$2342,$D84,'Grid Data'!$C$4:$C$2342,R$4,'Grid Data'!$A$4:$A$2342,$D$2)</f>
        <v>10848</v>
      </c>
      <c r="S84" s="2">
        <f>SUMIFS('Grid Data'!$D$4:$D$2342,'Grid Data'!$B$4:$B$2342,$D84,'Grid Data'!$C$4:$C$2342,S$4,'Grid Data'!$A$4:$A$2342,$D$2)</f>
        <v>9526</v>
      </c>
      <c r="T84" s="2">
        <f>SUMIFS('Grid Data'!$D$4:$D$2342,'Grid Data'!$B$4:$B$2342,$D84,'Grid Data'!$C$4:$C$2342,T$4,'Grid Data'!$A$4:$A$2342,$D$2)</f>
        <v>1598</v>
      </c>
      <c r="U84" s="2">
        <f>SUMIFS('Grid Data'!$D$4:$D$2342,'Grid Data'!$B$4:$B$2342,$D84,'Grid Data'!$C$4:$C$2342,U$4,'Grid Data'!$A$4:$A$2342,$D$2)</f>
        <v>0</v>
      </c>
      <c r="V84" s="2">
        <f>SUMIFS('Grid Data'!$D$4:$D$2342,'Grid Data'!$B$4:$B$2342,$D84,'Grid Data'!$C$4:$C$2342,V$4,'Grid Data'!$A$4:$A$2342,$D$2)</f>
        <v>0</v>
      </c>
      <c r="W84" s="2">
        <f>SUMIFS('Grid Data'!$D$4:$D$2342,'Grid Data'!$B$4:$B$2342,$D84,'Grid Data'!$C$4:$C$2342,W$4,'Grid Data'!$A$4:$A$2342,$D$2)</f>
        <v>1</v>
      </c>
      <c r="X84" s="2">
        <f>SUMIFS('Grid Data'!$D$4:$D$2342,'Grid Data'!$B$4:$B$2342,$D84,'Grid Data'!$C$4:$C$2342,X$4,'Grid Data'!$A$4:$A$2342,$D$2)</f>
        <v>49</v>
      </c>
      <c r="Y84" s="2">
        <f>SUMIFS('Grid Data'!$D$4:$D$2342,'Grid Data'!$B$4:$B$2342,$D84,'Grid Data'!$C$4:$C$2342,Y$4,'Grid Data'!$A$4:$A$2342,$D$2)</f>
        <v>67</v>
      </c>
      <c r="Z84" s="2">
        <f>SUMIFS('Grid Data'!$D$4:$D$2342,'Grid Data'!$B$4:$B$2342,$D84,'Grid Data'!$C$4:$C$2342,Z$4,'Grid Data'!$A$4:$A$2342,$D$2)</f>
        <v>0</v>
      </c>
      <c r="AA84" s="2">
        <f>SUMIFS('Grid Data'!$D$4:$D$2342,'Grid Data'!$B$4:$B$2342,$D84,'Grid Data'!$C$4:$C$2342,AA$4,'Grid Data'!$A$4:$A$2342,$D$2)</f>
        <v>0</v>
      </c>
      <c r="AB84" s="2">
        <f>SUMIFS('Grid Data'!$D$4:$D$2342,'Grid Data'!$B$4:$B$2342,$D84,'Grid Data'!$C$4:$C$2342,AB$4,'Grid Data'!$A$4:$A$2342,$D$2)</f>
        <v>1</v>
      </c>
      <c r="AC84" s="2">
        <f>SUMIFS('Grid Data'!$D$4:$D$2342,'Grid Data'!$B$4:$B$2342,$D84,'Grid Data'!$C$4:$C$2342,AC$4,'Grid Data'!$A$4:$A$2342,$D$2)</f>
        <v>1</v>
      </c>
      <c r="AD84" s="2">
        <f>SUMIFS('Grid Data'!$D$4:$D$2342,'Grid Data'!$B$4:$B$2342,$D84,'Grid Data'!$C$4:$C$2342,AD$4,'Grid Data'!$A$4:$A$2342,$D$2)</f>
        <v>30</v>
      </c>
      <c r="AE84" s="2">
        <f>SUMIFS('Grid Data'!$D$4:$D$2342,'Grid Data'!$B$4:$B$2342,$D84,'Grid Data'!$C$4:$C$2342,AE$4,'Grid Data'!$A$4:$A$2342,$D$2)</f>
        <v>875</v>
      </c>
      <c r="AF84" s="2">
        <f>SUMIFS('Grid Data'!$D$4:$D$2342,'Grid Data'!$B$4:$B$2342,$D84,'Grid Data'!$C$4:$C$2342,AF$4,'Grid Data'!$A$4:$A$2342,$D$2)</f>
        <v>719</v>
      </c>
      <c r="AG84" s="2">
        <f>SUMIFS('Grid Data'!$D$4:$D$2342,'Grid Data'!$B$4:$B$2342,$D84,'Grid Data'!$C$4:$C$2342,AG$4,'Grid Data'!$A$4:$A$2342,$D$2)</f>
        <v>6024</v>
      </c>
      <c r="AH84" s="2">
        <f>SUMIFS('Grid Data'!$D$4:$D$2342,'Grid Data'!$B$4:$B$2342,$D84,'Grid Data'!$C$4:$C$2342,AH$4,'Grid Data'!$A$4:$A$2342,$D$2)</f>
        <v>50</v>
      </c>
    </row>
    <row r="85" spans="4:34" x14ac:dyDescent="0.35">
      <c r="D85">
        <v>6250</v>
      </c>
      <c r="E85" s="2">
        <f>SUMIFS('Grid Data'!$D$4:$D$2342,'Grid Data'!$B$4:$B$2342,$D85,'Grid Data'!$C$4:$C$2342,E$4,'Grid Data'!$A$4:$A$2342,$D$2)</f>
        <v>45477</v>
      </c>
      <c r="F85" s="2">
        <f>SUMIFS('Grid Data'!$D$4:$D$2342,'Grid Data'!$B$4:$B$2342,$D85,'Grid Data'!$C$4:$C$2342,F$4,'Grid Data'!$A$4:$A$2342,$D$2)</f>
        <v>10723</v>
      </c>
      <c r="G85" s="2">
        <f>SUMIFS('Grid Data'!$D$4:$D$2342,'Grid Data'!$B$4:$B$2342,$D85,'Grid Data'!$C$4:$C$2342,G$4,'Grid Data'!$A$4:$A$2342,$D$2)</f>
        <v>11176</v>
      </c>
      <c r="H85" s="2">
        <f>SUMIFS('Grid Data'!$D$4:$D$2342,'Grid Data'!$B$4:$B$2342,$D85,'Grid Data'!$C$4:$C$2342,H$4,'Grid Data'!$A$4:$A$2342,$D$2)</f>
        <v>9014</v>
      </c>
      <c r="I85" s="2">
        <f>SUMIFS('Grid Data'!$D$4:$D$2342,'Grid Data'!$B$4:$B$2342,$D85,'Grid Data'!$C$4:$C$2342,I$4,'Grid Data'!$A$4:$A$2342,$D$2)</f>
        <v>9522</v>
      </c>
      <c r="J85" s="2">
        <f>SUMIFS('Grid Data'!$D$4:$D$2342,'Grid Data'!$B$4:$B$2342,$D85,'Grid Data'!$C$4:$C$2342,J$4,'Grid Data'!$A$4:$A$2342,$D$2)</f>
        <v>9582</v>
      </c>
      <c r="K85" s="2">
        <f>SUMIFS('Grid Data'!$D$4:$D$2342,'Grid Data'!$B$4:$B$2342,$D85,'Grid Data'!$C$4:$C$2342,K$4,'Grid Data'!$A$4:$A$2342,$D$2)</f>
        <v>12923</v>
      </c>
      <c r="L85" s="2">
        <f>SUMIFS('Grid Data'!$D$4:$D$2342,'Grid Data'!$B$4:$B$2342,$D85,'Grid Data'!$C$4:$C$2342,L$4,'Grid Data'!$A$4:$A$2342,$D$2)</f>
        <v>11811</v>
      </c>
      <c r="M85" s="2">
        <f>SUMIFS('Grid Data'!$D$4:$D$2342,'Grid Data'!$B$4:$B$2342,$D85,'Grid Data'!$C$4:$C$2342,M$4,'Grid Data'!$A$4:$A$2342,$D$2)</f>
        <v>9740</v>
      </c>
      <c r="N85" s="2">
        <f>SUMIFS('Grid Data'!$D$4:$D$2342,'Grid Data'!$B$4:$B$2342,$D85,'Grid Data'!$C$4:$C$2342,N$4,'Grid Data'!$A$4:$A$2342,$D$2)</f>
        <v>13646</v>
      </c>
      <c r="O85" s="2">
        <f>SUMIFS('Grid Data'!$D$4:$D$2342,'Grid Data'!$B$4:$B$2342,$D85,'Grid Data'!$C$4:$C$2342,O$4,'Grid Data'!$A$4:$A$2342,$D$2)</f>
        <v>11732</v>
      </c>
      <c r="P85" s="2">
        <f>SUMIFS('Grid Data'!$D$4:$D$2342,'Grid Data'!$B$4:$B$2342,$D85,'Grid Data'!$C$4:$C$2342,P$4,'Grid Data'!$A$4:$A$2342,$D$2)</f>
        <v>19287</v>
      </c>
      <c r="Q85" s="2">
        <f>SUMIFS('Grid Data'!$D$4:$D$2342,'Grid Data'!$B$4:$B$2342,$D85,'Grid Data'!$C$4:$C$2342,Q$4,'Grid Data'!$A$4:$A$2342,$D$2)</f>
        <v>12120</v>
      </c>
      <c r="R85" s="2">
        <f>SUMIFS('Grid Data'!$D$4:$D$2342,'Grid Data'!$B$4:$B$2342,$D85,'Grid Data'!$C$4:$C$2342,R$4,'Grid Data'!$A$4:$A$2342,$D$2)</f>
        <v>21452</v>
      </c>
      <c r="S85" s="2">
        <f>SUMIFS('Grid Data'!$D$4:$D$2342,'Grid Data'!$B$4:$B$2342,$D85,'Grid Data'!$C$4:$C$2342,S$4,'Grid Data'!$A$4:$A$2342,$D$2)</f>
        <v>13069</v>
      </c>
      <c r="T85" s="2">
        <f>SUMIFS('Grid Data'!$D$4:$D$2342,'Grid Data'!$B$4:$B$2342,$D85,'Grid Data'!$C$4:$C$2342,T$4,'Grid Data'!$A$4:$A$2342,$D$2)</f>
        <v>1415</v>
      </c>
      <c r="U85" s="2">
        <f>SUMIFS('Grid Data'!$D$4:$D$2342,'Grid Data'!$B$4:$B$2342,$D85,'Grid Data'!$C$4:$C$2342,U$4,'Grid Data'!$A$4:$A$2342,$D$2)</f>
        <v>1</v>
      </c>
      <c r="V85" s="2">
        <f>SUMIFS('Grid Data'!$D$4:$D$2342,'Grid Data'!$B$4:$B$2342,$D85,'Grid Data'!$C$4:$C$2342,V$4,'Grid Data'!$A$4:$A$2342,$D$2)</f>
        <v>1</v>
      </c>
      <c r="W85" s="2">
        <f>SUMIFS('Grid Data'!$D$4:$D$2342,'Grid Data'!$B$4:$B$2342,$D85,'Grid Data'!$C$4:$C$2342,W$4,'Grid Data'!$A$4:$A$2342,$D$2)</f>
        <v>2</v>
      </c>
      <c r="X85" s="2">
        <f>SUMIFS('Grid Data'!$D$4:$D$2342,'Grid Data'!$B$4:$B$2342,$D85,'Grid Data'!$C$4:$C$2342,X$4,'Grid Data'!$A$4:$A$2342,$D$2)</f>
        <v>22</v>
      </c>
      <c r="Y85" s="2">
        <f>SUMIFS('Grid Data'!$D$4:$D$2342,'Grid Data'!$B$4:$B$2342,$D85,'Grid Data'!$C$4:$C$2342,Y$4,'Grid Data'!$A$4:$A$2342,$D$2)</f>
        <v>66</v>
      </c>
      <c r="Z85" s="2">
        <f>SUMIFS('Grid Data'!$D$4:$D$2342,'Grid Data'!$B$4:$B$2342,$D85,'Grid Data'!$C$4:$C$2342,Z$4,'Grid Data'!$A$4:$A$2342,$D$2)</f>
        <v>1</v>
      </c>
      <c r="AA85" s="2">
        <f>SUMIFS('Grid Data'!$D$4:$D$2342,'Grid Data'!$B$4:$B$2342,$D85,'Grid Data'!$C$4:$C$2342,AA$4,'Grid Data'!$A$4:$A$2342,$D$2)</f>
        <v>1</v>
      </c>
      <c r="AB85" s="2">
        <f>SUMIFS('Grid Data'!$D$4:$D$2342,'Grid Data'!$B$4:$B$2342,$D85,'Grid Data'!$C$4:$C$2342,AB$4,'Grid Data'!$A$4:$A$2342,$D$2)</f>
        <v>1</v>
      </c>
      <c r="AC85" s="2">
        <f>SUMIFS('Grid Data'!$D$4:$D$2342,'Grid Data'!$B$4:$B$2342,$D85,'Grid Data'!$C$4:$C$2342,AC$4,'Grid Data'!$A$4:$A$2342,$D$2)</f>
        <v>0</v>
      </c>
      <c r="AD85" s="2">
        <f>SUMIFS('Grid Data'!$D$4:$D$2342,'Grid Data'!$B$4:$B$2342,$D85,'Grid Data'!$C$4:$C$2342,AD$4,'Grid Data'!$A$4:$A$2342,$D$2)</f>
        <v>0</v>
      </c>
      <c r="AE85" s="2">
        <f>SUMIFS('Grid Data'!$D$4:$D$2342,'Grid Data'!$B$4:$B$2342,$D85,'Grid Data'!$C$4:$C$2342,AE$4,'Grid Data'!$A$4:$A$2342,$D$2)</f>
        <v>184</v>
      </c>
      <c r="AF85" s="2">
        <f>SUMIFS('Grid Data'!$D$4:$D$2342,'Grid Data'!$B$4:$B$2342,$D85,'Grid Data'!$C$4:$C$2342,AF$4,'Grid Data'!$A$4:$A$2342,$D$2)</f>
        <v>460</v>
      </c>
      <c r="AG85" s="2">
        <f>SUMIFS('Grid Data'!$D$4:$D$2342,'Grid Data'!$B$4:$B$2342,$D85,'Grid Data'!$C$4:$C$2342,AG$4,'Grid Data'!$A$4:$A$2342,$D$2)</f>
        <v>1226</v>
      </c>
      <c r="AH85" s="2">
        <f>SUMIFS('Grid Data'!$D$4:$D$2342,'Grid Data'!$B$4:$B$2342,$D85,'Grid Data'!$C$4:$C$2342,AH$4,'Grid Data'!$A$4:$A$2342,$D$2)</f>
        <v>12</v>
      </c>
    </row>
    <row r="86" spans="4:34" x14ac:dyDescent="0.35">
      <c r="D86">
        <v>6500</v>
      </c>
      <c r="E86" s="2">
        <f>SUMIFS('Grid Data'!$D$4:$D$2342,'Grid Data'!$B$4:$B$2342,$D86,'Grid Data'!$C$4:$C$2342,E$4,'Grid Data'!$A$4:$A$2342,$D$2)</f>
        <v>9837</v>
      </c>
      <c r="F86" s="2">
        <f>SUMIFS('Grid Data'!$D$4:$D$2342,'Grid Data'!$B$4:$B$2342,$D86,'Grid Data'!$C$4:$C$2342,F$4,'Grid Data'!$A$4:$A$2342,$D$2)</f>
        <v>5951</v>
      </c>
      <c r="G86" s="2">
        <f>SUMIFS('Grid Data'!$D$4:$D$2342,'Grid Data'!$B$4:$B$2342,$D86,'Grid Data'!$C$4:$C$2342,G$4,'Grid Data'!$A$4:$A$2342,$D$2)</f>
        <v>6196</v>
      </c>
      <c r="H86" s="2">
        <f>SUMIFS('Grid Data'!$D$4:$D$2342,'Grid Data'!$B$4:$B$2342,$D86,'Grid Data'!$C$4:$C$2342,H$4,'Grid Data'!$A$4:$A$2342,$D$2)</f>
        <v>4987</v>
      </c>
      <c r="I86" s="2">
        <f>SUMIFS('Grid Data'!$D$4:$D$2342,'Grid Data'!$B$4:$B$2342,$D86,'Grid Data'!$C$4:$C$2342,I$4,'Grid Data'!$A$4:$A$2342,$D$2)</f>
        <v>3310</v>
      </c>
      <c r="J86" s="2">
        <f>SUMIFS('Grid Data'!$D$4:$D$2342,'Grid Data'!$B$4:$B$2342,$D86,'Grid Data'!$C$4:$C$2342,J$4,'Grid Data'!$A$4:$A$2342,$D$2)</f>
        <v>2368</v>
      </c>
      <c r="K86" s="2">
        <f>SUMIFS('Grid Data'!$D$4:$D$2342,'Grid Data'!$B$4:$B$2342,$D86,'Grid Data'!$C$4:$C$2342,K$4,'Grid Data'!$A$4:$A$2342,$D$2)</f>
        <v>4619</v>
      </c>
      <c r="L86" s="2">
        <f>SUMIFS('Grid Data'!$D$4:$D$2342,'Grid Data'!$B$4:$B$2342,$D86,'Grid Data'!$C$4:$C$2342,L$4,'Grid Data'!$A$4:$A$2342,$D$2)</f>
        <v>2827</v>
      </c>
      <c r="M86" s="2">
        <f>SUMIFS('Grid Data'!$D$4:$D$2342,'Grid Data'!$B$4:$B$2342,$D86,'Grid Data'!$C$4:$C$2342,M$4,'Grid Data'!$A$4:$A$2342,$D$2)</f>
        <v>1311</v>
      </c>
      <c r="N86" s="2">
        <f>SUMIFS('Grid Data'!$D$4:$D$2342,'Grid Data'!$B$4:$B$2342,$D86,'Grid Data'!$C$4:$C$2342,N$4,'Grid Data'!$A$4:$A$2342,$D$2)</f>
        <v>1987</v>
      </c>
      <c r="O86" s="2">
        <f>SUMIFS('Grid Data'!$D$4:$D$2342,'Grid Data'!$B$4:$B$2342,$D86,'Grid Data'!$C$4:$C$2342,O$4,'Grid Data'!$A$4:$A$2342,$D$2)</f>
        <v>4375</v>
      </c>
      <c r="P86" s="2">
        <f>SUMIFS('Grid Data'!$D$4:$D$2342,'Grid Data'!$B$4:$B$2342,$D86,'Grid Data'!$C$4:$C$2342,P$4,'Grid Data'!$A$4:$A$2342,$D$2)</f>
        <v>5570</v>
      </c>
      <c r="Q86" s="2">
        <f>SUMIFS('Grid Data'!$D$4:$D$2342,'Grid Data'!$B$4:$B$2342,$D86,'Grid Data'!$C$4:$C$2342,Q$4,'Grid Data'!$A$4:$A$2342,$D$2)</f>
        <v>6173</v>
      </c>
      <c r="R86" s="2">
        <f>SUMIFS('Grid Data'!$D$4:$D$2342,'Grid Data'!$B$4:$B$2342,$D86,'Grid Data'!$C$4:$C$2342,R$4,'Grid Data'!$A$4:$A$2342,$D$2)</f>
        <v>4926</v>
      </c>
      <c r="S86" s="2">
        <f>SUMIFS('Grid Data'!$D$4:$D$2342,'Grid Data'!$B$4:$B$2342,$D86,'Grid Data'!$C$4:$C$2342,S$4,'Grid Data'!$A$4:$A$2342,$D$2)</f>
        <v>3492</v>
      </c>
      <c r="T86" s="2">
        <f>SUMIFS('Grid Data'!$D$4:$D$2342,'Grid Data'!$B$4:$B$2342,$D86,'Grid Data'!$C$4:$C$2342,T$4,'Grid Data'!$A$4:$A$2342,$D$2)</f>
        <v>78</v>
      </c>
      <c r="U86" s="2">
        <f>SUMIFS('Grid Data'!$D$4:$D$2342,'Grid Data'!$B$4:$B$2342,$D86,'Grid Data'!$C$4:$C$2342,U$4,'Grid Data'!$A$4:$A$2342,$D$2)</f>
        <v>0</v>
      </c>
      <c r="V86" s="2">
        <f>SUMIFS('Grid Data'!$D$4:$D$2342,'Grid Data'!$B$4:$B$2342,$D86,'Grid Data'!$C$4:$C$2342,V$4,'Grid Data'!$A$4:$A$2342,$D$2)</f>
        <v>0</v>
      </c>
      <c r="W86" s="2">
        <f>SUMIFS('Grid Data'!$D$4:$D$2342,'Grid Data'!$B$4:$B$2342,$D86,'Grid Data'!$C$4:$C$2342,W$4,'Grid Data'!$A$4:$A$2342,$D$2)</f>
        <v>0</v>
      </c>
      <c r="X86" s="2">
        <f>SUMIFS('Grid Data'!$D$4:$D$2342,'Grid Data'!$B$4:$B$2342,$D86,'Grid Data'!$C$4:$C$2342,X$4,'Grid Data'!$A$4:$A$2342,$D$2)</f>
        <v>2</v>
      </c>
      <c r="Y86" s="2">
        <f>SUMIFS('Grid Data'!$D$4:$D$2342,'Grid Data'!$B$4:$B$2342,$D86,'Grid Data'!$C$4:$C$2342,Y$4,'Grid Data'!$A$4:$A$2342,$D$2)</f>
        <v>2</v>
      </c>
      <c r="Z86" s="2">
        <f>SUMIFS('Grid Data'!$D$4:$D$2342,'Grid Data'!$B$4:$B$2342,$D86,'Grid Data'!$C$4:$C$2342,Z$4,'Grid Data'!$A$4:$A$2342,$D$2)</f>
        <v>0</v>
      </c>
      <c r="AA86" s="2">
        <f>SUMIFS('Grid Data'!$D$4:$D$2342,'Grid Data'!$B$4:$B$2342,$D86,'Grid Data'!$C$4:$C$2342,AA$4,'Grid Data'!$A$4:$A$2342,$D$2)</f>
        <v>0</v>
      </c>
      <c r="AB86" s="2">
        <f>SUMIFS('Grid Data'!$D$4:$D$2342,'Grid Data'!$B$4:$B$2342,$D86,'Grid Data'!$C$4:$C$2342,AB$4,'Grid Data'!$A$4:$A$2342,$D$2)</f>
        <v>0</v>
      </c>
      <c r="AC86" s="2">
        <f>SUMIFS('Grid Data'!$D$4:$D$2342,'Grid Data'!$B$4:$B$2342,$D86,'Grid Data'!$C$4:$C$2342,AC$4,'Grid Data'!$A$4:$A$2342,$D$2)</f>
        <v>0</v>
      </c>
      <c r="AD86" s="2">
        <f>SUMIFS('Grid Data'!$D$4:$D$2342,'Grid Data'!$B$4:$B$2342,$D86,'Grid Data'!$C$4:$C$2342,AD$4,'Grid Data'!$A$4:$A$2342,$D$2)</f>
        <v>4</v>
      </c>
      <c r="AE86" s="2">
        <f>SUMIFS('Grid Data'!$D$4:$D$2342,'Grid Data'!$B$4:$B$2342,$D86,'Grid Data'!$C$4:$C$2342,AE$4,'Grid Data'!$A$4:$A$2342,$D$2)</f>
        <v>393</v>
      </c>
      <c r="AF86" s="2">
        <f>SUMIFS('Grid Data'!$D$4:$D$2342,'Grid Data'!$B$4:$B$2342,$D86,'Grid Data'!$C$4:$C$2342,AF$4,'Grid Data'!$A$4:$A$2342,$D$2)</f>
        <v>944</v>
      </c>
      <c r="AG86" s="2">
        <f>SUMIFS('Grid Data'!$D$4:$D$2342,'Grid Data'!$B$4:$B$2342,$D86,'Grid Data'!$C$4:$C$2342,AG$4,'Grid Data'!$A$4:$A$2342,$D$2)</f>
        <v>2599</v>
      </c>
      <c r="AH86" s="2">
        <f>SUMIFS('Grid Data'!$D$4:$D$2342,'Grid Data'!$B$4:$B$2342,$D86,'Grid Data'!$C$4:$C$2342,AH$4,'Grid Data'!$A$4:$A$2342,$D$2)</f>
        <v>876</v>
      </c>
    </row>
    <row r="87" spans="4:34" x14ac:dyDescent="0.35">
      <c r="D87">
        <v>6750</v>
      </c>
      <c r="E87" s="2">
        <f>SUMIFS('Grid Data'!$D$4:$D$2342,'Grid Data'!$B$4:$B$2342,$D87,'Grid Data'!$C$4:$C$2342,E$4,'Grid Data'!$A$4:$A$2342,$D$2)</f>
        <v>16547</v>
      </c>
      <c r="F87" s="2">
        <f>SUMIFS('Grid Data'!$D$4:$D$2342,'Grid Data'!$B$4:$B$2342,$D87,'Grid Data'!$C$4:$C$2342,F$4,'Grid Data'!$A$4:$A$2342,$D$2)</f>
        <v>6267</v>
      </c>
      <c r="G87" s="2">
        <f>SUMIFS('Grid Data'!$D$4:$D$2342,'Grid Data'!$B$4:$B$2342,$D87,'Grid Data'!$C$4:$C$2342,G$4,'Grid Data'!$A$4:$A$2342,$D$2)</f>
        <v>7837</v>
      </c>
      <c r="H87" s="2">
        <f>SUMIFS('Grid Data'!$D$4:$D$2342,'Grid Data'!$B$4:$B$2342,$D87,'Grid Data'!$C$4:$C$2342,H$4,'Grid Data'!$A$4:$A$2342,$D$2)</f>
        <v>6276</v>
      </c>
      <c r="I87" s="2">
        <f>SUMIFS('Grid Data'!$D$4:$D$2342,'Grid Data'!$B$4:$B$2342,$D87,'Grid Data'!$C$4:$C$2342,I$4,'Grid Data'!$A$4:$A$2342,$D$2)</f>
        <v>4887</v>
      </c>
      <c r="J87" s="2">
        <f>SUMIFS('Grid Data'!$D$4:$D$2342,'Grid Data'!$B$4:$B$2342,$D87,'Grid Data'!$C$4:$C$2342,J$4,'Grid Data'!$A$4:$A$2342,$D$2)</f>
        <v>3595</v>
      </c>
      <c r="K87" s="2">
        <f>SUMIFS('Grid Data'!$D$4:$D$2342,'Grid Data'!$B$4:$B$2342,$D87,'Grid Data'!$C$4:$C$2342,K$4,'Grid Data'!$A$4:$A$2342,$D$2)</f>
        <v>7917</v>
      </c>
      <c r="L87" s="2">
        <f>SUMIFS('Grid Data'!$D$4:$D$2342,'Grid Data'!$B$4:$B$2342,$D87,'Grid Data'!$C$4:$C$2342,L$4,'Grid Data'!$A$4:$A$2342,$D$2)</f>
        <v>5711</v>
      </c>
      <c r="M87" s="2">
        <f>SUMIFS('Grid Data'!$D$4:$D$2342,'Grid Data'!$B$4:$B$2342,$D87,'Grid Data'!$C$4:$C$2342,M$4,'Grid Data'!$A$4:$A$2342,$D$2)</f>
        <v>3481</v>
      </c>
      <c r="N87" s="2">
        <f>SUMIFS('Grid Data'!$D$4:$D$2342,'Grid Data'!$B$4:$B$2342,$D87,'Grid Data'!$C$4:$C$2342,N$4,'Grid Data'!$A$4:$A$2342,$D$2)</f>
        <v>5006</v>
      </c>
      <c r="O87" s="2">
        <f>SUMIFS('Grid Data'!$D$4:$D$2342,'Grid Data'!$B$4:$B$2342,$D87,'Grid Data'!$C$4:$C$2342,O$4,'Grid Data'!$A$4:$A$2342,$D$2)</f>
        <v>8784</v>
      </c>
      <c r="P87" s="2">
        <f>SUMIFS('Grid Data'!$D$4:$D$2342,'Grid Data'!$B$4:$B$2342,$D87,'Grid Data'!$C$4:$C$2342,P$4,'Grid Data'!$A$4:$A$2342,$D$2)</f>
        <v>12955</v>
      </c>
      <c r="Q87" s="2">
        <f>SUMIFS('Grid Data'!$D$4:$D$2342,'Grid Data'!$B$4:$B$2342,$D87,'Grid Data'!$C$4:$C$2342,Q$4,'Grid Data'!$A$4:$A$2342,$D$2)</f>
        <v>12521</v>
      </c>
      <c r="R87" s="2">
        <f>SUMIFS('Grid Data'!$D$4:$D$2342,'Grid Data'!$B$4:$B$2342,$D87,'Grid Data'!$C$4:$C$2342,R$4,'Grid Data'!$A$4:$A$2342,$D$2)</f>
        <v>12082</v>
      </c>
      <c r="S87" s="2">
        <f>SUMIFS('Grid Data'!$D$4:$D$2342,'Grid Data'!$B$4:$B$2342,$D87,'Grid Data'!$C$4:$C$2342,S$4,'Grid Data'!$A$4:$A$2342,$D$2)</f>
        <v>6677</v>
      </c>
      <c r="T87" s="2">
        <f>SUMIFS('Grid Data'!$D$4:$D$2342,'Grid Data'!$B$4:$B$2342,$D87,'Grid Data'!$C$4:$C$2342,T$4,'Grid Data'!$A$4:$A$2342,$D$2)</f>
        <v>51</v>
      </c>
      <c r="U87" s="2">
        <f>SUMIFS('Grid Data'!$D$4:$D$2342,'Grid Data'!$B$4:$B$2342,$D87,'Grid Data'!$C$4:$C$2342,U$4,'Grid Data'!$A$4:$A$2342,$D$2)</f>
        <v>0</v>
      </c>
      <c r="V87" s="2">
        <f>SUMIFS('Grid Data'!$D$4:$D$2342,'Grid Data'!$B$4:$B$2342,$D87,'Grid Data'!$C$4:$C$2342,V$4,'Grid Data'!$A$4:$A$2342,$D$2)</f>
        <v>0</v>
      </c>
      <c r="W87" s="2">
        <f>SUMIFS('Grid Data'!$D$4:$D$2342,'Grid Data'!$B$4:$B$2342,$D87,'Grid Data'!$C$4:$C$2342,W$4,'Grid Data'!$A$4:$A$2342,$D$2)</f>
        <v>0</v>
      </c>
      <c r="X87" s="2">
        <f>SUMIFS('Grid Data'!$D$4:$D$2342,'Grid Data'!$B$4:$B$2342,$D87,'Grid Data'!$C$4:$C$2342,X$4,'Grid Data'!$A$4:$A$2342,$D$2)</f>
        <v>0</v>
      </c>
      <c r="Y87" s="2">
        <f>SUMIFS('Grid Data'!$D$4:$D$2342,'Grid Data'!$B$4:$B$2342,$D87,'Grid Data'!$C$4:$C$2342,Y$4,'Grid Data'!$A$4:$A$2342,$D$2)</f>
        <v>0</v>
      </c>
      <c r="Z87" s="2">
        <f>SUMIFS('Grid Data'!$D$4:$D$2342,'Grid Data'!$B$4:$B$2342,$D87,'Grid Data'!$C$4:$C$2342,Z$4,'Grid Data'!$A$4:$A$2342,$D$2)</f>
        <v>0</v>
      </c>
      <c r="AA87" s="2">
        <f>SUMIFS('Grid Data'!$D$4:$D$2342,'Grid Data'!$B$4:$B$2342,$D87,'Grid Data'!$C$4:$C$2342,AA$4,'Grid Data'!$A$4:$A$2342,$D$2)</f>
        <v>0</v>
      </c>
      <c r="AB87" s="2">
        <f>SUMIFS('Grid Data'!$D$4:$D$2342,'Grid Data'!$B$4:$B$2342,$D87,'Grid Data'!$C$4:$C$2342,AB$4,'Grid Data'!$A$4:$A$2342,$D$2)</f>
        <v>0</v>
      </c>
      <c r="AC87" s="2">
        <f>SUMIFS('Grid Data'!$D$4:$D$2342,'Grid Data'!$B$4:$B$2342,$D87,'Grid Data'!$C$4:$C$2342,AC$4,'Grid Data'!$A$4:$A$2342,$D$2)</f>
        <v>0</v>
      </c>
      <c r="AD87" s="2">
        <f>SUMIFS('Grid Data'!$D$4:$D$2342,'Grid Data'!$B$4:$B$2342,$D87,'Grid Data'!$C$4:$C$2342,AD$4,'Grid Data'!$A$4:$A$2342,$D$2)</f>
        <v>0</v>
      </c>
      <c r="AE87" s="2">
        <f>SUMIFS('Grid Data'!$D$4:$D$2342,'Grid Data'!$B$4:$B$2342,$D87,'Grid Data'!$C$4:$C$2342,AE$4,'Grid Data'!$A$4:$A$2342,$D$2)</f>
        <v>119</v>
      </c>
      <c r="AF87" s="2">
        <f>SUMIFS('Grid Data'!$D$4:$D$2342,'Grid Data'!$B$4:$B$2342,$D87,'Grid Data'!$C$4:$C$2342,AF$4,'Grid Data'!$A$4:$A$2342,$D$2)</f>
        <v>363</v>
      </c>
      <c r="AG87" s="2">
        <f>SUMIFS('Grid Data'!$D$4:$D$2342,'Grid Data'!$B$4:$B$2342,$D87,'Grid Data'!$C$4:$C$2342,AG$4,'Grid Data'!$A$4:$A$2342,$D$2)</f>
        <v>438</v>
      </c>
      <c r="AH87" s="2">
        <f>SUMIFS('Grid Data'!$D$4:$D$2342,'Grid Data'!$B$4:$B$2342,$D87,'Grid Data'!$C$4:$C$2342,AH$4,'Grid Data'!$A$4:$A$2342,$D$2)</f>
        <v>105</v>
      </c>
    </row>
    <row r="88" spans="4:34" x14ac:dyDescent="0.35">
      <c r="D88">
        <v>7000</v>
      </c>
      <c r="E88" s="2">
        <f>SUMIFS('Grid Data'!$D$4:$D$2342,'Grid Data'!$B$4:$B$2342,$D88,'Grid Data'!$C$4:$C$2342,E$4,'Grid Data'!$A$4:$A$2342,$D$2)</f>
        <v>4455</v>
      </c>
      <c r="F88" s="2">
        <f>SUMIFS('Grid Data'!$D$4:$D$2342,'Grid Data'!$B$4:$B$2342,$D88,'Grid Data'!$C$4:$C$2342,F$4,'Grid Data'!$A$4:$A$2342,$D$2)</f>
        <v>1462</v>
      </c>
      <c r="G88" s="2">
        <f>SUMIFS('Grid Data'!$D$4:$D$2342,'Grid Data'!$B$4:$B$2342,$D88,'Grid Data'!$C$4:$C$2342,G$4,'Grid Data'!$A$4:$A$2342,$D$2)</f>
        <v>1950</v>
      </c>
      <c r="H88" s="2">
        <f>SUMIFS('Grid Data'!$D$4:$D$2342,'Grid Data'!$B$4:$B$2342,$D88,'Grid Data'!$C$4:$C$2342,H$4,'Grid Data'!$A$4:$A$2342,$D$2)</f>
        <v>1514</v>
      </c>
      <c r="I88" s="2">
        <f>SUMIFS('Grid Data'!$D$4:$D$2342,'Grid Data'!$B$4:$B$2342,$D88,'Grid Data'!$C$4:$C$2342,I$4,'Grid Data'!$A$4:$A$2342,$D$2)</f>
        <v>1136</v>
      </c>
      <c r="J88" s="2">
        <f>SUMIFS('Grid Data'!$D$4:$D$2342,'Grid Data'!$B$4:$B$2342,$D88,'Grid Data'!$C$4:$C$2342,J$4,'Grid Data'!$A$4:$A$2342,$D$2)</f>
        <v>522</v>
      </c>
      <c r="K88" s="2">
        <f>SUMIFS('Grid Data'!$D$4:$D$2342,'Grid Data'!$B$4:$B$2342,$D88,'Grid Data'!$C$4:$C$2342,K$4,'Grid Data'!$A$4:$A$2342,$D$2)</f>
        <v>1031</v>
      </c>
      <c r="L88" s="2">
        <f>SUMIFS('Grid Data'!$D$4:$D$2342,'Grid Data'!$B$4:$B$2342,$D88,'Grid Data'!$C$4:$C$2342,L$4,'Grid Data'!$A$4:$A$2342,$D$2)</f>
        <v>779</v>
      </c>
      <c r="M88" s="2">
        <f>SUMIFS('Grid Data'!$D$4:$D$2342,'Grid Data'!$B$4:$B$2342,$D88,'Grid Data'!$C$4:$C$2342,M$4,'Grid Data'!$A$4:$A$2342,$D$2)</f>
        <v>492</v>
      </c>
      <c r="N88" s="2">
        <f>SUMIFS('Grid Data'!$D$4:$D$2342,'Grid Data'!$B$4:$B$2342,$D88,'Grid Data'!$C$4:$C$2342,N$4,'Grid Data'!$A$4:$A$2342,$D$2)</f>
        <v>603</v>
      </c>
      <c r="O88" s="2">
        <f>SUMIFS('Grid Data'!$D$4:$D$2342,'Grid Data'!$B$4:$B$2342,$D88,'Grid Data'!$C$4:$C$2342,O$4,'Grid Data'!$A$4:$A$2342,$D$2)</f>
        <v>1360</v>
      </c>
      <c r="P88" s="2">
        <f>SUMIFS('Grid Data'!$D$4:$D$2342,'Grid Data'!$B$4:$B$2342,$D88,'Grid Data'!$C$4:$C$2342,P$4,'Grid Data'!$A$4:$A$2342,$D$2)</f>
        <v>2353</v>
      </c>
      <c r="Q88" s="2">
        <f>SUMIFS('Grid Data'!$D$4:$D$2342,'Grid Data'!$B$4:$B$2342,$D88,'Grid Data'!$C$4:$C$2342,Q$4,'Grid Data'!$A$4:$A$2342,$D$2)</f>
        <v>4863</v>
      </c>
      <c r="R88" s="2">
        <f>SUMIFS('Grid Data'!$D$4:$D$2342,'Grid Data'!$B$4:$B$2342,$D88,'Grid Data'!$C$4:$C$2342,R$4,'Grid Data'!$A$4:$A$2342,$D$2)</f>
        <v>2464</v>
      </c>
      <c r="S88" s="2">
        <f>SUMIFS('Grid Data'!$D$4:$D$2342,'Grid Data'!$B$4:$B$2342,$D88,'Grid Data'!$C$4:$C$2342,S$4,'Grid Data'!$A$4:$A$2342,$D$2)</f>
        <v>1728</v>
      </c>
      <c r="T88" s="2">
        <f>SUMIFS('Grid Data'!$D$4:$D$2342,'Grid Data'!$B$4:$B$2342,$D88,'Grid Data'!$C$4:$C$2342,T$4,'Grid Data'!$A$4:$A$2342,$D$2)</f>
        <v>1</v>
      </c>
      <c r="U88" s="2">
        <f>SUMIFS('Grid Data'!$D$4:$D$2342,'Grid Data'!$B$4:$B$2342,$D88,'Grid Data'!$C$4:$C$2342,U$4,'Grid Data'!$A$4:$A$2342,$D$2)</f>
        <v>0</v>
      </c>
      <c r="V88" s="2">
        <f>SUMIFS('Grid Data'!$D$4:$D$2342,'Grid Data'!$B$4:$B$2342,$D88,'Grid Data'!$C$4:$C$2342,V$4,'Grid Data'!$A$4:$A$2342,$D$2)</f>
        <v>0</v>
      </c>
      <c r="W88" s="2">
        <f>SUMIFS('Grid Data'!$D$4:$D$2342,'Grid Data'!$B$4:$B$2342,$D88,'Grid Data'!$C$4:$C$2342,W$4,'Grid Data'!$A$4:$A$2342,$D$2)</f>
        <v>0</v>
      </c>
      <c r="X88" s="2">
        <f>SUMIFS('Grid Data'!$D$4:$D$2342,'Grid Data'!$B$4:$B$2342,$D88,'Grid Data'!$C$4:$C$2342,X$4,'Grid Data'!$A$4:$A$2342,$D$2)</f>
        <v>0</v>
      </c>
      <c r="Y88" s="2">
        <f>SUMIFS('Grid Data'!$D$4:$D$2342,'Grid Data'!$B$4:$B$2342,$D88,'Grid Data'!$C$4:$C$2342,Y$4,'Grid Data'!$A$4:$A$2342,$D$2)</f>
        <v>0</v>
      </c>
      <c r="Z88" s="2">
        <f>SUMIFS('Grid Data'!$D$4:$D$2342,'Grid Data'!$B$4:$B$2342,$D88,'Grid Data'!$C$4:$C$2342,Z$4,'Grid Data'!$A$4:$A$2342,$D$2)</f>
        <v>0</v>
      </c>
      <c r="AA88" s="2">
        <f>SUMIFS('Grid Data'!$D$4:$D$2342,'Grid Data'!$B$4:$B$2342,$D88,'Grid Data'!$C$4:$C$2342,AA$4,'Grid Data'!$A$4:$A$2342,$D$2)</f>
        <v>0</v>
      </c>
      <c r="AB88" s="2">
        <f>SUMIFS('Grid Data'!$D$4:$D$2342,'Grid Data'!$B$4:$B$2342,$D88,'Grid Data'!$C$4:$C$2342,AB$4,'Grid Data'!$A$4:$A$2342,$D$2)</f>
        <v>0</v>
      </c>
      <c r="AC88" s="2">
        <f>SUMIFS('Grid Data'!$D$4:$D$2342,'Grid Data'!$B$4:$B$2342,$D88,'Grid Data'!$C$4:$C$2342,AC$4,'Grid Data'!$A$4:$A$2342,$D$2)</f>
        <v>0</v>
      </c>
      <c r="AD88" s="2">
        <f>SUMIFS('Grid Data'!$D$4:$D$2342,'Grid Data'!$B$4:$B$2342,$D88,'Grid Data'!$C$4:$C$2342,AD$4,'Grid Data'!$A$4:$A$2342,$D$2)</f>
        <v>0</v>
      </c>
      <c r="AE88" s="2">
        <f>SUMIFS('Grid Data'!$D$4:$D$2342,'Grid Data'!$B$4:$B$2342,$D88,'Grid Data'!$C$4:$C$2342,AE$4,'Grid Data'!$A$4:$A$2342,$D$2)</f>
        <v>94</v>
      </c>
      <c r="AF88" s="2">
        <f>SUMIFS('Grid Data'!$D$4:$D$2342,'Grid Data'!$B$4:$B$2342,$D88,'Grid Data'!$C$4:$C$2342,AF$4,'Grid Data'!$A$4:$A$2342,$D$2)</f>
        <v>274</v>
      </c>
      <c r="AG88" s="2">
        <f>SUMIFS('Grid Data'!$D$4:$D$2342,'Grid Data'!$B$4:$B$2342,$D88,'Grid Data'!$C$4:$C$2342,AG$4,'Grid Data'!$A$4:$A$2342,$D$2)</f>
        <v>994</v>
      </c>
      <c r="AH88" s="2">
        <f>SUMIFS('Grid Data'!$D$4:$D$2342,'Grid Data'!$B$4:$B$2342,$D88,'Grid Data'!$C$4:$C$2342,AH$4,'Grid Data'!$A$4:$A$2342,$D$2)</f>
        <v>1208</v>
      </c>
    </row>
    <row r="89" spans="4:34" x14ac:dyDescent="0.35">
      <c r="D89">
        <v>7250</v>
      </c>
      <c r="E89" s="2">
        <f>SUMIFS('Grid Data'!$D$4:$D$2342,'Grid Data'!$B$4:$B$2342,$D89,'Grid Data'!$C$4:$C$2342,E$4,'Grid Data'!$A$4:$A$2342,$D$2)</f>
        <v>3712</v>
      </c>
      <c r="F89" s="2">
        <f>SUMIFS('Grid Data'!$D$4:$D$2342,'Grid Data'!$B$4:$B$2342,$D89,'Grid Data'!$C$4:$C$2342,F$4,'Grid Data'!$A$4:$A$2342,$D$2)</f>
        <v>1431</v>
      </c>
      <c r="G89" s="2">
        <f>SUMIFS('Grid Data'!$D$4:$D$2342,'Grid Data'!$B$4:$B$2342,$D89,'Grid Data'!$C$4:$C$2342,G$4,'Grid Data'!$A$4:$A$2342,$D$2)</f>
        <v>1744</v>
      </c>
      <c r="H89" s="2">
        <f>SUMIFS('Grid Data'!$D$4:$D$2342,'Grid Data'!$B$4:$B$2342,$D89,'Grid Data'!$C$4:$C$2342,H$4,'Grid Data'!$A$4:$A$2342,$D$2)</f>
        <v>1158</v>
      </c>
      <c r="I89" s="2">
        <f>SUMIFS('Grid Data'!$D$4:$D$2342,'Grid Data'!$B$4:$B$2342,$D89,'Grid Data'!$C$4:$C$2342,I$4,'Grid Data'!$A$4:$A$2342,$D$2)</f>
        <v>880</v>
      </c>
      <c r="J89" s="2">
        <f>SUMIFS('Grid Data'!$D$4:$D$2342,'Grid Data'!$B$4:$B$2342,$D89,'Grid Data'!$C$4:$C$2342,J$4,'Grid Data'!$A$4:$A$2342,$D$2)</f>
        <v>670</v>
      </c>
      <c r="K89" s="2">
        <f>SUMIFS('Grid Data'!$D$4:$D$2342,'Grid Data'!$B$4:$B$2342,$D89,'Grid Data'!$C$4:$C$2342,K$4,'Grid Data'!$A$4:$A$2342,$D$2)</f>
        <v>1359</v>
      </c>
      <c r="L89" s="2">
        <f>SUMIFS('Grid Data'!$D$4:$D$2342,'Grid Data'!$B$4:$B$2342,$D89,'Grid Data'!$C$4:$C$2342,L$4,'Grid Data'!$A$4:$A$2342,$D$2)</f>
        <v>1117</v>
      </c>
      <c r="M89" s="2">
        <f>SUMIFS('Grid Data'!$D$4:$D$2342,'Grid Data'!$B$4:$B$2342,$D89,'Grid Data'!$C$4:$C$2342,M$4,'Grid Data'!$A$4:$A$2342,$D$2)</f>
        <v>617</v>
      </c>
      <c r="N89" s="2">
        <f>SUMIFS('Grid Data'!$D$4:$D$2342,'Grid Data'!$B$4:$B$2342,$D89,'Grid Data'!$C$4:$C$2342,N$4,'Grid Data'!$A$4:$A$2342,$D$2)</f>
        <v>1268</v>
      </c>
      <c r="O89" s="2">
        <f>SUMIFS('Grid Data'!$D$4:$D$2342,'Grid Data'!$B$4:$B$2342,$D89,'Grid Data'!$C$4:$C$2342,O$4,'Grid Data'!$A$4:$A$2342,$D$2)</f>
        <v>2705</v>
      </c>
      <c r="P89" s="2">
        <f>SUMIFS('Grid Data'!$D$4:$D$2342,'Grid Data'!$B$4:$B$2342,$D89,'Grid Data'!$C$4:$C$2342,P$4,'Grid Data'!$A$4:$A$2342,$D$2)</f>
        <v>4152</v>
      </c>
      <c r="Q89" s="2">
        <f>SUMIFS('Grid Data'!$D$4:$D$2342,'Grid Data'!$B$4:$B$2342,$D89,'Grid Data'!$C$4:$C$2342,Q$4,'Grid Data'!$A$4:$A$2342,$D$2)</f>
        <v>6210</v>
      </c>
      <c r="R89" s="2">
        <f>SUMIFS('Grid Data'!$D$4:$D$2342,'Grid Data'!$B$4:$B$2342,$D89,'Grid Data'!$C$4:$C$2342,R$4,'Grid Data'!$A$4:$A$2342,$D$2)</f>
        <v>3498</v>
      </c>
      <c r="S89" s="2">
        <f>SUMIFS('Grid Data'!$D$4:$D$2342,'Grid Data'!$B$4:$B$2342,$D89,'Grid Data'!$C$4:$C$2342,S$4,'Grid Data'!$A$4:$A$2342,$D$2)</f>
        <v>1808</v>
      </c>
      <c r="T89" s="2">
        <f>SUMIFS('Grid Data'!$D$4:$D$2342,'Grid Data'!$B$4:$B$2342,$D89,'Grid Data'!$C$4:$C$2342,T$4,'Grid Data'!$A$4:$A$2342,$D$2)</f>
        <v>0</v>
      </c>
      <c r="U89" s="2">
        <f>SUMIFS('Grid Data'!$D$4:$D$2342,'Grid Data'!$B$4:$B$2342,$D89,'Grid Data'!$C$4:$C$2342,U$4,'Grid Data'!$A$4:$A$2342,$D$2)</f>
        <v>0</v>
      </c>
      <c r="V89" s="2">
        <f>SUMIFS('Grid Data'!$D$4:$D$2342,'Grid Data'!$B$4:$B$2342,$D89,'Grid Data'!$C$4:$C$2342,V$4,'Grid Data'!$A$4:$A$2342,$D$2)</f>
        <v>0</v>
      </c>
      <c r="W89" s="2">
        <f>SUMIFS('Grid Data'!$D$4:$D$2342,'Grid Data'!$B$4:$B$2342,$D89,'Grid Data'!$C$4:$C$2342,W$4,'Grid Data'!$A$4:$A$2342,$D$2)</f>
        <v>0</v>
      </c>
      <c r="X89" s="2">
        <f>SUMIFS('Grid Data'!$D$4:$D$2342,'Grid Data'!$B$4:$B$2342,$D89,'Grid Data'!$C$4:$C$2342,X$4,'Grid Data'!$A$4:$A$2342,$D$2)</f>
        <v>0</v>
      </c>
      <c r="Y89" s="2">
        <f>SUMIFS('Grid Data'!$D$4:$D$2342,'Grid Data'!$B$4:$B$2342,$D89,'Grid Data'!$C$4:$C$2342,Y$4,'Grid Data'!$A$4:$A$2342,$D$2)</f>
        <v>0</v>
      </c>
      <c r="Z89" s="2">
        <f>SUMIFS('Grid Data'!$D$4:$D$2342,'Grid Data'!$B$4:$B$2342,$D89,'Grid Data'!$C$4:$C$2342,Z$4,'Grid Data'!$A$4:$A$2342,$D$2)</f>
        <v>0</v>
      </c>
      <c r="AA89" s="2">
        <f>SUMIFS('Grid Data'!$D$4:$D$2342,'Grid Data'!$B$4:$B$2342,$D89,'Grid Data'!$C$4:$C$2342,AA$4,'Grid Data'!$A$4:$A$2342,$D$2)</f>
        <v>0</v>
      </c>
      <c r="AB89" s="2">
        <f>SUMIFS('Grid Data'!$D$4:$D$2342,'Grid Data'!$B$4:$B$2342,$D89,'Grid Data'!$C$4:$C$2342,AB$4,'Grid Data'!$A$4:$A$2342,$D$2)</f>
        <v>0</v>
      </c>
      <c r="AC89" s="2">
        <f>SUMIFS('Grid Data'!$D$4:$D$2342,'Grid Data'!$B$4:$B$2342,$D89,'Grid Data'!$C$4:$C$2342,AC$4,'Grid Data'!$A$4:$A$2342,$D$2)</f>
        <v>0</v>
      </c>
      <c r="AD89" s="2">
        <f>SUMIFS('Grid Data'!$D$4:$D$2342,'Grid Data'!$B$4:$B$2342,$D89,'Grid Data'!$C$4:$C$2342,AD$4,'Grid Data'!$A$4:$A$2342,$D$2)</f>
        <v>0</v>
      </c>
      <c r="AE89" s="2">
        <f>SUMIFS('Grid Data'!$D$4:$D$2342,'Grid Data'!$B$4:$B$2342,$D89,'Grid Data'!$C$4:$C$2342,AE$4,'Grid Data'!$A$4:$A$2342,$D$2)</f>
        <v>13</v>
      </c>
      <c r="AF89" s="2">
        <f>SUMIFS('Grid Data'!$D$4:$D$2342,'Grid Data'!$B$4:$B$2342,$D89,'Grid Data'!$C$4:$C$2342,AF$4,'Grid Data'!$A$4:$A$2342,$D$2)</f>
        <v>33</v>
      </c>
      <c r="AG89" s="2">
        <f>SUMIFS('Grid Data'!$D$4:$D$2342,'Grid Data'!$B$4:$B$2342,$D89,'Grid Data'!$C$4:$C$2342,AG$4,'Grid Data'!$A$4:$A$2342,$D$2)</f>
        <v>209</v>
      </c>
      <c r="AH89" s="2">
        <f>SUMIFS('Grid Data'!$D$4:$D$2342,'Grid Data'!$B$4:$B$2342,$D89,'Grid Data'!$C$4:$C$2342,AH$4,'Grid Data'!$A$4:$A$2342,$D$2)</f>
        <v>181</v>
      </c>
    </row>
    <row r="90" spans="4:34" x14ac:dyDescent="0.35">
      <c r="D90">
        <v>7500</v>
      </c>
      <c r="E90" s="2">
        <f>SUMIFS('Grid Data'!$D$4:$D$2342,'Grid Data'!$B$4:$B$2342,$D90,'Grid Data'!$C$4:$C$2342,E$4,'Grid Data'!$A$4:$A$2342,$D$2)</f>
        <v>321</v>
      </c>
      <c r="F90" s="2">
        <f>SUMIFS('Grid Data'!$D$4:$D$2342,'Grid Data'!$B$4:$B$2342,$D90,'Grid Data'!$C$4:$C$2342,F$4,'Grid Data'!$A$4:$A$2342,$D$2)</f>
        <v>196</v>
      </c>
      <c r="G90" s="2">
        <f>SUMIFS('Grid Data'!$D$4:$D$2342,'Grid Data'!$B$4:$B$2342,$D90,'Grid Data'!$C$4:$C$2342,G$4,'Grid Data'!$A$4:$A$2342,$D$2)</f>
        <v>241</v>
      </c>
      <c r="H90" s="2">
        <f>SUMIFS('Grid Data'!$D$4:$D$2342,'Grid Data'!$B$4:$B$2342,$D90,'Grid Data'!$C$4:$C$2342,H$4,'Grid Data'!$A$4:$A$2342,$D$2)</f>
        <v>230</v>
      </c>
      <c r="I90" s="2">
        <f>SUMIFS('Grid Data'!$D$4:$D$2342,'Grid Data'!$B$4:$B$2342,$D90,'Grid Data'!$C$4:$C$2342,I$4,'Grid Data'!$A$4:$A$2342,$D$2)</f>
        <v>113</v>
      </c>
      <c r="J90" s="2">
        <f>SUMIFS('Grid Data'!$D$4:$D$2342,'Grid Data'!$B$4:$B$2342,$D90,'Grid Data'!$C$4:$C$2342,J$4,'Grid Data'!$A$4:$A$2342,$D$2)</f>
        <v>117</v>
      </c>
      <c r="K90" s="2">
        <f>SUMIFS('Grid Data'!$D$4:$D$2342,'Grid Data'!$B$4:$B$2342,$D90,'Grid Data'!$C$4:$C$2342,K$4,'Grid Data'!$A$4:$A$2342,$D$2)</f>
        <v>425</v>
      </c>
      <c r="L90" s="2">
        <f>SUMIFS('Grid Data'!$D$4:$D$2342,'Grid Data'!$B$4:$B$2342,$D90,'Grid Data'!$C$4:$C$2342,L$4,'Grid Data'!$A$4:$A$2342,$D$2)</f>
        <v>316</v>
      </c>
      <c r="M90" s="2">
        <f>SUMIFS('Grid Data'!$D$4:$D$2342,'Grid Data'!$B$4:$B$2342,$D90,'Grid Data'!$C$4:$C$2342,M$4,'Grid Data'!$A$4:$A$2342,$D$2)</f>
        <v>245</v>
      </c>
      <c r="N90" s="2">
        <f>SUMIFS('Grid Data'!$D$4:$D$2342,'Grid Data'!$B$4:$B$2342,$D90,'Grid Data'!$C$4:$C$2342,N$4,'Grid Data'!$A$4:$A$2342,$D$2)</f>
        <v>228</v>
      </c>
      <c r="O90" s="2">
        <f>SUMIFS('Grid Data'!$D$4:$D$2342,'Grid Data'!$B$4:$B$2342,$D90,'Grid Data'!$C$4:$C$2342,O$4,'Grid Data'!$A$4:$A$2342,$D$2)</f>
        <v>343</v>
      </c>
      <c r="P90" s="2">
        <f>SUMIFS('Grid Data'!$D$4:$D$2342,'Grid Data'!$B$4:$B$2342,$D90,'Grid Data'!$C$4:$C$2342,P$4,'Grid Data'!$A$4:$A$2342,$D$2)</f>
        <v>524</v>
      </c>
      <c r="Q90" s="2">
        <f>SUMIFS('Grid Data'!$D$4:$D$2342,'Grid Data'!$B$4:$B$2342,$D90,'Grid Data'!$C$4:$C$2342,Q$4,'Grid Data'!$A$4:$A$2342,$D$2)</f>
        <v>1771</v>
      </c>
      <c r="R90" s="2">
        <f>SUMIFS('Grid Data'!$D$4:$D$2342,'Grid Data'!$B$4:$B$2342,$D90,'Grid Data'!$C$4:$C$2342,R$4,'Grid Data'!$A$4:$A$2342,$D$2)</f>
        <v>270</v>
      </c>
      <c r="S90" s="2">
        <f>SUMIFS('Grid Data'!$D$4:$D$2342,'Grid Data'!$B$4:$B$2342,$D90,'Grid Data'!$C$4:$C$2342,S$4,'Grid Data'!$A$4:$A$2342,$D$2)</f>
        <v>256</v>
      </c>
      <c r="T90" s="2">
        <f>SUMIFS('Grid Data'!$D$4:$D$2342,'Grid Data'!$B$4:$B$2342,$D90,'Grid Data'!$C$4:$C$2342,T$4,'Grid Data'!$A$4:$A$2342,$D$2)</f>
        <v>0</v>
      </c>
      <c r="U90" s="2">
        <f>SUMIFS('Grid Data'!$D$4:$D$2342,'Grid Data'!$B$4:$B$2342,$D90,'Grid Data'!$C$4:$C$2342,U$4,'Grid Data'!$A$4:$A$2342,$D$2)</f>
        <v>0</v>
      </c>
      <c r="V90" s="2">
        <f>SUMIFS('Grid Data'!$D$4:$D$2342,'Grid Data'!$B$4:$B$2342,$D90,'Grid Data'!$C$4:$C$2342,V$4,'Grid Data'!$A$4:$A$2342,$D$2)</f>
        <v>0</v>
      </c>
      <c r="W90" s="2">
        <f>SUMIFS('Grid Data'!$D$4:$D$2342,'Grid Data'!$B$4:$B$2342,$D90,'Grid Data'!$C$4:$C$2342,W$4,'Grid Data'!$A$4:$A$2342,$D$2)</f>
        <v>0</v>
      </c>
      <c r="X90" s="2">
        <f>SUMIFS('Grid Data'!$D$4:$D$2342,'Grid Data'!$B$4:$B$2342,$D90,'Grid Data'!$C$4:$C$2342,X$4,'Grid Data'!$A$4:$A$2342,$D$2)</f>
        <v>0</v>
      </c>
      <c r="Y90" s="2">
        <f>SUMIFS('Grid Data'!$D$4:$D$2342,'Grid Data'!$B$4:$B$2342,$D90,'Grid Data'!$C$4:$C$2342,Y$4,'Grid Data'!$A$4:$A$2342,$D$2)</f>
        <v>0</v>
      </c>
      <c r="Z90" s="2">
        <f>SUMIFS('Grid Data'!$D$4:$D$2342,'Grid Data'!$B$4:$B$2342,$D90,'Grid Data'!$C$4:$C$2342,Z$4,'Grid Data'!$A$4:$A$2342,$D$2)</f>
        <v>0</v>
      </c>
      <c r="AA90" s="2">
        <f>SUMIFS('Grid Data'!$D$4:$D$2342,'Grid Data'!$B$4:$B$2342,$D90,'Grid Data'!$C$4:$C$2342,AA$4,'Grid Data'!$A$4:$A$2342,$D$2)</f>
        <v>0</v>
      </c>
      <c r="AB90" s="2">
        <f>SUMIFS('Grid Data'!$D$4:$D$2342,'Grid Data'!$B$4:$B$2342,$D90,'Grid Data'!$C$4:$C$2342,AB$4,'Grid Data'!$A$4:$A$2342,$D$2)</f>
        <v>0</v>
      </c>
      <c r="AC90" s="2">
        <f>SUMIFS('Grid Data'!$D$4:$D$2342,'Grid Data'!$B$4:$B$2342,$D90,'Grid Data'!$C$4:$C$2342,AC$4,'Grid Data'!$A$4:$A$2342,$D$2)</f>
        <v>0</v>
      </c>
      <c r="AD90" s="2">
        <f>SUMIFS('Grid Data'!$D$4:$D$2342,'Grid Data'!$B$4:$B$2342,$D90,'Grid Data'!$C$4:$C$2342,AD$4,'Grid Data'!$A$4:$A$2342,$D$2)</f>
        <v>0</v>
      </c>
      <c r="AE90" s="2">
        <f>SUMIFS('Grid Data'!$D$4:$D$2342,'Grid Data'!$B$4:$B$2342,$D90,'Grid Data'!$C$4:$C$2342,AE$4,'Grid Data'!$A$4:$A$2342,$D$2)</f>
        <v>8</v>
      </c>
      <c r="AF90" s="2">
        <f>SUMIFS('Grid Data'!$D$4:$D$2342,'Grid Data'!$B$4:$B$2342,$D90,'Grid Data'!$C$4:$C$2342,AF$4,'Grid Data'!$A$4:$A$2342,$D$2)</f>
        <v>35</v>
      </c>
      <c r="AG90" s="2">
        <f>SUMIFS('Grid Data'!$D$4:$D$2342,'Grid Data'!$B$4:$B$2342,$D90,'Grid Data'!$C$4:$C$2342,AG$4,'Grid Data'!$A$4:$A$2342,$D$2)</f>
        <v>390</v>
      </c>
      <c r="AH90" s="2">
        <f>SUMIFS('Grid Data'!$D$4:$D$2342,'Grid Data'!$B$4:$B$2342,$D90,'Grid Data'!$C$4:$C$2342,AH$4,'Grid Data'!$A$4:$A$2342,$D$2)</f>
        <v>605</v>
      </c>
    </row>
    <row r="91" spans="4:34" x14ac:dyDescent="0.35">
      <c r="D91">
        <v>7750</v>
      </c>
      <c r="E91" s="2">
        <f>SUMIFS('Grid Data'!$D$4:$D$2342,'Grid Data'!$B$4:$B$2342,$D91,'Grid Data'!$C$4:$C$2342,E$4,'Grid Data'!$A$4:$A$2342,$D$2)</f>
        <v>1332</v>
      </c>
      <c r="F91" s="2">
        <f>SUMIFS('Grid Data'!$D$4:$D$2342,'Grid Data'!$B$4:$B$2342,$D91,'Grid Data'!$C$4:$C$2342,F$4,'Grid Data'!$A$4:$A$2342,$D$2)</f>
        <v>446</v>
      </c>
      <c r="G91" s="2">
        <f>SUMIFS('Grid Data'!$D$4:$D$2342,'Grid Data'!$B$4:$B$2342,$D91,'Grid Data'!$C$4:$C$2342,G$4,'Grid Data'!$A$4:$A$2342,$D$2)</f>
        <v>492</v>
      </c>
      <c r="H91" s="2">
        <f>SUMIFS('Grid Data'!$D$4:$D$2342,'Grid Data'!$B$4:$B$2342,$D91,'Grid Data'!$C$4:$C$2342,H$4,'Grid Data'!$A$4:$A$2342,$D$2)</f>
        <v>288</v>
      </c>
      <c r="I91" s="2">
        <f>SUMIFS('Grid Data'!$D$4:$D$2342,'Grid Data'!$B$4:$B$2342,$D91,'Grid Data'!$C$4:$C$2342,I$4,'Grid Data'!$A$4:$A$2342,$D$2)</f>
        <v>217</v>
      </c>
      <c r="J91" s="2">
        <f>SUMIFS('Grid Data'!$D$4:$D$2342,'Grid Data'!$B$4:$B$2342,$D91,'Grid Data'!$C$4:$C$2342,J$4,'Grid Data'!$A$4:$A$2342,$D$2)</f>
        <v>196</v>
      </c>
      <c r="K91" s="2">
        <f>SUMIFS('Grid Data'!$D$4:$D$2342,'Grid Data'!$B$4:$B$2342,$D91,'Grid Data'!$C$4:$C$2342,K$4,'Grid Data'!$A$4:$A$2342,$D$2)</f>
        <v>422</v>
      </c>
      <c r="L91" s="2">
        <f>SUMIFS('Grid Data'!$D$4:$D$2342,'Grid Data'!$B$4:$B$2342,$D91,'Grid Data'!$C$4:$C$2342,L$4,'Grid Data'!$A$4:$A$2342,$D$2)</f>
        <v>312</v>
      </c>
      <c r="M91" s="2">
        <f>SUMIFS('Grid Data'!$D$4:$D$2342,'Grid Data'!$B$4:$B$2342,$D91,'Grid Data'!$C$4:$C$2342,M$4,'Grid Data'!$A$4:$A$2342,$D$2)</f>
        <v>184</v>
      </c>
      <c r="N91" s="2">
        <f>SUMIFS('Grid Data'!$D$4:$D$2342,'Grid Data'!$B$4:$B$2342,$D91,'Grid Data'!$C$4:$C$2342,N$4,'Grid Data'!$A$4:$A$2342,$D$2)</f>
        <v>209</v>
      </c>
      <c r="O91" s="2">
        <f>SUMIFS('Grid Data'!$D$4:$D$2342,'Grid Data'!$B$4:$B$2342,$D91,'Grid Data'!$C$4:$C$2342,O$4,'Grid Data'!$A$4:$A$2342,$D$2)</f>
        <v>236</v>
      </c>
      <c r="P91" s="2">
        <f>SUMIFS('Grid Data'!$D$4:$D$2342,'Grid Data'!$B$4:$B$2342,$D91,'Grid Data'!$C$4:$C$2342,P$4,'Grid Data'!$A$4:$A$2342,$D$2)</f>
        <v>783</v>
      </c>
      <c r="Q91" s="2">
        <f>SUMIFS('Grid Data'!$D$4:$D$2342,'Grid Data'!$B$4:$B$2342,$D91,'Grid Data'!$C$4:$C$2342,Q$4,'Grid Data'!$A$4:$A$2342,$D$2)</f>
        <v>2492</v>
      </c>
      <c r="R91" s="2">
        <f>SUMIFS('Grid Data'!$D$4:$D$2342,'Grid Data'!$B$4:$B$2342,$D91,'Grid Data'!$C$4:$C$2342,R$4,'Grid Data'!$A$4:$A$2342,$D$2)</f>
        <v>349</v>
      </c>
      <c r="S91" s="2">
        <f>SUMIFS('Grid Data'!$D$4:$D$2342,'Grid Data'!$B$4:$B$2342,$D91,'Grid Data'!$C$4:$C$2342,S$4,'Grid Data'!$A$4:$A$2342,$D$2)</f>
        <v>214</v>
      </c>
      <c r="T91" s="2">
        <f>SUMIFS('Grid Data'!$D$4:$D$2342,'Grid Data'!$B$4:$B$2342,$D91,'Grid Data'!$C$4:$C$2342,T$4,'Grid Data'!$A$4:$A$2342,$D$2)</f>
        <v>0</v>
      </c>
      <c r="U91" s="2">
        <f>SUMIFS('Grid Data'!$D$4:$D$2342,'Grid Data'!$B$4:$B$2342,$D91,'Grid Data'!$C$4:$C$2342,U$4,'Grid Data'!$A$4:$A$2342,$D$2)</f>
        <v>0</v>
      </c>
      <c r="V91" s="2">
        <f>SUMIFS('Grid Data'!$D$4:$D$2342,'Grid Data'!$B$4:$B$2342,$D91,'Grid Data'!$C$4:$C$2342,V$4,'Grid Data'!$A$4:$A$2342,$D$2)</f>
        <v>0</v>
      </c>
      <c r="W91" s="2">
        <f>SUMIFS('Grid Data'!$D$4:$D$2342,'Grid Data'!$B$4:$B$2342,$D91,'Grid Data'!$C$4:$C$2342,W$4,'Grid Data'!$A$4:$A$2342,$D$2)</f>
        <v>0</v>
      </c>
      <c r="X91" s="2">
        <f>SUMIFS('Grid Data'!$D$4:$D$2342,'Grid Data'!$B$4:$B$2342,$D91,'Grid Data'!$C$4:$C$2342,X$4,'Grid Data'!$A$4:$A$2342,$D$2)</f>
        <v>0</v>
      </c>
      <c r="Y91" s="2">
        <f>SUMIFS('Grid Data'!$D$4:$D$2342,'Grid Data'!$B$4:$B$2342,$D91,'Grid Data'!$C$4:$C$2342,Y$4,'Grid Data'!$A$4:$A$2342,$D$2)</f>
        <v>0</v>
      </c>
      <c r="Z91" s="2">
        <f>SUMIFS('Grid Data'!$D$4:$D$2342,'Grid Data'!$B$4:$B$2342,$D91,'Grid Data'!$C$4:$C$2342,Z$4,'Grid Data'!$A$4:$A$2342,$D$2)</f>
        <v>0</v>
      </c>
      <c r="AA91" s="2">
        <f>SUMIFS('Grid Data'!$D$4:$D$2342,'Grid Data'!$B$4:$B$2342,$D91,'Grid Data'!$C$4:$C$2342,AA$4,'Grid Data'!$A$4:$A$2342,$D$2)</f>
        <v>0</v>
      </c>
      <c r="AB91" s="2">
        <f>SUMIFS('Grid Data'!$D$4:$D$2342,'Grid Data'!$B$4:$B$2342,$D91,'Grid Data'!$C$4:$C$2342,AB$4,'Grid Data'!$A$4:$A$2342,$D$2)</f>
        <v>0</v>
      </c>
      <c r="AC91" s="2">
        <f>SUMIFS('Grid Data'!$D$4:$D$2342,'Grid Data'!$B$4:$B$2342,$D91,'Grid Data'!$C$4:$C$2342,AC$4,'Grid Data'!$A$4:$A$2342,$D$2)</f>
        <v>0</v>
      </c>
      <c r="AD91" s="2">
        <f>SUMIFS('Grid Data'!$D$4:$D$2342,'Grid Data'!$B$4:$B$2342,$D91,'Grid Data'!$C$4:$C$2342,AD$4,'Grid Data'!$A$4:$A$2342,$D$2)</f>
        <v>0</v>
      </c>
      <c r="AE91" s="2">
        <f>SUMIFS('Grid Data'!$D$4:$D$2342,'Grid Data'!$B$4:$B$2342,$D91,'Grid Data'!$C$4:$C$2342,AE$4,'Grid Data'!$A$4:$A$2342,$D$2)</f>
        <v>0</v>
      </c>
      <c r="AF91" s="2">
        <f>SUMIFS('Grid Data'!$D$4:$D$2342,'Grid Data'!$B$4:$B$2342,$D91,'Grid Data'!$C$4:$C$2342,AF$4,'Grid Data'!$A$4:$A$2342,$D$2)</f>
        <v>1</v>
      </c>
      <c r="AG91" s="2">
        <f>SUMIFS('Grid Data'!$D$4:$D$2342,'Grid Data'!$B$4:$B$2342,$D91,'Grid Data'!$C$4:$C$2342,AG$4,'Grid Data'!$A$4:$A$2342,$D$2)</f>
        <v>65</v>
      </c>
      <c r="AH91" s="2">
        <f>SUMIFS('Grid Data'!$D$4:$D$2342,'Grid Data'!$B$4:$B$2342,$D91,'Grid Data'!$C$4:$C$2342,AH$4,'Grid Data'!$A$4:$A$2342,$D$2)</f>
        <v>73</v>
      </c>
    </row>
    <row r="92" spans="4:34" x14ac:dyDescent="0.35">
      <c r="D92">
        <v>8000</v>
      </c>
      <c r="E92" s="2">
        <f>SUMIFS('Grid Data'!$D$4:$D$2342,'Grid Data'!$B$4:$B$2342,$D92,'Grid Data'!$C$4:$C$2342,E$4,'Grid Data'!$A$4:$A$2342,$D$2)</f>
        <v>12</v>
      </c>
      <c r="F92" s="2">
        <f>SUMIFS('Grid Data'!$D$4:$D$2342,'Grid Data'!$B$4:$B$2342,$D92,'Grid Data'!$C$4:$C$2342,F$4,'Grid Data'!$A$4:$A$2342,$D$2)</f>
        <v>15</v>
      </c>
      <c r="G92" s="2">
        <f>SUMIFS('Grid Data'!$D$4:$D$2342,'Grid Data'!$B$4:$B$2342,$D92,'Grid Data'!$C$4:$C$2342,G$4,'Grid Data'!$A$4:$A$2342,$D$2)</f>
        <v>13</v>
      </c>
      <c r="H92" s="2">
        <f>SUMIFS('Grid Data'!$D$4:$D$2342,'Grid Data'!$B$4:$B$2342,$D92,'Grid Data'!$C$4:$C$2342,H$4,'Grid Data'!$A$4:$A$2342,$D$2)</f>
        <v>12</v>
      </c>
      <c r="I92" s="2">
        <f>SUMIFS('Grid Data'!$D$4:$D$2342,'Grid Data'!$B$4:$B$2342,$D92,'Grid Data'!$C$4:$C$2342,I$4,'Grid Data'!$A$4:$A$2342,$D$2)</f>
        <v>4</v>
      </c>
      <c r="J92" s="2">
        <f>SUMIFS('Grid Data'!$D$4:$D$2342,'Grid Data'!$B$4:$B$2342,$D92,'Grid Data'!$C$4:$C$2342,J$4,'Grid Data'!$A$4:$A$2342,$D$2)</f>
        <v>2</v>
      </c>
      <c r="K92" s="2">
        <f>SUMIFS('Grid Data'!$D$4:$D$2342,'Grid Data'!$B$4:$B$2342,$D92,'Grid Data'!$C$4:$C$2342,K$4,'Grid Data'!$A$4:$A$2342,$D$2)</f>
        <v>4</v>
      </c>
      <c r="L92" s="2">
        <f>SUMIFS('Grid Data'!$D$4:$D$2342,'Grid Data'!$B$4:$B$2342,$D92,'Grid Data'!$C$4:$C$2342,L$4,'Grid Data'!$A$4:$A$2342,$D$2)</f>
        <v>6</v>
      </c>
      <c r="M92" s="2">
        <f>SUMIFS('Grid Data'!$D$4:$D$2342,'Grid Data'!$B$4:$B$2342,$D92,'Grid Data'!$C$4:$C$2342,M$4,'Grid Data'!$A$4:$A$2342,$D$2)</f>
        <v>10</v>
      </c>
      <c r="N92" s="2">
        <f>SUMIFS('Grid Data'!$D$4:$D$2342,'Grid Data'!$B$4:$B$2342,$D92,'Grid Data'!$C$4:$C$2342,N$4,'Grid Data'!$A$4:$A$2342,$D$2)</f>
        <v>106</v>
      </c>
      <c r="O92" s="2">
        <f>SUMIFS('Grid Data'!$D$4:$D$2342,'Grid Data'!$B$4:$B$2342,$D92,'Grid Data'!$C$4:$C$2342,O$4,'Grid Data'!$A$4:$A$2342,$D$2)</f>
        <v>156</v>
      </c>
      <c r="P92" s="2">
        <f>SUMIFS('Grid Data'!$D$4:$D$2342,'Grid Data'!$B$4:$B$2342,$D92,'Grid Data'!$C$4:$C$2342,P$4,'Grid Data'!$A$4:$A$2342,$D$2)</f>
        <v>163</v>
      </c>
      <c r="Q92" s="2">
        <f>SUMIFS('Grid Data'!$D$4:$D$2342,'Grid Data'!$B$4:$B$2342,$D92,'Grid Data'!$C$4:$C$2342,Q$4,'Grid Data'!$A$4:$A$2342,$D$2)</f>
        <v>334</v>
      </c>
      <c r="R92" s="2">
        <f>SUMIFS('Grid Data'!$D$4:$D$2342,'Grid Data'!$B$4:$B$2342,$D92,'Grid Data'!$C$4:$C$2342,R$4,'Grid Data'!$A$4:$A$2342,$D$2)</f>
        <v>13</v>
      </c>
      <c r="S92" s="2">
        <f>SUMIFS('Grid Data'!$D$4:$D$2342,'Grid Data'!$B$4:$B$2342,$D92,'Grid Data'!$C$4:$C$2342,S$4,'Grid Data'!$A$4:$A$2342,$D$2)</f>
        <v>24</v>
      </c>
      <c r="T92" s="2">
        <f>SUMIFS('Grid Data'!$D$4:$D$2342,'Grid Data'!$B$4:$B$2342,$D92,'Grid Data'!$C$4:$C$2342,T$4,'Grid Data'!$A$4:$A$2342,$D$2)</f>
        <v>0</v>
      </c>
      <c r="U92" s="2">
        <f>SUMIFS('Grid Data'!$D$4:$D$2342,'Grid Data'!$B$4:$B$2342,$D92,'Grid Data'!$C$4:$C$2342,U$4,'Grid Data'!$A$4:$A$2342,$D$2)</f>
        <v>0</v>
      </c>
      <c r="V92" s="2">
        <f>SUMIFS('Grid Data'!$D$4:$D$2342,'Grid Data'!$B$4:$B$2342,$D92,'Grid Data'!$C$4:$C$2342,V$4,'Grid Data'!$A$4:$A$2342,$D$2)</f>
        <v>0</v>
      </c>
      <c r="W92" s="2">
        <f>SUMIFS('Grid Data'!$D$4:$D$2342,'Grid Data'!$B$4:$B$2342,$D92,'Grid Data'!$C$4:$C$2342,W$4,'Grid Data'!$A$4:$A$2342,$D$2)</f>
        <v>0</v>
      </c>
      <c r="X92" s="2">
        <f>SUMIFS('Grid Data'!$D$4:$D$2342,'Grid Data'!$B$4:$B$2342,$D92,'Grid Data'!$C$4:$C$2342,X$4,'Grid Data'!$A$4:$A$2342,$D$2)</f>
        <v>0</v>
      </c>
      <c r="Y92" s="2">
        <f>SUMIFS('Grid Data'!$D$4:$D$2342,'Grid Data'!$B$4:$B$2342,$D92,'Grid Data'!$C$4:$C$2342,Y$4,'Grid Data'!$A$4:$A$2342,$D$2)</f>
        <v>0</v>
      </c>
      <c r="Z92" s="2">
        <f>SUMIFS('Grid Data'!$D$4:$D$2342,'Grid Data'!$B$4:$B$2342,$D92,'Grid Data'!$C$4:$C$2342,Z$4,'Grid Data'!$A$4:$A$2342,$D$2)</f>
        <v>0</v>
      </c>
      <c r="AA92" s="2">
        <f>SUMIFS('Grid Data'!$D$4:$D$2342,'Grid Data'!$B$4:$B$2342,$D92,'Grid Data'!$C$4:$C$2342,AA$4,'Grid Data'!$A$4:$A$2342,$D$2)</f>
        <v>0</v>
      </c>
      <c r="AB92" s="2">
        <f>SUMIFS('Grid Data'!$D$4:$D$2342,'Grid Data'!$B$4:$B$2342,$D92,'Grid Data'!$C$4:$C$2342,AB$4,'Grid Data'!$A$4:$A$2342,$D$2)</f>
        <v>0</v>
      </c>
      <c r="AC92" s="2">
        <f>SUMIFS('Grid Data'!$D$4:$D$2342,'Grid Data'!$B$4:$B$2342,$D92,'Grid Data'!$C$4:$C$2342,AC$4,'Grid Data'!$A$4:$A$2342,$D$2)</f>
        <v>0</v>
      </c>
      <c r="AD92" s="2">
        <f>SUMIFS('Grid Data'!$D$4:$D$2342,'Grid Data'!$B$4:$B$2342,$D92,'Grid Data'!$C$4:$C$2342,AD$4,'Grid Data'!$A$4:$A$2342,$D$2)</f>
        <v>0</v>
      </c>
      <c r="AE92" s="2">
        <f>SUMIFS('Grid Data'!$D$4:$D$2342,'Grid Data'!$B$4:$B$2342,$D92,'Grid Data'!$C$4:$C$2342,AE$4,'Grid Data'!$A$4:$A$2342,$D$2)</f>
        <v>0</v>
      </c>
      <c r="AF92" s="2">
        <f>SUMIFS('Grid Data'!$D$4:$D$2342,'Grid Data'!$B$4:$B$2342,$D92,'Grid Data'!$C$4:$C$2342,AF$4,'Grid Data'!$A$4:$A$2342,$D$2)</f>
        <v>0</v>
      </c>
      <c r="AG92" s="2">
        <f>SUMIFS('Grid Data'!$D$4:$D$2342,'Grid Data'!$B$4:$B$2342,$D92,'Grid Data'!$C$4:$C$2342,AG$4,'Grid Data'!$A$4:$A$2342,$D$2)</f>
        <v>192</v>
      </c>
      <c r="AH92" s="2">
        <f>SUMIFS('Grid Data'!$D$4:$D$2342,'Grid Data'!$B$4:$B$2342,$D92,'Grid Data'!$C$4:$C$2342,AH$4,'Grid Data'!$A$4:$A$2342,$D$2)</f>
        <v>267</v>
      </c>
    </row>
    <row r="93" spans="4:34" x14ac:dyDescent="0.35">
      <c r="D93">
        <v>8250</v>
      </c>
      <c r="E93" s="2">
        <f>SUMIFS('Grid Data'!$D$4:$D$2342,'Grid Data'!$B$4:$B$2342,$D93,'Grid Data'!$C$4:$C$2342,E$4,'Grid Data'!$A$4:$A$2342,$D$2)</f>
        <v>11</v>
      </c>
      <c r="F93" s="2">
        <f>SUMIFS('Grid Data'!$D$4:$D$2342,'Grid Data'!$B$4:$B$2342,$D93,'Grid Data'!$C$4:$C$2342,F$4,'Grid Data'!$A$4:$A$2342,$D$2)</f>
        <v>10</v>
      </c>
      <c r="G93" s="2">
        <f>SUMIFS('Grid Data'!$D$4:$D$2342,'Grid Data'!$B$4:$B$2342,$D93,'Grid Data'!$C$4:$C$2342,G$4,'Grid Data'!$A$4:$A$2342,$D$2)</f>
        <v>16</v>
      </c>
      <c r="H93" s="2">
        <f>SUMIFS('Grid Data'!$D$4:$D$2342,'Grid Data'!$B$4:$B$2342,$D93,'Grid Data'!$C$4:$C$2342,H$4,'Grid Data'!$A$4:$A$2342,$D$2)</f>
        <v>3</v>
      </c>
      <c r="I93" s="2">
        <f>SUMIFS('Grid Data'!$D$4:$D$2342,'Grid Data'!$B$4:$B$2342,$D93,'Grid Data'!$C$4:$C$2342,I$4,'Grid Data'!$A$4:$A$2342,$D$2)</f>
        <v>2</v>
      </c>
      <c r="J93" s="2">
        <f>SUMIFS('Grid Data'!$D$4:$D$2342,'Grid Data'!$B$4:$B$2342,$D93,'Grid Data'!$C$4:$C$2342,J$4,'Grid Data'!$A$4:$A$2342,$D$2)</f>
        <v>0</v>
      </c>
      <c r="K93" s="2">
        <f>SUMIFS('Grid Data'!$D$4:$D$2342,'Grid Data'!$B$4:$B$2342,$D93,'Grid Data'!$C$4:$C$2342,K$4,'Grid Data'!$A$4:$A$2342,$D$2)</f>
        <v>4</v>
      </c>
      <c r="L93" s="2">
        <f>SUMIFS('Grid Data'!$D$4:$D$2342,'Grid Data'!$B$4:$B$2342,$D93,'Grid Data'!$C$4:$C$2342,L$4,'Grid Data'!$A$4:$A$2342,$D$2)</f>
        <v>0</v>
      </c>
      <c r="M93" s="2">
        <f>SUMIFS('Grid Data'!$D$4:$D$2342,'Grid Data'!$B$4:$B$2342,$D93,'Grid Data'!$C$4:$C$2342,M$4,'Grid Data'!$A$4:$A$2342,$D$2)</f>
        <v>2</v>
      </c>
      <c r="N93" s="2">
        <f>SUMIFS('Grid Data'!$D$4:$D$2342,'Grid Data'!$B$4:$B$2342,$D93,'Grid Data'!$C$4:$C$2342,N$4,'Grid Data'!$A$4:$A$2342,$D$2)</f>
        <v>29</v>
      </c>
      <c r="O93" s="2">
        <f>SUMIFS('Grid Data'!$D$4:$D$2342,'Grid Data'!$B$4:$B$2342,$D93,'Grid Data'!$C$4:$C$2342,O$4,'Grid Data'!$A$4:$A$2342,$D$2)</f>
        <v>64</v>
      </c>
      <c r="P93" s="2">
        <f>SUMIFS('Grid Data'!$D$4:$D$2342,'Grid Data'!$B$4:$B$2342,$D93,'Grid Data'!$C$4:$C$2342,P$4,'Grid Data'!$A$4:$A$2342,$D$2)</f>
        <v>97</v>
      </c>
      <c r="Q93" s="2">
        <f>SUMIFS('Grid Data'!$D$4:$D$2342,'Grid Data'!$B$4:$B$2342,$D93,'Grid Data'!$C$4:$C$2342,Q$4,'Grid Data'!$A$4:$A$2342,$D$2)</f>
        <v>287</v>
      </c>
      <c r="R93" s="2">
        <f>SUMIFS('Grid Data'!$D$4:$D$2342,'Grid Data'!$B$4:$B$2342,$D93,'Grid Data'!$C$4:$C$2342,R$4,'Grid Data'!$A$4:$A$2342,$D$2)</f>
        <v>3</v>
      </c>
      <c r="S93" s="2">
        <f>SUMIFS('Grid Data'!$D$4:$D$2342,'Grid Data'!$B$4:$B$2342,$D93,'Grid Data'!$C$4:$C$2342,S$4,'Grid Data'!$A$4:$A$2342,$D$2)</f>
        <v>6</v>
      </c>
      <c r="T93" s="2">
        <f>SUMIFS('Grid Data'!$D$4:$D$2342,'Grid Data'!$B$4:$B$2342,$D93,'Grid Data'!$C$4:$C$2342,T$4,'Grid Data'!$A$4:$A$2342,$D$2)</f>
        <v>0</v>
      </c>
      <c r="U93" s="2">
        <f>SUMIFS('Grid Data'!$D$4:$D$2342,'Grid Data'!$B$4:$B$2342,$D93,'Grid Data'!$C$4:$C$2342,U$4,'Grid Data'!$A$4:$A$2342,$D$2)</f>
        <v>0</v>
      </c>
      <c r="V93" s="2">
        <f>SUMIFS('Grid Data'!$D$4:$D$2342,'Grid Data'!$B$4:$B$2342,$D93,'Grid Data'!$C$4:$C$2342,V$4,'Grid Data'!$A$4:$A$2342,$D$2)</f>
        <v>0</v>
      </c>
      <c r="W93" s="2">
        <f>SUMIFS('Grid Data'!$D$4:$D$2342,'Grid Data'!$B$4:$B$2342,$D93,'Grid Data'!$C$4:$C$2342,W$4,'Grid Data'!$A$4:$A$2342,$D$2)</f>
        <v>0</v>
      </c>
      <c r="X93" s="2">
        <f>SUMIFS('Grid Data'!$D$4:$D$2342,'Grid Data'!$B$4:$B$2342,$D93,'Grid Data'!$C$4:$C$2342,X$4,'Grid Data'!$A$4:$A$2342,$D$2)</f>
        <v>0</v>
      </c>
      <c r="Y93" s="2">
        <f>SUMIFS('Grid Data'!$D$4:$D$2342,'Grid Data'!$B$4:$B$2342,$D93,'Grid Data'!$C$4:$C$2342,Y$4,'Grid Data'!$A$4:$A$2342,$D$2)</f>
        <v>0</v>
      </c>
      <c r="Z93" s="2">
        <f>SUMIFS('Grid Data'!$D$4:$D$2342,'Grid Data'!$B$4:$B$2342,$D93,'Grid Data'!$C$4:$C$2342,Z$4,'Grid Data'!$A$4:$A$2342,$D$2)</f>
        <v>0</v>
      </c>
      <c r="AA93" s="2">
        <f>SUMIFS('Grid Data'!$D$4:$D$2342,'Grid Data'!$B$4:$B$2342,$D93,'Grid Data'!$C$4:$C$2342,AA$4,'Grid Data'!$A$4:$A$2342,$D$2)</f>
        <v>0</v>
      </c>
      <c r="AB93" s="2">
        <f>SUMIFS('Grid Data'!$D$4:$D$2342,'Grid Data'!$B$4:$B$2342,$D93,'Grid Data'!$C$4:$C$2342,AB$4,'Grid Data'!$A$4:$A$2342,$D$2)</f>
        <v>0</v>
      </c>
      <c r="AC93" s="2">
        <f>SUMIFS('Grid Data'!$D$4:$D$2342,'Grid Data'!$B$4:$B$2342,$D93,'Grid Data'!$C$4:$C$2342,AC$4,'Grid Data'!$A$4:$A$2342,$D$2)</f>
        <v>0</v>
      </c>
      <c r="AD93" s="2">
        <f>SUMIFS('Grid Data'!$D$4:$D$2342,'Grid Data'!$B$4:$B$2342,$D93,'Grid Data'!$C$4:$C$2342,AD$4,'Grid Data'!$A$4:$A$2342,$D$2)</f>
        <v>0</v>
      </c>
      <c r="AE93" s="2">
        <f>SUMIFS('Grid Data'!$D$4:$D$2342,'Grid Data'!$B$4:$B$2342,$D93,'Grid Data'!$C$4:$C$2342,AE$4,'Grid Data'!$A$4:$A$2342,$D$2)</f>
        <v>0</v>
      </c>
      <c r="AF93" s="2">
        <f>SUMIFS('Grid Data'!$D$4:$D$2342,'Grid Data'!$B$4:$B$2342,$D93,'Grid Data'!$C$4:$C$2342,AF$4,'Grid Data'!$A$4:$A$2342,$D$2)</f>
        <v>0</v>
      </c>
      <c r="AG93" s="2">
        <f>SUMIFS('Grid Data'!$D$4:$D$2342,'Grid Data'!$B$4:$B$2342,$D93,'Grid Data'!$C$4:$C$2342,AG$4,'Grid Data'!$A$4:$A$2342,$D$2)</f>
        <v>47</v>
      </c>
      <c r="AH93" s="2">
        <f>SUMIFS('Grid Data'!$D$4:$D$2342,'Grid Data'!$B$4:$B$2342,$D93,'Grid Data'!$C$4:$C$2342,AH$4,'Grid Data'!$A$4:$A$2342,$D$2)</f>
        <v>30</v>
      </c>
    </row>
    <row r="94" spans="4:34" x14ac:dyDescent="0.35">
      <c r="D94">
        <v>8500</v>
      </c>
      <c r="E94" s="2">
        <f>SUMIFS('Grid Data'!$D$4:$D$2342,'Grid Data'!$B$4:$B$2342,$D94,'Grid Data'!$C$4:$C$2342,E$4,'Grid Data'!$A$4:$A$2342,$D$2)</f>
        <v>0</v>
      </c>
      <c r="F94" s="2">
        <f>SUMIFS('Grid Data'!$D$4:$D$2342,'Grid Data'!$B$4:$B$2342,$D94,'Grid Data'!$C$4:$C$2342,F$4,'Grid Data'!$A$4:$A$2342,$D$2)</f>
        <v>0</v>
      </c>
      <c r="G94" s="2">
        <f>SUMIFS('Grid Data'!$D$4:$D$2342,'Grid Data'!$B$4:$B$2342,$D94,'Grid Data'!$C$4:$C$2342,G$4,'Grid Data'!$A$4:$A$2342,$D$2)</f>
        <v>0</v>
      </c>
      <c r="H94" s="2">
        <f>SUMIFS('Grid Data'!$D$4:$D$2342,'Grid Data'!$B$4:$B$2342,$D94,'Grid Data'!$C$4:$C$2342,H$4,'Grid Data'!$A$4:$A$2342,$D$2)</f>
        <v>0</v>
      </c>
      <c r="I94" s="2">
        <f>SUMIFS('Grid Data'!$D$4:$D$2342,'Grid Data'!$B$4:$B$2342,$D94,'Grid Data'!$C$4:$C$2342,I$4,'Grid Data'!$A$4:$A$2342,$D$2)</f>
        <v>0</v>
      </c>
      <c r="J94" s="2">
        <f>SUMIFS('Grid Data'!$D$4:$D$2342,'Grid Data'!$B$4:$B$2342,$D94,'Grid Data'!$C$4:$C$2342,J$4,'Grid Data'!$A$4:$A$2342,$D$2)</f>
        <v>0</v>
      </c>
      <c r="K94" s="2">
        <f>SUMIFS('Grid Data'!$D$4:$D$2342,'Grid Data'!$B$4:$B$2342,$D94,'Grid Data'!$C$4:$C$2342,K$4,'Grid Data'!$A$4:$A$2342,$D$2)</f>
        <v>0</v>
      </c>
      <c r="L94" s="2">
        <f>SUMIFS('Grid Data'!$D$4:$D$2342,'Grid Data'!$B$4:$B$2342,$D94,'Grid Data'!$C$4:$C$2342,L$4,'Grid Data'!$A$4:$A$2342,$D$2)</f>
        <v>0</v>
      </c>
      <c r="M94" s="2">
        <f>SUMIFS('Grid Data'!$D$4:$D$2342,'Grid Data'!$B$4:$B$2342,$D94,'Grid Data'!$C$4:$C$2342,M$4,'Grid Data'!$A$4:$A$2342,$D$2)</f>
        <v>0</v>
      </c>
      <c r="N94" s="2">
        <f>SUMIFS('Grid Data'!$D$4:$D$2342,'Grid Data'!$B$4:$B$2342,$D94,'Grid Data'!$C$4:$C$2342,N$4,'Grid Data'!$A$4:$A$2342,$D$2)</f>
        <v>2</v>
      </c>
      <c r="O94" s="2">
        <f>SUMIFS('Grid Data'!$D$4:$D$2342,'Grid Data'!$B$4:$B$2342,$D94,'Grid Data'!$C$4:$C$2342,O$4,'Grid Data'!$A$4:$A$2342,$D$2)</f>
        <v>25</v>
      </c>
      <c r="P94" s="2">
        <f>SUMIFS('Grid Data'!$D$4:$D$2342,'Grid Data'!$B$4:$B$2342,$D94,'Grid Data'!$C$4:$C$2342,P$4,'Grid Data'!$A$4:$A$2342,$D$2)</f>
        <v>18</v>
      </c>
      <c r="Q94" s="2">
        <f>SUMIFS('Grid Data'!$D$4:$D$2342,'Grid Data'!$B$4:$B$2342,$D94,'Grid Data'!$C$4:$C$2342,Q$4,'Grid Data'!$A$4:$A$2342,$D$2)</f>
        <v>38</v>
      </c>
      <c r="R94" s="2">
        <f>SUMIFS('Grid Data'!$D$4:$D$2342,'Grid Data'!$B$4:$B$2342,$D94,'Grid Data'!$C$4:$C$2342,R$4,'Grid Data'!$A$4:$A$2342,$D$2)</f>
        <v>0</v>
      </c>
      <c r="S94" s="2">
        <f>SUMIFS('Grid Data'!$D$4:$D$2342,'Grid Data'!$B$4:$B$2342,$D94,'Grid Data'!$C$4:$C$2342,S$4,'Grid Data'!$A$4:$A$2342,$D$2)</f>
        <v>0</v>
      </c>
      <c r="T94" s="2">
        <f>SUMIFS('Grid Data'!$D$4:$D$2342,'Grid Data'!$B$4:$B$2342,$D94,'Grid Data'!$C$4:$C$2342,T$4,'Grid Data'!$A$4:$A$2342,$D$2)</f>
        <v>0</v>
      </c>
      <c r="U94" s="2">
        <f>SUMIFS('Grid Data'!$D$4:$D$2342,'Grid Data'!$B$4:$B$2342,$D94,'Grid Data'!$C$4:$C$2342,U$4,'Grid Data'!$A$4:$A$2342,$D$2)</f>
        <v>0</v>
      </c>
      <c r="V94" s="2">
        <f>SUMIFS('Grid Data'!$D$4:$D$2342,'Grid Data'!$B$4:$B$2342,$D94,'Grid Data'!$C$4:$C$2342,V$4,'Grid Data'!$A$4:$A$2342,$D$2)</f>
        <v>0</v>
      </c>
      <c r="W94" s="2">
        <f>SUMIFS('Grid Data'!$D$4:$D$2342,'Grid Data'!$B$4:$B$2342,$D94,'Grid Data'!$C$4:$C$2342,W$4,'Grid Data'!$A$4:$A$2342,$D$2)</f>
        <v>0</v>
      </c>
      <c r="X94" s="2">
        <f>SUMIFS('Grid Data'!$D$4:$D$2342,'Grid Data'!$B$4:$B$2342,$D94,'Grid Data'!$C$4:$C$2342,X$4,'Grid Data'!$A$4:$A$2342,$D$2)</f>
        <v>0</v>
      </c>
      <c r="Y94" s="2">
        <f>SUMIFS('Grid Data'!$D$4:$D$2342,'Grid Data'!$B$4:$B$2342,$D94,'Grid Data'!$C$4:$C$2342,Y$4,'Grid Data'!$A$4:$A$2342,$D$2)</f>
        <v>0</v>
      </c>
      <c r="Z94" s="2">
        <f>SUMIFS('Grid Data'!$D$4:$D$2342,'Grid Data'!$B$4:$B$2342,$D94,'Grid Data'!$C$4:$C$2342,Z$4,'Grid Data'!$A$4:$A$2342,$D$2)</f>
        <v>0</v>
      </c>
      <c r="AA94" s="2">
        <f>SUMIFS('Grid Data'!$D$4:$D$2342,'Grid Data'!$B$4:$B$2342,$D94,'Grid Data'!$C$4:$C$2342,AA$4,'Grid Data'!$A$4:$A$2342,$D$2)</f>
        <v>0</v>
      </c>
      <c r="AB94" s="2">
        <f>SUMIFS('Grid Data'!$D$4:$D$2342,'Grid Data'!$B$4:$B$2342,$D94,'Grid Data'!$C$4:$C$2342,AB$4,'Grid Data'!$A$4:$A$2342,$D$2)</f>
        <v>0</v>
      </c>
      <c r="AC94" s="2">
        <f>SUMIFS('Grid Data'!$D$4:$D$2342,'Grid Data'!$B$4:$B$2342,$D94,'Grid Data'!$C$4:$C$2342,AC$4,'Grid Data'!$A$4:$A$2342,$D$2)</f>
        <v>0</v>
      </c>
      <c r="AD94" s="2">
        <f>SUMIFS('Grid Data'!$D$4:$D$2342,'Grid Data'!$B$4:$B$2342,$D94,'Grid Data'!$C$4:$C$2342,AD$4,'Grid Data'!$A$4:$A$2342,$D$2)</f>
        <v>0</v>
      </c>
      <c r="AE94" s="2">
        <f>SUMIFS('Grid Data'!$D$4:$D$2342,'Grid Data'!$B$4:$B$2342,$D94,'Grid Data'!$C$4:$C$2342,AE$4,'Grid Data'!$A$4:$A$2342,$D$2)</f>
        <v>0</v>
      </c>
      <c r="AF94" s="2">
        <f>SUMIFS('Grid Data'!$D$4:$D$2342,'Grid Data'!$B$4:$B$2342,$D94,'Grid Data'!$C$4:$C$2342,AF$4,'Grid Data'!$A$4:$A$2342,$D$2)</f>
        <v>0</v>
      </c>
      <c r="AG94" s="2">
        <f>SUMIFS('Grid Data'!$D$4:$D$2342,'Grid Data'!$B$4:$B$2342,$D94,'Grid Data'!$C$4:$C$2342,AG$4,'Grid Data'!$A$4:$A$2342,$D$2)</f>
        <v>112</v>
      </c>
      <c r="AH94" s="2">
        <f>SUMIFS('Grid Data'!$D$4:$D$2342,'Grid Data'!$B$4:$B$2342,$D94,'Grid Data'!$C$4:$C$2342,AH$4,'Grid Data'!$A$4:$A$2342,$D$2)</f>
        <v>158</v>
      </c>
    </row>
    <row r="95" spans="4:34" x14ac:dyDescent="0.35">
      <c r="D95">
        <v>9000</v>
      </c>
      <c r="E95" s="2">
        <f>SUMIFS('Grid Data'!$D$4:$D$2342,'Grid Data'!$B$4:$B$2342,$D95,'Grid Data'!$C$4:$C$2342,E$4,'Grid Data'!$A$4:$A$2342,$D$2)</f>
        <v>0</v>
      </c>
      <c r="F95" s="2">
        <f>SUMIFS('Grid Data'!$D$4:$D$2342,'Grid Data'!$B$4:$B$2342,$D95,'Grid Data'!$C$4:$C$2342,F$4,'Grid Data'!$A$4:$A$2342,$D$2)</f>
        <v>0</v>
      </c>
      <c r="G95" s="2">
        <f>SUMIFS('Grid Data'!$D$4:$D$2342,'Grid Data'!$B$4:$B$2342,$D95,'Grid Data'!$C$4:$C$2342,G$4,'Grid Data'!$A$4:$A$2342,$D$2)</f>
        <v>0</v>
      </c>
      <c r="H95" s="2">
        <f>SUMIFS('Grid Data'!$D$4:$D$2342,'Grid Data'!$B$4:$B$2342,$D95,'Grid Data'!$C$4:$C$2342,H$4,'Grid Data'!$A$4:$A$2342,$D$2)</f>
        <v>0</v>
      </c>
      <c r="I95" s="2">
        <f>SUMIFS('Grid Data'!$D$4:$D$2342,'Grid Data'!$B$4:$B$2342,$D95,'Grid Data'!$C$4:$C$2342,I$4,'Grid Data'!$A$4:$A$2342,$D$2)</f>
        <v>0</v>
      </c>
      <c r="J95" s="2">
        <f>SUMIFS('Grid Data'!$D$4:$D$2342,'Grid Data'!$B$4:$B$2342,$D95,'Grid Data'!$C$4:$C$2342,J$4,'Grid Data'!$A$4:$A$2342,$D$2)</f>
        <v>0</v>
      </c>
      <c r="K95" s="2">
        <f>SUMIFS('Grid Data'!$D$4:$D$2342,'Grid Data'!$B$4:$B$2342,$D95,'Grid Data'!$C$4:$C$2342,K$4,'Grid Data'!$A$4:$A$2342,$D$2)</f>
        <v>0</v>
      </c>
      <c r="L95" s="2">
        <f>SUMIFS('Grid Data'!$D$4:$D$2342,'Grid Data'!$B$4:$B$2342,$D95,'Grid Data'!$C$4:$C$2342,L$4,'Grid Data'!$A$4:$A$2342,$D$2)</f>
        <v>0</v>
      </c>
      <c r="M95" s="2">
        <f>SUMIFS('Grid Data'!$D$4:$D$2342,'Grid Data'!$B$4:$B$2342,$D95,'Grid Data'!$C$4:$C$2342,M$4,'Grid Data'!$A$4:$A$2342,$D$2)</f>
        <v>0</v>
      </c>
      <c r="N95" s="2">
        <f>SUMIFS('Grid Data'!$D$4:$D$2342,'Grid Data'!$B$4:$B$2342,$D95,'Grid Data'!$C$4:$C$2342,N$4,'Grid Data'!$A$4:$A$2342,$D$2)</f>
        <v>0</v>
      </c>
      <c r="O95" s="2">
        <f>SUMIFS('Grid Data'!$D$4:$D$2342,'Grid Data'!$B$4:$B$2342,$D95,'Grid Data'!$C$4:$C$2342,O$4,'Grid Data'!$A$4:$A$2342,$D$2)</f>
        <v>8</v>
      </c>
      <c r="P95" s="2">
        <f>SUMIFS('Grid Data'!$D$4:$D$2342,'Grid Data'!$B$4:$B$2342,$D95,'Grid Data'!$C$4:$C$2342,P$4,'Grid Data'!$A$4:$A$2342,$D$2)</f>
        <v>7</v>
      </c>
      <c r="Q95" s="2">
        <f>SUMIFS('Grid Data'!$D$4:$D$2342,'Grid Data'!$B$4:$B$2342,$D95,'Grid Data'!$C$4:$C$2342,Q$4,'Grid Data'!$A$4:$A$2342,$D$2)</f>
        <v>29</v>
      </c>
      <c r="R95" s="2">
        <f>SUMIFS('Grid Data'!$D$4:$D$2342,'Grid Data'!$B$4:$B$2342,$D95,'Grid Data'!$C$4:$C$2342,R$4,'Grid Data'!$A$4:$A$2342,$D$2)</f>
        <v>1</v>
      </c>
      <c r="S95" s="2">
        <f>SUMIFS('Grid Data'!$D$4:$D$2342,'Grid Data'!$B$4:$B$2342,$D95,'Grid Data'!$C$4:$C$2342,S$4,'Grid Data'!$A$4:$A$2342,$D$2)</f>
        <v>1</v>
      </c>
      <c r="T95" s="2">
        <f>SUMIFS('Grid Data'!$D$4:$D$2342,'Grid Data'!$B$4:$B$2342,$D95,'Grid Data'!$C$4:$C$2342,T$4,'Grid Data'!$A$4:$A$2342,$D$2)</f>
        <v>0</v>
      </c>
      <c r="U95" s="2">
        <f>SUMIFS('Grid Data'!$D$4:$D$2342,'Grid Data'!$B$4:$B$2342,$D95,'Grid Data'!$C$4:$C$2342,U$4,'Grid Data'!$A$4:$A$2342,$D$2)</f>
        <v>0</v>
      </c>
      <c r="V95" s="2">
        <f>SUMIFS('Grid Data'!$D$4:$D$2342,'Grid Data'!$B$4:$B$2342,$D95,'Grid Data'!$C$4:$C$2342,V$4,'Grid Data'!$A$4:$A$2342,$D$2)</f>
        <v>0</v>
      </c>
      <c r="W95" s="2">
        <f>SUMIFS('Grid Data'!$D$4:$D$2342,'Grid Data'!$B$4:$B$2342,$D95,'Grid Data'!$C$4:$C$2342,W$4,'Grid Data'!$A$4:$A$2342,$D$2)</f>
        <v>0</v>
      </c>
      <c r="X95" s="2">
        <f>SUMIFS('Grid Data'!$D$4:$D$2342,'Grid Data'!$B$4:$B$2342,$D95,'Grid Data'!$C$4:$C$2342,X$4,'Grid Data'!$A$4:$A$2342,$D$2)</f>
        <v>0</v>
      </c>
      <c r="Y95" s="2">
        <f>SUMIFS('Grid Data'!$D$4:$D$2342,'Grid Data'!$B$4:$B$2342,$D95,'Grid Data'!$C$4:$C$2342,Y$4,'Grid Data'!$A$4:$A$2342,$D$2)</f>
        <v>0</v>
      </c>
      <c r="Z95" s="2">
        <f>SUMIFS('Grid Data'!$D$4:$D$2342,'Grid Data'!$B$4:$B$2342,$D95,'Grid Data'!$C$4:$C$2342,Z$4,'Grid Data'!$A$4:$A$2342,$D$2)</f>
        <v>0</v>
      </c>
      <c r="AA95" s="2">
        <f>SUMIFS('Grid Data'!$D$4:$D$2342,'Grid Data'!$B$4:$B$2342,$D95,'Grid Data'!$C$4:$C$2342,AA$4,'Grid Data'!$A$4:$A$2342,$D$2)</f>
        <v>0</v>
      </c>
      <c r="AB95" s="2">
        <f>SUMIFS('Grid Data'!$D$4:$D$2342,'Grid Data'!$B$4:$B$2342,$D95,'Grid Data'!$C$4:$C$2342,AB$4,'Grid Data'!$A$4:$A$2342,$D$2)</f>
        <v>0</v>
      </c>
      <c r="AC95" s="2">
        <f>SUMIFS('Grid Data'!$D$4:$D$2342,'Grid Data'!$B$4:$B$2342,$D95,'Grid Data'!$C$4:$C$2342,AC$4,'Grid Data'!$A$4:$A$2342,$D$2)</f>
        <v>0</v>
      </c>
      <c r="AD95" s="2">
        <f>SUMIFS('Grid Data'!$D$4:$D$2342,'Grid Data'!$B$4:$B$2342,$D95,'Grid Data'!$C$4:$C$2342,AD$4,'Grid Data'!$A$4:$A$2342,$D$2)</f>
        <v>0</v>
      </c>
      <c r="AE95" s="2">
        <f>SUMIFS('Grid Data'!$D$4:$D$2342,'Grid Data'!$B$4:$B$2342,$D95,'Grid Data'!$C$4:$C$2342,AE$4,'Grid Data'!$A$4:$A$2342,$D$2)</f>
        <v>0</v>
      </c>
      <c r="AF95" s="2">
        <f>SUMIFS('Grid Data'!$D$4:$D$2342,'Grid Data'!$B$4:$B$2342,$D95,'Grid Data'!$C$4:$C$2342,AF$4,'Grid Data'!$A$4:$A$2342,$D$2)</f>
        <v>0</v>
      </c>
      <c r="AG95" s="2">
        <f>SUMIFS('Grid Data'!$D$4:$D$2342,'Grid Data'!$B$4:$B$2342,$D95,'Grid Data'!$C$4:$C$2342,AG$4,'Grid Data'!$A$4:$A$2342,$D$2)</f>
        <v>39</v>
      </c>
      <c r="AH95" s="2">
        <f>SUMIFS('Grid Data'!$D$4:$D$2342,'Grid Data'!$B$4:$B$2342,$D95,'Grid Data'!$C$4:$C$2342,AH$4,'Grid Data'!$A$4:$A$2342,$D$2)</f>
        <v>27</v>
      </c>
    </row>
    <row r="96" spans="4:34" x14ac:dyDescent="0.35">
      <c r="D96">
        <v>20000</v>
      </c>
      <c r="E96" s="2">
        <f>SUMIFS('Grid Data'!$D$4:$D$2342,'Grid Data'!$B$4:$B$2342,$D96,'Grid Data'!$C$4:$C$2342,E$4,'Grid Data'!$A$4:$A$2342,$D$2)</f>
        <v>0</v>
      </c>
      <c r="F96" s="2">
        <f>SUMIFS('Grid Data'!$D$4:$D$2342,'Grid Data'!$B$4:$B$2342,$D96,'Grid Data'!$C$4:$C$2342,F$4,'Grid Data'!$A$4:$A$2342,$D$2)</f>
        <v>0</v>
      </c>
      <c r="G96" s="2">
        <f>SUMIFS('Grid Data'!$D$4:$D$2342,'Grid Data'!$B$4:$B$2342,$D96,'Grid Data'!$C$4:$C$2342,G$4,'Grid Data'!$A$4:$A$2342,$D$2)</f>
        <v>0</v>
      </c>
      <c r="H96" s="2">
        <f>SUMIFS('Grid Data'!$D$4:$D$2342,'Grid Data'!$B$4:$B$2342,$D96,'Grid Data'!$C$4:$C$2342,H$4,'Grid Data'!$A$4:$A$2342,$D$2)</f>
        <v>0</v>
      </c>
      <c r="I96" s="2">
        <f>SUMIFS('Grid Data'!$D$4:$D$2342,'Grid Data'!$B$4:$B$2342,$D96,'Grid Data'!$C$4:$C$2342,I$4,'Grid Data'!$A$4:$A$2342,$D$2)</f>
        <v>0</v>
      </c>
      <c r="J96" s="2">
        <f>SUMIFS('Grid Data'!$D$4:$D$2342,'Grid Data'!$B$4:$B$2342,$D96,'Grid Data'!$C$4:$C$2342,J$4,'Grid Data'!$A$4:$A$2342,$D$2)</f>
        <v>0</v>
      </c>
      <c r="K96" s="2">
        <f>SUMIFS('Grid Data'!$D$4:$D$2342,'Grid Data'!$B$4:$B$2342,$D96,'Grid Data'!$C$4:$C$2342,K$4,'Grid Data'!$A$4:$A$2342,$D$2)</f>
        <v>0</v>
      </c>
      <c r="L96" s="2">
        <f>SUMIFS('Grid Data'!$D$4:$D$2342,'Grid Data'!$B$4:$B$2342,$D96,'Grid Data'!$C$4:$C$2342,L$4,'Grid Data'!$A$4:$A$2342,$D$2)</f>
        <v>0</v>
      </c>
      <c r="M96" s="2">
        <f>SUMIFS('Grid Data'!$D$4:$D$2342,'Grid Data'!$B$4:$B$2342,$D96,'Grid Data'!$C$4:$C$2342,M$4,'Grid Data'!$A$4:$A$2342,$D$2)</f>
        <v>0</v>
      </c>
      <c r="N96" s="2">
        <f>SUMIFS('Grid Data'!$D$4:$D$2342,'Grid Data'!$B$4:$B$2342,$D96,'Grid Data'!$C$4:$C$2342,N$4,'Grid Data'!$A$4:$A$2342,$D$2)</f>
        <v>0</v>
      </c>
      <c r="O96" s="2">
        <f>SUMIFS('Grid Data'!$D$4:$D$2342,'Grid Data'!$B$4:$B$2342,$D96,'Grid Data'!$C$4:$C$2342,O$4,'Grid Data'!$A$4:$A$2342,$D$2)</f>
        <v>0</v>
      </c>
      <c r="P96" s="2">
        <f>SUMIFS('Grid Data'!$D$4:$D$2342,'Grid Data'!$B$4:$B$2342,$D96,'Grid Data'!$C$4:$C$2342,P$4,'Grid Data'!$A$4:$A$2342,$D$2)</f>
        <v>0</v>
      </c>
      <c r="Q96" s="2">
        <f>SUMIFS('Grid Data'!$D$4:$D$2342,'Grid Data'!$B$4:$B$2342,$D96,'Grid Data'!$C$4:$C$2342,Q$4,'Grid Data'!$A$4:$A$2342,$D$2)</f>
        <v>0</v>
      </c>
      <c r="R96" s="2">
        <f>SUMIFS('Grid Data'!$D$4:$D$2342,'Grid Data'!$B$4:$B$2342,$D96,'Grid Data'!$C$4:$C$2342,R$4,'Grid Data'!$A$4:$A$2342,$D$2)</f>
        <v>0</v>
      </c>
      <c r="S96" s="2">
        <f>SUMIFS('Grid Data'!$D$4:$D$2342,'Grid Data'!$B$4:$B$2342,$D96,'Grid Data'!$C$4:$C$2342,S$4,'Grid Data'!$A$4:$A$2342,$D$2)</f>
        <v>0</v>
      </c>
      <c r="T96" s="2">
        <f>SUMIFS('Grid Data'!$D$4:$D$2342,'Grid Data'!$B$4:$B$2342,$D96,'Grid Data'!$C$4:$C$2342,T$4,'Grid Data'!$A$4:$A$2342,$D$2)</f>
        <v>0</v>
      </c>
      <c r="U96" s="2">
        <f>SUMIFS('Grid Data'!$D$4:$D$2342,'Grid Data'!$B$4:$B$2342,$D96,'Grid Data'!$C$4:$C$2342,U$4,'Grid Data'!$A$4:$A$2342,$D$2)</f>
        <v>0</v>
      </c>
      <c r="V96" s="2">
        <f>SUMIFS('Grid Data'!$D$4:$D$2342,'Grid Data'!$B$4:$B$2342,$D96,'Grid Data'!$C$4:$C$2342,V$4,'Grid Data'!$A$4:$A$2342,$D$2)</f>
        <v>0</v>
      </c>
      <c r="W96" s="2">
        <f>SUMIFS('Grid Data'!$D$4:$D$2342,'Grid Data'!$B$4:$B$2342,$D96,'Grid Data'!$C$4:$C$2342,W$4,'Grid Data'!$A$4:$A$2342,$D$2)</f>
        <v>0</v>
      </c>
      <c r="X96" s="2">
        <f>SUMIFS('Grid Data'!$D$4:$D$2342,'Grid Data'!$B$4:$B$2342,$D96,'Grid Data'!$C$4:$C$2342,X$4,'Grid Data'!$A$4:$A$2342,$D$2)</f>
        <v>0</v>
      </c>
      <c r="Y96" s="2">
        <f>SUMIFS('Grid Data'!$D$4:$D$2342,'Grid Data'!$B$4:$B$2342,$D96,'Grid Data'!$C$4:$C$2342,Y$4,'Grid Data'!$A$4:$A$2342,$D$2)</f>
        <v>0</v>
      </c>
      <c r="Z96" s="2">
        <f>SUMIFS('Grid Data'!$D$4:$D$2342,'Grid Data'!$B$4:$B$2342,$D96,'Grid Data'!$C$4:$C$2342,Z$4,'Grid Data'!$A$4:$A$2342,$D$2)</f>
        <v>0</v>
      </c>
      <c r="AA96" s="2">
        <f>SUMIFS('Grid Data'!$D$4:$D$2342,'Grid Data'!$B$4:$B$2342,$D96,'Grid Data'!$C$4:$C$2342,AA$4,'Grid Data'!$A$4:$A$2342,$D$2)</f>
        <v>0</v>
      </c>
      <c r="AB96" s="2">
        <f>SUMIFS('Grid Data'!$D$4:$D$2342,'Grid Data'!$B$4:$B$2342,$D96,'Grid Data'!$C$4:$C$2342,AB$4,'Grid Data'!$A$4:$A$2342,$D$2)</f>
        <v>0</v>
      </c>
      <c r="AC96" s="2">
        <f>SUMIFS('Grid Data'!$D$4:$D$2342,'Grid Data'!$B$4:$B$2342,$D96,'Grid Data'!$C$4:$C$2342,AC$4,'Grid Data'!$A$4:$A$2342,$D$2)</f>
        <v>0</v>
      </c>
      <c r="AD96" s="2">
        <f>SUMIFS('Grid Data'!$D$4:$D$2342,'Grid Data'!$B$4:$B$2342,$D96,'Grid Data'!$C$4:$C$2342,AD$4,'Grid Data'!$A$4:$A$2342,$D$2)</f>
        <v>0</v>
      </c>
      <c r="AE96" s="2">
        <f>SUMIFS('Grid Data'!$D$4:$D$2342,'Grid Data'!$B$4:$B$2342,$D96,'Grid Data'!$C$4:$C$2342,AE$4,'Grid Data'!$A$4:$A$2342,$D$2)</f>
        <v>0</v>
      </c>
      <c r="AF96" s="2">
        <f>SUMIFS('Grid Data'!$D$4:$D$2342,'Grid Data'!$B$4:$B$2342,$D96,'Grid Data'!$C$4:$C$2342,AF$4,'Grid Data'!$A$4:$A$2342,$D$2)</f>
        <v>0</v>
      </c>
      <c r="AG96" s="2">
        <f>SUMIFS('Grid Data'!$D$4:$D$2342,'Grid Data'!$B$4:$B$2342,$D96,'Grid Data'!$C$4:$C$2342,AG$4,'Grid Data'!$A$4:$A$2342,$D$2)</f>
        <v>3</v>
      </c>
      <c r="AH96" s="2">
        <f>SUMIFS('Grid Data'!$D$4:$D$2342,'Grid Data'!$B$4:$B$2342,$D96,'Grid Data'!$C$4:$C$2342,AH$4,'Grid Data'!$A$4:$A$2342,$D$2)</f>
        <v>4</v>
      </c>
    </row>
  </sheetData>
  <dataValidations count="1">
    <dataValidation type="list" allowBlank="1" showInputMessage="1" showErrorMessage="1" sqref="G2" xr:uid="{AEEE54BE-71E9-4741-BA28-94AA8CEA338B}">
      <formula1>"CPR,CDR"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CF4A-11B9-4289-B92E-32202A34328D}">
  <dimension ref="A1:W2342"/>
  <sheetViews>
    <sheetView workbookViewId="0">
      <selection activeCell="V3" sqref="V3"/>
    </sheetView>
  </sheetViews>
  <sheetFormatPr defaultRowHeight="14.5" x14ac:dyDescent="0.35"/>
  <cols>
    <col min="28" max="28" width="12" bestFit="1" customWidth="1"/>
  </cols>
  <sheetData>
    <row r="1" spans="1:23" x14ac:dyDescent="0.35">
      <c r="J1" t="s">
        <v>16</v>
      </c>
      <c r="K1" t="s">
        <v>10</v>
      </c>
    </row>
    <row r="2" spans="1:23" x14ac:dyDescent="0.35">
      <c r="J2" t="s">
        <v>18</v>
      </c>
      <c r="V2" t="s">
        <v>17</v>
      </c>
    </row>
    <row r="3" spans="1:23" x14ac:dyDescent="0.35">
      <c r="A3" t="s">
        <v>11</v>
      </c>
      <c r="J3" t="s">
        <v>4</v>
      </c>
      <c r="K3" t="s">
        <v>5</v>
      </c>
      <c r="M3" t="s">
        <v>11</v>
      </c>
      <c r="V3" t="s">
        <v>4</v>
      </c>
      <c r="W3" t="s">
        <v>5</v>
      </c>
    </row>
    <row r="4" spans="1:23" x14ac:dyDescent="0.35">
      <c r="A4" t="s">
        <v>0</v>
      </c>
      <c r="B4">
        <v>7000</v>
      </c>
      <c r="C4">
        <v>360</v>
      </c>
      <c r="D4">
        <v>4478</v>
      </c>
      <c r="E4">
        <v>0</v>
      </c>
      <c r="F4">
        <v>5057662972</v>
      </c>
      <c r="G4">
        <v>153914251.88</v>
      </c>
      <c r="H4">
        <v>4803371356</v>
      </c>
      <c r="I4">
        <v>4850421838.5</v>
      </c>
      <c r="J4">
        <v>0.213808</v>
      </c>
      <c r="K4">
        <v>0.11944</v>
      </c>
      <c r="M4" t="s">
        <v>0</v>
      </c>
      <c r="N4">
        <v>7000</v>
      </c>
      <c r="O4">
        <v>360</v>
      </c>
      <c r="P4">
        <v>4358</v>
      </c>
      <c r="Q4">
        <v>0</v>
      </c>
      <c r="R4">
        <v>4994164933</v>
      </c>
      <c r="S4">
        <v>149702858.56999999</v>
      </c>
      <c r="T4">
        <v>4786864405.6199999</v>
      </c>
      <c r="U4">
        <v>4840190773.9899998</v>
      </c>
      <c r="V4">
        <v>0.12994600000000001</v>
      </c>
      <c r="W4">
        <v>1.0215E-2</v>
      </c>
    </row>
    <row r="5" spans="1:23" x14ac:dyDescent="0.35">
      <c r="A5" t="s">
        <v>0</v>
      </c>
      <c r="B5">
        <v>7500</v>
      </c>
      <c r="C5">
        <v>360</v>
      </c>
      <c r="D5">
        <v>3768</v>
      </c>
      <c r="E5">
        <v>0</v>
      </c>
      <c r="F5">
        <v>3721724404</v>
      </c>
      <c r="G5">
        <v>126168275.59999999</v>
      </c>
      <c r="H5">
        <v>3516711519</v>
      </c>
      <c r="I5">
        <v>3548659256.7399998</v>
      </c>
      <c r="J5">
        <v>0.22659399999999999</v>
      </c>
      <c r="K5">
        <v>0.14115900000000001</v>
      </c>
      <c r="M5" t="s">
        <v>0</v>
      </c>
      <c r="N5">
        <v>7500</v>
      </c>
      <c r="O5">
        <v>360</v>
      </c>
      <c r="P5">
        <v>3645</v>
      </c>
      <c r="Q5">
        <v>0</v>
      </c>
      <c r="R5">
        <v>3577418130</v>
      </c>
      <c r="S5">
        <v>121673595.5</v>
      </c>
      <c r="T5">
        <v>3426383933.71</v>
      </c>
      <c r="U5">
        <v>3453139919.1799998</v>
      </c>
      <c r="V5">
        <v>9.4159999999999994E-2</v>
      </c>
      <c r="W5">
        <v>8.7019999999999997E-3</v>
      </c>
    </row>
    <row r="6" spans="1:23" x14ac:dyDescent="0.35">
      <c r="A6" t="s">
        <v>0</v>
      </c>
      <c r="B6">
        <v>8000</v>
      </c>
      <c r="C6">
        <v>360</v>
      </c>
      <c r="D6">
        <v>1454</v>
      </c>
      <c r="E6">
        <v>0</v>
      </c>
      <c r="F6">
        <v>1070314032</v>
      </c>
      <c r="G6">
        <v>47034806</v>
      </c>
      <c r="H6">
        <v>996691634</v>
      </c>
      <c r="I6">
        <v>1007872490.15</v>
      </c>
      <c r="J6">
        <v>0.26055499999999998</v>
      </c>
      <c r="K6">
        <v>0.159695</v>
      </c>
      <c r="M6" t="s">
        <v>0</v>
      </c>
      <c r="N6">
        <v>8000</v>
      </c>
      <c r="O6">
        <v>360</v>
      </c>
      <c r="P6">
        <v>1497</v>
      </c>
      <c r="Q6">
        <v>0</v>
      </c>
      <c r="R6">
        <v>1095268063</v>
      </c>
      <c r="S6">
        <v>48424849.560000002</v>
      </c>
      <c r="T6">
        <v>1037194976.11</v>
      </c>
      <c r="U6">
        <v>1046189722.03</v>
      </c>
      <c r="V6">
        <v>0.100734</v>
      </c>
      <c r="W6">
        <v>7.136E-3</v>
      </c>
    </row>
    <row r="7" spans="1:23" x14ac:dyDescent="0.35">
      <c r="A7" t="s">
        <v>1</v>
      </c>
      <c r="B7">
        <v>8500</v>
      </c>
      <c r="C7">
        <v>360</v>
      </c>
      <c r="D7">
        <v>158</v>
      </c>
      <c r="E7">
        <v>0</v>
      </c>
      <c r="F7">
        <v>73101374</v>
      </c>
      <c r="G7">
        <v>5947132.4500000002</v>
      </c>
      <c r="H7">
        <v>63549171</v>
      </c>
      <c r="I7">
        <v>64629381.659999996</v>
      </c>
      <c r="J7">
        <v>0.454953</v>
      </c>
      <c r="K7">
        <v>0.34413300000000002</v>
      </c>
      <c r="M7" t="s">
        <v>1</v>
      </c>
      <c r="N7">
        <v>8500</v>
      </c>
      <c r="O7">
        <v>360</v>
      </c>
      <c r="P7">
        <v>175</v>
      </c>
      <c r="Q7">
        <v>0</v>
      </c>
      <c r="R7">
        <v>83472914</v>
      </c>
      <c r="S7">
        <v>6409755.8200000003</v>
      </c>
      <c r="T7">
        <v>75249786.030000001</v>
      </c>
      <c r="U7">
        <v>76926021.680000007</v>
      </c>
      <c r="V7">
        <v>0.23169000000000001</v>
      </c>
      <c r="W7">
        <v>1.9536999999999999E-2</v>
      </c>
    </row>
    <row r="8" spans="1:23" x14ac:dyDescent="0.35">
      <c r="A8" t="s">
        <v>0</v>
      </c>
      <c r="B8">
        <v>8500</v>
      </c>
      <c r="C8">
        <v>360</v>
      </c>
      <c r="D8">
        <v>751</v>
      </c>
      <c r="E8">
        <v>0</v>
      </c>
      <c r="F8">
        <v>343314197</v>
      </c>
      <c r="G8">
        <v>24018905.559999999</v>
      </c>
      <c r="H8">
        <v>303894860</v>
      </c>
      <c r="I8">
        <v>311181643.87</v>
      </c>
      <c r="J8">
        <v>0.42348000000000002</v>
      </c>
      <c r="K8">
        <v>0.24949199999999999</v>
      </c>
      <c r="M8" t="s">
        <v>0</v>
      </c>
      <c r="N8">
        <v>8500</v>
      </c>
      <c r="O8">
        <v>360</v>
      </c>
      <c r="P8">
        <v>795</v>
      </c>
      <c r="Q8">
        <v>0</v>
      </c>
      <c r="R8">
        <v>382699749</v>
      </c>
      <c r="S8">
        <v>25499427.440000001</v>
      </c>
      <c r="T8">
        <v>351905554.64999998</v>
      </c>
      <c r="U8">
        <v>355938720.94</v>
      </c>
      <c r="V8">
        <v>0.15395500000000001</v>
      </c>
      <c r="W8">
        <v>3.8850000000000003E-2</v>
      </c>
    </row>
    <row r="9" spans="1:23" x14ac:dyDescent="0.35">
      <c r="A9" t="s">
        <v>0</v>
      </c>
      <c r="B9">
        <v>6500</v>
      </c>
      <c r="C9">
        <v>360</v>
      </c>
      <c r="D9">
        <v>1875</v>
      </c>
      <c r="E9">
        <v>0</v>
      </c>
      <c r="F9">
        <v>2316037246</v>
      </c>
      <c r="G9">
        <v>65408355.619999997</v>
      </c>
      <c r="H9">
        <v>2211259947.1900001</v>
      </c>
      <c r="I9">
        <v>2230848853.7199998</v>
      </c>
      <c r="J9">
        <v>0.18595100000000001</v>
      </c>
      <c r="K9">
        <v>9.7806000000000004E-2</v>
      </c>
      <c r="M9" t="s">
        <v>0</v>
      </c>
      <c r="N9">
        <v>6500</v>
      </c>
      <c r="O9">
        <v>360</v>
      </c>
      <c r="P9">
        <v>1807</v>
      </c>
      <c r="Q9">
        <v>0</v>
      </c>
      <c r="R9">
        <v>2254844436</v>
      </c>
      <c r="S9">
        <v>62663426.079999998</v>
      </c>
      <c r="T9">
        <v>2173891872.2800002</v>
      </c>
      <c r="U9">
        <v>2192162468.9699998</v>
      </c>
      <c r="V9">
        <v>9.3105999999999994E-2</v>
      </c>
      <c r="W9">
        <v>9.8999999999999994E-5</v>
      </c>
    </row>
    <row r="10" spans="1:23" x14ac:dyDescent="0.35">
      <c r="A10" t="s">
        <v>1</v>
      </c>
      <c r="B10">
        <v>4000</v>
      </c>
      <c r="C10">
        <v>192</v>
      </c>
      <c r="D10">
        <v>6860</v>
      </c>
      <c r="E10">
        <v>0</v>
      </c>
      <c r="F10">
        <v>78587123281</v>
      </c>
      <c r="G10">
        <v>304853601.51999998</v>
      </c>
      <c r="H10">
        <v>77718833724</v>
      </c>
      <c r="I10">
        <v>78102078235.550003</v>
      </c>
      <c r="J10">
        <v>8.2722000000000004E-2</v>
      </c>
      <c r="K10">
        <v>2.717E-2</v>
      </c>
      <c r="M10" t="s">
        <v>1</v>
      </c>
      <c r="N10">
        <v>4000</v>
      </c>
      <c r="O10">
        <v>192</v>
      </c>
      <c r="P10">
        <v>5548</v>
      </c>
      <c r="Q10">
        <v>0</v>
      </c>
      <c r="R10">
        <v>63657355625</v>
      </c>
      <c r="S10">
        <v>246741974.25</v>
      </c>
      <c r="T10">
        <v>63209120141.889999</v>
      </c>
      <c r="U10">
        <v>63398847121.349998</v>
      </c>
      <c r="V10">
        <v>3.7329000000000001E-2</v>
      </c>
      <c r="W10">
        <v>2.2160000000000001E-3</v>
      </c>
    </row>
    <row r="11" spans="1:23" x14ac:dyDescent="0.35">
      <c r="A11" t="s">
        <v>0</v>
      </c>
      <c r="B11">
        <v>4000</v>
      </c>
      <c r="C11">
        <v>192</v>
      </c>
      <c r="D11">
        <v>21986</v>
      </c>
      <c r="E11">
        <v>0</v>
      </c>
      <c r="F11">
        <v>212701560528</v>
      </c>
      <c r="G11">
        <v>823130555.02999997</v>
      </c>
      <c r="H11">
        <v>210654085239</v>
      </c>
      <c r="I11">
        <v>211436995022.54999</v>
      </c>
      <c r="J11">
        <v>6.6929000000000002E-2</v>
      </c>
      <c r="K11">
        <v>2.4622000000000002E-2</v>
      </c>
      <c r="M11" t="s">
        <v>0</v>
      </c>
      <c r="N11">
        <v>4000</v>
      </c>
      <c r="O11">
        <v>192</v>
      </c>
      <c r="P11">
        <v>17856</v>
      </c>
      <c r="Q11">
        <v>0</v>
      </c>
      <c r="R11">
        <v>173274243284</v>
      </c>
      <c r="S11">
        <v>669850934.73000002</v>
      </c>
      <c r="T11">
        <v>171897553558</v>
      </c>
      <c r="U11">
        <v>172548872042.48999</v>
      </c>
      <c r="V11">
        <v>4.7868000000000001E-2</v>
      </c>
      <c r="W11">
        <v>3.8379999999999998E-3</v>
      </c>
    </row>
    <row r="12" spans="1:23" x14ac:dyDescent="0.35">
      <c r="A12" t="s">
        <v>0</v>
      </c>
      <c r="B12">
        <v>4500</v>
      </c>
      <c r="C12">
        <v>192</v>
      </c>
      <c r="D12">
        <v>57290</v>
      </c>
      <c r="E12">
        <v>0</v>
      </c>
      <c r="F12">
        <v>522121718619</v>
      </c>
      <c r="G12">
        <v>2049252029.79</v>
      </c>
      <c r="H12">
        <v>516725094212</v>
      </c>
      <c r="I12">
        <v>519043548719.63</v>
      </c>
      <c r="J12">
        <v>7.4277999999999997E-2</v>
      </c>
      <c r="K12">
        <v>2.3393000000000001E-2</v>
      </c>
      <c r="M12" t="s">
        <v>0</v>
      </c>
      <c r="N12">
        <v>4500</v>
      </c>
      <c r="O12">
        <v>192</v>
      </c>
      <c r="P12">
        <v>56321</v>
      </c>
      <c r="Q12">
        <v>0</v>
      </c>
      <c r="R12">
        <v>517718453000</v>
      </c>
      <c r="S12">
        <v>2020715048.73</v>
      </c>
      <c r="T12">
        <v>513240550451.81</v>
      </c>
      <c r="U12">
        <v>515370611995.14001</v>
      </c>
      <c r="V12">
        <v>5.5490999999999999E-2</v>
      </c>
      <c r="W12">
        <v>7.5560000000000002E-3</v>
      </c>
    </row>
    <row r="13" spans="1:23" x14ac:dyDescent="0.35">
      <c r="A13" t="s">
        <v>0</v>
      </c>
      <c r="B13">
        <v>6250</v>
      </c>
      <c r="C13">
        <v>320</v>
      </c>
      <c r="D13">
        <v>10289</v>
      </c>
      <c r="E13">
        <v>0</v>
      </c>
      <c r="F13">
        <v>39593434952</v>
      </c>
      <c r="G13">
        <v>314517351.25999999</v>
      </c>
      <c r="H13">
        <v>38896450615</v>
      </c>
      <c r="I13">
        <v>39122457851</v>
      </c>
      <c r="J13">
        <v>0.109954</v>
      </c>
      <c r="K13">
        <v>4.6403E-2</v>
      </c>
      <c r="M13" t="s">
        <v>0</v>
      </c>
      <c r="N13">
        <v>4000</v>
      </c>
      <c r="O13">
        <v>168</v>
      </c>
      <c r="P13">
        <v>96398</v>
      </c>
      <c r="Q13">
        <v>0</v>
      </c>
      <c r="R13">
        <v>903243581092</v>
      </c>
      <c r="S13">
        <v>3171112135.9200001</v>
      </c>
      <c r="T13">
        <v>896264090933.43994</v>
      </c>
      <c r="U13">
        <v>899710510596</v>
      </c>
      <c r="V13">
        <v>4.9438999999999997E-2</v>
      </c>
      <c r="W13">
        <v>4.7980000000000002E-3</v>
      </c>
    </row>
    <row r="14" spans="1:23" x14ac:dyDescent="0.35">
      <c r="A14" t="s">
        <v>0</v>
      </c>
      <c r="B14">
        <v>7500</v>
      </c>
      <c r="C14">
        <v>320</v>
      </c>
      <c r="D14">
        <v>4784</v>
      </c>
      <c r="E14">
        <v>0</v>
      </c>
      <c r="F14">
        <v>11744464258</v>
      </c>
      <c r="G14">
        <v>145418919.69</v>
      </c>
      <c r="H14">
        <v>11438689413</v>
      </c>
      <c r="I14">
        <v>11526737897.969999</v>
      </c>
      <c r="J14">
        <v>0.152084</v>
      </c>
      <c r="K14">
        <v>7.1429999999999993E-2</v>
      </c>
      <c r="M14" t="s">
        <v>0</v>
      </c>
      <c r="N14">
        <v>4500</v>
      </c>
      <c r="O14">
        <v>168</v>
      </c>
      <c r="P14">
        <v>26853</v>
      </c>
      <c r="Q14">
        <v>0</v>
      </c>
      <c r="R14">
        <v>225790587063</v>
      </c>
      <c r="S14">
        <v>733833810.79999995</v>
      </c>
      <c r="T14">
        <v>223955910804.14001</v>
      </c>
      <c r="U14">
        <v>224946461655.12</v>
      </c>
      <c r="V14">
        <v>5.6961999999999999E-2</v>
      </c>
      <c r="W14">
        <v>5.8459999999999996E-3</v>
      </c>
    </row>
    <row r="15" spans="1:23" x14ac:dyDescent="0.35">
      <c r="A15" t="s">
        <v>0</v>
      </c>
      <c r="B15">
        <v>8000</v>
      </c>
      <c r="C15">
        <v>320</v>
      </c>
      <c r="D15">
        <v>1919</v>
      </c>
      <c r="E15">
        <v>0</v>
      </c>
      <c r="F15">
        <v>3861141676</v>
      </c>
      <c r="G15">
        <v>58743536.840000004</v>
      </c>
      <c r="H15">
        <v>3746338027</v>
      </c>
      <c r="I15">
        <v>3775270488.3499999</v>
      </c>
      <c r="J15">
        <v>0.160967</v>
      </c>
      <c r="K15">
        <v>8.1127000000000005E-2</v>
      </c>
      <c r="M15" t="s">
        <v>0</v>
      </c>
      <c r="N15">
        <v>7000</v>
      </c>
      <c r="O15">
        <v>320</v>
      </c>
      <c r="P15">
        <v>10125</v>
      </c>
      <c r="Q15">
        <v>0</v>
      </c>
      <c r="R15">
        <v>28961954783</v>
      </c>
      <c r="S15">
        <v>317525712.45999998</v>
      </c>
      <c r="T15">
        <v>28457488841.130001</v>
      </c>
      <c r="U15">
        <v>28616390559.029999</v>
      </c>
      <c r="V15">
        <v>7.4764999999999998E-2</v>
      </c>
      <c r="W15">
        <v>1.1556E-2</v>
      </c>
    </row>
    <row r="16" spans="1:23" x14ac:dyDescent="0.35">
      <c r="A16" t="s">
        <v>0</v>
      </c>
      <c r="B16">
        <v>8500</v>
      </c>
      <c r="C16">
        <v>320</v>
      </c>
      <c r="D16">
        <v>1287</v>
      </c>
      <c r="E16">
        <v>0</v>
      </c>
      <c r="F16">
        <v>2289356316</v>
      </c>
      <c r="G16">
        <v>37845601.770000003</v>
      </c>
      <c r="H16">
        <v>2218041848</v>
      </c>
      <c r="I16">
        <v>2233168411.1700001</v>
      </c>
      <c r="J16">
        <v>0.161991</v>
      </c>
      <c r="K16">
        <v>9.2018000000000003E-2</v>
      </c>
      <c r="M16" t="s">
        <v>0</v>
      </c>
      <c r="N16">
        <v>6250</v>
      </c>
      <c r="O16">
        <v>320</v>
      </c>
      <c r="P16">
        <v>10216</v>
      </c>
      <c r="Q16">
        <v>0</v>
      </c>
      <c r="R16">
        <v>39288724718</v>
      </c>
      <c r="S16">
        <v>310025464.19999999</v>
      </c>
      <c r="T16">
        <v>38764160377.269997</v>
      </c>
      <c r="U16">
        <v>38963689461.010002</v>
      </c>
      <c r="V16">
        <v>6.3593999999999998E-2</v>
      </c>
      <c r="W16">
        <v>4.5750000000000001E-3</v>
      </c>
    </row>
    <row r="17" spans="1:23" x14ac:dyDescent="0.35">
      <c r="A17" t="s">
        <v>1</v>
      </c>
      <c r="B17">
        <v>7000</v>
      </c>
      <c r="C17">
        <v>360</v>
      </c>
      <c r="D17">
        <v>1208</v>
      </c>
      <c r="E17">
        <v>0</v>
      </c>
      <c r="F17">
        <v>1651903608</v>
      </c>
      <c r="G17">
        <v>49973890.119999997</v>
      </c>
      <c r="H17">
        <v>1568241932</v>
      </c>
      <c r="I17">
        <v>1584006576.55</v>
      </c>
      <c r="J17">
        <v>0.219054</v>
      </c>
      <c r="K17">
        <v>0.12270399999999999</v>
      </c>
      <c r="M17" t="s">
        <v>0</v>
      </c>
      <c r="N17">
        <v>7500</v>
      </c>
      <c r="O17">
        <v>320</v>
      </c>
      <c r="P17">
        <v>5069</v>
      </c>
      <c r="Q17">
        <v>0</v>
      </c>
      <c r="R17">
        <v>12360188798</v>
      </c>
      <c r="S17">
        <v>153712056.99000001</v>
      </c>
      <c r="T17">
        <v>12122472730.17</v>
      </c>
      <c r="U17">
        <v>12185698027.02</v>
      </c>
      <c r="V17">
        <v>7.8575999999999993E-2</v>
      </c>
      <c r="W17">
        <v>1.9987999999999999E-2</v>
      </c>
    </row>
    <row r="18" spans="1:23" x14ac:dyDescent="0.35">
      <c r="A18" t="s">
        <v>1</v>
      </c>
      <c r="B18">
        <v>7500</v>
      </c>
      <c r="C18">
        <v>360</v>
      </c>
      <c r="D18">
        <v>605</v>
      </c>
      <c r="E18">
        <v>0</v>
      </c>
      <c r="F18">
        <v>663941540</v>
      </c>
      <c r="G18">
        <v>23809156.420000002</v>
      </c>
      <c r="H18">
        <v>622247349</v>
      </c>
      <c r="I18">
        <v>632734852.04999995</v>
      </c>
      <c r="J18">
        <v>0.27940999999999999</v>
      </c>
      <c r="K18">
        <v>0.125806</v>
      </c>
      <c r="M18" t="s">
        <v>0</v>
      </c>
      <c r="N18">
        <v>8000</v>
      </c>
      <c r="O18">
        <v>320</v>
      </c>
      <c r="P18">
        <v>1977</v>
      </c>
      <c r="Q18">
        <v>0</v>
      </c>
      <c r="R18">
        <v>4023492057</v>
      </c>
      <c r="S18">
        <v>60303164.039999999</v>
      </c>
      <c r="T18">
        <v>3930018541.5500002</v>
      </c>
      <c r="U18">
        <v>3957909420.4400001</v>
      </c>
      <c r="V18">
        <v>9.4564999999999996E-2</v>
      </c>
      <c r="W18">
        <v>1.5633000000000001E-2</v>
      </c>
    </row>
    <row r="19" spans="1:23" x14ac:dyDescent="0.35">
      <c r="A19" t="s">
        <v>2</v>
      </c>
      <c r="B19">
        <v>8000</v>
      </c>
      <c r="C19">
        <v>360</v>
      </c>
      <c r="D19">
        <v>75</v>
      </c>
      <c r="E19">
        <v>0</v>
      </c>
      <c r="F19">
        <v>47384493</v>
      </c>
      <c r="G19">
        <v>2223470.48</v>
      </c>
      <c r="H19">
        <v>44432507</v>
      </c>
      <c r="I19">
        <v>44458834.609999999</v>
      </c>
      <c r="J19">
        <v>0.16966600000000001</v>
      </c>
      <c r="K19">
        <v>0.16402600000000001</v>
      </c>
      <c r="M19" t="s">
        <v>0</v>
      </c>
      <c r="N19">
        <v>8500</v>
      </c>
      <c r="O19">
        <v>320</v>
      </c>
      <c r="P19">
        <v>1305</v>
      </c>
      <c r="Q19">
        <v>0</v>
      </c>
      <c r="R19">
        <v>2365901709</v>
      </c>
      <c r="S19">
        <v>38249675.009999998</v>
      </c>
      <c r="T19">
        <v>2304468620.3699999</v>
      </c>
      <c r="U19">
        <v>2325636483.5300002</v>
      </c>
      <c r="V19">
        <v>0.111453</v>
      </c>
      <c r="W19">
        <v>1.0175E-2</v>
      </c>
    </row>
    <row r="20" spans="1:23" x14ac:dyDescent="0.35">
      <c r="A20" t="s">
        <v>0</v>
      </c>
      <c r="B20">
        <v>6500</v>
      </c>
      <c r="C20">
        <v>320</v>
      </c>
      <c r="D20">
        <v>22183</v>
      </c>
      <c r="E20">
        <v>0</v>
      </c>
      <c r="F20">
        <v>77998539162</v>
      </c>
      <c r="G20">
        <v>686259418.95000005</v>
      </c>
      <c r="H20">
        <v>76585795975</v>
      </c>
      <c r="I20">
        <v>76972558534.949997</v>
      </c>
      <c r="J20">
        <v>0.10621700000000001</v>
      </c>
      <c r="K20">
        <v>5.1032000000000001E-2</v>
      </c>
      <c r="M20" t="s">
        <v>1</v>
      </c>
      <c r="N20">
        <v>7000</v>
      </c>
      <c r="O20">
        <v>320</v>
      </c>
      <c r="P20">
        <v>1083</v>
      </c>
      <c r="Q20">
        <v>0</v>
      </c>
      <c r="R20">
        <v>3248309950</v>
      </c>
      <c r="S20">
        <v>39350650.25</v>
      </c>
      <c r="T20">
        <v>3188314995.8099999</v>
      </c>
      <c r="U20">
        <v>3207850992</v>
      </c>
      <c r="V20">
        <v>7.3654999999999998E-2</v>
      </c>
      <c r="W20">
        <v>4.0870000000000004E-3</v>
      </c>
    </row>
    <row r="21" spans="1:23" x14ac:dyDescent="0.35">
      <c r="A21" t="s">
        <v>1</v>
      </c>
      <c r="B21">
        <v>6000</v>
      </c>
      <c r="C21">
        <v>320</v>
      </c>
      <c r="D21">
        <v>6024</v>
      </c>
      <c r="E21">
        <v>0</v>
      </c>
      <c r="F21">
        <v>25492178378</v>
      </c>
      <c r="G21">
        <v>215685080.78999999</v>
      </c>
      <c r="H21">
        <v>24997571322</v>
      </c>
      <c r="I21">
        <v>25158185328.779999</v>
      </c>
      <c r="J21">
        <v>0.123678</v>
      </c>
      <c r="K21">
        <v>5.4292E-2</v>
      </c>
      <c r="M21" t="s">
        <v>1</v>
      </c>
      <c r="N21">
        <v>7500</v>
      </c>
      <c r="O21">
        <v>320</v>
      </c>
      <c r="P21">
        <v>432</v>
      </c>
      <c r="Q21">
        <v>0</v>
      </c>
      <c r="R21">
        <v>1046923021</v>
      </c>
      <c r="S21">
        <v>14741360.43</v>
      </c>
      <c r="T21">
        <v>1029853575.79</v>
      </c>
      <c r="U21">
        <v>1032181660.5700001</v>
      </c>
      <c r="V21">
        <v>2.6360999999999999E-2</v>
      </c>
      <c r="W21">
        <v>0</v>
      </c>
    </row>
    <row r="22" spans="1:23" x14ac:dyDescent="0.35">
      <c r="A22" t="s">
        <v>0</v>
      </c>
      <c r="B22">
        <v>6000</v>
      </c>
      <c r="C22">
        <v>320</v>
      </c>
      <c r="D22">
        <v>32985</v>
      </c>
      <c r="E22">
        <v>0</v>
      </c>
      <c r="F22">
        <v>128974512844</v>
      </c>
      <c r="G22">
        <v>1062126996.78</v>
      </c>
      <c r="H22">
        <v>126737828188</v>
      </c>
      <c r="I22">
        <v>127439091596.89</v>
      </c>
      <c r="J22">
        <v>0.10397199999999999</v>
      </c>
      <c r="K22">
        <v>4.3158000000000002E-2</v>
      </c>
      <c r="M22" t="s">
        <v>2</v>
      </c>
      <c r="N22">
        <v>8000</v>
      </c>
      <c r="O22">
        <v>360</v>
      </c>
      <c r="P22">
        <v>76</v>
      </c>
      <c r="Q22">
        <v>0</v>
      </c>
      <c r="R22">
        <v>48215266</v>
      </c>
      <c r="S22">
        <v>2306378.56</v>
      </c>
      <c r="T22">
        <v>44647030.009999998</v>
      </c>
      <c r="U22">
        <v>45908887.439999998</v>
      </c>
      <c r="V22">
        <v>0.27257100000000001</v>
      </c>
      <c r="W22">
        <v>0</v>
      </c>
    </row>
    <row r="23" spans="1:23" x14ac:dyDescent="0.35">
      <c r="A23" t="s">
        <v>0</v>
      </c>
      <c r="B23">
        <v>7000</v>
      </c>
      <c r="C23">
        <v>320</v>
      </c>
      <c r="D23">
        <v>9851</v>
      </c>
      <c r="E23">
        <v>0</v>
      </c>
      <c r="F23">
        <v>28214752691</v>
      </c>
      <c r="G23">
        <v>309918463.25999999</v>
      </c>
      <c r="H23">
        <v>27645457478</v>
      </c>
      <c r="I23">
        <v>27764904173.25</v>
      </c>
      <c r="J23">
        <v>0.104905</v>
      </c>
      <c r="K23">
        <v>5.7917000000000003E-2</v>
      </c>
      <c r="M23" t="s">
        <v>0</v>
      </c>
      <c r="N23">
        <v>6500</v>
      </c>
      <c r="O23">
        <v>320</v>
      </c>
      <c r="P23">
        <v>22214</v>
      </c>
      <c r="Q23">
        <v>0</v>
      </c>
      <c r="R23">
        <v>78313810799</v>
      </c>
      <c r="S23">
        <v>684980883.69000006</v>
      </c>
      <c r="T23">
        <v>77206648689.740005</v>
      </c>
      <c r="U23">
        <v>77541384601.539993</v>
      </c>
      <c r="V23">
        <v>6.2807000000000002E-2</v>
      </c>
      <c r="W23">
        <v>1.3317000000000001E-2</v>
      </c>
    </row>
    <row r="24" spans="1:23" x14ac:dyDescent="0.35">
      <c r="A24" t="s">
        <v>0</v>
      </c>
      <c r="B24">
        <v>5500</v>
      </c>
      <c r="C24">
        <v>320</v>
      </c>
      <c r="D24">
        <v>16040</v>
      </c>
      <c r="E24">
        <v>0</v>
      </c>
      <c r="F24">
        <v>66225404349</v>
      </c>
      <c r="G24">
        <v>553961901.62</v>
      </c>
      <c r="H24">
        <v>65079934878</v>
      </c>
      <c r="I24">
        <v>65431340872.650002</v>
      </c>
      <c r="J24">
        <v>0.10206899999999999</v>
      </c>
      <c r="K24">
        <v>4.2648999999999999E-2</v>
      </c>
      <c r="M24" t="s">
        <v>1</v>
      </c>
      <c r="N24">
        <v>6000</v>
      </c>
      <c r="O24">
        <v>320</v>
      </c>
      <c r="P24">
        <v>6045</v>
      </c>
      <c r="Q24">
        <v>0</v>
      </c>
      <c r="R24">
        <v>25644429304</v>
      </c>
      <c r="S24">
        <v>215037084.00999999</v>
      </c>
      <c r="T24">
        <v>25244179063.029999</v>
      </c>
      <c r="U24">
        <v>25420021848.439999</v>
      </c>
      <c r="V24">
        <v>8.3307000000000006E-2</v>
      </c>
      <c r="W24">
        <v>4.3759999999999997E-3</v>
      </c>
    </row>
    <row r="25" spans="1:23" x14ac:dyDescent="0.35">
      <c r="A25" t="s">
        <v>1</v>
      </c>
      <c r="B25">
        <v>5000</v>
      </c>
      <c r="C25">
        <v>320</v>
      </c>
      <c r="D25">
        <v>1537</v>
      </c>
      <c r="E25">
        <v>0</v>
      </c>
      <c r="F25">
        <v>6016802425</v>
      </c>
      <c r="G25">
        <v>53930647.399999999</v>
      </c>
      <c r="H25">
        <v>5890580214</v>
      </c>
      <c r="I25">
        <v>5936121580.4799995</v>
      </c>
      <c r="J25">
        <v>0.135023</v>
      </c>
      <c r="K25">
        <v>5.2066000000000001E-2</v>
      </c>
      <c r="M25" t="s">
        <v>0</v>
      </c>
      <c r="N25">
        <v>6000</v>
      </c>
      <c r="O25">
        <v>320</v>
      </c>
      <c r="P25">
        <v>33039</v>
      </c>
      <c r="Q25">
        <v>0</v>
      </c>
      <c r="R25">
        <v>129955121792</v>
      </c>
      <c r="S25">
        <v>1059976458.99</v>
      </c>
      <c r="T25">
        <v>128187568428.91</v>
      </c>
      <c r="U25">
        <v>128809732566.98</v>
      </c>
      <c r="V25">
        <v>6.3416E-2</v>
      </c>
      <c r="W25">
        <v>7.8589999999999997E-3</v>
      </c>
    </row>
    <row r="26" spans="1:23" x14ac:dyDescent="0.35">
      <c r="A26" t="s">
        <v>0</v>
      </c>
      <c r="B26">
        <v>5000</v>
      </c>
      <c r="C26">
        <v>320</v>
      </c>
      <c r="D26">
        <v>2272</v>
      </c>
      <c r="E26">
        <v>0</v>
      </c>
      <c r="F26">
        <v>9627744902</v>
      </c>
      <c r="G26">
        <v>80151335.489999995</v>
      </c>
      <c r="H26">
        <v>9467853908</v>
      </c>
      <c r="I26">
        <v>9500667885.9300003</v>
      </c>
      <c r="J26">
        <v>9.4982999999999998E-2</v>
      </c>
      <c r="K26">
        <v>5.6945000000000003E-2</v>
      </c>
      <c r="M26" t="s">
        <v>2</v>
      </c>
      <c r="N26">
        <v>6000</v>
      </c>
      <c r="O26">
        <v>320</v>
      </c>
      <c r="P26">
        <v>1623</v>
      </c>
      <c r="Q26">
        <v>0</v>
      </c>
      <c r="R26">
        <v>6013765669</v>
      </c>
      <c r="S26">
        <v>47216607.369999997</v>
      </c>
      <c r="T26">
        <v>5927126767.29</v>
      </c>
      <c r="U26">
        <v>5963695332.8699999</v>
      </c>
      <c r="V26">
        <v>7.5888999999999998E-2</v>
      </c>
      <c r="W26">
        <v>5.6800000000000002E-3</v>
      </c>
    </row>
    <row r="27" spans="1:23" x14ac:dyDescent="0.35">
      <c r="A27" t="s">
        <v>1</v>
      </c>
      <c r="B27">
        <v>6500</v>
      </c>
      <c r="C27">
        <v>320</v>
      </c>
      <c r="D27">
        <v>2599</v>
      </c>
      <c r="E27">
        <v>0</v>
      </c>
      <c r="F27">
        <v>9385165939</v>
      </c>
      <c r="G27">
        <v>89069584.980000004</v>
      </c>
      <c r="H27">
        <v>9181380860</v>
      </c>
      <c r="I27">
        <v>9243208075.1200008</v>
      </c>
      <c r="J27">
        <v>0.137207</v>
      </c>
      <c r="K27">
        <v>6.5567E-2</v>
      </c>
      <c r="M27" t="s">
        <v>0</v>
      </c>
      <c r="N27">
        <v>5500</v>
      </c>
      <c r="O27">
        <v>320</v>
      </c>
      <c r="P27">
        <v>16077</v>
      </c>
      <c r="Q27">
        <v>0</v>
      </c>
      <c r="R27">
        <v>66831453972</v>
      </c>
      <c r="S27">
        <v>553176924.50999999</v>
      </c>
      <c r="T27">
        <v>65912845019.610001</v>
      </c>
      <c r="U27">
        <v>66267621070.089996</v>
      </c>
      <c r="V27">
        <v>6.3677999999999998E-2</v>
      </c>
      <c r="W27">
        <v>1.9120000000000001E-3</v>
      </c>
    </row>
    <row r="28" spans="1:23" x14ac:dyDescent="0.35">
      <c r="A28" t="s">
        <v>0</v>
      </c>
      <c r="B28">
        <v>3500</v>
      </c>
      <c r="C28">
        <v>168</v>
      </c>
      <c r="D28">
        <v>81238</v>
      </c>
      <c r="E28">
        <v>0</v>
      </c>
      <c r="F28">
        <v>857740252174</v>
      </c>
      <c r="G28">
        <v>3121009230.5500002</v>
      </c>
      <c r="H28">
        <v>849922687860</v>
      </c>
      <c r="I28">
        <v>853259744157.69995</v>
      </c>
      <c r="J28">
        <v>6.3763E-2</v>
      </c>
      <c r="K28">
        <v>1.8855E-2</v>
      </c>
      <c r="M28" t="s">
        <v>1</v>
      </c>
      <c r="N28">
        <v>5000</v>
      </c>
      <c r="O28">
        <v>320</v>
      </c>
      <c r="P28">
        <v>1552</v>
      </c>
      <c r="Q28">
        <v>0</v>
      </c>
      <c r="R28">
        <v>6120816297</v>
      </c>
      <c r="S28">
        <v>54183022.43</v>
      </c>
      <c r="T28">
        <v>6033681333.1899996</v>
      </c>
      <c r="U28">
        <v>6064562951.3800001</v>
      </c>
      <c r="V28">
        <v>6.2724000000000002E-2</v>
      </c>
      <c r="W28">
        <v>4.0509999999999999E-3</v>
      </c>
    </row>
    <row r="29" spans="1:23" x14ac:dyDescent="0.35">
      <c r="A29" t="s">
        <v>2</v>
      </c>
      <c r="B29">
        <v>3500</v>
      </c>
      <c r="C29">
        <v>168</v>
      </c>
      <c r="D29">
        <v>15055</v>
      </c>
      <c r="E29">
        <v>0</v>
      </c>
      <c r="F29">
        <v>127613592967</v>
      </c>
      <c r="G29">
        <v>465292949.06</v>
      </c>
      <c r="H29">
        <v>126261918592</v>
      </c>
      <c r="I29">
        <v>126959092181.95</v>
      </c>
      <c r="J29">
        <v>8.0238000000000004E-2</v>
      </c>
      <c r="K29">
        <v>1.7648E-2</v>
      </c>
      <c r="M29" t="s">
        <v>0</v>
      </c>
      <c r="N29">
        <v>5000</v>
      </c>
      <c r="O29">
        <v>320</v>
      </c>
      <c r="P29">
        <v>2255</v>
      </c>
      <c r="Q29">
        <v>0</v>
      </c>
      <c r="R29">
        <v>9594298686</v>
      </c>
      <c r="S29">
        <v>79260163.140000001</v>
      </c>
      <c r="T29">
        <v>9477982633.7600002</v>
      </c>
      <c r="U29">
        <v>9515038522.8600006</v>
      </c>
      <c r="V29">
        <v>4.5374999999999999E-2</v>
      </c>
      <c r="W29">
        <v>0</v>
      </c>
    </row>
    <row r="30" spans="1:23" x14ac:dyDescent="0.35">
      <c r="A30" t="s">
        <v>0</v>
      </c>
      <c r="B30">
        <v>6750</v>
      </c>
      <c r="C30">
        <v>360</v>
      </c>
      <c r="D30">
        <v>949</v>
      </c>
      <c r="E30">
        <v>0</v>
      </c>
      <c r="F30">
        <v>813717282</v>
      </c>
      <c r="G30">
        <v>28654952.079999998</v>
      </c>
      <c r="H30">
        <v>764673001</v>
      </c>
      <c r="I30">
        <v>775565719.65999997</v>
      </c>
      <c r="J30">
        <v>0.262519</v>
      </c>
      <c r="K30">
        <v>0.13139899999999999</v>
      </c>
      <c r="M30" t="s">
        <v>1</v>
      </c>
      <c r="N30">
        <v>6500</v>
      </c>
      <c r="O30">
        <v>320</v>
      </c>
      <c r="P30">
        <v>2617</v>
      </c>
      <c r="Q30">
        <v>0</v>
      </c>
      <c r="R30">
        <v>9492151794</v>
      </c>
      <c r="S30">
        <v>89422255.310000002</v>
      </c>
      <c r="T30">
        <v>9360900097.2000008</v>
      </c>
      <c r="U30">
        <v>9397962114.0100002</v>
      </c>
      <c r="V30">
        <v>5.1617999999999997E-2</v>
      </c>
      <c r="W30">
        <v>6.0099999999999997E-3</v>
      </c>
    </row>
    <row r="31" spans="1:23" x14ac:dyDescent="0.35">
      <c r="A31" t="s">
        <v>0</v>
      </c>
      <c r="B31">
        <v>7250</v>
      </c>
      <c r="C31">
        <v>360</v>
      </c>
      <c r="D31">
        <v>1154</v>
      </c>
      <c r="E31">
        <v>0</v>
      </c>
      <c r="F31">
        <v>1050157439</v>
      </c>
      <c r="G31">
        <v>36694458.149999999</v>
      </c>
      <c r="H31">
        <v>994033587.78999996</v>
      </c>
      <c r="I31">
        <v>998869908.37</v>
      </c>
      <c r="J31">
        <v>0.200762</v>
      </c>
      <c r="K31">
        <v>0.154581</v>
      </c>
      <c r="M31" t="s">
        <v>0</v>
      </c>
      <c r="N31">
        <v>3500</v>
      </c>
      <c r="O31">
        <v>168</v>
      </c>
      <c r="P31">
        <v>81621</v>
      </c>
      <c r="Q31">
        <v>0</v>
      </c>
      <c r="R31">
        <v>865116196056</v>
      </c>
      <c r="S31">
        <v>3127814549.9899998</v>
      </c>
      <c r="T31">
        <v>858831904631.79004</v>
      </c>
      <c r="U31">
        <v>861751079015.28003</v>
      </c>
      <c r="V31">
        <v>4.2915000000000002E-2</v>
      </c>
      <c r="W31">
        <v>3.287E-3</v>
      </c>
    </row>
    <row r="32" spans="1:23" x14ac:dyDescent="0.35">
      <c r="A32" t="s">
        <v>2</v>
      </c>
      <c r="B32">
        <v>7500</v>
      </c>
      <c r="C32">
        <v>360</v>
      </c>
      <c r="D32">
        <v>254</v>
      </c>
      <c r="E32">
        <v>0</v>
      </c>
      <c r="F32">
        <v>234032529</v>
      </c>
      <c r="G32">
        <v>7885346.1600000001</v>
      </c>
      <c r="H32">
        <v>221459262</v>
      </c>
      <c r="I32">
        <v>223887919.19</v>
      </c>
      <c r="J32">
        <v>0.215582</v>
      </c>
      <c r="K32">
        <v>0.109887</v>
      </c>
      <c r="M32" t="s">
        <v>2</v>
      </c>
      <c r="N32">
        <v>3500</v>
      </c>
      <c r="O32">
        <v>168</v>
      </c>
      <c r="P32">
        <v>15142</v>
      </c>
      <c r="Q32">
        <v>0</v>
      </c>
      <c r="R32">
        <v>128860769851</v>
      </c>
      <c r="S32">
        <v>466875467.50999999</v>
      </c>
      <c r="T32">
        <v>127794119807.57001</v>
      </c>
      <c r="U32">
        <v>128374473300.48</v>
      </c>
      <c r="V32">
        <v>5.4445E-2</v>
      </c>
      <c r="W32">
        <v>1.807E-3</v>
      </c>
    </row>
    <row r="33" spans="1:23" x14ac:dyDescent="0.35">
      <c r="A33" t="s">
        <v>0</v>
      </c>
      <c r="B33">
        <v>7750</v>
      </c>
      <c r="C33">
        <v>360</v>
      </c>
      <c r="D33">
        <v>566</v>
      </c>
      <c r="E33">
        <v>0</v>
      </c>
      <c r="F33">
        <v>459548486</v>
      </c>
      <c r="G33">
        <v>17300028.27</v>
      </c>
      <c r="H33">
        <v>433123266</v>
      </c>
      <c r="I33">
        <v>436125686.73000002</v>
      </c>
      <c r="J33">
        <v>0.21390700000000001</v>
      </c>
      <c r="K33">
        <v>0.148671</v>
      </c>
      <c r="M33" t="s">
        <v>0</v>
      </c>
      <c r="N33">
        <v>6750</v>
      </c>
      <c r="O33">
        <v>360</v>
      </c>
      <c r="P33">
        <v>930</v>
      </c>
      <c r="Q33">
        <v>0</v>
      </c>
      <c r="R33">
        <v>805231245</v>
      </c>
      <c r="S33">
        <v>28281756.809999999</v>
      </c>
      <c r="T33">
        <v>770510020.84000003</v>
      </c>
      <c r="U33">
        <v>776949488.19000006</v>
      </c>
      <c r="V33">
        <v>9.1854000000000005E-2</v>
      </c>
      <c r="W33">
        <v>0</v>
      </c>
    </row>
    <row r="34" spans="1:23" x14ac:dyDescent="0.35">
      <c r="A34" t="s">
        <v>1</v>
      </c>
      <c r="B34">
        <v>6500</v>
      </c>
      <c r="C34">
        <v>360</v>
      </c>
      <c r="D34">
        <v>876</v>
      </c>
      <c r="E34">
        <v>0</v>
      </c>
      <c r="F34">
        <v>1238153390</v>
      </c>
      <c r="G34">
        <v>34164961.119999997</v>
      </c>
      <c r="H34">
        <v>1170783834</v>
      </c>
      <c r="I34">
        <v>1187159714.8099999</v>
      </c>
      <c r="J34">
        <v>0.27834500000000001</v>
      </c>
      <c r="K34">
        <v>0.151445</v>
      </c>
      <c r="M34" t="s">
        <v>0</v>
      </c>
      <c r="N34">
        <v>7250</v>
      </c>
      <c r="O34">
        <v>360</v>
      </c>
      <c r="P34">
        <v>1147</v>
      </c>
      <c r="Q34">
        <v>0</v>
      </c>
      <c r="R34">
        <v>1027138851</v>
      </c>
      <c r="S34">
        <v>36108786.130000003</v>
      </c>
      <c r="T34">
        <v>977921861.98000002</v>
      </c>
      <c r="U34">
        <v>990802351.71000004</v>
      </c>
      <c r="V34">
        <v>0.14283799999999999</v>
      </c>
      <c r="W34">
        <v>2.6570000000000001E-3</v>
      </c>
    </row>
    <row r="35" spans="1:23" x14ac:dyDescent="0.35">
      <c r="A35" t="s">
        <v>0</v>
      </c>
      <c r="B35">
        <v>5000</v>
      </c>
      <c r="C35">
        <v>240</v>
      </c>
      <c r="D35">
        <v>219</v>
      </c>
      <c r="E35">
        <v>0</v>
      </c>
      <c r="F35">
        <v>1276279144</v>
      </c>
      <c r="G35">
        <v>7488996.4400000004</v>
      </c>
      <c r="H35">
        <v>1261747578</v>
      </c>
      <c r="I35">
        <v>1265479844.4300001</v>
      </c>
      <c r="J35">
        <v>6.4242999999999995E-2</v>
      </c>
      <c r="K35">
        <v>3.0683999999999999E-2</v>
      </c>
      <c r="M35" t="s">
        <v>2</v>
      </c>
      <c r="N35">
        <v>7500</v>
      </c>
      <c r="O35">
        <v>360</v>
      </c>
      <c r="P35">
        <v>236</v>
      </c>
      <c r="Q35">
        <v>0</v>
      </c>
      <c r="R35">
        <v>214686191</v>
      </c>
      <c r="S35">
        <v>7313867.6299999999</v>
      </c>
      <c r="T35">
        <v>204984709.16</v>
      </c>
      <c r="U35">
        <v>207372323.37</v>
      </c>
      <c r="V35">
        <v>0.12558900000000001</v>
      </c>
      <c r="W35">
        <v>0</v>
      </c>
    </row>
    <row r="36" spans="1:23" x14ac:dyDescent="0.35">
      <c r="A36" t="s">
        <v>0</v>
      </c>
      <c r="B36">
        <v>6000</v>
      </c>
      <c r="C36">
        <v>240</v>
      </c>
      <c r="D36">
        <v>5052</v>
      </c>
      <c r="E36">
        <v>0</v>
      </c>
      <c r="F36">
        <v>29781916798</v>
      </c>
      <c r="G36">
        <v>159763139.75</v>
      </c>
      <c r="H36">
        <v>29431573724</v>
      </c>
      <c r="I36">
        <v>29528669489.029999</v>
      </c>
      <c r="J36">
        <v>7.4144000000000002E-2</v>
      </c>
      <c r="K36">
        <v>3.7024000000000001E-2</v>
      </c>
      <c r="M36" t="s">
        <v>1</v>
      </c>
      <c r="N36">
        <v>7500</v>
      </c>
      <c r="O36">
        <v>360</v>
      </c>
      <c r="P36">
        <v>584</v>
      </c>
      <c r="Q36">
        <v>0</v>
      </c>
      <c r="R36">
        <v>634663967</v>
      </c>
      <c r="S36">
        <v>23051391.800000001</v>
      </c>
      <c r="T36">
        <v>604272184.98000002</v>
      </c>
      <c r="U36">
        <v>609705563.65999997</v>
      </c>
      <c r="V36">
        <v>0.13029199999999999</v>
      </c>
      <c r="W36">
        <v>3.5466999999999999E-2</v>
      </c>
    </row>
    <row r="37" spans="1:23" x14ac:dyDescent="0.35">
      <c r="A37" t="s">
        <v>1</v>
      </c>
      <c r="B37">
        <v>6500</v>
      </c>
      <c r="C37">
        <v>240</v>
      </c>
      <c r="D37">
        <v>944</v>
      </c>
      <c r="E37">
        <v>0</v>
      </c>
      <c r="F37">
        <v>6331025373</v>
      </c>
      <c r="G37">
        <v>33536316.73</v>
      </c>
      <c r="H37">
        <v>6223596507</v>
      </c>
      <c r="I37">
        <v>6278812638.6400003</v>
      </c>
      <c r="J37">
        <v>0.131408</v>
      </c>
      <c r="K37">
        <v>3.4831000000000001E-2</v>
      </c>
      <c r="M37" t="s">
        <v>0</v>
      </c>
      <c r="N37">
        <v>7750</v>
      </c>
      <c r="O37">
        <v>360</v>
      </c>
      <c r="P37">
        <v>557</v>
      </c>
      <c r="Q37">
        <v>0</v>
      </c>
      <c r="R37">
        <v>461519042</v>
      </c>
      <c r="S37">
        <v>17252930.359999999</v>
      </c>
      <c r="T37">
        <v>439960646.87</v>
      </c>
      <c r="U37">
        <v>444266111.63999999</v>
      </c>
      <c r="V37">
        <v>0.106378</v>
      </c>
      <c r="W37">
        <v>0</v>
      </c>
    </row>
    <row r="38" spans="1:23" x14ac:dyDescent="0.35">
      <c r="A38" t="s">
        <v>2</v>
      </c>
      <c r="B38">
        <v>6500</v>
      </c>
      <c r="C38">
        <v>240</v>
      </c>
      <c r="D38">
        <v>1027</v>
      </c>
      <c r="E38">
        <v>0</v>
      </c>
      <c r="F38">
        <v>5259347849</v>
      </c>
      <c r="G38">
        <v>27276046.260000002</v>
      </c>
      <c r="H38">
        <v>5176734924</v>
      </c>
      <c r="I38">
        <v>5224685093.96</v>
      </c>
      <c r="J38">
        <v>0.119203</v>
      </c>
      <c r="K38">
        <v>1.6723999999999999E-2</v>
      </c>
      <c r="M38" t="s">
        <v>1</v>
      </c>
      <c r="N38">
        <v>6500</v>
      </c>
      <c r="O38">
        <v>360</v>
      </c>
      <c r="P38">
        <v>872</v>
      </c>
      <c r="Q38">
        <v>0</v>
      </c>
      <c r="R38">
        <v>1266598517</v>
      </c>
      <c r="S38">
        <v>33898368</v>
      </c>
      <c r="T38">
        <v>1225430270.4200001</v>
      </c>
      <c r="U38">
        <v>1232700149</v>
      </c>
      <c r="V38">
        <v>6.6742999999999997E-2</v>
      </c>
      <c r="W38">
        <v>0</v>
      </c>
    </row>
    <row r="39" spans="1:23" x14ac:dyDescent="0.35">
      <c r="A39" t="s">
        <v>0</v>
      </c>
      <c r="B39">
        <v>4500</v>
      </c>
      <c r="C39">
        <v>144</v>
      </c>
      <c r="D39">
        <v>58719</v>
      </c>
      <c r="E39">
        <v>0</v>
      </c>
      <c r="F39">
        <v>572718715145</v>
      </c>
      <c r="G39">
        <v>1606067163.5999999</v>
      </c>
      <c r="H39">
        <v>567261329811</v>
      </c>
      <c r="I39">
        <v>570259453949.12</v>
      </c>
      <c r="J39">
        <v>7.7776999999999999E-2</v>
      </c>
      <c r="K39">
        <v>1.7731E-2</v>
      </c>
      <c r="M39" t="s">
        <v>0</v>
      </c>
      <c r="N39">
        <v>5000</v>
      </c>
      <c r="O39">
        <v>240</v>
      </c>
      <c r="P39">
        <v>247</v>
      </c>
      <c r="Q39">
        <v>0</v>
      </c>
      <c r="R39">
        <v>1384470770</v>
      </c>
      <c r="S39">
        <v>8252247.1900000004</v>
      </c>
      <c r="T39">
        <v>1353459105.52</v>
      </c>
      <c r="U39">
        <v>1368346576.3199999</v>
      </c>
      <c r="V39">
        <v>0.18037500000000001</v>
      </c>
      <c r="W39">
        <v>6.6137000000000001E-2</v>
      </c>
    </row>
    <row r="40" spans="1:23" x14ac:dyDescent="0.35">
      <c r="A40" t="s">
        <v>1</v>
      </c>
      <c r="B40">
        <v>8000</v>
      </c>
      <c r="C40">
        <v>360</v>
      </c>
      <c r="D40">
        <v>267</v>
      </c>
      <c r="E40">
        <v>0</v>
      </c>
      <c r="F40">
        <v>174655964</v>
      </c>
      <c r="G40">
        <v>10751252.359999999</v>
      </c>
      <c r="H40">
        <v>157652770</v>
      </c>
      <c r="I40">
        <v>160791730.03999999</v>
      </c>
      <c r="J40">
        <v>0.35430299999999998</v>
      </c>
      <c r="K40">
        <v>0.19411200000000001</v>
      </c>
      <c r="M40" t="s">
        <v>0</v>
      </c>
      <c r="N40">
        <v>6000</v>
      </c>
      <c r="O40">
        <v>240</v>
      </c>
      <c r="P40">
        <v>4739</v>
      </c>
      <c r="Q40">
        <v>0</v>
      </c>
      <c r="R40">
        <v>27438399514</v>
      </c>
      <c r="S40">
        <v>148821938.72</v>
      </c>
      <c r="T40">
        <v>27165334333.59</v>
      </c>
      <c r="U40">
        <v>27273599343.470001</v>
      </c>
      <c r="V40">
        <v>5.3004000000000003E-2</v>
      </c>
      <c r="W40">
        <v>6.966E-3</v>
      </c>
    </row>
    <row r="41" spans="1:23" x14ac:dyDescent="0.35">
      <c r="A41" t="s">
        <v>1</v>
      </c>
      <c r="B41">
        <v>9000</v>
      </c>
      <c r="C41">
        <v>360</v>
      </c>
      <c r="D41">
        <v>27</v>
      </c>
      <c r="E41">
        <v>0</v>
      </c>
      <c r="F41">
        <v>8008493</v>
      </c>
      <c r="G41">
        <v>902551.22</v>
      </c>
      <c r="H41">
        <v>6644180</v>
      </c>
      <c r="I41">
        <v>6856891.2000000002</v>
      </c>
      <c r="J41">
        <v>0.50966</v>
      </c>
      <c r="K41">
        <v>0.315527</v>
      </c>
      <c r="M41" t="s">
        <v>1</v>
      </c>
      <c r="N41">
        <v>6500</v>
      </c>
      <c r="O41">
        <v>240</v>
      </c>
      <c r="P41">
        <v>953</v>
      </c>
      <c r="Q41">
        <v>0</v>
      </c>
      <c r="R41">
        <v>6405227911</v>
      </c>
      <c r="S41">
        <v>33672175.310000002</v>
      </c>
      <c r="T41">
        <v>6359417588.8500004</v>
      </c>
      <c r="U41">
        <v>6371555735.6899996</v>
      </c>
      <c r="V41">
        <v>2.2505000000000001E-2</v>
      </c>
      <c r="W41">
        <v>0</v>
      </c>
    </row>
    <row r="42" spans="1:23" x14ac:dyDescent="0.35">
      <c r="A42" t="s">
        <v>2</v>
      </c>
      <c r="B42">
        <v>4500</v>
      </c>
      <c r="C42">
        <v>192</v>
      </c>
      <c r="D42">
        <v>8638</v>
      </c>
      <c r="E42">
        <v>0</v>
      </c>
      <c r="F42">
        <v>64656609018</v>
      </c>
      <c r="G42">
        <v>249944987.61000001</v>
      </c>
      <c r="H42">
        <v>64042654992</v>
      </c>
      <c r="I42">
        <v>64301674609.57</v>
      </c>
      <c r="J42">
        <v>6.5504999999999994E-2</v>
      </c>
      <c r="K42">
        <v>1.9313E-2</v>
      </c>
      <c r="M42" t="s">
        <v>2</v>
      </c>
      <c r="N42">
        <v>6500</v>
      </c>
      <c r="O42">
        <v>240</v>
      </c>
      <c r="P42">
        <v>1008</v>
      </c>
      <c r="Q42">
        <v>0</v>
      </c>
      <c r="R42">
        <v>5158383345</v>
      </c>
      <c r="S42">
        <v>26744988.859999999</v>
      </c>
      <c r="T42">
        <v>5105998087.8299999</v>
      </c>
      <c r="U42">
        <v>5131638356.1400003</v>
      </c>
      <c r="V42">
        <v>5.8042999999999997E-2</v>
      </c>
      <c r="W42">
        <v>0</v>
      </c>
    </row>
    <row r="43" spans="1:23" x14ac:dyDescent="0.35">
      <c r="A43" t="s">
        <v>0</v>
      </c>
      <c r="B43">
        <v>5000</v>
      </c>
      <c r="C43">
        <v>192</v>
      </c>
      <c r="D43">
        <v>53916</v>
      </c>
      <c r="E43">
        <v>0</v>
      </c>
      <c r="F43">
        <v>449511333803</v>
      </c>
      <c r="G43">
        <v>1754753095.8699999</v>
      </c>
      <c r="H43">
        <v>444584517219.75</v>
      </c>
      <c r="I43">
        <v>446716644853.59998</v>
      </c>
      <c r="J43">
        <v>8.1470000000000001E-2</v>
      </c>
      <c r="K43">
        <v>2.7411000000000001E-2</v>
      </c>
      <c r="M43" t="s">
        <v>0</v>
      </c>
      <c r="N43">
        <v>4500</v>
      </c>
      <c r="O43">
        <v>144</v>
      </c>
      <c r="P43">
        <v>59895</v>
      </c>
      <c r="Q43">
        <v>0</v>
      </c>
      <c r="R43">
        <v>581506038753</v>
      </c>
      <c r="S43">
        <v>1630318778.54</v>
      </c>
      <c r="T43">
        <v>577158194496.70996</v>
      </c>
      <c r="U43">
        <v>579624673451.43994</v>
      </c>
      <c r="V43">
        <v>5.466E-2</v>
      </c>
      <c r="W43">
        <v>5.1679999999999999E-3</v>
      </c>
    </row>
    <row r="44" spans="1:23" x14ac:dyDescent="0.35">
      <c r="A44" t="s">
        <v>2</v>
      </c>
      <c r="B44">
        <v>5000</v>
      </c>
      <c r="C44">
        <v>192</v>
      </c>
      <c r="D44">
        <v>6618</v>
      </c>
      <c r="E44">
        <v>0</v>
      </c>
      <c r="F44">
        <v>48244871566</v>
      </c>
      <c r="G44">
        <v>184983703.66999999</v>
      </c>
      <c r="H44">
        <v>47752701057</v>
      </c>
      <c r="I44">
        <v>47972367470.139999</v>
      </c>
      <c r="J44">
        <v>7.3787000000000005E-2</v>
      </c>
      <c r="K44">
        <v>2.1552999999999999E-2</v>
      </c>
      <c r="M44" t="s">
        <v>1</v>
      </c>
      <c r="N44">
        <v>7000</v>
      </c>
      <c r="O44">
        <v>360</v>
      </c>
      <c r="P44">
        <v>1175</v>
      </c>
      <c r="Q44">
        <v>0</v>
      </c>
      <c r="R44">
        <v>1596227336</v>
      </c>
      <c r="S44">
        <v>48290785.380000003</v>
      </c>
      <c r="T44">
        <v>1534529512.23</v>
      </c>
      <c r="U44">
        <v>1547873600.0799999</v>
      </c>
      <c r="V44">
        <v>9.6262E-2</v>
      </c>
      <c r="W44">
        <v>4.73E-4</v>
      </c>
    </row>
    <row r="45" spans="1:23" x14ac:dyDescent="0.35">
      <c r="A45" t="s">
        <v>1</v>
      </c>
      <c r="B45">
        <v>5000</v>
      </c>
      <c r="C45">
        <v>192</v>
      </c>
      <c r="D45">
        <v>4086</v>
      </c>
      <c r="E45">
        <v>0</v>
      </c>
      <c r="F45">
        <v>37035703482</v>
      </c>
      <c r="G45">
        <v>144547544</v>
      </c>
      <c r="H45">
        <v>36604392708</v>
      </c>
      <c r="I45">
        <v>36780154285.050003</v>
      </c>
      <c r="J45">
        <v>8.9057999999999998E-2</v>
      </c>
      <c r="K45">
        <v>3.5379000000000001E-2</v>
      </c>
      <c r="M45" t="s">
        <v>1</v>
      </c>
      <c r="N45">
        <v>8000</v>
      </c>
      <c r="O45">
        <v>360</v>
      </c>
      <c r="P45">
        <v>275</v>
      </c>
      <c r="Q45">
        <v>0</v>
      </c>
      <c r="R45">
        <v>189399599</v>
      </c>
      <c r="S45">
        <v>10956167.619999999</v>
      </c>
      <c r="T45">
        <v>177080541.96000001</v>
      </c>
      <c r="U45">
        <v>178341566.27000001</v>
      </c>
      <c r="V45">
        <v>8.3013000000000003E-2</v>
      </c>
      <c r="W45">
        <v>6.4349999999999997E-3</v>
      </c>
    </row>
    <row r="46" spans="1:23" x14ac:dyDescent="0.35">
      <c r="A46" t="s">
        <v>0</v>
      </c>
      <c r="B46">
        <v>5500</v>
      </c>
      <c r="C46">
        <v>192</v>
      </c>
      <c r="D46">
        <v>16032</v>
      </c>
      <c r="E46">
        <v>0</v>
      </c>
      <c r="F46">
        <v>110609297985</v>
      </c>
      <c r="G46">
        <v>426596124.44</v>
      </c>
      <c r="H46">
        <v>109580968072</v>
      </c>
      <c r="I46">
        <v>109981054000.42999</v>
      </c>
      <c r="J46">
        <v>6.3364000000000004E-2</v>
      </c>
      <c r="K46">
        <v>2.1659000000000001E-2</v>
      </c>
      <c r="M46" t="s">
        <v>1</v>
      </c>
      <c r="N46">
        <v>9000</v>
      </c>
      <c r="O46">
        <v>360</v>
      </c>
      <c r="P46">
        <v>31</v>
      </c>
      <c r="Q46">
        <v>0</v>
      </c>
      <c r="R46">
        <v>9224493</v>
      </c>
      <c r="S46">
        <v>926871.58</v>
      </c>
      <c r="T46">
        <v>8121408.6500000004</v>
      </c>
      <c r="U46">
        <v>8272789.4500000002</v>
      </c>
      <c r="V46">
        <v>0.206618</v>
      </c>
      <c r="W46">
        <v>3.1829999999999997E-2</v>
      </c>
    </row>
    <row r="47" spans="1:23" x14ac:dyDescent="0.35">
      <c r="A47" t="s">
        <v>2</v>
      </c>
      <c r="B47">
        <v>5500</v>
      </c>
      <c r="C47">
        <v>192</v>
      </c>
      <c r="D47">
        <v>3606</v>
      </c>
      <c r="E47">
        <v>0</v>
      </c>
      <c r="F47">
        <v>22819277258</v>
      </c>
      <c r="G47">
        <v>88356856.819999993</v>
      </c>
      <c r="H47">
        <v>22601017610</v>
      </c>
      <c r="I47">
        <v>22687859190.900002</v>
      </c>
      <c r="J47">
        <v>6.6212999999999994E-2</v>
      </c>
      <c r="K47">
        <v>2.2411E-2</v>
      </c>
      <c r="M47" t="s">
        <v>2</v>
      </c>
      <c r="N47">
        <v>4500</v>
      </c>
      <c r="O47">
        <v>192</v>
      </c>
      <c r="P47">
        <v>8634</v>
      </c>
      <c r="Q47">
        <v>0</v>
      </c>
      <c r="R47">
        <v>65000316016</v>
      </c>
      <c r="S47">
        <v>249671495.97</v>
      </c>
      <c r="T47">
        <v>64470800921.519997</v>
      </c>
      <c r="U47">
        <v>64731688665.720001</v>
      </c>
      <c r="V47">
        <v>5.0457000000000002E-2</v>
      </c>
      <c r="W47">
        <v>3.4940000000000001E-3</v>
      </c>
    </row>
    <row r="48" spans="1:23" x14ac:dyDescent="0.35">
      <c r="A48" t="s">
        <v>1</v>
      </c>
      <c r="B48">
        <v>4500</v>
      </c>
      <c r="C48">
        <v>192</v>
      </c>
      <c r="D48">
        <v>8017</v>
      </c>
      <c r="E48">
        <v>0</v>
      </c>
      <c r="F48">
        <v>80294287729</v>
      </c>
      <c r="G48">
        <v>314197890.68000001</v>
      </c>
      <c r="H48">
        <v>79338976418</v>
      </c>
      <c r="I48">
        <v>79785483601.339996</v>
      </c>
      <c r="J48">
        <v>9.1717000000000007E-2</v>
      </c>
      <c r="K48">
        <v>2.8698999999999999E-2</v>
      </c>
      <c r="M48" t="s">
        <v>0</v>
      </c>
      <c r="N48">
        <v>5000</v>
      </c>
      <c r="O48">
        <v>192</v>
      </c>
      <c r="P48">
        <v>56932</v>
      </c>
      <c r="Q48">
        <v>0</v>
      </c>
      <c r="R48">
        <v>478615159784</v>
      </c>
      <c r="S48">
        <v>1860235462.47</v>
      </c>
      <c r="T48">
        <v>474430787971.60999</v>
      </c>
      <c r="U48">
        <v>476463026480.90997</v>
      </c>
      <c r="V48">
        <v>5.6739999999999999E-2</v>
      </c>
      <c r="W48">
        <v>7.2940000000000001E-3</v>
      </c>
    </row>
    <row r="49" spans="1:23" x14ac:dyDescent="0.35">
      <c r="A49" t="s">
        <v>1</v>
      </c>
      <c r="B49">
        <v>5500</v>
      </c>
      <c r="C49">
        <v>192</v>
      </c>
      <c r="D49">
        <v>562</v>
      </c>
      <c r="E49">
        <v>0</v>
      </c>
      <c r="F49">
        <v>4090895147</v>
      </c>
      <c r="G49">
        <v>15737275.99</v>
      </c>
      <c r="H49">
        <v>4049140811</v>
      </c>
      <c r="I49">
        <v>4070198526.4400001</v>
      </c>
      <c r="J49">
        <v>7.3703000000000005E-2</v>
      </c>
      <c r="K49">
        <v>1.4451E-2</v>
      </c>
      <c r="M49" t="s">
        <v>2</v>
      </c>
      <c r="N49">
        <v>5000</v>
      </c>
      <c r="O49">
        <v>192</v>
      </c>
      <c r="P49">
        <v>7003</v>
      </c>
      <c r="Q49">
        <v>0</v>
      </c>
      <c r="R49">
        <v>51254816535</v>
      </c>
      <c r="S49">
        <v>195807345.11000001</v>
      </c>
      <c r="T49">
        <v>50833245035.239998</v>
      </c>
      <c r="U49">
        <v>51029988980.959999</v>
      </c>
      <c r="V49">
        <v>5.1595000000000002E-2</v>
      </c>
      <c r="W49">
        <v>6.7730000000000004E-3</v>
      </c>
    </row>
    <row r="50" spans="1:23" x14ac:dyDescent="0.35">
      <c r="A50" t="s">
        <v>1</v>
      </c>
      <c r="B50">
        <v>5000</v>
      </c>
      <c r="C50">
        <v>216</v>
      </c>
      <c r="D50">
        <v>4689</v>
      </c>
      <c r="E50">
        <v>0</v>
      </c>
      <c r="F50">
        <v>44041513923</v>
      </c>
      <c r="G50">
        <v>194443572.93000001</v>
      </c>
      <c r="H50">
        <v>43498412931</v>
      </c>
      <c r="I50">
        <v>43736714158.849998</v>
      </c>
      <c r="J50">
        <v>9.0969999999999995E-2</v>
      </c>
      <c r="K50">
        <v>2.9658E-2</v>
      </c>
      <c r="M50" t="s">
        <v>1</v>
      </c>
      <c r="N50">
        <v>5000</v>
      </c>
      <c r="O50">
        <v>192</v>
      </c>
      <c r="P50">
        <v>4319</v>
      </c>
      <c r="Q50">
        <v>0</v>
      </c>
      <c r="R50">
        <v>39387857916</v>
      </c>
      <c r="S50">
        <v>153060555.41</v>
      </c>
      <c r="T50">
        <v>38996114072.440002</v>
      </c>
      <c r="U50">
        <v>39180739779.760002</v>
      </c>
      <c r="V50">
        <v>7.0343000000000003E-2</v>
      </c>
      <c r="W50">
        <v>1.6345999999999999E-2</v>
      </c>
    </row>
    <row r="51" spans="1:23" x14ac:dyDescent="0.35">
      <c r="A51" t="s">
        <v>0</v>
      </c>
      <c r="B51">
        <v>9000</v>
      </c>
      <c r="C51">
        <v>360</v>
      </c>
      <c r="D51">
        <v>194</v>
      </c>
      <c r="E51">
        <v>0</v>
      </c>
      <c r="F51">
        <v>82644720</v>
      </c>
      <c r="G51">
        <v>6422180.75</v>
      </c>
      <c r="H51">
        <v>72463578</v>
      </c>
      <c r="I51">
        <v>73189482.409999996</v>
      </c>
      <c r="J51">
        <v>0.42799199999999998</v>
      </c>
      <c r="K51">
        <v>0.36153200000000002</v>
      </c>
      <c r="M51" t="s">
        <v>0</v>
      </c>
      <c r="N51">
        <v>5500</v>
      </c>
      <c r="O51">
        <v>192</v>
      </c>
      <c r="P51">
        <v>18070</v>
      </c>
      <c r="Q51">
        <v>0</v>
      </c>
      <c r="R51">
        <v>126067598083</v>
      </c>
      <c r="S51">
        <v>484457309.43000001</v>
      </c>
      <c r="T51">
        <v>124795717871.28999</v>
      </c>
      <c r="U51">
        <v>125464306580.97</v>
      </c>
      <c r="V51">
        <v>7.2429999999999994E-2</v>
      </c>
      <c r="W51">
        <v>1.1253000000000001E-2</v>
      </c>
    </row>
    <row r="52" spans="1:23" x14ac:dyDescent="0.35">
      <c r="A52" t="s">
        <v>1</v>
      </c>
      <c r="B52">
        <v>6000</v>
      </c>
      <c r="C52">
        <v>360</v>
      </c>
      <c r="D52">
        <v>50</v>
      </c>
      <c r="E52">
        <v>0</v>
      </c>
      <c r="F52">
        <v>65670113</v>
      </c>
      <c r="G52">
        <v>1890331.47</v>
      </c>
      <c r="H52">
        <v>63376194</v>
      </c>
      <c r="I52">
        <v>63376194</v>
      </c>
      <c r="J52">
        <v>7.1305999999999994E-2</v>
      </c>
      <c r="K52">
        <v>7.1305999999999994E-2</v>
      </c>
      <c r="M52" t="s">
        <v>2</v>
      </c>
      <c r="N52">
        <v>5500</v>
      </c>
      <c r="O52">
        <v>192</v>
      </c>
      <c r="P52">
        <v>4063</v>
      </c>
      <c r="Q52">
        <v>0</v>
      </c>
      <c r="R52">
        <v>25764994773</v>
      </c>
      <c r="S52">
        <v>99295989.349999994</v>
      </c>
      <c r="T52">
        <v>25571907659.029999</v>
      </c>
      <c r="U52">
        <v>25638804553.029999</v>
      </c>
      <c r="V52">
        <v>4.2819000000000003E-2</v>
      </c>
      <c r="W52">
        <v>1.2454E-2</v>
      </c>
    </row>
    <row r="53" spans="1:23" x14ac:dyDescent="0.35">
      <c r="A53" t="s">
        <v>0</v>
      </c>
      <c r="B53">
        <v>6000</v>
      </c>
      <c r="C53">
        <v>360</v>
      </c>
      <c r="D53">
        <v>428</v>
      </c>
      <c r="E53">
        <v>0</v>
      </c>
      <c r="F53">
        <v>439005034</v>
      </c>
      <c r="G53">
        <v>12443702.93</v>
      </c>
      <c r="H53">
        <v>414093454</v>
      </c>
      <c r="I53">
        <v>422561662.75999999</v>
      </c>
      <c r="J53">
        <v>0.29230099999999998</v>
      </c>
      <c r="K53">
        <v>0.104014</v>
      </c>
      <c r="M53" t="s">
        <v>1</v>
      </c>
      <c r="N53">
        <v>4500</v>
      </c>
      <c r="O53">
        <v>192</v>
      </c>
      <c r="P53">
        <v>8007</v>
      </c>
      <c r="Q53">
        <v>0</v>
      </c>
      <c r="R53">
        <v>80641890025</v>
      </c>
      <c r="S53">
        <v>313647227.19</v>
      </c>
      <c r="T53">
        <v>79841710857.070007</v>
      </c>
      <c r="U53">
        <v>80229251634.339996</v>
      </c>
      <c r="V53">
        <v>7.0043999999999995E-2</v>
      </c>
      <c r="W53">
        <v>1.4631E-2</v>
      </c>
    </row>
    <row r="54" spans="1:23" x14ac:dyDescent="0.35">
      <c r="A54" t="s">
        <v>0</v>
      </c>
      <c r="B54">
        <v>4750</v>
      </c>
      <c r="C54">
        <v>192</v>
      </c>
      <c r="D54">
        <v>48739</v>
      </c>
      <c r="E54">
        <v>0</v>
      </c>
      <c r="F54">
        <v>422329914313</v>
      </c>
      <c r="G54">
        <v>1630016861.97</v>
      </c>
      <c r="H54">
        <v>417829840485</v>
      </c>
      <c r="I54">
        <v>419695684777.09003</v>
      </c>
      <c r="J54">
        <v>7.8569E-2</v>
      </c>
      <c r="K54">
        <v>2.8163000000000001E-2</v>
      </c>
      <c r="M54" t="s">
        <v>1</v>
      </c>
      <c r="N54">
        <v>5500</v>
      </c>
      <c r="O54">
        <v>192</v>
      </c>
      <c r="P54">
        <v>653</v>
      </c>
      <c r="Q54">
        <v>0</v>
      </c>
      <c r="R54">
        <v>4780695214</v>
      </c>
      <c r="S54">
        <v>18346306.57</v>
      </c>
      <c r="T54">
        <v>4734993496.8999996</v>
      </c>
      <c r="U54">
        <v>4762348907.4300003</v>
      </c>
      <c r="V54">
        <v>6.6544000000000006E-2</v>
      </c>
      <c r="W54">
        <v>0</v>
      </c>
    </row>
    <row r="55" spans="1:23" x14ac:dyDescent="0.35">
      <c r="A55" t="s">
        <v>0</v>
      </c>
      <c r="B55">
        <v>3750</v>
      </c>
      <c r="C55">
        <v>192</v>
      </c>
      <c r="D55">
        <v>9783</v>
      </c>
      <c r="E55">
        <v>0</v>
      </c>
      <c r="F55">
        <v>100371975204</v>
      </c>
      <c r="G55">
        <v>390505705.75999999</v>
      </c>
      <c r="H55">
        <v>99349231606</v>
      </c>
      <c r="I55">
        <v>99782899084.169998</v>
      </c>
      <c r="J55">
        <v>7.3023000000000005E-2</v>
      </c>
      <c r="K55">
        <v>2.3484000000000001E-2</v>
      </c>
      <c r="M55" t="s">
        <v>1</v>
      </c>
      <c r="N55">
        <v>5000</v>
      </c>
      <c r="O55">
        <v>216</v>
      </c>
      <c r="P55">
        <v>4522</v>
      </c>
      <c r="Q55">
        <v>0</v>
      </c>
      <c r="R55">
        <v>42559890099</v>
      </c>
      <c r="S55">
        <v>186819160.90000001</v>
      </c>
      <c r="T55">
        <v>42179156499.389999</v>
      </c>
      <c r="U55">
        <v>42356336838.360001</v>
      </c>
      <c r="V55">
        <v>5.3325999999999998E-2</v>
      </c>
      <c r="W55">
        <v>4.7080000000000004E-3</v>
      </c>
    </row>
    <row r="56" spans="1:23" x14ac:dyDescent="0.35">
      <c r="A56" t="s">
        <v>1</v>
      </c>
      <c r="B56">
        <v>4750</v>
      </c>
      <c r="C56">
        <v>192</v>
      </c>
      <c r="D56">
        <v>6007</v>
      </c>
      <c r="E56">
        <v>0</v>
      </c>
      <c r="F56">
        <v>57396619276</v>
      </c>
      <c r="G56">
        <v>220962588.88</v>
      </c>
      <c r="H56">
        <v>56795410654</v>
      </c>
      <c r="I56">
        <v>57064420545.019997</v>
      </c>
      <c r="J56">
        <v>7.6664999999999997E-2</v>
      </c>
      <c r="K56">
        <v>2.3009999999999999E-2</v>
      </c>
      <c r="M56" t="s">
        <v>0</v>
      </c>
      <c r="N56">
        <v>9000</v>
      </c>
      <c r="O56">
        <v>360</v>
      </c>
      <c r="P56">
        <v>213</v>
      </c>
      <c r="Q56">
        <v>0</v>
      </c>
      <c r="R56">
        <v>93713214</v>
      </c>
      <c r="S56">
        <v>6856420.71</v>
      </c>
      <c r="T56">
        <v>84935859.579999998</v>
      </c>
      <c r="U56">
        <v>86659980.640000001</v>
      </c>
      <c r="V56">
        <v>0.220055</v>
      </c>
      <c r="W56">
        <v>2.4913000000000001E-2</v>
      </c>
    </row>
    <row r="57" spans="1:23" x14ac:dyDescent="0.35">
      <c r="A57" t="s">
        <v>0</v>
      </c>
      <c r="B57">
        <v>20000</v>
      </c>
      <c r="C57">
        <v>360</v>
      </c>
      <c r="D57">
        <v>23</v>
      </c>
      <c r="E57">
        <v>0</v>
      </c>
      <c r="F57">
        <v>11035716</v>
      </c>
      <c r="G57">
        <v>896274.77</v>
      </c>
      <c r="H57">
        <v>9822163</v>
      </c>
      <c r="I57">
        <v>9847597.9700000007</v>
      </c>
      <c r="J57">
        <v>0.29535299999999998</v>
      </c>
      <c r="K57">
        <v>0.27502300000000002</v>
      </c>
      <c r="M57" t="s">
        <v>1</v>
      </c>
      <c r="N57">
        <v>6000</v>
      </c>
      <c r="O57">
        <v>360</v>
      </c>
      <c r="P57">
        <v>47</v>
      </c>
      <c r="Q57">
        <v>0</v>
      </c>
      <c r="R57">
        <v>64093735</v>
      </c>
      <c r="S57">
        <v>1814553.54</v>
      </c>
      <c r="T57">
        <v>60278277.079999998</v>
      </c>
      <c r="U57">
        <v>62279181.460000001</v>
      </c>
      <c r="V57">
        <v>0.31654399999999999</v>
      </c>
      <c r="W57">
        <v>0</v>
      </c>
    </row>
    <row r="58" spans="1:23" x14ac:dyDescent="0.35">
      <c r="A58" t="s">
        <v>2</v>
      </c>
      <c r="B58">
        <v>4250</v>
      </c>
      <c r="C58">
        <v>192</v>
      </c>
      <c r="D58">
        <v>5156</v>
      </c>
      <c r="E58">
        <v>0</v>
      </c>
      <c r="F58">
        <v>40089297357</v>
      </c>
      <c r="G58">
        <v>152206648.69999999</v>
      </c>
      <c r="H58">
        <v>39650347730</v>
      </c>
      <c r="I58">
        <v>39878165127.529999</v>
      </c>
      <c r="J58">
        <v>8.2533999999999996E-2</v>
      </c>
      <c r="K58">
        <v>1.7496000000000001E-2</v>
      </c>
      <c r="M58" t="s">
        <v>0</v>
      </c>
      <c r="N58">
        <v>6000</v>
      </c>
      <c r="O58">
        <v>360</v>
      </c>
      <c r="P58">
        <v>378</v>
      </c>
      <c r="Q58">
        <v>0</v>
      </c>
      <c r="R58">
        <v>389657128</v>
      </c>
      <c r="S58">
        <v>11085227.939999999</v>
      </c>
      <c r="T58">
        <v>374063765.87</v>
      </c>
      <c r="U58">
        <v>378571900.06</v>
      </c>
      <c r="V58">
        <v>0.130332</v>
      </c>
      <c r="W58">
        <v>0</v>
      </c>
    </row>
    <row r="59" spans="1:23" x14ac:dyDescent="0.35">
      <c r="A59" t="s">
        <v>2</v>
      </c>
      <c r="B59">
        <v>4500</v>
      </c>
      <c r="C59">
        <v>144</v>
      </c>
      <c r="D59">
        <v>10445</v>
      </c>
      <c r="E59">
        <v>0</v>
      </c>
      <c r="F59">
        <v>83528721063</v>
      </c>
      <c r="G59">
        <v>237500337.46000001</v>
      </c>
      <c r="H59">
        <v>82783055092</v>
      </c>
      <c r="I59">
        <v>83206559489.020004</v>
      </c>
      <c r="J59">
        <v>7.0610999999999993E-2</v>
      </c>
      <c r="K59">
        <v>1.2095E-2</v>
      </c>
      <c r="M59" t="s">
        <v>0</v>
      </c>
      <c r="N59">
        <v>4750</v>
      </c>
      <c r="O59">
        <v>192</v>
      </c>
      <c r="P59">
        <v>49234</v>
      </c>
      <c r="Q59">
        <v>0</v>
      </c>
      <c r="R59">
        <v>429338516120</v>
      </c>
      <c r="S59">
        <v>1646434124.77</v>
      </c>
      <c r="T59">
        <v>425377466733.63</v>
      </c>
      <c r="U59">
        <v>427413287830.84998</v>
      </c>
      <c r="V59">
        <v>6.2809000000000004E-2</v>
      </c>
      <c r="W59">
        <v>7.7650000000000002E-3</v>
      </c>
    </row>
    <row r="60" spans="1:23" x14ac:dyDescent="0.35">
      <c r="A60" t="s">
        <v>1</v>
      </c>
      <c r="B60">
        <v>5500</v>
      </c>
      <c r="C60">
        <v>240</v>
      </c>
      <c r="D60">
        <v>213</v>
      </c>
      <c r="E60">
        <v>0</v>
      </c>
      <c r="F60">
        <v>1600090635</v>
      </c>
      <c r="G60">
        <v>8885193.4600000009</v>
      </c>
      <c r="H60">
        <v>1588478733</v>
      </c>
      <c r="I60">
        <v>1588478733</v>
      </c>
      <c r="J60">
        <v>2.0258999999999999E-2</v>
      </c>
      <c r="K60">
        <v>2.0258999999999999E-2</v>
      </c>
      <c r="M60" t="s">
        <v>0</v>
      </c>
      <c r="N60">
        <v>3750</v>
      </c>
      <c r="O60">
        <v>192</v>
      </c>
      <c r="P60">
        <v>7364</v>
      </c>
      <c r="Q60">
        <v>0</v>
      </c>
      <c r="R60">
        <v>75445917580</v>
      </c>
      <c r="S60">
        <v>292875800.01999998</v>
      </c>
      <c r="T60">
        <v>74752288530.210007</v>
      </c>
      <c r="U60">
        <v>75139965392.699997</v>
      </c>
      <c r="V60">
        <v>6.1912000000000002E-2</v>
      </c>
      <c r="W60">
        <v>2.078E-3</v>
      </c>
    </row>
    <row r="61" spans="1:23" x14ac:dyDescent="0.35">
      <c r="A61" t="s">
        <v>0</v>
      </c>
      <c r="B61">
        <v>5500</v>
      </c>
      <c r="C61">
        <v>240</v>
      </c>
      <c r="D61">
        <v>1297</v>
      </c>
      <c r="E61">
        <v>0</v>
      </c>
      <c r="F61">
        <v>7804732517</v>
      </c>
      <c r="G61">
        <v>43450298.829999998</v>
      </c>
      <c r="H61">
        <v>7710469433</v>
      </c>
      <c r="I61">
        <v>7745253583.1999998</v>
      </c>
      <c r="J61">
        <v>7.5387999999999997E-2</v>
      </c>
      <c r="K61">
        <v>2.4368000000000001E-2</v>
      </c>
      <c r="M61" t="s">
        <v>1</v>
      </c>
      <c r="N61">
        <v>4750</v>
      </c>
      <c r="O61">
        <v>192</v>
      </c>
      <c r="P61">
        <v>6119</v>
      </c>
      <c r="Q61">
        <v>0</v>
      </c>
      <c r="R61">
        <v>58913604875</v>
      </c>
      <c r="S61">
        <v>225486704.86000001</v>
      </c>
      <c r="T61">
        <v>58398679602.510002</v>
      </c>
      <c r="U61">
        <v>58682413165.739998</v>
      </c>
      <c r="V61">
        <v>5.7388000000000002E-2</v>
      </c>
      <c r="W61">
        <v>1.1609999999999999E-3</v>
      </c>
    </row>
    <row r="62" spans="1:23" x14ac:dyDescent="0.35">
      <c r="A62" t="s">
        <v>0</v>
      </c>
      <c r="B62">
        <v>6500</v>
      </c>
      <c r="C62">
        <v>240</v>
      </c>
      <c r="D62">
        <v>9538</v>
      </c>
      <c r="E62">
        <v>0</v>
      </c>
      <c r="F62">
        <v>54325811198</v>
      </c>
      <c r="G62">
        <v>283207125.66000003</v>
      </c>
      <c r="H62">
        <v>53592415945</v>
      </c>
      <c r="I62">
        <v>53873706838.989998</v>
      </c>
      <c r="J62">
        <v>9.5032000000000005E-2</v>
      </c>
      <c r="K62">
        <v>3.6676E-2</v>
      </c>
      <c r="M62" t="s">
        <v>0</v>
      </c>
      <c r="N62">
        <v>20000</v>
      </c>
      <c r="O62">
        <v>360</v>
      </c>
      <c r="P62">
        <v>24</v>
      </c>
      <c r="Q62">
        <v>0</v>
      </c>
      <c r="R62">
        <v>12151933</v>
      </c>
      <c r="S62">
        <v>903439.65</v>
      </c>
      <c r="T62">
        <v>11201813.9</v>
      </c>
      <c r="U62">
        <v>11248493.35</v>
      </c>
      <c r="V62">
        <v>4.5134000000000001E-2</v>
      </c>
      <c r="W62">
        <v>0</v>
      </c>
    </row>
    <row r="63" spans="1:23" x14ac:dyDescent="0.35">
      <c r="A63" t="s">
        <v>0</v>
      </c>
      <c r="B63">
        <v>7000</v>
      </c>
      <c r="C63">
        <v>240</v>
      </c>
      <c r="D63">
        <v>5123</v>
      </c>
      <c r="E63">
        <v>0</v>
      </c>
      <c r="F63">
        <v>26170443923</v>
      </c>
      <c r="G63">
        <v>131646262.43000001</v>
      </c>
      <c r="H63">
        <v>25789778913</v>
      </c>
      <c r="I63">
        <v>25924727651.610001</v>
      </c>
      <c r="J63">
        <v>0.108393</v>
      </c>
      <c r="K63">
        <v>5.1069000000000003E-2</v>
      </c>
      <c r="M63" t="s">
        <v>2</v>
      </c>
      <c r="N63">
        <v>4250</v>
      </c>
      <c r="O63">
        <v>192</v>
      </c>
      <c r="P63">
        <v>4611</v>
      </c>
      <c r="Q63">
        <v>0</v>
      </c>
      <c r="R63">
        <v>36463938430</v>
      </c>
      <c r="S63">
        <v>137892559.31999999</v>
      </c>
      <c r="T63">
        <v>36195933195.029999</v>
      </c>
      <c r="U63">
        <v>36326045870.68</v>
      </c>
      <c r="V63">
        <v>4.1988999999999999E-2</v>
      </c>
      <c r="W63">
        <v>0</v>
      </c>
    </row>
    <row r="64" spans="1:23" x14ac:dyDescent="0.35">
      <c r="A64" t="s">
        <v>0</v>
      </c>
      <c r="B64">
        <v>5250</v>
      </c>
      <c r="C64">
        <v>192</v>
      </c>
      <c r="D64">
        <v>29894</v>
      </c>
      <c r="E64">
        <v>0</v>
      </c>
      <c r="F64">
        <v>227496802285</v>
      </c>
      <c r="G64">
        <v>882885938.53999996</v>
      </c>
      <c r="H64">
        <v>224923343371</v>
      </c>
      <c r="I64">
        <v>226112967986.84</v>
      </c>
      <c r="J64">
        <v>8.5618E-2</v>
      </c>
      <c r="K64">
        <v>2.6106000000000001E-2</v>
      </c>
      <c r="M64" t="s">
        <v>2</v>
      </c>
      <c r="N64">
        <v>4500</v>
      </c>
      <c r="O64">
        <v>144</v>
      </c>
      <c r="P64">
        <v>10768</v>
      </c>
      <c r="Q64">
        <v>0</v>
      </c>
      <c r="R64">
        <v>86607020233</v>
      </c>
      <c r="S64">
        <v>246097298.52000001</v>
      </c>
      <c r="T64">
        <v>85861281471.199997</v>
      </c>
      <c r="U64">
        <v>86303501878.039993</v>
      </c>
      <c r="V64">
        <v>6.7073999999999995E-2</v>
      </c>
      <c r="W64">
        <v>7.927E-3</v>
      </c>
    </row>
    <row r="65" spans="1:23" x14ac:dyDescent="0.35">
      <c r="A65" t="s">
        <v>1</v>
      </c>
      <c r="B65">
        <v>6000</v>
      </c>
      <c r="C65">
        <v>240</v>
      </c>
      <c r="D65">
        <v>719</v>
      </c>
      <c r="E65">
        <v>0</v>
      </c>
      <c r="F65">
        <v>5311001049</v>
      </c>
      <c r="G65">
        <v>28931949.84</v>
      </c>
      <c r="H65">
        <v>5235272054</v>
      </c>
      <c r="I65">
        <v>5265015150.4399996</v>
      </c>
      <c r="J65">
        <v>0.100759</v>
      </c>
      <c r="K65">
        <v>3.7858999999999997E-2</v>
      </c>
      <c r="M65" t="s">
        <v>1</v>
      </c>
      <c r="N65">
        <v>5500</v>
      </c>
      <c r="O65">
        <v>240</v>
      </c>
      <c r="P65">
        <v>198</v>
      </c>
      <c r="Q65">
        <v>0</v>
      </c>
      <c r="R65">
        <v>1489191566</v>
      </c>
      <c r="S65">
        <v>8387927.25</v>
      </c>
      <c r="T65">
        <v>1455259346.53</v>
      </c>
      <c r="U65">
        <v>1480803638.75</v>
      </c>
      <c r="V65">
        <v>0.18748699999999999</v>
      </c>
      <c r="W65">
        <v>0</v>
      </c>
    </row>
    <row r="66" spans="1:23" x14ac:dyDescent="0.35">
      <c r="A66" t="s">
        <v>1</v>
      </c>
      <c r="B66">
        <v>7000</v>
      </c>
      <c r="C66">
        <v>240</v>
      </c>
      <c r="D66">
        <v>274</v>
      </c>
      <c r="E66">
        <v>0</v>
      </c>
      <c r="F66">
        <v>1587918224</v>
      </c>
      <c r="G66">
        <v>8059911.9699999997</v>
      </c>
      <c r="H66">
        <v>1561181508</v>
      </c>
      <c r="I66">
        <v>1575108314.02</v>
      </c>
      <c r="J66">
        <v>0.13236000000000001</v>
      </c>
      <c r="K66">
        <v>3.5311000000000002E-2</v>
      </c>
      <c r="M66" t="s">
        <v>0</v>
      </c>
      <c r="N66">
        <v>5500</v>
      </c>
      <c r="O66">
        <v>240</v>
      </c>
      <c r="P66">
        <v>1218</v>
      </c>
      <c r="Q66">
        <v>0</v>
      </c>
      <c r="R66">
        <v>7018126553</v>
      </c>
      <c r="S66">
        <v>39951140.030000001</v>
      </c>
      <c r="T66">
        <v>6912652883.4399996</v>
      </c>
      <c r="U66">
        <v>6973222395.3500004</v>
      </c>
      <c r="V66">
        <v>0.106457</v>
      </c>
      <c r="W66">
        <v>8.4360000000000008E-3</v>
      </c>
    </row>
    <row r="67" spans="1:23" x14ac:dyDescent="0.35">
      <c r="A67" t="s">
        <v>1</v>
      </c>
      <c r="B67">
        <v>7000</v>
      </c>
      <c r="C67">
        <v>320</v>
      </c>
      <c r="D67">
        <v>994</v>
      </c>
      <c r="E67">
        <v>0</v>
      </c>
      <c r="F67">
        <v>3049826178</v>
      </c>
      <c r="G67">
        <v>36169528.130000003</v>
      </c>
      <c r="H67">
        <v>2965908098</v>
      </c>
      <c r="I67">
        <v>2994428628.02</v>
      </c>
      <c r="J67">
        <v>0.172512</v>
      </c>
      <c r="K67">
        <v>7.3086999999999999E-2</v>
      </c>
      <c r="M67" t="s">
        <v>0</v>
      </c>
      <c r="N67">
        <v>6500</v>
      </c>
      <c r="O67">
        <v>240</v>
      </c>
      <c r="P67">
        <v>9324</v>
      </c>
      <c r="Q67">
        <v>0</v>
      </c>
      <c r="R67">
        <v>52843551515</v>
      </c>
      <c r="S67">
        <v>275361616.44</v>
      </c>
      <c r="T67">
        <v>52342486795.690002</v>
      </c>
      <c r="U67">
        <v>52522317688.120003</v>
      </c>
      <c r="V67">
        <v>5.0067E-2</v>
      </c>
      <c r="W67">
        <v>1.0366999999999999E-2</v>
      </c>
    </row>
    <row r="68" spans="1:23" x14ac:dyDescent="0.35">
      <c r="A68" t="s">
        <v>1</v>
      </c>
      <c r="B68">
        <v>5500</v>
      </c>
      <c r="C68">
        <v>320</v>
      </c>
      <c r="D68">
        <v>4872</v>
      </c>
      <c r="E68">
        <v>0</v>
      </c>
      <c r="F68">
        <v>21014173612</v>
      </c>
      <c r="G68">
        <v>178196505.31999999</v>
      </c>
      <c r="H68">
        <v>20645383360</v>
      </c>
      <c r="I68">
        <v>20742633148.27</v>
      </c>
      <c r="J68">
        <v>0.10356899999999999</v>
      </c>
      <c r="K68">
        <v>5.2019999999999997E-2</v>
      </c>
      <c r="M68" t="s">
        <v>0</v>
      </c>
      <c r="N68">
        <v>7000</v>
      </c>
      <c r="O68">
        <v>240</v>
      </c>
      <c r="P68">
        <v>5056</v>
      </c>
      <c r="Q68">
        <v>0</v>
      </c>
      <c r="R68">
        <v>25871065642</v>
      </c>
      <c r="S68">
        <v>129338991.87</v>
      </c>
      <c r="T68">
        <v>25573591558.240002</v>
      </c>
      <c r="U68">
        <v>25715331495.93</v>
      </c>
      <c r="V68">
        <v>7.5259000000000006E-2</v>
      </c>
      <c r="W68">
        <v>1.2175E-2</v>
      </c>
    </row>
    <row r="69" spans="1:23" x14ac:dyDescent="0.35">
      <c r="A69" t="s">
        <v>1</v>
      </c>
      <c r="B69">
        <v>5000</v>
      </c>
      <c r="C69">
        <v>240</v>
      </c>
      <c r="D69">
        <v>33</v>
      </c>
      <c r="E69">
        <v>0</v>
      </c>
      <c r="F69">
        <v>252689944</v>
      </c>
      <c r="G69">
        <v>1464466.9</v>
      </c>
      <c r="H69">
        <v>250483884</v>
      </c>
      <c r="I69">
        <v>250483884</v>
      </c>
      <c r="J69">
        <v>3.4654999999999998E-2</v>
      </c>
      <c r="K69">
        <v>3.4654999999999998E-2</v>
      </c>
      <c r="M69" t="s">
        <v>0</v>
      </c>
      <c r="N69">
        <v>5250</v>
      </c>
      <c r="O69">
        <v>192</v>
      </c>
      <c r="P69">
        <v>32549</v>
      </c>
      <c r="Q69">
        <v>0</v>
      </c>
      <c r="R69">
        <v>249847164454</v>
      </c>
      <c r="S69">
        <v>965829532.5</v>
      </c>
      <c r="T69">
        <v>247567739494.07001</v>
      </c>
      <c r="U69">
        <v>248793290426.91</v>
      </c>
      <c r="V69">
        <v>6.1297999999999998E-2</v>
      </c>
      <c r="W69">
        <v>4.2209999999999999E-3</v>
      </c>
    </row>
    <row r="70" spans="1:23" x14ac:dyDescent="0.35">
      <c r="A70" t="s">
        <v>0</v>
      </c>
      <c r="B70">
        <v>5500</v>
      </c>
      <c r="C70">
        <v>216</v>
      </c>
      <c r="D70">
        <v>50576</v>
      </c>
      <c r="E70">
        <v>0</v>
      </c>
      <c r="F70">
        <v>385914925456</v>
      </c>
      <c r="G70">
        <v>1643282279.4100001</v>
      </c>
      <c r="H70">
        <v>381757439140</v>
      </c>
      <c r="I70">
        <v>383386348394.53003</v>
      </c>
      <c r="J70">
        <v>7.5438000000000005E-2</v>
      </c>
      <c r="K70">
        <v>2.7184E-2</v>
      </c>
      <c r="M70" t="s">
        <v>1</v>
      </c>
      <c r="N70">
        <v>6000</v>
      </c>
      <c r="O70">
        <v>240</v>
      </c>
      <c r="P70">
        <v>720</v>
      </c>
      <c r="Q70">
        <v>0</v>
      </c>
      <c r="R70">
        <v>5260494604</v>
      </c>
      <c r="S70">
        <v>28923323.620000001</v>
      </c>
      <c r="T70">
        <v>5204087258.5299997</v>
      </c>
      <c r="U70">
        <v>5231571280.3800001</v>
      </c>
      <c r="V70">
        <v>6.0925E-2</v>
      </c>
      <c r="W70">
        <v>0</v>
      </c>
    </row>
    <row r="71" spans="1:23" x14ac:dyDescent="0.35">
      <c r="A71" t="s">
        <v>0</v>
      </c>
      <c r="B71">
        <v>6000</v>
      </c>
      <c r="C71">
        <v>216</v>
      </c>
      <c r="D71">
        <v>18016</v>
      </c>
      <c r="E71">
        <v>0</v>
      </c>
      <c r="F71">
        <v>122746719232</v>
      </c>
      <c r="G71">
        <v>539611628.88</v>
      </c>
      <c r="H71">
        <v>121318114024</v>
      </c>
      <c r="I71">
        <v>121927110301.62</v>
      </c>
      <c r="J71">
        <v>8.3529999999999993E-2</v>
      </c>
      <c r="K71">
        <v>2.7032E-2</v>
      </c>
      <c r="M71" t="s">
        <v>1</v>
      </c>
      <c r="N71">
        <v>7000</v>
      </c>
      <c r="O71">
        <v>240</v>
      </c>
      <c r="P71">
        <v>275</v>
      </c>
      <c r="Q71">
        <v>0</v>
      </c>
      <c r="R71">
        <v>1609386669</v>
      </c>
      <c r="S71">
        <v>8092020.5700000003</v>
      </c>
      <c r="T71">
        <v>1584120216.5999999</v>
      </c>
      <c r="U71">
        <v>1584120216.5999999</v>
      </c>
      <c r="V71">
        <v>0.12080200000000001</v>
      </c>
      <c r="W71">
        <v>0.12080200000000001</v>
      </c>
    </row>
    <row r="72" spans="1:23" x14ac:dyDescent="0.35">
      <c r="A72" t="s">
        <v>1</v>
      </c>
      <c r="B72">
        <v>20000</v>
      </c>
      <c r="C72">
        <v>360</v>
      </c>
      <c r="D72">
        <v>4</v>
      </c>
      <c r="E72">
        <v>0</v>
      </c>
      <c r="F72">
        <v>3725438</v>
      </c>
      <c r="G72">
        <v>272322.71999999997</v>
      </c>
      <c r="H72">
        <v>3549378</v>
      </c>
      <c r="I72">
        <v>3549378</v>
      </c>
      <c r="J72">
        <v>-0.35816300000000001</v>
      </c>
      <c r="K72">
        <v>-0.35816300000000001</v>
      </c>
      <c r="M72" t="s">
        <v>1</v>
      </c>
      <c r="N72">
        <v>5500</v>
      </c>
      <c r="O72">
        <v>320</v>
      </c>
      <c r="P72">
        <v>4900</v>
      </c>
      <c r="Q72">
        <v>0</v>
      </c>
      <c r="R72">
        <v>21295990110</v>
      </c>
      <c r="S72">
        <v>178474174.12</v>
      </c>
      <c r="T72">
        <v>20999891783.16</v>
      </c>
      <c r="U72">
        <v>21113670900.290001</v>
      </c>
      <c r="V72">
        <v>6.4302999999999999E-2</v>
      </c>
      <c r="W72">
        <v>2.1640000000000001E-3</v>
      </c>
    </row>
    <row r="73" spans="1:23" x14ac:dyDescent="0.35">
      <c r="A73" t="s">
        <v>0</v>
      </c>
      <c r="B73">
        <v>9000</v>
      </c>
      <c r="C73">
        <v>320</v>
      </c>
      <c r="D73">
        <v>632</v>
      </c>
      <c r="E73">
        <v>0</v>
      </c>
      <c r="F73">
        <v>1057976720</v>
      </c>
      <c r="G73">
        <v>17208076.82</v>
      </c>
      <c r="H73">
        <v>1020325236</v>
      </c>
      <c r="I73">
        <v>1029064465.9400001</v>
      </c>
      <c r="J73">
        <v>0.208754</v>
      </c>
      <c r="K73">
        <v>0.12496699999999999</v>
      </c>
      <c r="M73" t="s">
        <v>0</v>
      </c>
      <c r="N73">
        <v>5500</v>
      </c>
      <c r="O73">
        <v>216</v>
      </c>
      <c r="P73">
        <v>49181</v>
      </c>
      <c r="Q73">
        <v>0</v>
      </c>
      <c r="R73">
        <v>377608283544</v>
      </c>
      <c r="S73">
        <v>1598235921.45</v>
      </c>
      <c r="T73">
        <v>373785177122.64001</v>
      </c>
      <c r="U73">
        <v>375562754926.32001</v>
      </c>
      <c r="V73">
        <v>6.8457000000000004E-2</v>
      </c>
      <c r="W73">
        <v>1.4121999999999999E-2</v>
      </c>
    </row>
    <row r="74" spans="1:23" x14ac:dyDescent="0.35">
      <c r="A74" t="s">
        <v>2</v>
      </c>
      <c r="B74">
        <v>8500</v>
      </c>
      <c r="C74">
        <v>320</v>
      </c>
      <c r="D74">
        <v>70</v>
      </c>
      <c r="E74">
        <v>0</v>
      </c>
      <c r="F74">
        <v>126299423</v>
      </c>
      <c r="G74">
        <v>2115713.65</v>
      </c>
      <c r="H74">
        <v>123361103</v>
      </c>
      <c r="I74">
        <v>123361103</v>
      </c>
      <c r="J74">
        <v>7.5417999999999999E-2</v>
      </c>
      <c r="K74">
        <v>7.5417999999999999E-2</v>
      </c>
      <c r="M74" t="s">
        <v>1</v>
      </c>
      <c r="N74">
        <v>6000</v>
      </c>
      <c r="O74">
        <v>216</v>
      </c>
      <c r="P74">
        <v>935</v>
      </c>
      <c r="Q74">
        <v>0</v>
      </c>
      <c r="R74">
        <v>7332902310</v>
      </c>
      <c r="S74">
        <v>32645949.25</v>
      </c>
      <c r="T74">
        <v>7255743554.5</v>
      </c>
      <c r="U74">
        <v>7290360512.6300001</v>
      </c>
      <c r="V74">
        <v>7.0459999999999995E-2</v>
      </c>
      <c r="W74">
        <v>1.6074000000000001E-2</v>
      </c>
    </row>
    <row r="75" spans="1:23" x14ac:dyDescent="0.35">
      <c r="A75" t="s">
        <v>2</v>
      </c>
      <c r="B75">
        <v>9000</v>
      </c>
      <c r="C75">
        <v>320</v>
      </c>
      <c r="D75">
        <v>39</v>
      </c>
      <c r="E75">
        <v>0</v>
      </c>
      <c r="F75">
        <v>59606916</v>
      </c>
      <c r="G75">
        <v>957910.21</v>
      </c>
      <c r="H75">
        <v>58084766</v>
      </c>
      <c r="I75">
        <v>58183944.939999998</v>
      </c>
      <c r="J75">
        <v>0.107861</v>
      </c>
      <c r="K75">
        <v>8.9710999999999999E-2</v>
      </c>
      <c r="M75" t="s">
        <v>0</v>
      </c>
      <c r="N75">
        <v>6000</v>
      </c>
      <c r="O75">
        <v>216</v>
      </c>
      <c r="P75">
        <v>18596</v>
      </c>
      <c r="Q75">
        <v>0</v>
      </c>
      <c r="R75">
        <v>127336619964</v>
      </c>
      <c r="S75">
        <v>556626839.22000003</v>
      </c>
      <c r="T75">
        <v>126115654704.75</v>
      </c>
      <c r="U75">
        <v>126729744757.31</v>
      </c>
      <c r="V75">
        <v>6.0840999999999999E-2</v>
      </c>
      <c r="W75">
        <v>4.725E-3</v>
      </c>
    </row>
    <row r="76" spans="1:23" x14ac:dyDescent="0.35">
      <c r="A76" t="s">
        <v>0</v>
      </c>
      <c r="B76">
        <v>20000</v>
      </c>
      <c r="C76">
        <v>320</v>
      </c>
      <c r="D76">
        <v>92</v>
      </c>
      <c r="E76">
        <v>0</v>
      </c>
      <c r="F76">
        <v>155547744</v>
      </c>
      <c r="G76">
        <v>2425752.44</v>
      </c>
      <c r="H76">
        <v>152058176</v>
      </c>
      <c r="I76">
        <v>152058176</v>
      </c>
      <c r="J76">
        <v>7.9051999999999997E-2</v>
      </c>
      <c r="K76">
        <v>7.9051999999999997E-2</v>
      </c>
      <c r="M76" t="s">
        <v>0</v>
      </c>
      <c r="N76">
        <v>6500</v>
      </c>
      <c r="O76">
        <v>216</v>
      </c>
      <c r="P76">
        <v>11595</v>
      </c>
      <c r="Q76">
        <v>0</v>
      </c>
      <c r="R76">
        <v>75102856507</v>
      </c>
      <c r="S76">
        <v>323857182.60000002</v>
      </c>
      <c r="T76">
        <v>74188736782.699997</v>
      </c>
      <c r="U76">
        <v>74672467986.740005</v>
      </c>
      <c r="V76">
        <v>9.0341000000000005E-2</v>
      </c>
      <c r="W76">
        <v>1.6889000000000001E-2</v>
      </c>
    </row>
    <row r="77" spans="1:23" x14ac:dyDescent="0.35">
      <c r="A77" t="s">
        <v>0</v>
      </c>
      <c r="B77">
        <v>5000</v>
      </c>
      <c r="C77">
        <v>216</v>
      </c>
      <c r="D77">
        <v>51857</v>
      </c>
      <c r="E77">
        <v>0</v>
      </c>
      <c r="F77">
        <v>458972822130</v>
      </c>
      <c r="G77">
        <v>2012624641.77</v>
      </c>
      <c r="H77">
        <v>453915367626</v>
      </c>
      <c r="I77">
        <v>455948763692.28003</v>
      </c>
      <c r="J77">
        <v>7.6767000000000002E-2</v>
      </c>
      <c r="K77">
        <v>2.6126E-2</v>
      </c>
      <c r="M77" t="s">
        <v>1</v>
      </c>
      <c r="N77">
        <v>20000</v>
      </c>
      <c r="O77">
        <v>360</v>
      </c>
      <c r="P77">
        <v>4</v>
      </c>
      <c r="Q77">
        <v>0</v>
      </c>
      <c r="R77">
        <v>3900139</v>
      </c>
      <c r="S77">
        <v>262869.90999999997</v>
      </c>
      <c r="T77">
        <v>3637269.09</v>
      </c>
      <c r="U77">
        <v>3637269.09</v>
      </c>
      <c r="V77">
        <v>0</v>
      </c>
      <c r="W77">
        <v>0</v>
      </c>
    </row>
    <row r="78" spans="1:23" x14ac:dyDescent="0.35">
      <c r="A78" t="s">
        <v>1</v>
      </c>
      <c r="B78">
        <v>5500</v>
      </c>
      <c r="C78">
        <v>216</v>
      </c>
      <c r="D78">
        <v>2513</v>
      </c>
      <c r="E78">
        <v>0</v>
      </c>
      <c r="F78">
        <v>20895458713</v>
      </c>
      <c r="G78">
        <v>90372485.209999993</v>
      </c>
      <c r="H78">
        <v>20636461510</v>
      </c>
      <c r="I78">
        <v>20738839114.52</v>
      </c>
      <c r="J78">
        <v>9.2654E-2</v>
      </c>
      <c r="K78">
        <v>3.7387999999999998E-2</v>
      </c>
      <c r="M78" t="s">
        <v>0</v>
      </c>
      <c r="N78">
        <v>9000</v>
      </c>
      <c r="O78">
        <v>320</v>
      </c>
      <c r="P78">
        <v>638</v>
      </c>
      <c r="Q78">
        <v>0</v>
      </c>
      <c r="R78">
        <v>1092307587</v>
      </c>
      <c r="S78">
        <v>17353039.420000002</v>
      </c>
      <c r="T78">
        <v>1066438598.7</v>
      </c>
      <c r="U78">
        <v>1071071119.3099999</v>
      </c>
      <c r="V78">
        <v>8.9646000000000003E-2</v>
      </c>
      <c r="W78">
        <v>4.1839000000000001E-2</v>
      </c>
    </row>
    <row r="79" spans="1:23" x14ac:dyDescent="0.35">
      <c r="A79" t="s">
        <v>1</v>
      </c>
      <c r="B79">
        <v>6000</v>
      </c>
      <c r="C79">
        <v>216</v>
      </c>
      <c r="D79">
        <v>875</v>
      </c>
      <c r="E79">
        <v>0</v>
      </c>
      <c r="F79">
        <v>6824367149</v>
      </c>
      <c r="G79">
        <v>30481865.52</v>
      </c>
      <c r="H79">
        <v>6740238095</v>
      </c>
      <c r="I79">
        <v>6782542702.8999996</v>
      </c>
      <c r="J79">
        <v>9.0359999999999996E-2</v>
      </c>
      <c r="K79">
        <v>1.9764E-2</v>
      </c>
      <c r="M79" t="s">
        <v>2</v>
      </c>
      <c r="N79">
        <v>8500</v>
      </c>
      <c r="O79">
        <v>320</v>
      </c>
      <c r="P79">
        <v>72</v>
      </c>
      <c r="Q79">
        <v>0</v>
      </c>
      <c r="R79">
        <v>129738321</v>
      </c>
      <c r="S79">
        <v>2126253.62</v>
      </c>
      <c r="T79">
        <v>127450091.84</v>
      </c>
      <c r="U79">
        <v>127612067.38</v>
      </c>
      <c r="V79">
        <v>1.4879E-2</v>
      </c>
      <c r="W79">
        <v>0</v>
      </c>
    </row>
    <row r="80" spans="1:23" x14ac:dyDescent="0.35">
      <c r="A80" t="s">
        <v>0</v>
      </c>
      <c r="B80">
        <v>6500</v>
      </c>
      <c r="C80">
        <v>216</v>
      </c>
      <c r="D80">
        <v>10979</v>
      </c>
      <c r="E80">
        <v>0</v>
      </c>
      <c r="F80">
        <v>70942955571</v>
      </c>
      <c r="G80">
        <v>307810510.67000002</v>
      </c>
      <c r="H80">
        <v>70097238280.990005</v>
      </c>
      <c r="I80">
        <v>70400607840.320007</v>
      </c>
      <c r="J80">
        <v>8.7287000000000003E-2</v>
      </c>
      <c r="K80">
        <v>3.8959000000000001E-2</v>
      </c>
      <c r="M80" t="s">
        <v>2</v>
      </c>
      <c r="N80">
        <v>9000</v>
      </c>
      <c r="O80">
        <v>320</v>
      </c>
      <c r="P80">
        <v>39</v>
      </c>
      <c r="Q80">
        <v>0</v>
      </c>
      <c r="R80">
        <v>61101764</v>
      </c>
      <c r="S80">
        <v>960483.58</v>
      </c>
      <c r="T80">
        <v>60141280.420000002</v>
      </c>
      <c r="U80">
        <v>60141280.420000002</v>
      </c>
      <c r="V80">
        <v>0</v>
      </c>
      <c r="W80">
        <v>0</v>
      </c>
    </row>
    <row r="81" spans="1:23" x14ac:dyDescent="0.35">
      <c r="A81" t="s">
        <v>0</v>
      </c>
      <c r="B81">
        <v>7000</v>
      </c>
      <c r="C81">
        <v>216</v>
      </c>
      <c r="D81">
        <v>4037</v>
      </c>
      <c r="E81">
        <v>0</v>
      </c>
      <c r="F81">
        <v>22453798319</v>
      </c>
      <c r="G81">
        <v>94473293.480000004</v>
      </c>
      <c r="H81">
        <v>22219962561</v>
      </c>
      <c r="I81">
        <v>22305411132.759998</v>
      </c>
      <c r="J81">
        <v>7.1988999999999997E-2</v>
      </c>
      <c r="K81">
        <v>2.8435999999999999E-2</v>
      </c>
      <c r="M81" t="s">
        <v>0</v>
      </c>
      <c r="N81">
        <v>20000</v>
      </c>
      <c r="O81">
        <v>320</v>
      </c>
      <c r="P81">
        <v>94</v>
      </c>
      <c r="Q81">
        <v>0</v>
      </c>
      <c r="R81">
        <v>159953258</v>
      </c>
      <c r="S81">
        <v>2438786.6</v>
      </c>
      <c r="T81">
        <v>156722074.77000001</v>
      </c>
      <c r="U81">
        <v>157514471.40000001</v>
      </c>
      <c r="V81">
        <v>5.7854000000000003E-2</v>
      </c>
      <c r="W81">
        <v>0</v>
      </c>
    </row>
    <row r="82" spans="1:23" x14ac:dyDescent="0.35">
      <c r="A82" t="s">
        <v>0</v>
      </c>
      <c r="B82">
        <v>4250</v>
      </c>
      <c r="C82">
        <v>192</v>
      </c>
      <c r="D82">
        <v>38789</v>
      </c>
      <c r="E82">
        <v>0</v>
      </c>
      <c r="F82">
        <v>365551642174</v>
      </c>
      <c r="G82">
        <v>1425084356.8800001</v>
      </c>
      <c r="H82">
        <v>361705773435</v>
      </c>
      <c r="I82">
        <v>363348651468.54999</v>
      </c>
      <c r="J82">
        <v>7.6635999999999996E-2</v>
      </c>
      <c r="K82">
        <v>2.5239999999999999E-2</v>
      </c>
      <c r="M82" t="s">
        <v>0</v>
      </c>
      <c r="N82">
        <v>5000</v>
      </c>
      <c r="O82">
        <v>216</v>
      </c>
      <c r="P82">
        <v>49416</v>
      </c>
      <c r="Q82">
        <v>0</v>
      </c>
      <c r="R82">
        <v>439063888172</v>
      </c>
      <c r="S82">
        <v>1914491066.0799999</v>
      </c>
      <c r="T82">
        <v>434964448192.87</v>
      </c>
      <c r="U82">
        <v>436896531933.28998</v>
      </c>
      <c r="V82">
        <v>5.8109000000000001E-2</v>
      </c>
      <c r="W82">
        <v>6.8890000000000002E-3</v>
      </c>
    </row>
    <row r="83" spans="1:23" x14ac:dyDescent="0.35">
      <c r="A83" t="s">
        <v>1</v>
      </c>
      <c r="B83">
        <v>6500</v>
      </c>
      <c r="C83">
        <v>216</v>
      </c>
      <c r="D83">
        <v>393</v>
      </c>
      <c r="E83">
        <v>0</v>
      </c>
      <c r="F83">
        <v>2763113967</v>
      </c>
      <c r="G83">
        <v>11955640.66</v>
      </c>
      <c r="H83">
        <v>2710477795</v>
      </c>
      <c r="I83">
        <v>2744919895.5900002</v>
      </c>
      <c r="J83">
        <v>0.163046</v>
      </c>
      <c r="K83">
        <v>2.6759000000000002E-2</v>
      </c>
      <c r="M83" t="s">
        <v>1</v>
      </c>
      <c r="N83">
        <v>5500</v>
      </c>
      <c r="O83">
        <v>216</v>
      </c>
      <c r="P83">
        <v>2474</v>
      </c>
      <c r="Q83">
        <v>0</v>
      </c>
      <c r="R83">
        <v>20712311974</v>
      </c>
      <c r="S83">
        <v>89174240.079999998</v>
      </c>
      <c r="T83">
        <v>20516969932.220001</v>
      </c>
      <c r="U83">
        <v>20605166613.720001</v>
      </c>
      <c r="V83">
        <v>5.9804999999999997E-2</v>
      </c>
      <c r="W83">
        <v>1.0362E-2</v>
      </c>
    </row>
    <row r="84" spans="1:23" x14ac:dyDescent="0.35">
      <c r="A84" t="s">
        <v>2</v>
      </c>
      <c r="B84">
        <v>5500</v>
      </c>
      <c r="C84">
        <v>216</v>
      </c>
      <c r="D84">
        <v>7649</v>
      </c>
      <c r="E84">
        <v>0</v>
      </c>
      <c r="F84">
        <v>48812996940</v>
      </c>
      <c r="G84">
        <v>206123081.97999999</v>
      </c>
      <c r="H84">
        <v>48302071853</v>
      </c>
      <c r="I84">
        <v>48519725067.010002</v>
      </c>
      <c r="J84">
        <v>7.2411000000000003E-2</v>
      </c>
      <c r="K84">
        <v>2.1215000000000001E-2</v>
      </c>
      <c r="M84" t="s">
        <v>0</v>
      </c>
      <c r="N84">
        <v>7000</v>
      </c>
      <c r="O84">
        <v>216</v>
      </c>
      <c r="P84">
        <v>4222</v>
      </c>
      <c r="Q84">
        <v>0</v>
      </c>
      <c r="R84">
        <v>23563994684</v>
      </c>
      <c r="S84">
        <v>98415221.260000005</v>
      </c>
      <c r="T84">
        <v>23296842417.689999</v>
      </c>
      <c r="U84">
        <v>23419159215.73</v>
      </c>
      <c r="V84">
        <v>8.2625000000000004E-2</v>
      </c>
      <c r="W84">
        <v>2.3385E-2</v>
      </c>
    </row>
    <row r="85" spans="1:23" x14ac:dyDescent="0.35">
      <c r="A85" t="s">
        <v>2</v>
      </c>
      <c r="B85">
        <v>5000</v>
      </c>
      <c r="C85">
        <v>216</v>
      </c>
      <c r="D85">
        <v>4976</v>
      </c>
      <c r="E85">
        <v>0</v>
      </c>
      <c r="F85">
        <v>36320850738</v>
      </c>
      <c r="G85">
        <v>158492890.31999999</v>
      </c>
      <c r="H85">
        <v>35911388531</v>
      </c>
      <c r="I85">
        <v>36103143421.349998</v>
      </c>
      <c r="J85">
        <v>7.9838000000000006E-2</v>
      </c>
      <c r="K85">
        <v>1.9389E-2</v>
      </c>
      <c r="M85" t="s">
        <v>0</v>
      </c>
      <c r="N85">
        <v>4250</v>
      </c>
      <c r="O85">
        <v>192</v>
      </c>
      <c r="P85">
        <v>36135</v>
      </c>
      <c r="Q85">
        <v>0</v>
      </c>
      <c r="R85">
        <v>343767644111</v>
      </c>
      <c r="S85">
        <v>1336055599.3599999</v>
      </c>
      <c r="T85">
        <v>340657743573.62</v>
      </c>
      <c r="U85">
        <v>342311374638.39001</v>
      </c>
      <c r="V85">
        <v>6.0193000000000003E-2</v>
      </c>
      <c r="W85">
        <v>4.1879999999999999E-3</v>
      </c>
    </row>
    <row r="86" spans="1:23" x14ac:dyDescent="0.35">
      <c r="A86" t="s">
        <v>1</v>
      </c>
      <c r="B86">
        <v>7000</v>
      </c>
      <c r="C86">
        <v>216</v>
      </c>
      <c r="D86">
        <v>94</v>
      </c>
      <c r="E86">
        <v>0</v>
      </c>
      <c r="F86">
        <v>582081998</v>
      </c>
      <c r="G86">
        <v>2457087.67</v>
      </c>
      <c r="H86">
        <v>578529291</v>
      </c>
      <c r="I86">
        <v>578529291</v>
      </c>
      <c r="J86">
        <v>2.2355E-2</v>
      </c>
      <c r="K86">
        <v>2.2355E-2</v>
      </c>
      <c r="M86" t="s">
        <v>1</v>
      </c>
      <c r="N86">
        <v>6500</v>
      </c>
      <c r="O86">
        <v>216</v>
      </c>
      <c r="P86">
        <v>405</v>
      </c>
      <c r="Q86">
        <v>0</v>
      </c>
      <c r="R86">
        <v>2860675852</v>
      </c>
      <c r="S86">
        <v>12283901.960000001</v>
      </c>
      <c r="T86">
        <v>2824846389.0300002</v>
      </c>
      <c r="U86">
        <v>2848391950.04</v>
      </c>
      <c r="V86">
        <v>9.4418000000000002E-2</v>
      </c>
      <c r="W86">
        <v>0</v>
      </c>
    </row>
    <row r="87" spans="1:23" x14ac:dyDescent="0.35">
      <c r="A87" t="s">
        <v>1</v>
      </c>
      <c r="B87">
        <v>8500</v>
      </c>
      <c r="C87">
        <v>320</v>
      </c>
      <c r="D87">
        <v>112</v>
      </c>
      <c r="E87">
        <v>0</v>
      </c>
      <c r="F87">
        <v>205275844</v>
      </c>
      <c r="G87">
        <v>3401860.02</v>
      </c>
      <c r="H87">
        <v>198074937</v>
      </c>
      <c r="I87">
        <v>200447356.28</v>
      </c>
      <c r="J87">
        <v>0.200817</v>
      </c>
      <c r="K87">
        <v>8.0282999999999993E-2</v>
      </c>
      <c r="M87" t="s">
        <v>2</v>
      </c>
      <c r="N87">
        <v>5500</v>
      </c>
      <c r="O87">
        <v>216</v>
      </c>
      <c r="P87">
        <v>7299</v>
      </c>
      <c r="Q87">
        <v>0</v>
      </c>
      <c r="R87">
        <v>46831791964</v>
      </c>
      <c r="S87">
        <v>196793213.27000001</v>
      </c>
      <c r="T87">
        <v>46331416264.440002</v>
      </c>
      <c r="U87">
        <v>46615098804.230003</v>
      </c>
      <c r="V87">
        <v>7.5074000000000002E-2</v>
      </c>
      <c r="W87">
        <v>5.0870000000000004E-3</v>
      </c>
    </row>
    <row r="88" spans="1:23" x14ac:dyDescent="0.35">
      <c r="A88" t="s">
        <v>1</v>
      </c>
      <c r="B88">
        <v>6750</v>
      </c>
      <c r="C88">
        <v>360</v>
      </c>
      <c r="D88">
        <v>105</v>
      </c>
      <c r="E88">
        <v>0</v>
      </c>
      <c r="F88">
        <v>144632077</v>
      </c>
      <c r="G88">
        <v>4301949.1399999997</v>
      </c>
      <c r="H88">
        <v>137170742</v>
      </c>
      <c r="I88">
        <v>139088839.68000001</v>
      </c>
      <c r="J88">
        <v>0.232822</v>
      </c>
      <c r="K88">
        <v>9.8264000000000004E-2</v>
      </c>
      <c r="M88" t="s">
        <v>2</v>
      </c>
      <c r="N88">
        <v>5000</v>
      </c>
      <c r="O88">
        <v>216</v>
      </c>
      <c r="P88">
        <v>4657</v>
      </c>
      <c r="Q88">
        <v>0</v>
      </c>
      <c r="R88">
        <v>34181719747</v>
      </c>
      <c r="S88">
        <v>148408972.59999999</v>
      </c>
      <c r="T88">
        <v>33842827853.48</v>
      </c>
      <c r="U88">
        <v>34018540083.310001</v>
      </c>
      <c r="V88">
        <v>6.4860000000000001E-2</v>
      </c>
      <c r="W88">
        <v>5.1729999999999996E-3</v>
      </c>
    </row>
    <row r="89" spans="1:23" x14ac:dyDescent="0.35">
      <c r="A89" t="s">
        <v>0</v>
      </c>
      <c r="B89">
        <v>8250</v>
      </c>
      <c r="C89">
        <v>360</v>
      </c>
      <c r="D89">
        <v>181</v>
      </c>
      <c r="E89">
        <v>0</v>
      </c>
      <c r="F89">
        <v>103698433</v>
      </c>
      <c r="G89">
        <v>5363383.8099999996</v>
      </c>
      <c r="H89">
        <v>94950399</v>
      </c>
      <c r="I89">
        <v>95343709.010000005</v>
      </c>
      <c r="J89">
        <v>0.32847700000000002</v>
      </c>
      <c r="K89">
        <v>0.29619200000000001</v>
      </c>
      <c r="M89" t="s">
        <v>1</v>
      </c>
      <c r="N89">
        <v>7000</v>
      </c>
      <c r="O89">
        <v>216</v>
      </c>
      <c r="P89">
        <v>100</v>
      </c>
      <c r="Q89">
        <v>0</v>
      </c>
      <c r="R89">
        <v>611399168</v>
      </c>
      <c r="S89">
        <v>2558878.83</v>
      </c>
      <c r="T89">
        <v>595175253.00999999</v>
      </c>
      <c r="U89">
        <v>608840289.16999996</v>
      </c>
      <c r="V89">
        <v>0.23757300000000001</v>
      </c>
      <c r="W89">
        <v>0</v>
      </c>
    </row>
    <row r="90" spans="1:23" x14ac:dyDescent="0.35">
      <c r="A90" t="s">
        <v>0</v>
      </c>
      <c r="B90">
        <v>6750</v>
      </c>
      <c r="C90">
        <v>320</v>
      </c>
      <c r="D90">
        <v>4633</v>
      </c>
      <c r="E90">
        <v>0</v>
      </c>
      <c r="F90">
        <v>15002167228</v>
      </c>
      <c r="G90">
        <v>135069328.72</v>
      </c>
      <c r="H90">
        <v>14715425762</v>
      </c>
      <c r="I90">
        <v>14798202780.17</v>
      </c>
      <c r="J90">
        <v>0.114796</v>
      </c>
      <c r="K90">
        <v>5.3737E-2</v>
      </c>
      <c r="M90" t="s">
        <v>2</v>
      </c>
      <c r="N90">
        <v>7000</v>
      </c>
      <c r="O90">
        <v>360</v>
      </c>
      <c r="P90">
        <v>216</v>
      </c>
      <c r="Q90">
        <v>0</v>
      </c>
      <c r="R90">
        <v>235541802</v>
      </c>
      <c r="S90">
        <v>7156399.46</v>
      </c>
      <c r="T90">
        <v>225041066.02000001</v>
      </c>
      <c r="U90">
        <v>228385402.53999999</v>
      </c>
      <c r="V90">
        <v>0.15768599999999999</v>
      </c>
      <c r="W90">
        <v>0</v>
      </c>
    </row>
    <row r="91" spans="1:23" x14ac:dyDescent="0.35">
      <c r="A91" t="s">
        <v>2</v>
      </c>
      <c r="B91">
        <v>8000</v>
      </c>
      <c r="C91">
        <v>320</v>
      </c>
      <c r="D91">
        <v>83</v>
      </c>
      <c r="E91">
        <v>0</v>
      </c>
      <c r="F91">
        <v>140697969</v>
      </c>
      <c r="G91">
        <v>2268321.11</v>
      </c>
      <c r="H91">
        <v>136400125</v>
      </c>
      <c r="I91">
        <v>137808402.65000001</v>
      </c>
      <c r="J91">
        <v>0.16000300000000001</v>
      </c>
      <c r="K91">
        <v>5.1716999999999999E-2</v>
      </c>
      <c r="M91" t="s">
        <v>1</v>
      </c>
      <c r="N91">
        <v>8500</v>
      </c>
      <c r="O91">
        <v>320</v>
      </c>
      <c r="P91">
        <v>113</v>
      </c>
      <c r="Q91">
        <v>0</v>
      </c>
      <c r="R91">
        <v>211624977</v>
      </c>
      <c r="S91">
        <v>3428639.35</v>
      </c>
      <c r="T91">
        <v>206462122.83000001</v>
      </c>
      <c r="U91">
        <v>208196337.65000001</v>
      </c>
      <c r="V91">
        <v>9.4023999999999996E-2</v>
      </c>
      <c r="W91">
        <v>0</v>
      </c>
    </row>
    <row r="92" spans="1:23" x14ac:dyDescent="0.35">
      <c r="A92" t="s">
        <v>2</v>
      </c>
      <c r="B92">
        <v>9000</v>
      </c>
      <c r="C92">
        <v>360</v>
      </c>
      <c r="D92">
        <v>15</v>
      </c>
      <c r="E92">
        <v>0</v>
      </c>
      <c r="F92">
        <v>5756472</v>
      </c>
      <c r="G92">
        <v>495116.47</v>
      </c>
      <c r="H92">
        <v>5197724</v>
      </c>
      <c r="I92">
        <v>5235471.63</v>
      </c>
      <c r="J92">
        <v>0.124872</v>
      </c>
      <c r="K92">
        <v>5.2643000000000002E-2</v>
      </c>
      <c r="M92" t="s">
        <v>1</v>
      </c>
      <c r="N92">
        <v>6750</v>
      </c>
      <c r="O92">
        <v>360</v>
      </c>
      <c r="P92">
        <v>108</v>
      </c>
      <c r="Q92">
        <v>0</v>
      </c>
      <c r="R92">
        <v>146799207</v>
      </c>
      <c r="S92">
        <v>4327508.1100000003</v>
      </c>
      <c r="T92">
        <v>141238573.18000001</v>
      </c>
      <c r="U92">
        <v>142471698.88999999</v>
      </c>
      <c r="V92">
        <v>9.6271999999999996E-2</v>
      </c>
      <c r="W92">
        <v>0</v>
      </c>
    </row>
    <row r="93" spans="1:23" x14ac:dyDescent="0.35">
      <c r="A93" t="s">
        <v>1</v>
      </c>
      <c r="B93">
        <v>7250</v>
      </c>
      <c r="C93">
        <v>360</v>
      </c>
      <c r="D93">
        <v>181</v>
      </c>
      <c r="E93">
        <v>0</v>
      </c>
      <c r="F93">
        <v>226564921</v>
      </c>
      <c r="G93">
        <v>7272431.6799999997</v>
      </c>
      <c r="H93">
        <v>210823993</v>
      </c>
      <c r="I93">
        <v>216613825.78999999</v>
      </c>
      <c r="J93">
        <v>0.36690299999999998</v>
      </c>
      <c r="K93">
        <v>0.13300400000000001</v>
      </c>
      <c r="M93" t="s">
        <v>0</v>
      </c>
      <c r="N93">
        <v>8250</v>
      </c>
      <c r="O93">
        <v>360</v>
      </c>
      <c r="P93">
        <v>187</v>
      </c>
      <c r="Q93">
        <v>0</v>
      </c>
      <c r="R93">
        <v>105681144</v>
      </c>
      <c r="S93">
        <v>5434463.4000000004</v>
      </c>
      <c r="T93">
        <v>98862158.040000007</v>
      </c>
      <c r="U93">
        <v>100246680.59999999</v>
      </c>
      <c r="V93">
        <v>0.14636399999999999</v>
      </c>
      <c r="W93">
        <v>0</v>
      </c>
    </row>
    <row r="94" spans="1:23" x14ac:dyDescent="0.35">
      <c r="A94" t="s">
        <v>2</v>
      </c>
      <c r="B94">
        <v>7250</v>
      </c>
      <c r="C94">
        <v>360</v>
      </c>
      <c r="D94">
        <v>55</v>
      </c>
      <c r="E94">
        <v>0</v>
      </c>
      <c r="F94">
        <v>44251473</v>
      </c>
      <c r="G94">
        <v>1506640.7</v>
      </c>
      <c r="H94">
        <v>41765163</v>
      </c>
      <c r="I94">
        <v>41832921.090000004</v>
      </c>
      <c r="J94">
        <v>0.23558899999999999</v>
      </c>
      <c r="K94">
        <v>0.22110099999999999</v>
      </c>
      <c r="M94" t="s">
        <v>0</v>
      </c>
      <c r="N94">
        <v>6750</v>
      </c>
      <c r="O94">
        <v>320</v>
      </c>
      <c r="P94">
        <v>4613</v>
      </c>
      <c r="Q94">
        <v>0</v>
      </c>
      <c r="R94">
        <v>14882195617</v>
      </c>
      <c r="S94">
        <v>134185598.28</v>
      </c>
      <c r="T94">
        <v>14683974469.98</v>
      </c>
      <c r="U94">
        <v>14730194545.200001</v>
      </c>
      <c r="V94">
        <v>5.0429000000000002E-2</v>
      </c>
      <c r="W94">
        <v>1.4271000000000001E-2</v>
      </c>
    </row>
    <row r="95" spans="1:23" x14ac:dyDescent="0.35">
      <c r="A95" t="s">
        <v>0</v>
      </c>
      <c r="B95">
        <v>6250</v>
      </c>
      <c r="C95">
        <v>360</v>
      </c>
      <c r="D95">
        <v>157</v>
      </c>
      <c r="E95">
        <v>0</v>
      </c>
      <c r="F95">
        <v>162816926</v>
      </c>
      <c r="G95">
        <v>5084046.3899999997</v>
      </c>
      <c r="H95">
        <v>154499390</v>
      </c>
      <c r="I95">
        <v>155477442.88999999</v>
      </c>
      <c r="J95">
        <v>0.21393400000000001</v>
      </c>
      <c r="K95">
        <v>0.15413299999999999</v>
      </c>
      <c r="M95" t="s">
        <v>2</v>
      </c>
      <c r="N95">
        <v>8000</v>
      </c>
      <c r="O95">
        <v>320</v>
      </c>
      <c r="P95">
        <v>87</v>
      </c>
      <c r="Q95">
        <v>0</v>
      </c>
      <c r="R95">
        <v>147050688</v>
      </c>
      <c r="S95">
        <v>2337596.38</v>
      </c>
      <c r="T95">
        <v>144713091.62</v>
      </c>
      <c r="U95">
        <v>144713091.62</v>
      </c>
      <c r="V95">
        <v>0</v>
      </c>
      <c r="W95">
        <v>0</v>
      </c>
    </row>
    <row r="96" spans="1:23" x14ac:dyDescent="0.35">
      <c r="A96" t="s">
        <v>2</v>
      </c>
      <c r="B96">
        <v>6000</v>
      </c>
      <c r="C96">
        <v>360</v>
      </c>
      <c r="D96">
        <v>33</v>
      </c>
      <c r="E96">
        <v>0</v>
      </c>
      <c r="F96">
        <v>33313384</v>
      </c>
      <c r="G96">
        <v>932771.81</v>
      </c>
      <c r="H96">
        <v>32090346</v>
      </c>
      <c r="I96">
        <v>32090346</v>
      </c>
      <c r="J96">
        <v>9.9690000000000001E-2</v>
      </c>
      <c r="K96">
        <v>9.9690000000000001E-2</v>
      </c>
      <c r="M96" t="s">
        <v>2</v>
      </c>
      <c r="N96">
        <v>9000</v>
      </c>
      <c r="O96">
        <v>360</v>
      </c>
      <c r="P96">
        <v>15</v>
      </c>
      <c r="Q96">
        <v>0</v>
      </c>
      <c r="R96">
        <v>6316206</v>
      </c>
      <c r="S96">
        <v>502733.05</v>
      </c>
      <c r="T96">
        <v>5813472.9500000002</v>
      </c>
      <c r="U96">
        <v>5813472.9500000002</v>
      </c>
      <c r="V96">
        <v>0</v>
      </c>
      <c r="W96">
        <v>0</v>
      </c>
    </row>
    <row r="97" spans="1:23" x14ac:dyDescent="0.35">
      <c r="A97" t="s">
        <v>0</v>
      </c>
      <c r="B97">
        <v>7250</v>
      </c>
      <c r="C97">
        <v>320</v>
      </c>
      <c r="D97">
        <v>2049</v>
      </c>
      <c r="E97">
        <v>0</v>
      </c>
      <c r="F97">
        <v>5408728845</v>
      </c>
      <c r="G97">
        <v>63897973.920000002</v>
      </c>
      <c r="H97">
        <v>5295466394</v>
      </c>
      <c r="I97">
        <v>5315842777.0900002</v>
      </c>
      <c r="J97">
        <v>0.104188</v>
      </c>
      <c r="K97">
        <v>6.2452000000000001E-2</v>
      </c>
      <c r="M97" t="s">
        <v>1</v>
      </c>
      <c r="N97">
        <v>7250</v>
      </c>
      <c r="O97">
        <v>360</v>
      </c>
      <c r="P97">
        <v>182</v>
      </c>
      <c r="Q97">
        <v>0</v>
      </c>
      <c r="R97">
        <v>223478821</v>
      </c>
      <c r="S97">
        <v>7074796.21</v>
      </c>
      <c r="T97">
        <v>211390525.40000001</v>
      </c>
      <c r="U97">
        <v>216342871.80000001</v>
      </c>
      <c r="V97">
        <v>0.23835300000000001</v>
      </c>
      <c r="W97">
        <v>3.2789999999999998E-3</v>
      </c>
    </row>
    <row r="98" spans="1:23" x14ac:dyDescent="0.35">
      <c r="A98" t="s">
        <v>0</v>
      </c>
      <c r="B98">
        <v>5750</v>
      </c>
      <c r="C98">
        <v>320</v>
      </c>
      <c r="D98">
        <v>9071</v>
      </c>
      <c r="E98">
        <v>0</v>
      </c>
      <c r="F98">
        <v>37825203129</v>
      </c>
      <c r="G98">
        <v>301322832.22000003</v>
      </c>
      <c r="H98">
        <v>37168164396</v>
      </c>
      <c r="I98">
        <v>37391795485.370003</v>
      </c>
      <c r="J98">
        <v>0.107193</v>
      </c>
      <c r="K98">
        <v>4.1107999999999999E-2</v>
      </c>
      <c r="M98" t="s">
        <v>2</v>
      </c>
      <c r="N98">
        <v>7250</v>
      </c>
      <c r="O98">
        <v>360</v>
      </c>
      <c r="P98">
        <v>57</v>
      </c>
      <c r="Q98">
        <v>0</v>
      </c>
      <c r="R98">
        <v>43612015</v>
      </c>
      <c r="S98">
        <v>1511476.92</v>
      </c>
      <c r="T98">
        <v>42100538.079999998</v>
      </c>
      <c r="U98">
        <v>42100538.079999998</v>
      </c>
      <c r="V98">
        <v>0</v>
      </c>
      <c r="W98">
        <v>0</v>
      </c>
    </row>
    <row r="99" spans="1:23" x14ac:dyDescent="0.35">
      <c r="A99" t="s">
        <v>2</v>
      </c>
      <c r="B99">
        <v>6500</v>
      </c>
      <c r="C99">
        <v>216</v>
      </c>
      <c r="D99">
        <v>1303</v>
      </c>
      <c r="E99">
        <v>0</v>
      </c>
      <c r="F99">
        <v>7112359191</v>
      </c>
      <c r="G99">
        <v>31027343.719999999</v>
      </c>
      <c r="H99">
        <v>7048249103</v>
      </c>
      <c r="I99">
        <v>7073618790.0299997</v>
      </c>
      <c r="J99">
        <v>5.4411000000000001E-2</v>
      </c>
      <c r="K99">
        <v>1.2936E-2</v>
      </c>
      <c r="M99" t="s">
        <v>0</v>
      </c>
      <c r="N99">
        <v>6250</v>
      </c>
      <c r="O99">
        <v>360</v>
      </c>
      <c r="P99">
        <v>148</v>
      </c>
      <c r="Q99">
        <v>0</v>
      </c>
      <c r="R99">
        <v>154289383</v>
      </c>
      <c r="S99">
        <v>4776129.6399999997</v>
      </c>
      <c r="T99">
        <v>147909134.66</v>
      </c>
      <c r="U99">
        <v>149513253.36000001</v>
      </c>
      <c r="V99">
        <v>0.117869</v>
      </c>
      <c r="W99">
        <v>0</v>
      </c>
    </row>
    <row r="100" spans="1:23" x14ac:dyDescent="0.35">
      <c r="A100" t="s">
        <v>2</v>
      </c>
      <c r="B100">
        <v>6000</v>
      </c>
      <c r="C100">
        <v>216</v>
      </c>
      <c r="D100">
        <v>1786</v>
      </c>
      <c r="E100">
        <v>0</v>
      </c>
      <c r="F100">
        <v>10425571569</v>
      </c>
      <c r="G100">
        <v>45595291.729999997</v>
      </c>
      <c r="H100">
        <v>10347032897</v>
      </c>
      <c r="I100">
        <v>10366129347.42</v>
      </c>
      <c r="J100">
        <v>3.7266000000000001E-2</v>
      </c>
      <c r="K100">
        <v>1.5821999999999999E-2</v>
      </c>
      <c r="M100" t="s">
        <v>2</v>
      </c>
      <c r="N100">
        <v>6000</v>
      </c>
      <c r="O100">
        <v>360</v>
      </c>
      <c r="P100">
        <v>28</v>
      </c>
      <c r="Q100">
        <v>0</v>
      </c>
      <c r="R100">
        <v>28527261</v>
      </c>
      <c r="S100">
        <v>800046.66</v>
      </c>
      <c r="T100">
        <v>27727214.34</v>
      </c>
      <c r="U100">
        <v>27727214.34</v>
      </c>
      <c r="V100">
        <v>0</v>
      </c>
      <c r="W100">
        <v>0</v>
      </c>
    </row>
    <row r="101" spans="1:23" x14ac:dyDescent="0.35">
      <c r="A101" t="s">
        <v>2</v>
      </c>
      <c r="B101">
        <v>8500</v>
      </c>
      <c r="C101">
        <v>360</v>
      </c>
      <c r="D101">
        <v>39</v>
      </c>
      <c r="E101">
        <v>0</v>
      </c>
      <c r="F101">
        <v>17375246</v>
      </c>
      <c r="G101">
        <v>1088933.57</v>
      </c>
      <c r="H101">
        <v>15802037</v>
      </c>
      <c r="I101">
        <v>15837232.630000001</v>
      </c>
      <c r="J101">
        <v>0.28766599999999998</v>
      </c>
      <c r="K101">
        <v>0.26964900000000003</v>
      </c>
      <c r="M101" t="s">
        <v>0</v>
      </c>
      <c r="N101">
        <v>7250</v>
      </c>
      <c r="O101">
        <v>320</v>
      </c>
      <c r="P101">
        <v>2124</v>
      </c>
      <c r="Q101">
        <v>0</v>
      </c>
      <c r="R101">
        <v>5604569320</v>
      </c>
      <c r="S101">
        <v>66008813.409999996</v>
      </c>
      <c r="T101">
        <v>5506403827.0600004</v>
      </c>
      <c r="U101">
        <v>5537168649.9200001</v>
      </c>
      <c r="V101">
        <v>6.6719000000000001E-2</v>
      </c>
      <c r="W101">
        <v>2.9759999999999999E-3</v>
      </c>
    </row>
    <row r="102" spans="1:23" x14ac:dyDescent="0.35">
      <c r="A102" t="s">
        <v>2</v>
      </c>
      <c r="B102">
        <v>7500</v>
      </c>
      <c r="C102">
        <v>320</v>
      </c>
      <c r="D102">
        <v>308</v>
      </c>
      <c r="E102">
        <v>0</v>
      </c>
      <c r="F102">
        <v>641540744</v>
      </c>
      <c r="G102">
        <v>8354634.1299999999</v>
      </c>
      <c r="H102">
        <v>626196443</v>
      </c>
      <c r="I102">
        <v>630575933.35000002</v>
      </c>
      <c r="J102">
        <v>0.123185</v>
      </c>
      <c r="K102">
        <v>4.7745000000000003E-2</v>
      </c>
      <c r="M102" t="s">
        <v>0</v>
      </c>
      <c r="N102">
        <v>5750</v>
      </c>
      <c r="O102">
        <v>320</v>
      </c>
      <c r="P102">
        <v>9080</v>
      </c>
      <c r="Q102">
        <v>0</v>
      </c>
      <c r="R102">
        <v>38090153048</v>
      </c>
      <c r="S102">
        <v>300447233.11000001</v>
      </c>
      <c r="T102">
        <v>37548401972.599998</v>
      </c>
      <c r="U102">
        <v>37785700334.489998</v>
      </c>
      <c r="V102">
        <v>7.3427000000000006E-2</v>
      </c>
      <c r="W102">
        <v>1.261E-3</v>
      </c>
    </row>
    <row r="103" spans="1:23" x14ac:dyDescent="0.35">
      <c r="A103" t="s">
        <v>2</v>
      </c>
      <c r="B103">
        <v>6500</v>
      </c>
      <c r="C103">
        <v>320</v>
      </c>
      <c r="D103">
        <v>1262</v>
      </c>
      <c r="E103">
        <v>0</v>
      </c>
      <c r="F103">
        <v>3918063963</v>
      </c>
      <c r="G103">
        <v>33201271.949999999</v>
      </c>
      <c r="H103">
        <v>3855772591</v>
      </c>
      <c r="I103">
        <v>3874931277.1100001</v>
      </c>
      <c r="J103">
        <v>8.5545999999999997E-2</v>
      </c>
      <c r="K103">
        <v>2.9996999999999999E-2</v>
      </c>
      <c r="M103" t="s">
        <v>2</v>
      </c>
      <c r="N103">
        <v>6500</v>
      </c>
      <c r="O103">
        <v>216</v>
      </c>
      <c r="P103">
        <v>1376</v>
      </c>
      <c r="Q103">
        <v>0</v>
      </c>
      <c r="R103">
        <v>7510274673</v>
      </c>
      <c r="S103">
        <v>32531092.579999998</v>
      </c>
      <c r="T103">
        <v>7423530130.9799995</v>
      </c>
      <c r="U103">
        <v>7472586734.3400002</v>
      </c>
      <c r="V103">
        <v>8.3265000000000006E-2</v>
      </c>
      <c r="W103">
        <v>8.2089999999999993E-3</v>
      </c>
    </row>
    <row r="104" spans="1:23" x14ac:dyDescent="0.35">
      <c r="A104" t="s">
        <v>2</v>
      </c>
      <c r="B104">
        <v>6000</v>
      </c>
      <c r="C104">
        <v>320</v>
      </c>
      <c r="D104">
        <v>1624</v>
      </c>
      <c r="E104">
        <v>0</v>
      </c>
      <c r="F104">
        <v>5992199175</v>
      </c>
      <c r="G104">
        <v>47390574.670000002</v>
      </c>
      <c r="H104">
        <v>5902722694</v>
      </c>
      <c r="I104">
        <v>5929732808.3199997</v>
      </c>
      <c r="J104">
        <v>8.1101000000000006E-2</v>
      </c>
      <c r="K104">
        <v>2.9777000000000001E-2</v>
      </c>
      <c r="M104" t="s">
        <v>2</v>
      </c>
      <c r="N104">
        <v>6000</v>
      </c>
      <c r="O104">
        <v>216</v>
      </c>
      <c r="P104">
        <v>1859</v>
      </c>
      <c r="Q104">
        <v>0</v>
      </c>
      <c r="R104">
        <v>10872715270</v>
      </c>
      <c r="S104">
        <v>47271667.770000003</v>
      </c>
      <c r="T104">
        <v>10792937822.450001</v>
      </c>
      <c r="U104">
        <v>10821316557.790001</v>
      </c>
      <c r="V104">
        <v>3.5291999999999997E-2</v>
      </c>
      <c r="W104">
        <v>4.5450000000000004E-3</v>
      </c>
    </row>
    <row r="105" spans="1:23" x14ac:dyDescent="0.35">
      <c r="A105" t="s">
        <v>2</v>
      </c>
      <c r="B105">
        <v>7000</v>
      </c>
      <c r="C105">
        <v>360</v>
      </c>
      <c r="D105">
        <v>212</v>
      </c>
      <c r="E105">
        <v>0</v>
      </c>
      <c r="F105">
        <v>230994530</v>
      </c>
      <c r="G105">
        <v>7057811.5700000003</v>
      </c>
      <c r="H105">
        <v>218692951</v>
      </c>
      <c r="I105">
        <v>222893338.58000001</v>
      </c>
      <c r="J105">
        <v>0.240845</v>
      </c>
      <c r="K105">
        <v>5.2875999999999999E-2</v>
      </c>
      <c r="M105" t="s">
        <v>2</v>
      </c>
      <c r="N105">
        <v>8500</v>
      </c>
      <c r="O105">
        <v>360</v>
      </c>
      <c r="P105">
        <v>41</v>
      </c>
      <c r="Q105">
        <v>0</v>
      </c>
      <c r="R105">
        <v>20381081</v>
      </c>
      <c r="S105">
        <v>1242051.6299999999</v>
      </c>
      <c r="T105">
        <v>17872684.010000002</v>
      </c>
      <c r="U105">
        <v>18233448.949999999</v>
      </c>
      <c r="V105">
        <v>0.53688100000000005</v>
      </c>
      <c r="W105">
        <v>0.42038900000000001</v>
      </c>
    </row>
    <row r="106" spans="1:23" x14ac:dyDescent="0.35">
      <c r="A106" t="s">
        <v>2</v>
      </c>
      <c r="B106">
        <v>8250</v>
      </c>
      <c r="C106">
        <v>360</v>
      </c>
      <c r="D106">
        <v>17</v>
      </c>
      <c r="E106">
        <v>0</v>
      </c>
      <c r="F106">
        <v>10374968</v>
      </c>
      <c r="G106">
        <v>513964.23</v>
      </c>
      <c r="H106">
        <v>9654396</v>
      </c>
      <c r="I106">
        <v>9654396</v>
      </c>
      <c r="J106">
        <v>0.21445700000000001</v>
      </c>
      <c r="K106">
        <v>0.21445700000000001</v>
      </c>
      <c r="M106" t="s">
        <v>2</v>
      </c>
      <c r="N106">
        <v>7500</v>
      </c>
      <c r="O106">
        <v>320</v>
      </c>
      <c r="P106">
        <v>334</v>
      </c>
      <c r="Q106">
        <v>0</v>
      </c>
      <c r="R106">
        <v>679198518</v>
      </c>
      <c r="S106">
        <v>9034664.5999999996</v>
      </c>
      <c r="T106">
        <v>668413403.74000001</v>
      </c>
      <c r="U106">
        <v>670163853.39999998</v>
      </c>
      <c r="V106">
        <v>3.0491999999999998E-2</v>
      </c>
      <c r="W106">
        <v>0</v>
      </c>
    </row>
    <row r="107" spans="1:23" x14ac:dyDescent="0.35">
      <c r="A107" t="s">
        <v>0</v>
      </c>
      <c r="B107">
        <v>4500</v>
      </c>
      <c r="C107">
        <v>320</v>
      </c>
      <c r="D107">
        <v>187</v>
      </c>
      <c r="E107">
        <v>0</v>
      </c>
      <c r="F107">
        <v>828487639</v>
      </c>
      <c r="G107">
        <v>6931535.96</v>
      </c>
      <c r="H107">
        <v>816485165</v>
      </c>
      <c r="I107">
        <v>819434540.98000002</v>
      </c>
      <c r="J107">
        <v>7.1026000000000006E-2</v>
      </c>
      <c r="K107">
        <v>3.0300000000000001E-2</v>
      </c>
      <c r="M107" t="s">
        <v>2</v>
      </c>
      <c r="N107">
        <v>6500</v>
      </c>
      <c r="O107">
        <v>320</v>
      </c>
      <c r="P107">
        <v>1243</v>
      </c>
      <c r="Q107">
        <v>0</v>
      </c>
      <c r="R107">
        <v>3847626070</v>
      </c>
      <c r="S107">
        <v>32580755.43</v>
      </c>
      <c r="T107">
        <v>3785011420.0900002</v>
      </c>
      <c r="U107">
        <v>3811504100.75</v>
      </c>
      <c r="V107">
        <v>8.9750999999999997E-2</v>
      </c>
      <c r="W107">
        <v>1.0989000000000001E-2</v>
      </c>
    </row>
    <row r="108" spans="1:23" x14ac:dyDescent="0.35">
      <c r="A108" t="s">
        <v>2</v>
      </c>
      <c r="B108">
        <v>4000</v>
      </c>
      <c r="C108">
        <v>192</v>
      </c>
      <c r="D108">
        <v>4005</v>
      </c>
      <c r="E108">
        <v>0</v>
      </c>
      <c r="F108">
        <v>32709706820</v>
      </c>
      <c r="G108">
        <v>126158000.77</v>
      </c>
      <c r="H108">
        <v>32411175214</v>
      </c>
      <c r="I108">
        <v>32543558191.810001</v>
      </c>
      <c r="J108">
        <v>6.1436999999999999E-2</v>
      </c>
      <c r="K108">
        <v>1.4572999999999999E-2</v>
      </c>
      <c r="M108" t="s">
        <v>2</v>
      </c>
      <c r="N108">
        <v>8250</v>
      </c>
      <c r="O108">
        <v>360</v>
      </c>
      <c r="P108">
        <v>17</v>
      </c>
      <c r="Q108">
        <v>0</v>
      </c>
      <c r="R108">
        <v>11055124</v>
      </c>
      <c r="S108">
        <v>519251.7</v>
      </c>
      <c r="T108">
        <v>10535872.300000001</v>
      </c>
      <c r="U108">
        <v>10535872.300000001</v>
      </c>
      <c r="V108">
        <v>0</v>
      </c>
      <c r="W108">
        <v>0</v>
      </c>
    </row>
    <row r="109" spans="1:23" x14ac:dyDescent="0.35">
      <c r="A109" t="s">
        <v>1</v>
      </c>
      <c r="B109">
        <v>7750</v>
      </c>
      <c r="C109">
        <v>360</v>
      </c>
      <c r="D109">
        <v>73</v>
      </c>
      <c r="E109">
        <v>0</v>
      </c>
      <c r="F109">
        <v>66090149</v>
      </c>
      <c r="G109">
        <v>2881163.88</v>
      </c>
      <c r="H109">
        <v>60923440</v>
      </c>
      <c r="I109">
        <v>62091144.670000002</v>
      </c>
      <c r="J109">
        <v>0.34448400000000001</v>
      </c>
      <c r="K109">
        <v>0.18511</v>
      </c>
      <c r="M109" t="s">
        <v>0</v>
      </c>
      <c r="N109">
        <v>4500</v>
      </c>
      <c r="O109">
        <v>320</v>
      </c>
      <c r="P109">
        <v>184</v>
      </c>
      <c r="Q109">
        <v>0</v>
      </c>
      <c r="R109">
        <v>823806883</v>
      </c>
      <c r="S109">
        <v>6832595.46</v>
      </c>
      <c r="T109">
        <v>816974287.53999996</v>
      </c>
      <c r="U109">
        <v>816974287.53999996</v>
      </c>
      <c r="V109">
        <v>0</v>
      </c>
      <c r="W109">
        <v>0</v>
      </c>
    </row>
    <row r="110" spans="1:23" x14ac:dyDescent="0.35">
      <c r="A110" t="s">
        <v>2</v>
      </c>
      <c r="B110">
        <v>7750</v>
      </c>
      <c r="C110">
        <v>360</v>
      </c>
      <c r="D110">
        <v>51</v>
      </c>
      <c r="E110">
        <v>0</v>
      </c>
      <c r="F110">
        <v>42587297</v>
      </c>
      <c r="G110">
        <v>1417851.1</v>
      </c>
      <c r="H110">
        <v>39915067</v>
      </c>
      <c r="I110">
        <v>40725089.479999997</v>
      </c>
      <c r="J110">
        <v>0.30145899999999998</v>
      </c>
      <c r="K110">
        <v>0.118267</v>
      </c>
      <c r="M110" t="s">
        <v>2</v>
      </c>
      <c r="N110">
        <v>4000</v>
      </c>
      <c r="O110">
        <v>192</v>
      </c>
      <c r="P110">
        <v>3311</v>
      </c>
      <c r="Q110">
        <v>0</v>
      </c>
      <c r="R110">
        <v>27419066301</v>
      </c>
      <c r="S110">
        <v>105406474.86</v>
      </c>
      <c r="T110">
        <v>27232287660.869999</v>
      </c>
      <c r="U110">
        <v>27301394114.740002</v>
      </c>
      <c r="V110">
        <v>3.5036999999999999E-2</v>
      </c>
      <c r="W110">
        <v>5.3550000000000004E-3</v>
      </c>
    </row>
    <row r="111" spans="1:23" x14ac:dyDescent="0.35">
      <c r="A111" t="s">
        <v>1</v>
      </c>
      <c r="B111">
        <v>7500</v>
      </c>
      <c r="C111">
        <v>320</v>
      </c>
      <c r="D111">
        <v>390</v>
      </c>
      <c r="E111">
        <v>0</v>
      </c>
      <c r="F111">
        <v>954931213</v>
      </c>
      <c r="G111">
        <v>13140094.380000001</v>
      </c>
      <c r="H111">
        <v>935545430</v>
      </c>
      <c r="I111">
        <v>936073269.52999997</v>
      </c>
      <c r="J111">
        <v>7.5722999999999999E-2</v>
      </c>
      <c r="K111">
        <v>6.9532999999999998E-2</v>
      </c>
      <c r="M111" t="s">
        <v>1</v>
      </c>
      <c r="N111">
        <v>7750</v>
      </c>
      <c r="O111">
        <v>360</v>
      </c>
      <c r="P111">
        <v>79</v>
      </c>
      <c r="Q111">
        <v>0</v>
      </c>
      <c r="R111">
        <v>72450271</v>
      </c>
      <c r="S111">
        <v>3026943.08</v>
      </c>
      <c r="T111">
        <v>67069992.130000003</v>
      </c>
      <c r="U111">
        <v>69423327.920000002</v>
      </c>
      <c r="V111">
        <v>0.32716600000000001</v>
      </c>
      <c r="W111">
        <v>0</v>
      </c>
    </row>
    <row r="112" spans="1:23" x14ac:dyDescent="0.35">
      <c r="A112" t="s">
        <v>1</v>
      </c>
      <c r="B112">
        <v>8000</v>
      </c>
      <c r="C112">
        <v>320</v>
      </c>
      <c r="D112">
        <v>192</v>
      </c>
      <c r="E112">
        <v>0</v>
      </c>
      <c r="F112">
        <v>381360231</v>
      </c>
      <c r="G112">
        <v>6372655.9199999999</v>
      </c>
      <c r="H112">
        <v>372546438</v>
      </c>
      <c r="I112">
        <v>372756293.72000003</v>
      </c>
      <c r="J112">
        <v>7.4165999999999996E-2</v>
      </c>
      <c r="K112">
        <v>6.7993999999999999E-2</v>
      </c>
      <c r="M112" t="s">
        <v>2</v>
      </c>
      <c r="N112">
        <v>7750</v>
      </c>
      <c r="O112">
        <v>360</v>
      </c>
      <c r="P112">
        <v>48</v>
      </c>
      <c r="Q112">
        <v>0</v>
      </c>
      <c r="R112">
        <v>38127024</v>
      </c>
      <c r="S112">
        <v>1305370.1299999999</v>
      </c>
      <c r="T112">
        <v>36681205.810000002</v>
      </c>
      <c r="U112">
        <v>36821653.869999997</v>
      </c>
      <c r="V112">
        <v>4.3319999999999997E-2</v>
      </c>
      <c r="W112">
        <v>0</v>
      </c>
    </row>
    <row r="113" spans="1:23" x14ac:dyDescent="0.35">
      <c r="A113" t="s">
        <v>2</v>
      </c>
      <c r="B113">
        <v>6250</v>
      </c>
      <c r="C113">
        <v>360</v>
      </c>
      <c r="D113">
        <v>18</v>
      </c>
      <c r="E113">
        <v>0</v>
      </c>
      <c r="F113">
        <v>13888957</v>
      </c>
      <c r="G113">
        <v>411515.65</v>
      </c>
      <c r="H113">
        <v>13358340</v>
      </c>
      <c r="I113">
        <v>13358340</v>
      </c>
      <c r="J113">
        <v>9.8185999999999996E-2</v>
      </c>
      <c r="K113">
        <v>9.8185999999999996E-2</v>
      </c>
      <c r="M113" t="s">
        <v>1</v>
      </c>
      <c r="N113">
        <v>8000</v>
      </c>
      <c r="O113">
        <v>320</v>
      </c>
      <c r="P113">
        <v>194</v>
      </c>
      <c r="Q113">
        <v>0</v>
      </c>
      <c r="R113">
        <v>396650107</v>
      </c>
      <c r="S113">
        <v>6466809.9699999997</v>
      </c>
      <c r="T113">
        <v>383466752.22000003</v>
      </c>
      <c r="U113">
        <v>390183297.02999997</v>
      </c>
      <c r="V113">
        <v>0.18530199999999999</v>
      </c>
      <c r="W113">
        <v>0</v>
      </c>
    </row>
    <row r="114" spans="1:23" x14ac:dyDescent="0.35">
      <c r="A114" t="s">
        <v>1</v>
      </c>
      <c r="B114">
        <v>5500</v>
      </c>
      <c r="C114">
        <v>360</v>
      </c>
      <c r="D114">
        <v>1</v>
      </c>
      <c r="E114">
        <v>0</v>
      </c>
      <c r="F114">
        <v>333941</v>
      </c>
      <c r="G114">
        <v>15185.33</v>
      </c>
      <c r="H114">
        <v>233353</v>
      </c>
      <c r="I114">
        <v>233353</v>
      </c>
      <c r="J114">
        <v>0.97111400000000003</v>
      </c>
      <c r="K114">
        <v>0.97111400000000003</v>
      </c>
      <c r="M114" t="s">
        <v>2</v>
      </c>
      <c r="N114">
        <v>6250</v>
      </c>
      <c r="O114">
        <v>360</v>
      </c>
      <c r="P114">
        <v>16</v>
      </c>
      <c r="Q114">
        <v>0</v>
      </c>
      <c r="R114">
        <v>12917077</v>
      </c>
      <c r="S114">
        <v>382091.37</v>
      </c>
      <c r="T114">
        <v>12534985.630000001</v>
      </c>
      <c r="U114">
        <v>12534985.630000001</v>
      </c>
      <c r="V114">
        <v>0</v>
      </c>
      <c r="W114">
        <v>0</v>
      </c>
    </row>
    <row r="115" spans="1:23" x14ac:dyDescent="0.35">
      <c r="A115" t="s">
        <v>0</v>
      </c>
      <c r="B115">
        <v>4500</v>
      </c>
      <c r="C115">
        <v>168</v>
      </c>
      <c r="D115">
        <v>28025</v>
      </c>
      <c r="E115">
        <v>0</v>
      </c>
      <c r="F115">
        <v>237336461867</v>
      </c>
      <c r="G115">
        <v>767485418.51999998</v>
      </c>
      <c r="H115">
        <v>235114810984</v>
      </c>
      <c r="I115">
        <v>236151385442.23001</v>
      </c>
      <c r="J115">
        <v>7.1096000000000006E-2</v>
      </c>
      <c r="K115">
        <v>2.0910999999999999E-2</v>
      </c>
      <c r="M115" t="s">
        <v>1</v>
      </c>
      <c r="N115">
        <v>5500</v>
      </c>
      <c r="O115">
        <v>360</v>
      </c>
      <c r="P115">
        <v>1</v>
      </c>
      <c r="Q115">
        <v>0</v>
      </c>
      <c r="R115">
        <v>383891</v>
      </c>
      <c r="S115">
        <v>16624.55</v>
      </c>
      <c r="T115">
        <v>367266.45</v>
      </c>
      <c r="U115">
        <v>367266.45</v>
      </c>
      <c r="V115">
        <v>0</v>
      </c>
      <c r="W115">
        <v>0</v>
      </c>
    </row>
    <row r="116" spans="1:23" x14ac:dyDescent="0.35">
      <c r="A116" t="s">
        <v>0</v>
      </c>
      <c r="B116">
        <v>4000</v>
      </c>
      <c r="C116">
        <v>168</v>
      </c>
      <c r="D116">
        <v>92350</v>
      </c>
      <c r="E116">
        <v>0</v>
      </c>
      <c r="F116">
        <v>859871236507</v>
      </c>
      <c r="G116">
        <v>3027747553.2600002</v>
      </c>
      <c r="H116">
        <v>851594768961</v>
      </c>
      <c r="I116">
        <v>855301523136.95996</v>
      </c>
      <c r="J116">
        <v>7.0838999999999999E-2</v>
      </c>
      <c r="K116">
        <v>2.1308000000000001E-2</v>
      </c>
      <c r="M116" t="s">
        <v>2</v>
      </c>
      <c r="N116">
        <v>6750</v>
      </c>
      <c r="O116">
        <v>360</v>
      </c>
      <c r="P116">
        <v>20</v>
      </c>
      <c r="Q116">
        <v>0</v>
      </c>
      <c r="R116">
        <v>14064963</v>
      </c>
      <c r="S116">
        <v>560631.34</v>
      </c>
      <c r="T116">
        <v>13504331.66</v>
      </c>
      <c r="U116">
        <v>13504331.66</v>
      </c>
      <c r="V116">
        <v>0</v>
      </c>
      <c r="W116">
        <v>0</v>
      </c>
    </row>
    <row r="117" spans="1:23" x14ac:dyDescent="0.35">
      <c r="A117" t="s">
        <v>2</v>
      </c>
      <c r="B117">
        <v>6750</v>
      </c>
      <c r="C117">
        <v>360</v>
      </c>
      <c r="D117">
        <v>23</v>
      </c>
      <c r="E117">
        <v>0</v>
      </c>
      <c r="F117">
        <v>16492760</v>
      </c>
      <c r="G117">
        <v>630687.64</v>
      </c>
      <c r="H117">
        <v>15748886</v>
      </c>
      <c r="I117">
        <v>15748886</v>
      </c>
      <c r="J117">
        <v>7.9314999999999997E-2</v>
      </c>
      <c r="K117">
        <v>7.9314999999999997E-2</v>
      </c>
      <c r="M117" t="s">
        <v>0</v>
      </c>
      <c r="N117">
        <v>5500</v>
      </c>
      <c r="O117">
        <v>360</v>
      </c>
      <c r="P117">
        <v>43</v>
      </c>
      <c r="Q117">
        <v>0</v>
      </c>
      <c r="R117">
        <v>41824650</v>
      </c>
      <c r="S117">
        <v>1306252.5</v>
      </c>
      <c r="T117">
        <v>40518397.5</v>
      </c>
      <c r="U117">
        <v>40518397.5</v>
      </c>
      <c r="V117">
        <v>0</v>
      </c>
      <c r="W117">
        <v>0</v>
      </c>
    </row>
    <row r="118" spans="1:23" x14ac:dyDescent="0.35">
      <c r="A118" t="s">
        <v>0</v>
      </c>
      <c r="B118">
        <v>5500</v>
      </c>
      <c r="C118">
        <v>360</v>
      </c>
      <c r="D118">
        <v>49</v>
      </c>
      <c r="E118">
        <v>0</v>
      </c>
      <c r="F118">
        <v>49250192</v>
      </c>
      <c r="G118">
        <v>1512998.57</v>
      </c>
      <c r="H118">
        <v>47169710</v>
      </c>
      <c r="I118">
        <v>47396702.350000001</v>
      </c>
      <c r="J118">
        <v>0.12983500000000001</v>
      </c>
      <c r="K118">
        <v>7.9879000000000006E-2</v>
      </c>
      <c r="M118" t="s">
        <v>0</v>
      </c>
      <c r="N118">
        <v>5250</v>
      </c>
      <c r="O118">
        <v>320</v>
      </c>
      <c r="P118">
        <v>2007</v>
      </c>
      <c r="Q118">
        <v>0</v>
      </c>
      <c r="R118">
        <v>8064003550</v>
      </c>
      <c r="S118">
        <v>66897329.060000002</v>
      </c>
      <c r="T118">
        <v>7942507462.8800001</v>
      </c>
      <c r="U118">
        <v>7990009267.1099997</v>
      </c>
      <c r="V118">
        <v>7.8289999999999998E-2</v>
      </c>
      <c r="W118">
        <v>1.051E-2</v>
      </c>
    </row>
    <row r="119" spans="1:23" x14ac:dyDescent="0.35">
      <c r="A119" t="s">
        <v>0</v>
      </c>
      <c r="B119">
        <v>5250</v>
      </c>
      <c r="C119">
        <v>320</v>
      </c>
      <c r="D119">
        <v>1996</v>
      </c>
      <c r="E119">
        <v>0</v>
      </c>
      <c r="F119">
        <v>7983404136</v>
      </c>
      <c r="G119">
        <v>66946216.829999998</v>
      </c>
      <c r="H119">
        <v>7841621615</v>
      </c>
      <c r="I119">
        <v>7889200855.4399996</v>
      </c>
      <c r="J119">
        <v>0.106866</v>
      </c>
      <c r="K119">
        <v>4.0210000000000003E-2</v>
      </c>
      <c r="M119" t="s">
        <v>2</v>
      </c>
      <c r="N119">
        <v>5250</v>
      </c>
      <c r="O119">
        <v>320</v>
      </c>
      <c r="P119">
        <v>158</v>
      </c>
      <c r="Q119">
        <v>0</v>
      </c>
      <c r="R119">
        <v>470916949</v>
      </c>
      <c r="S119">
        <v>3809478.5</v>
      </c>
      <c r="T119">
        <v>467107470.5</v>
      </c>
      <c r="U119">
        <v>467107470.5</v>
      </c>
      <c r="V119">
        <v>0</v>
      </c>
      <c r="W119">
        <v>0</v>
      </c>
    </row>
    <row r="120" spans="1:23" x14ac:dyDescent="0.35">
      <c r="A120" t="s">
        <v>2</v>
      </c>
      <c r="B120">
        <v>5250</v>
      </c>
      <c r="C120">
        <v>320</v>
      </c>
      <c r="D120">
        <v>158</v>
      </c>
      <c r="E120">
        <v>0</v>
      </c>
      <c r="F120">
        <v>465714905</v>
      </c>
      <c r="G120">
        <v>3813892.65</v>
      </c>
      <c r="H120">
        <v>457569329</v>
      </c>
      <c r="I120">
        <v>460556050.07999998</v>
      </c>
      <c r="J120">
        <v>0.106077</v>
      </c>
      <c r="K120">
        <v>3.4110000000000001E-2</v>
      </c>
      <c r="M120" t="s">
        <v>2</v>
      </c>
      <c r="N120">
        <v>6500</v>
      </c>
      <c r="O120">
        <v>360</v>
      </c>
      <c r="P120">
        <v>62</v>
      </c>
      <c r="Q120">
        <v>0</v>
      </c>
      <c r="R120">
        <v>73394325</v>
      </c>
      <c r="S120">
        <v>2085913.05</v>
      </c>
      <c r="T120">
        <v>71308411.950000003</v>
      </c>
      <c r="U120">
        <v>71308411.950000003</v>
      </c>
      <c r="V120">
        <v>0</v>
      </c>
      <c r="W120">
        <v>0</v>
      </c>
    </row>
    <row r="121" spans="1:23" x14ac:dyDescent="0.35">
      <c r="A121" t="s">
        <v>2</v>
      </c>
      <c r="B121">
        <v>6500</v>
      </c>
      <c r="C121">
        <v>360</v>
      </c>
      <c r="D121">
        <v>66</v>
      </c>
      <c r="E121">
        <v>0</v>
      </c>
      <c r="F121">
        <v>76130012</v>
      </c>
      <c r="G121">
        <v>2206603.2400000002</v>
      </c>
      <c r="H121">
        <v>72035127</v>
      </c>
      <c r="I121">
        <v>73422240.469999999</v>
      </c>
      <c r="J121">
        <v>0.260214</v>
      </c>
      <c r="K121">
        <v>7.6198000000000002E-2</v>
      </c>
      <c r="M121" t="s">
        <v>2</v>
      </c>
      <c r="N121">
        <v>6250</v>
      </c>
      <c r="O121">
        <v>320</v>
      </c>
      <c r="P121">
        <v>1362</v>
      </c>
      <c r="Q121">
        <v>0</v>
      </c>
      <c r="R121">
        <v>4423136295</v>
      </c>
      <c r="S121">
        <v>33114916.73</v>
      </c>
      <c r="T121">
        <v>4356102337.0900002</v>
      </c>
      <c r="U121">
        <v>4390021378.2700005</v>
      </c>
      <c r="V121">
        <v>8.8238999999999998E-2</v>
      </c>
      <c r="W121">
        <v>0</v>
      </c>
    </row>
    <row r="122" spans="1:23" x14ac:dyDescent="0.35">
      <c r="A122" t="s">
        <v>2</v>
      </c>
      <c r="B122">
        <v>6250</v>
      </c>
      <c r="C122">
        <v>320</v>
      </c>
      <c r="D122">
        <v>1366</v>
      </c>
      <c r="E122">
        <v>0</v>
      </c>
      <c r="F122">
        <v>4420580010</v>
      </c>
      <c r="G122">
        <v>33363823.550000001</v>
      </c>
      <c r="H122">
        <v>4331513636</v>
      </c>
      <c r="I122">
        <v>4370268531.3299999</v>
      </c>
      <c r="J122">
        <v>0.141157</v>
      </c>
      <c r="K122">
        <v>4.5047999999999998E-2</v>
      </c>
      <c r="M122" t="s">
        <v>1</v>
      </c>
      <c r="N122">
        <v>6250</v>
      </c>
      <c r="O122">
        <v>320</v>
      </c>
      <c r="P122">
        <v>1217</v>
      </c>
      <c r="Q122">
        <v>0</v>
      </c>
      <c r="R122">
        <v>5269536756</v>
      </c>
      <c r="S122">
        <v>42082437.009999998</v>
      </c>
      <c r="T122">
        <v>5203253203.5200005</v>
      </c>
      <c r="U122">
        <v>5220083710.9499998</v>
      </c>
      <c r="V122">
        <v>5.3740999999999997E-2</v>
      </c>
      <c r="W122">
        <v>1.6656000000000001E-2</v>
      </c>
    </row>
    <row r="123" spans="1:23" x14ac:dyDescent="0.35">
      <c r="A123" t="s">
        <v>1</v>
      </c>
      <c r="B123">
        <v>6250</v>
      </c>
      <c r="C123">
        <v>320</v>
      </c>
      <c r="D123">
        <v>1226</v>
      </c>
      <c r="E123">
        <v>0</v>
      </c>
      <c r="F123">
        <v>5338574321</v>
      </c>
      <c r="G123">
        <v>42882622.939999998</v>
      </c>
      <c r="H123">
        <v>5241037386</v>
      </c>
      <c r="I123">
        <v>5270047611.1499996</v>
      </c>
      <c r="J123">
        <v>0.116165</v>
      </c>
      <c r="K123">
        <v>5.6143999999999999E-2</v>
      </c>
      <c r="M123" t="s">
        <v>0</v>
      </c>
      <c r="N123">
        <v>4000</v>
      </c>
      <c r="O123">
        <v>360</v>
      </c>
      <c r="P123">
        <v>40</v>
      </c>
      <c r="Q123">
        <v>0</v>
      </c>
      <c r="R123">
        <v>22950800</v>
      </c>
      <c r="S123">
        <v>948497.77</v>
      </c>
      <c r="T123">
        <v>22002302.23</v>
      </c>
      <c r="U123">
        <v>22002302.23</v>
      </c>
      <c r="V123">
        <v>0</v>
      </c>
      <c r="W123">
        <v>0</v>
      </c>
    </row>
    <row r="124" spans="1:23" x14ac:dyDescent="0.35">
      <c r="A124" t="s">
        <v>0</v>
      </c>
      <c r="B124">
        <v>4000</v>
      </c>
      <c r="C124">
        <v>360</v>
      </c>
      <c r="D124">
        <v>41</v>
      </c>
      <c r="E124">
        <v>0</v>
      </c>
      <c r="F124">
        <v>23695835</v>
      </c>
      <c r="G124">
        <v>986574.59</v>
      </c>
      <c r="H124">
        <v>22667996</v>
      </c>
      <c r="I124">
        <v>22667996</v>
      </c>
      <c r="J124">
        <v>2.0698000000000001E-2</v>
      </c>
      <c r="K124">
        <v>2.0698000000000001E-2</v>
      </c>
      <c r="M124" t="s">
        <v>0</v>
      </c>
      <c r="N124">
        <v>5000</v>
      </c>
      <c r="O124">
        <v>360</v>
      </c>
      <c r="P124">
        <v>62</v>
      </c>
      <c r="Q124">
        <v>0</v>
      </c>
      <c r="R124">
        <v>46968804</v>
      </c>
      <c r="S124">
        <v>1635986.55</v>
      </c>
      <c r="T124">
        <v>44701781.219999999</v>
      </c>
      <c r="U124">
        <v>45332817.450000003</v>
      </c>
      <c r="V124">
        <v>0.14982699999999999</v>
      </c>
      <c r="W124">
        <v>0</v>
      </c>
    </row>
    <row r="125" spans="1:23" x14ac:dyDescent="0.35">
      <c r="A125" t="s">
        <v>0</v>
      </c>
      <c r="B125">
        <v>5000</v>
      </c>
      <c r="C125">
        <v>360</v>
      </c>
      <c r="D125">
        <v>62</v>
      </c>
      <c r="E125">
        <v>0</v>
      </c>
      <c r="F125">
        <v>46299674</v>
      </c>
      <c r="G125">
        <v>1641846.19</v>
      </c>
      <c r="H125">
        <v>44181572</v>
      </c>
      <c r="I125">
        <v>44342673.859999999</v>
      </c>
      <c r="J125">
        <v>0.116687</v>
      </c>
      <c r="K125">
        <v>7.8691999999999998E-2</v>
      </c>
      <c r="M125" t="s">
        <v>1</v>
      </c>
      <c r="N125">
        <v>4000</v>
      </c>
      <c r="O125">
        <v>168</v>
      </c>
      <c r="P125">
        <v>18861</v>
      </c>
      <c r="Q125">
        <v>0</v>
      </c>
      <c r="R125">
        <v>220226414435</v>
      </c>
      <c r="S125">
        <v>778014071.74000001</v>
      </c>
      <c r="T125">
        <v>218300403250.23999</v>
      </c>
      <c r="U125">
        <v>219395478369.54001</v>
      </c>
      <c r="V125">
        <v>6.0790999999999998E-2</v>
      </c>
      <c r="W125">
        <v>2.8800000000000002E-3</v>
      </c>
    </row>
    <row r="126" spans="1:23" x14ac:dyDescent="0.35">
      <c r="A126" t="s">
        <v>0</v>
      </c>
      <c r="B126">
        <v>5750</v>
      </c>
      <c r="C126">
        <v>360</v>
      </c>
      <c r="D126">
        <v>131</v>
      </c>
      <c r="E126">
        <v>0</v>
      </c>
      <c r="F126">
        <v>138168566</v>
      </c>
      <c r="G126">
        <v>4071041.88</v>
      </c>
      <c r="H126">
        <v>130427196</v>
      </c>
      <c r="I126">
        <v>132644032.31999999</v>
      </c>
      <c r="J126">
        <v>0.276084</v>
      </c>
      <c r="K126">
        <v>0.119183</v>
      </c>
      <c r="M126" t="s">
        <v>0</v>
      </c>
      <c r="N126">
        <v>5750</v>
      </c>
      <c r="O126">
        <v>360</v>
      </c>
      <c r="P126">
        <v>127</v>
      </c>
      <c r="Q126">
        <v>0</v>
      </c>
      <c r="R126">
        <v>132798564</v>
      </c>
      <c r="S126">
        <v>3866091.89</v>
      </c>
      <c r="T126">
        <v>127935298.56</v>
      </c>
      <c r="U126">
        <v>128932472.11</v>
      </c>
      <c r="V126">
        <v>8.6476999999999998E-2</v>
      </c>
      <c r="W126">
        <v>0</v>
      </c>
    </row>
    <row r="127" spans="1:23" x14ac:dyDescent="0.35">
      <c r="A127" t="s">
        <v>0</v>
      </c>
      <c r="B127">
        <v>5250</v>
      </c>
      <c r="C127">
        <v>360</v>
      </c>
      <c r="D127">
        <v>6</v>
      </c>
      <c r="E127">
        <v>0</v>
      </c>
      <c r="F127">
        <v>4004394</v>
      </c>
      <c r="G127">
        <v>151657.97</v>
      </c>
      <c r="H127">
        <v>3761449</v>
      </c>
      <c r="I127">
        <v>3761449</v>
      </c>
      <c r="J127">
        <v>0.24173800000000001</v>
      </c>
      <c r="K127">
        <v>0.24173800000000001</v>
      </c>
      <c r="M127" t="s">
        <v>0</v>
      </c>
      <c r="N127">
        <v>5250</v>
      </c>
      <c r="O127">
        <v>360</v>
      </c>
      <c r="P127">
        <v>6</v>
      </c>
      <c r="Q127">
        <v>0</v>
      </c>
      <c r="R127">
        <v>4132332</v>
      </c>
      <c r="S127">
        <v>150172.04999999999</v>
      </c>
      <c r="T127">
        <v>3982159.95</v>
      </c>
      <c r="U127">
        <v>3982159.95</v>
      </c>
      <c r="V127">
        <v>0</v>
      </c>
      <c r="W127">
        <v>0</v>
      </c>
    </row>
    <row r="128" spans="1:23" x14ac:dyDescent="0.35">
      <c r="A128" t="s">
        <v>0</v>
      </c>
      <c r="B128">
        <v>4500</v>
      </c>
      <c r="C128">
        <v>240</v>
      </c>
      <c r="D128">
        <v>41</v>
      </c>
      <c r="E128">
        <v>0</v>
      </c>
      <c r="F128">
        <v>314240638</v>
      </c>
      <c r="G128">
        <v>1884156.14</v>
      </c>
      <c r="H128">
        <v>303407464</v>
      </c>
      <c r="I128">
        <v>312143372.47000003</v>
      </c>
      <c r="J128">
        <v>0.29298200000000002</v>
      </c>
      <c r="K128">
        <v>8.1080000000000006E-3</v>
      </c>
      <c r="M128" t="s">
        <v>0</v>
      </c>
      <c r="N128">
        <v>4500</v>
      </c>
      <c r="O128">
        <v>240</v>
      </c>
      <c r="P128">
        <v>43</v>
      </c>
      <c r="Q128">
        <v>0</v>
      </c>
      <c r="R128">
        <v>323652852</v>
      </c>
      <c r="S128">
        <v>1937952.97</v>
      </c>
      <c r="T128">
        <v>321714899.02999997</v>
      </c>
      <c r="U128">
        <v>321714899.02999997</v>
      </c>
      <c r="V128">
        <v>0</v>
      </c>
      <c r="W128">
        <v>0</v>
      </c>
    </row>
    <row r="129" spans="1:23" x14ac:dyDescent="0.35">
      <c r="A129" t="s">
        <v>1</v>
      </c>
      <c r="B129">
        <v>5000</v>
      </c>
      <c r="C129">
        <v>360</v>
      </c>
      <c r="D129">
        <v>7</v>
      </c>
      <c r="E129">
        <v>0</v>
      </c>
      <c r="F129">
        <v>9428463</v>
      </c>
      <c r="G129">
        <v>289654</v>
      </c>
      <c r="H129">
        <v>9027182</v>
      </c>
      <c r="I129">
        <v>9027182</v>
      </c>
      <c r="J129">
        <v>0.13317699999999999</v>
      </c>
      <c r="K129">
        <v>0.13317699999999999</v>
      </c>
      <c r="M129" t="s">
        <v>1</v>
      </c>
      <c r="N129">
        <v>5000</v>
      </c>
      <c r="O129">
        <v>360</v>
      </c>
      <c r="P129">
        <v>7</v>
      </c>
      <c r="Q129">
        <v>0</v>
      </c>
      <c r="R129">
        <v>9656737</v>
      </c>
      <c r="S129">
        <v>281025.58</v>
      </c>
      <c r="T129">
        <v>9375711.4199999999</v>
      </c>
      <c r="U129">
        <v>9375711.4199999999</v>
      </c>
      <c r="V129">
        <v>0</v>
      </c>
      <c r="W129">
        <v>0</v>
      </c>
    </row>
    <row r="130" spans="1:23" x14ac:dyDescent="0.35">
      <c r="A130" t="s">
        <v>1</v>
      </c>
      <c r="B130">
        <v>9000</v>
      </c>
      <c r="C130">
        <v>320</v>
      </c>
      <c r="D130">
        <v>39</v>
      </c>
      <c r="E130">
        <v>0</v>
      </c>
      <c r="F130">
        <v>61883022</v>
      </c>
      <c r="G130">
        <v>1020550.82</v>
      </c>
      <c r="H130">
        <v>60415647</v>
      </c>
      <c r="I130">
        <v>60431167.490000002</v>
      </c>
      <c r="J130">
        <v>8.3285999999999999E-2</v>
      </c>
      <c r="K130">
        <v>8.0503000000000005E-2</v>
      </c>
      <c r="M130" t="s">
        <v>1</v>
      </c>
      <c r="N130">
        <v>9000</v>
      </c>
      <c r="O130">
        <v>320</v>
      </c>
      <c r="P130">
        <v>39</v>
      </c>
      <c r="Q130">
        <v>0</v>
      </c>
      <c r="R130">
        <v>63102025</v>
      </c>
      <c r="S130">
        <v>1016539.23</v>
      </c>
      <c r="T130">
        <v>62085485.770000003</v>
      </c>
      <c r="U130">
        <v>62085485.770000003</v>
      </c>
      <c r="V130">
        <v>0</v>
      </c>
      <c r="W130">
        <v>0</v>
      </c>
    </row>
    <row r="131" spans="1:23" x14ac:dyDescent="0.35">
      <c r="A131" t="s">
        <v>2</v>
      </c>
      <c r="B131">
        <v>7000</v>
      </c>
      <c r="C131">
        <v>320</v>
      </c>
      <c r="D131">
        <v>434</v>
      </c>
      <c r="E131">
        <v>0</v>
      </c>
      <c r="F131">
        <v>1078724679</v>
      </c>
      <c r="G131">
        <v>12557970.279999999</v>
      </c>
      <c r="H131">
        <v>1056808362</v>
      </c>
      <c r="I131">
        <v>1061760001.21</v>
      </c>
      <c r="J131">
        <v>9.9278000000000005E-2</v>
      </c>
      <c r="K131">
        <v>4.7934999999999998E-2</v>
      </c>
      <c r="M131" t="s">
        <v>2</v>
      </c>
      <c r="N131">
        <v>7000</v>
      </c>
      <c r="O131">
        <v>320</v>
      </c>
      <c r="P131">
        <v>441</v>
      </c>
      <c r="Q131">
        <v>0</v>
      </c>
      <c r="R131">
        <v>1102529524</v>
      </c>
      <c r="S131">
        <v>12742054.17</v>
      </c>
      <c r="T131">
        <v>1086811607.26</v>
      </c>
      <c r="U131">
        <v>1089787469.8299999</v>
      </c>
      <c r="V131">
        <v>3.1912999999999997E-2</v>
      </c>
      <c r="W131">
        <v>0</v>
      </c>
    </row>
    <row r="132" spans="1:23" x14ac:dyDescent="0.35">
      <c r="A132" t="s">
        <v>2</v>
      </c>
      <c r="B132">
        <v>4000</v>
      </c>
      <c r="C132">
        <v>360</v>
      </c>
      <c r="D132">
        <v>4</v>
      </c>
      <c r="E132">
        <v>0</v>
      </c>
      <c r="F132">
        <v>1048585</v>
      </c>
      <c r="G132">
        <v>93703.22</v>
      </c>
      <c r="H132">
        <v>949556</v>
      </c>
      <c r="I132">
        <v>949556</v>
      </c>
      <c r="J132">
        <v>5.9274E-2</v>
      </c>
      <c r="K132">
        <v>5.9274E-2</v>
      </c>
      <c r="M132" t="s">
        <v>2</v>
      </c>
      <c r="N132">
        <v>4000</v>
      </c>
      <c r="O132">
        <v>360</v>
      </c>
      <c r="P132">
        <v>5</v>
      </c>
      <c r="Q132">
        <v>0</v>
      </c>
      <c r="R132">
        <v>1452732</v>
      </c>
      <c r="S132">
        <v>118857.27</v>
      </c>
      <c r="T132">
        <v>1053418.3600000001</v>
      </c>
      <c r="U132">
        <v>1333874.73</v>
      </c>
      <c r="V132">
        <v>0.92376899999999995</v>
      </c>
      <c r="W132">
        <v>0</v>
      </c>
    </row>
    <row r="133" spans="1:23" x14ac:dyDescent="0.35">
      <c r="A133" t="s">
        <v>1</v>
      </c>
      <c r="B133">
        <v>5750</v>
      </c>
      <c r="C133">
        <v>360</v>
      </c>
      <c r="D133">
        <v>10</v>
      </c>
      <c r="E133">
        <v>0</v>
      </c>
      <c r="F133">
        <v>16000259</v>
      </c>
      <c r="G133">
        <v>422773.34</v>
      </c>
      <c r="H133">
        <v>15470002</v>
      </c>
      <c r="I133">
        <v>15470002</v>
      </c>
      <c r="J133">
        <v>7.7699000000000004E-2</v>
      </c>
      <c r="K133">
        <v>7.7699000000000004E-2</v>
      </c>
      <c r="M133" t="s">
        <v>1</v>
      </c>
      <c r="N133">
        <v>5750</v>
      </c>
      <c r="O133">
        <v>360</v>
      </c>
      <c r="P133">
        <v>9</v>
      </c>
      <c r="Q133">
        <v>0</v>
      </c>
      <c r="R133">
        <v>14644555</v>
      </c>
      <c r="S133">
        <v>380609.81</v>
      </c>
      <c r="T133">
        <v>14263945.189999999</v>
      </c>
      <c r="U133">
        <v>14263945.189999999</v>
      </c>
      <c r="V133">
        <v>0</v>
      </c>
      <c r="W133">
        <v>0</v>
      </c>
    </row>
    <row r="134" spans="1:23" x14ac:dyDescent="0.35">
      <c r="A134" t="s">
        <v>1</v>
      </c>
      <c r="B134">
        <v>6250</v>
      </c>
      <c r="C134">
        <v>360</v>
      </c>
      <c r="D134">
        <v>12</v>
      </c>
      <c r="E134">
        <v>0</v>
      </c>
      <c r="F134">
        <v>17154568</v>
      </c>
      <c r="G134">
        <v>533132.68999999994</v>
      </c>
      <c r="H134">
        <v>16609628</v>
      </c>
      <c r="I134">
        <v>16609628</v>
      </c>
      <c r="J134">
        <v>8.2279999999999992E-3</v>
      </c>
      <c r="K134">
        <v>8.2279999999999992E-3</v>
      </c>
      <c r="M134" t="s">
        <v>1</v>
      </c>
      <c r="N134">
        <v>6250</v>
      </c>
      <c r="O134">
        <v>360</v>
      </c>
      <c r="P134">
        <v>13</v>
      </c>
      <c r="Q134">
        <v>0</v>
      </c>
      <c r="R134">
        <v>17925520</v>
      </c>
      <c r="S134">
        <v>537370.05000000005</v>
      </c>
      <c r="T134">
        <v>17362798.280000001</v>
      </c>
      <c r="U134">
        <v>17362798.280000001</v>
      </c>
      <c r="V134">
        <v>1.6840000000000001E-2</v>
      </c>
      <c r="W134">
        <v>1.6840000000000001E-2</v>
      </c>
    </row>
    <row r="135" spans="1:23" x14ac:dyDescent="0.35">
      <c r="A135" t="s">
        <v>0</v>
      </c>
      <c r="B135">
        <v>7750</v>
      </c>
      <c r="C135">
        <v>320</v>
      </c>
      <c r="D135">
        <v>992</v>
      </c>
      <c r="E135">
        <v>0</v>
      </c>
      <c r="F135">
        <v>2179137249</v>
      </c>
      <c r="G135">
        <v>29701028.550000001</v>
      </c>
      <c r="H135">
        <v>2122227282</v>
      </c>
      <c r="I135">
        <v>2133550861.79</v>
      </c>
      <c r="J135">
        <v>0.13996</v>
      </c>
      <c r="K135">
        <v>8.4054000000000004E-2</v>
      </c>
      <c r="M135" t="s">
        <v>0</v>
      </c>
      <c r="N135">
        <v>7750</v>
      </c>
      <c r="O135">
        <v>320</v>
      </c>
      <c r="P135">
        <v>1026</v>
      </c>
      <c r="Q135">
        <v>0</v>
      </c>
      <c r="R135">
        <v>2260662529</v>
      </c>
      <c r="S135">
        <v>30464956.559999999</v>
      </c>
      <c r="T135">
        <v>2218381306.71</v>
      </c>
      <c r="U135">
        <v>2227442730.6999998</v>
      </c>
      <c r="V135">
        <v>6.0950999999999998E-2</v>
      </c>
      <c r="W135">
        <v>1.4526000000000001E-2</v>
      </c>
    </row>
    <row r="136" spans="1:23" x14ac:dyDescent="0.35">
      <c r="A136" t="s">
        <v>2</v>
      </c>
      <c r="B136">
        <v>5500</v>
      </c>
      <c r="C136">
        <v>240</v>
      </c>
      <c r="D136">
        <v>388</v>
      </c>
      <c r="E136">
        <v>0</v>
      </c>
      <c r="F136">
        <v>2245900618</v>
      </c>
      <c r="G136">
        <v>12415272.85</v>
      </c>
      <c r="H136">
        <v>2221565593</v>
      </c>
      <c r="I136">
        <v>2231962692.6300001</v>
      </c>
      <c r="J136">
        <v>6.1860999999999999E-2</v>
      </c>
      <c r="K136">
        <v>8.1049999999999994E-3</v>
      </c>
      <c r="M136" t="s">
        <v>2</v>
      </c>
      <c r="N136">
        <v>5500</v>
      </c>
      <c r="O136">
        <v>240</v>
      </c>
      <c r="P136">
        <v>367</v>
      </c>
      <c r="Q136">
        <v>0</v>
      </c>
      <c r="R136">
        <v>2138037397</v>
      </c>
      <c r="S136">
        <v>11862308.880000001</v>
      </c>
      <c r="T136">
        <v>2118535228.9400001</v>
      </c>
      <c r="U136">
        <v>2126175088.1199999</v>
      </c>
      <c r="V136">
        <v>4.2047000000000001E-2</v>
      </c>
      <c r="W136">
        <v>0</v>
      </c>
    </row>
    <row r="137" spans="1:23" x14ac:dyDescent="0.35">
      <c r="A137" t="s">
        <v>2</v>
      </c>
      <c r="B137">
        <v>6000</v>
      </c>
      <c r="C137">
        <v>240</v>
      </c>
      <c r="D137">
        <v>564</v>
      </c>
      <c r="E137">
        <v>0</v>
      </c>
      <c r="F137">
        <v>3202683957</v>
      </c>
      <c r="G137">
        <v>16960390.890000001</v>
      </c>
      <c r="H137">
        <v>3165691982</v>
      </c>
      <c r="I137">
        <v>3178316959.8200002</v>
      </c>
      <c r="J137">
        <v>7.2526999999999994E-2</v>
      </c>
      <c r="K137">
        <v>2.7400999999999998E-2</v>
      </c>
      <c r="M137" t="s">
        <v>2</v>
      </c>
      <c r="N137">
        <v>6000</v>
      </c>
      <c r="O137">
        <v>240</v>
      </c>
      <c r="P137">
        <v>520</v>
      </c>
      <c r="Q137">
        <v>0</v>
      </c>
      <c r="R137">
        <v>2962097141</v>
      </c>
      <c r="S137">
        <v>15771018.140000001</v>
      </c>
      <c r="T137">
        <v>2935604883.8299999</v>
      </c>
      <c r="U137">
        <v>2946326122.8600001</v>
      </c>
      <c r="V137">
        <v>4.2578999999999999E-2</v>
      </c>
      <c r="W137">
        <v>0</v>
      </c>
    </row>
    <row r="138" spans="1:23" x14ac:dyDescent="0.35">
      <c r="A138" t="s">
        <v>2</v>
      </c>
      <c r="B138">
        <v>5500</v>
      </c>
      <c r="C138">
        <v>320</v>
      </c>
      <c r="D138">
        <v>701</v>
      </c>
      <c r="E138">
        <v>0</v>
      </c>
      <c r="F138">
        <v>2637536545</v>
      </c>
      <c r="G138">
        <v>20952637.43</v>
      </c>
      <c r="H138">
        <v>2605862554</v>
      </c>
      <c r="I138">
        <v>2610179982.04</v>
      </c>
      <c r="J138">
        <v>4.7703000000000002E-2</v>
      </c>
      <c r="K138">
        <v>2.8750000000000001E-2</v>
      </c>
      <c r="M138" t="s">
        <v>2</v>
      </c>
      <c r="N138">
        <v>5500</v>
      </c>
      <c r="O138">
        <v>320</v>
      </c>
      <c r="P138">
        <v>697</v>
      </c>
      <c r="Q138">
        <v>0</v>
      </c>
      <c r="R138">
        <v>2617988185</v>
      </c>
      <c r="S138">
        <v>20633356.739999998</v>
      </c>
      <c r="T138">
        <v>2580559579.6999998</v>
      </c>
      <c r="U138">
        <v>2597354828.2600002</v>
      </c>
      <c r="V138">
        <v>7.4325000000000002E-2</v>
      </c>
      <c r="W138">
        <v>0</v>
      </c>
    </row>
    <row r="139" spans="1:23" x14ac:dyDescent="0.35">
      <c r="A139" t="s">
        <v>0</v>
      </c>
      <c r="B139">
        <v>7500</v>
      </c>
      <c r="C139">
        <v>216</v>
      </c>
      <c r="D139">
        <v>652</v>
      </c>
      <c r="E139">
        <v>0</v>
      </c>
      <c r="F139">
        <v>3062168054</v>
      </c>
      <c r="G139">
        <v>12326732.4</v>
      </c>
      <c r="H139">
        <v>3017394682</v>
      </c>
      <c r="I139">
        <v>3033322561.1700001</v>
      </c>
      <c r="J139">
        <v>0.11999700000000001</v>
      </c>
      <c r="K139">
        <v>6.2847E-2</v>
      </c>
      <c r="M139" t="s">
        <v>0</v>
      </c>
      <c r="N139">
        <v>7500</v>
      </c>
      <c r="O139">
        <v>216</v>
      </c>
      <c r="P139">
        <v>680</v>
      </c>
      <c r="Q139">
        <v>0</v>
      </c>
      <c r="R139">
        <v>3226274314</v>
      </c>
      <c r="S139">
        <v>12895717.5</v>
      </c>
      <c r="T139">
        <v>3185004017.6700001</v>
      </c>
      <c r="U139">
        <v>3205592354.5100002</v>
      </c>
      <c r="V139">
        <v>0.10058</v>
      </c>
      <c r="W139">
        <v>2.8579E-2</v>
      </c>
    </row>
    <row r="140" spans="1:23" x14ac:dyDescent="0.35">
      <c r="A140" t="s">
        <v>3</v>
      </c>
      <c r="B140">
        <v>4500</v>
      </c>
      <c r="C140">
        <v>216</v>
      </c>
      <c r="D140">
        <v>3</v>
      </c>
      <c r="E140">
        <v>0</v>
      </c>
      <c r="F140">
        <v>23913354</v>
      </c>
      <c r="G140">
        <v>108744.08</v>
      </c>
      <c r="H140">
        <v>23762354</v>
      </c>
      <c r="I140">
        <v>23762354</v>
      </c>
      <c r="J140">
        <v>2.1000000000000001E-2</v>
      </c>
      <c r="K140">
        <v>2.1000000000000001E-2</v>
      </c>
      <c r="M140" t="s">
        <v>3</v>
      </c>
      <c r="N140">
        <v>4500</v>
      </c>
      <c r="O140">
        <v>216</v>
      </c>
      <c r="P140">
        <v>3</v>
      </c>
      <c r="Q140">
        <v>0</v>
      </c>
      <c r="R140">
        <v>24095255</v>
      </c>
      <c r="S140">
        <v>108656.18</v>
      </c>
      <c r="T140">
        <v>23986598.82</v>
      </c>
      <c r="U140">
        <v>23986598.82</v>
      </c>
      <c r="V140">
        <v>0</v>
      </c>
      <c r="W140">
        <v>0</v>
      </c>
    </row>
    <row r="141" spans="1:23" x14ac:dyDescent="0.35">
      <c r="A141" t="s">
        <v>0</v>
      </c>
      <c r="B141">
        <v>4500</v>
      </c>
      <c r="C141">
        <v>216</v>
      </c>
      <c r="D141">
        <v>6459</v>
      </c>
      <c r="E141">
        <v>0</v>
      </c>
      <c r="F141">
        <v>60789433643</v>
      </c>
      <c r="G141">
        <v>277929211.05000001</v>
      </c>
      <c r="H141">
        <v>60049484565</v>
      </c>
      <c r="I141">
        <v>60383519339.93</v>
      </c>
      <c r="J141">
        <v>8.7485999999999994E-2</v>
      </c>
      <c r="K141">
        <v>2.4974E-2</v>
      </c>
      <c r="M141" t="s">
        <v>0</v>
      </c>
      <c r="N141">
        <v>4500</v>
      </c>
      <c r="O141">
        <v>216</v>
      </c>
      <c r="P141">
        <v>6305</v>
      </c>
      <c r="Q141">
        <v>0</v>
      </c>
      <c r="R141">
        <v>59780527194</v>
      </c>
      <c r="S141">
        <v>271478521.81999999</v>
      </c>
      <c r="T141">
        <v>59258517441.720001</v>
      </c>
      <c r="U141">
        <v>59463420117.080002</v>
      </c>
      <c r="V141">
        <v>4.9147000000000003E-2</v>
      </c>
      <c r="W141">
        <v>9.1210000000000006E-3</v>
      </c>
    </row>
    <row r="142" spans="1:23" x14ac:dyDescent="0.35">
      <c r="A142" t="s">
        <v>1</v>
      </c>
      <c r="B142">
        <v>4500</v>
      </c>
      <c r="C142">
        <v>216</v>
      </c>
      <c r="D142">
        <v>1568</v>
      </c>
      <c r="E142">
        <v>0</v>
      </c>
      <c r="F142">
        <v>14693587997</v>
      </c>
      <c r="G142">
        <v>67564673.459999993</v>
      </c>
      <c r="H142">
        <v>14480173642</v>
      </c>
      <c r="I142">
        <v>14578466907.530001</v>
      </c>
      <c r="J142">
        <v>0.112821</v>
      </c>
      <c r="K142">
        <v>3.8155000000000001E-2</v>
      </c>
      <c r="M142" t="s">
        <v>1</v>
      </c>
      <c r="N142">
        <v>4500</v>
      </c>
      <c r="O142">
        <v>216</v>
      </c>
      <c r="P142">
        <v>1527</v>
      </c>
      <c r="Q142">
        <v>0</v>
      </c>
      <c r="R142">
        <v>14403038647</v>
      </c>
      <c r="S142">
        <v>65788742.399999999</v>
      </c>
      <c r="T142">
        <v>14294945910.040001</v>
      </c>
      <c r="U142">
        <v>14337249904.6</v>
      </c>
      <c r="V142">
        <v>3.4681999999999998E-2</v>
      </c>
      <c r="W142">
        <v>0</v>
      </c>
    </row>
    <row r="143" spans="1:23" x14ac:dyDescent="0.35">
      <c r="A143" t="s">
        <v>2</v>
      </c>
      <c r="B143">
        <v>4500</v>
      </c>
      <c r="C143">
        <v>216</v>
      </c>
      <c r="D143">
        <v>630</v>
      </c>
      <c r="E143">
        <v>0</v>
      </c>
      <c r="F143">
        <v>4783698363</v>
      </c>
      <c r="G143">
        <v>21769152.710000001</v>
      </c>
      <c r="H143">
        <v>4733025565</v>
      </c>
      <c r="I143">
        <v>4756638553.8199997</v>
      </c>
      <c r="J143">
        <v>7.0143999999999998E-2</v>
      </c>
      <c r="K143">
        <v>1.3191E-2</v>
      </c>
      <c r="M143" t="s">
        <v>2</v>
      </c>
      <c r="N143">
        <v>4500</v>
      </c>
      <c r="O143">
        <v>216</v>
      </c>
      <c r="P143">
        <v>590</v>
      </c>
      <c r="Q143">
        <v>0</v>
      </c>
      <c r="R143">
        <v>4505577244</v>
      </c>
      <c r="S143">
        <v>20411203.420000002</v>
      </c>
      <c r="T143">
        <v>4464661990.4899998</v>
      </c>
      <c r="U143">
        <v>4485166040.5799999</v>
      </c>
      <c r="V143">
        <v>5.3262999999999998E-2</v>
      </c>
      <c r="W143">
        <v>0</v>
      </c>
    </row>
    <row r="144" spans="1:23" x14ac:dyDescent="0.35">
      <c r="A144" t="s">
        <v>3</v>
      </c>
      <c r="B144">
        <v>5000</v>
      </c>
      <c r="C144">
        <v>216</v>
      </c>
      <c r="D144">
        <v>122</v>
      </c>
      <c r="E144">
        <v>0</v>
      </c>
      <c r="F144">
        <v>1250185716</v>
      </c>
      <c r="G144">
        <v>5457773.4900000002</v>
      </c>
      <c r="H144">
        <v>1235189030</v>
      </c>
      <c r="I144">
        <v>1242470461.9400001</v>
      </c>
      <c r="J144">
        <v>8.7814000000000003E-2</v>
      </c>
      <c r="K144">
        <v>2.1454999999999998E-2</v>
      </c>
      <c r="M144" t="s">
        <v>3</v>
      </c>
      <c r="N144">
        <v>5000</v>
      </c>
      <c r="O144">
        <v>216</v>
      </c>
      <c r="P144">
        <v>113</v>
      </c>
      <c r="Q144">
        <v>0</v>
      </c>
      <c r="R144">
        <v>1146535603</v>
      </c>
      <c r="S144">
        <v>4985841.95</v>
      </c>
      <c r="T144">
        <v>1141549761.05</v>
      </c>
      <c r="U144">
        <v>1141549761.05</v>
      </c>
      <c r="V144">
        <v>0</v>
      </c>
      <c r="W144">
        <v>0</v>
      </c>
    </row>
    <row r="145" spans="1:23" x14ac:dyDescent="0.35">
      <c r="A145" t="s">
        <v>3</v>
      </c>
      <c r="B145">
        <v>5500</v>
      </c>
      <c r="C145">
        <v>216</v>
      </c>
      <c r="D145">
        <v>163</v>
      </c>
      <c r="E145">
        <v>0</v>
      </c>
      <c r="F145">
        <v>1410395221</v>
      </c>
      <c r="G145">
        <v>5961888.6799999997</v>
      </c>
      <c r="H145">
        <v>1403045966</v>
      </c>
      <c r="I145">
        <v>1403045966</v>
      </c>
      <c r="J145">
        <v>1.174E-2</v>
      </c>
      <c r="K145">
        <v>1.174E-2</v>
      </c>
      <c r="M145" t="s">
        <v>3</v>
      </c>
      <c r="N145">
        <v>5500</v>
      </c>
      <c r="O145">
        <v>216</v>
      </c>
      <c r="P145">
        <v>155</v>
      </c>
      <c r="Q145">
        <v>0</v>
      </c>
      <c r="R145">
        <v>1330037120</v>
      </c>
      <c r="S145">
        <v>5596945.1500000004</v>
      </c>
      <c r="T145">
        <v>1324440174.8499999</v>
      </c>
      <c r="U145">
        <v>1324440174.8499999</v>
      </c>
      <c r="V145">
        <v>0</v>
      </c>
      <c r="W145">
        <v>0</v>
      </c>
    </row>
    <row r="146" spans="1:23" x14ac:dyDescent="0.35">
      <c r="A146" t="s">
        <v>0</v>
      </c>
      <c r="B146">
        <v>4000</v>
      </c>
      <c r="C146">
        <v>216</v>
      </c>
      <c r="D146">
        <v>124</v>
      </c>
      <c r="E146">
        <v>0</v>
      </c>
      <c r="F146">
        <v>1088313536</v>
      </c>
      <c r="G146">
        <v>5143492.5999999996</v>
      </c>
      <c r="H146">
        <v>1067446619</v>
      </c>
      <c r="I146">
        <v>1081415429.3499999</v>
      </c>
      <c r="J146">
        <v>0.16023599999999999</v>
      </c>
      <c r="K146">
        <v>1.9175999999999999E-2</v>
      </c>
      <c r="M146" t="s">
        <v>0</v>
      </c>
      <c r="N146">
        <v>4000</v>
      </c>
      <c r="O146">
        <v>216</v>
      </c>
      <c r="P146">
        <v>111</v>
      </c>
      <c r="Q146">
        <v>0</v>
      </c>
      <c r="R146">
        <v>974218020</v>
      </c>
      <c r="S146">
        <v>4596758.3899999997</v>
      </c>
      <c r="T146">
        <v>963448404.97000003</v>
      </c>
      <c r="U146">
        <v>969621261.61000001</v>
      </c>
      <c r="V146">
        <v>7.3440000000000005E-2</v>
      </c>
      <c r="W146">
        <v>0</v>
      </c>
    </row>
    <row r="147" spans="1:23" x14ac:dyDescent="0.35">
      <c r="A147" t="s">
        <v>0</v>
      </c>
      <c r="B147">
        <v>7500</v>
      </c>
      <c r="C147">
        <v>240</v>
      </c>
      <c r="D147">
        <v>947</v>
      </c>
      <c r="E147">
        <v>0</v>
      </c>
      <c r="F147">
        <v>4258319842</v>
      </c>
      <c r="G147">
        <v>20445701.510000002</v>
      </c>
      <c r="H147">
        <v>4203488437</v>
      </c>
      <c r="I147">
        <v>4215333542.4400001</v>
      </c>
      <c r="J147">
        <v>9.2710000000000001E-2</v>
      </c>
      <c r="K147">
        <v>6.1703000000000001E-2</v>
      </c>
      <c r="M147" t="s">
        <v>0</v>
      </c>
      <c r="N147">
        <v>7500</v>
      </c>
      <c r="O147">
        <v>240</v>
      </c>
      <c r="P147">
        <v>932</v>
      </c>
      <c r="Q147">
        <v>0</v>
      </c>
      <c r="R147">
        <v>4194349163</v>
      </c>
      <c r="S147">
        <v>19979432.629999999</v>
      </c>
      <c r="T147">
        <v>4151238790.2800002</v>
      </c>
      <c r="U147">
        <v>4162503981.1500001</v>
      </c>
      <c r="V147">
        <v>6.4207E-2</v>
      </c>
      <c r="W147">
        <v>3.3425000000000003E-2</v>
      </c>
    </row>
    <row r="148" spans="1:23" x14ac:dyDescent="0.35">
      <c r="A148" t="s">
        <v>2</v>
      </c>
      <c r="B148">
        <v>6750</v>
      </c>
      <c r="C148">
        <v>320</v>
      </c>
      <c r="D148">
        <v>384</v>
      </c>
      <c r="E148">
        <v>0</v>
      </c>
      <c r="F148">
        <v>1114407842</v>
      </c>
      <c r="G148">
        <v>8732879.5099999998</v>
      </c>
      <c r="H148">
        <v>1101254903</v>
      </c>
      <c r="I148">
        <v>1103006328.29</v>
      </c>
      <c r="J148">
        <v>4.6571000000000001E-2</v>
      </c>
      <c r="K148">
        <v>2.8361000000000001E-2</v>
      </c>
      <c r="M148" t="s">
        <v>2</v>
      </c>
      <c r="N148">
        <v>6750</v>
      </c>
      <c r="O148">
        <v>320</v>
      </c>
      <c r="P148">
        <v>377</v>
      </c>
      <c r="Q148">
        <v>0</v>
      </c>
      <c r="R148">
        <v>1100259405</v>
      </c>
      <c r="S148">
        <v>8644346.7899999991</v>
      </c>
      <c r="T148">
        <v>1071472819.01</v>
      </c>
      <c r="U148">
        <v>1089136253.5799999</v>
      </c>
      <c r="V148">
        <v>0.19885800000000001</v>
      </c>
      <c r="W148">
        <v>2.6703000000000001E-2</v>
      </c>
    </row>
    <row r="149" spans="1:23" x14ac:dyDescent="0.35">
      <c r="A149" t="s">
        <v>0</v>
      </c>
      <c r="B149">
        <v>4750</v>
      </c>
      <c r="C149">
        <v>360</v>
      </c>
      <c r="D149">
        <v>4</v>
      </c>
      <c r="E149">
        <v>0</v>
      </c>
      <c r="F149">
        <v>2958104</v>
      </c>
      <c r="G149">
        <v>76026.19</v>
      </c>
      <c r="H149">
        <v>2842823</v>
      </c>
      <c r="I149">
        <v>2842823</v>
      </c>
      <c r="J149">
        <v>0.14812</v>
      </c>
      <c r="K149">
        <v>0.14812</v>
      </c>
      <c r="M149" t="s">
        <v>0</v>
      </c>
      <c r="N149">
        <v>4750</v>
      </c>
      <c r="O149">
        <v>360</v>
      </c>
      <c r="P149">
        <v>4</v>
      </c>
      <c r="Q149">
        <v>0</v>
      </c>
      <c r="R149">
        <v>3036996</v>
      </c>
      <c r="S149">
        <v>75807.259999999995</v>
      </c>
      <c r="T149">
        <v>2961188.74</v>
      </c>
      <c r="U149">
        <v>2961188.74</v>
      </c>
      <c r="V149">
        <v>0</v>
      </c>
      <c r="W149">
        <v>0</v>
      </c>
    </row>
    <row r="150" spans="1:23" x14ac:dyDescent="0.35">
      <c r="A150" t="s">
        <v>2</v>
      </c>
      <c r="B150">
        <v>3000</v>
      </c>
      <c r="C150">
        <v>320</v>
      </c>
      <c r="D150">
        <v>61</v>
      </c>
      <c r="E150">
        <v>0</v>
      </c>
      <c r="F150">
        <v>124115932</v>
      </c>
      <c r="G150">
        <v>1205296.23</v>
      </c>
      <c r="H150">
        <v>121038932</v>
      </c>
      <c r="I150">
        <v>122618596.88</v>
      </c>
      <c r="J150">
        <v>0.166684</v>
      </c>
      <c r="K150">
        <v>2.7872999999999998E-2</v>
      </c>
      <c r="M150" t="s">
        <v>2</v>
      </c>
      <c r="N150">
        <v>3000</v>
      </c>
      <c r="O150">
        <v>320</v>
      </c>
      <c r="P150">
        <v>61</v>
      </c>
      <c r="Q150">
        <v>0</v>
      </c>
      <c r="R150">
        <v>125595346</v>
      </c>
      <c r="S150">
        <v>1205516.56</v>
      </c>
      <c r="T150">
        <v>124389829.44</v>
      </c>
      <c r="U150">
        <v>124389829.44</v>
      </c>
      <c r="V150">
        <v>0</v>
      </c>
      <c r="W150">
        <v>0</v>
      </c>
    </row>
    <row r="151" spans="1:23" x14ac:dyDescent="0.35">
      <c r="A151" t="s">
        <v>2</v>
      </c>
      <c r="B151">
        <v>3000</v>
      </c>
      <c r="C151">
        <v>360</v>
      </c>
      <c r="D151">
        <v>1</v>
      </c>
      <c r="E151">
        <v>0</v>
      </c>
      <c r="F151">
        <v>1292789</v>
      </c>
      <c r="G151">
        <v>32477.91</v>
      </c>
      <c r="H151">
        <v>1258114</v>
      </c>
      <c r="I151">
        <v>1258114</v>
      </c>
      <c r="J151">
        <v>2.0204E-2</v>
      </c>
      <c r="K151">
        <v>2.0204E-2</v>
      </c>
      <c r="M151" t="s">
        <v>2</v>
      </c>
      <c r="N151">
        <v>3000</v>
      </c>
      <c r="O151">
        <v>360</v>
      </c>
      <c r="P151">
        <v>1</v>
      </c>
      <c r="Q151">
        <v>0</v>
      </c>
      <c r="R151">
        <v>1327378</v>
      </c>
      <c r="S151">
        <v>32450.77</v>
      </c>
      <c r="T151">
        <v>1294927.23</v>
      </c>
      <c r="U151">
        <v>1294927.23</v>
      </c>
      <c r="V151">
        <v>0</v>
      </c>
      <c r="W151">
        <v>0</v>
      </c>
    </row>
    <row r="152" spans="1:23" x14ac:dyDescent="0.35">
      <c r="A152" t="s">
        <v>0</v>
      </c>
      <c r="B152">
        <v>3000</v>
      </c>
      <c r="C152">
        <v>320</v>
      </c>
      <c r="D152">
        <v>36</v>
      </c>
      <c r="E152">
        <v>0</v>
      </c>
      <c r="F152">
        <v>97918724</v>
      </c>
      <c r="G152">
        <v>918865.02</v>
      </c>
      <c r="H152">
        <v>96688295</v>
      </c>
      <c r="I152">
        <v>96688295</v>
      </c>
      <c r="J152">
        <v>3.7520999999999999E-2</v>
      </c>
      <c r="K152">
        <v>3.7520999999999999E-2</v>
      </c>
      <c r="M152" t="s">
        <v>0</v>
      </c>
      <c r="N152">
        <v>3000</v>
      </c>
      <c r="O152">
        <v>320</v>
      </c>
      <c r="P152">
        <v>40</v>
      </c>
      <c r="Q152">
        <v>0</v>
      </c>
      <c r="R152">
        <v>102687226</v>
      </c>
      <c r="S152">
        <v>1004175.17</v>
      </c>
      <c r="T152">
        <v>101621197.62</v>
      </c>
      <c r="U152">
        <v>101683050.83</v>
      </c>
      <c r="V152">
        <v>7.2040000000000003E-3</v>
      </c>
      <c r="W152">
        <v>0</v>
      </c>
    </row>
    <row r="153" spans="1:23" x14ac:dyDescent="0.35">
      <c r="A153" t="s">
        <v>0</v>
      </c>
      <c r="B153">
        <v>3000</v>
      </c>
      <c r="C153">
        <v>360</v>
      </c>
      <c r="D153">
        <v>4</v>
      </c>
      <c r="E153">
        <v>0</v>
      </c>
      <c r="F153">
        <v>4168920</v>
      </c>
      <c r="G153">
        <v>102412.17</v>
      </c>
      <c r="H153">
        <v>4048785</v>
      </c>
      <c r="I153">
        <v>4048785</v>
      </c>
      <c r="J153">
        <v>4.9838E-2</v>
      </c>
      <c r="K153">
        <v>4.9838E-2</v>
      </c>
      <c r="M153" t="s">
        <v>0</v>
      </c>
      <c r="N153">
        <v>3000</v>
      </c>
      <c r="O153">
        <v>360</v>
      </c>
      <c r="P153">
        <v>1</v>
      </c>
      <c r="Q153">
        <v>0</v>
      </c>
      <c r="R153">
        <v>781119</v>
      </c>
      <c r="S153">
        <v>19093.16</v>
      </c>
      <c r="T153">
        <v>762025.84</v>
      </c>
      <c r="U153">
        <v>762025.84</v>
      </c>
      <c r="V153">
        <v>0</v>
      </c>
      <c r="W153">
        <v>0</v>
      </c>
    </row>
    <row r="154" spans="1:23" x14ac:dyDescent="0.35">
      <c r="A154" t="s">
        <v>2</v>
      </c>
      <c r="B154">
        <v>7250</v>
      </c>
      <c r="C154">
        <v>320</v>
      </c>
      <c r="D154">
        <v>109</v>
      </c>
      <c r="E154">
        <v>0</v>
      </c>
      <c r="F154">
        <v>222757590</v>
      </c>
      <c r="G154">
        <v>2782103.64</v>
      </c>
      <c r="H154">
        <v>217360288</v>
      </c>
      <c r="I154">
        <v>218773569.41</v>
      </c>
      <c r="J154">
        <v>0.132131</v>
      </c>
      <c r="K154">
        <v>6.2859999999999999E-2</v>
      </c>
      <c r="M154" t="s">
        <v>2</v>
      </c>
      <c r="N154">
        <v>7250</v>
      </c>
      <c r="O154">
        <v>320</v>
      </c>
      <c r="P154">
        <v>112</v>
      </c>
      <c r="Q154">
        <v>0</v>
      </c>
      <c r="R154">
        <v>231098109</v>
      </c>
      <c r="S154">
        <v>2861105.37</v>
      </c>
      <c r="T154">
        <v>226673172.22999999</v>
      </c>
      <c r="U154">
        <v>228237003.63</v>
      </c>
      <c r="V154">
        <v>7.8247999999999998E-2</v>
      </c>
      <c r="W154">
        <v>0</v>
      </c>
    </row>
    <row r="155" spans="1:23" x14ac:dyDescent="0.35">
      <c r="A155" t="s">
        <v>1</v>
      </c>
      <c r="B155">
        <v>7250</v>
      </c>
      <c r="C155">
        <v>320</v>
      </c>
      <c r="D155">
        <v>209</v>
      </c>
      <c r="E155">
        <v>0</v>
      </c>
      <c r="F155">
        <v>591637943</v>
      </c>
      <c r="G155">
        <v>7402862.7000000002</v>
      </c>
      <c r="H155">
        <v>571197077</v>
      </c>
      <c r="I155">
        <v>582060227.70000005</v>
      </c>
      <c r="J155">
        <v>0.23463500000000001</v>
      </c>
      <c r="K155">
        <v>4.3230999999999999E-2</v>
      </c>
      <c r="M155" t="s">
        <v>1</v>
      </c>
      <c r="N155">
        <v>7250</v>
      </c>
      <c r="O155">
        <v>320</v>
      </c>
      <c r="P155">
        <v>221</v>
      </c>
      <c r="Q155">
        <v>0</v>
      </c>
      <c r="R155">
        <v>626520254</v>
      </c>
      <c r="S155">
        <v>7878546.4199999999</v>
      </c>
      <c r="T155">
        <v>609113181.37</v>
      </c>
      <c r="U155">
        <v>618641707.58000004</v>
      </c>
      <c r="V155">
        <v>0.167986</v>
      </c>
      <c r="W155">
        <v>0</v>
      </c>
    </row>
    <row r="156" spans="1:23" x14ac:dyDescent="0.35">
      <c r="A156" t="s">
        <v>1</v>
      </c>
      <c r="B156">
        <v>5750</v>
      </c>
      <c r="C156">
        <v>320</v>
      </c>
      <c r="D156">
        <v>1891</v>
      </c>
      <c r="E156">
        <v>0</v>
      </c>
      <c r="F156">
        <v>9183507920</v>
      </c>
      <c r="G156">
        <v>71744511.219999999</v>
      </c>
      <c r="H156">
        <v>8998189001</v>
      </c>
      <c r="I156">
        <v>9072635525.4200001</v>
      </c>
      <c r="J156">
        <v>0.13871700000000001</v>
      </c>
      <c r="K156">
        <v>4.9946999999999998E-2</v>
      </c>
      <c r="M156" t="s">
        <v>1</v>
      </c>
      <c r="N156">
        <v>5750</v>
      </c>
      <c r="O156">
        <v>320</v>
      </c>
      <c r="P156">
        <v>1899</v>
      </c>
      <c r="Q156">
        <v>0</v>
      </c>
      <c r="R156">
        <v>9247847250</v>
      </c>
      <c r="S156">
        <v>71542335.140000001</v>
      </c>
      <c r="T156">
        <v>9113761311.1100006</v>
      </c>
      <c r="U156">
        <v>9169613796.3299999</v>
      </c>
      <c r="V156">
        <v>7.8204999999999997E-2</v>
      </c>
      <c r="W156">
        <v>8.6479999999999994E-3</v>
      </c>
    </row>
    <row r="157" spans="1:23" x14ac:dyDescent="0.35">
      <c r="A157" t="s">
        <v>3</v>
      </c>
      <c r="B157">
        <v>6000</v>
      </c>
      <c r="C157">
        <v>320</v>
      </c>
      <c r="D157">
        <v>42</v>
      </c>
      <c r="E157">
        <v>0</v>
      </c>
      <c r="F157">
        <v>201668226</v>
      </c>
      <c r="G157">
        <v>1445503.89</v>
      </c>
      <c r="H157">
        <v>200016586</v>
      </c>
      <c r="I157">
        <v>200016586</v>
      </c>
      <c r="J157">
        <v>1.2197E-2</v>
      </c>
      <c r="K157">
        <v>1.2197E-2</v>
      </c>
      <c r="M157" t="s">
        <v>3</v>
      </c>
      <c r="N157">
        <v>6000</v>
      </c>
      <c r="O157">
        <v>320</v>
      </c>
      <c r="P157">
        <v>38</v>
      </c>
      <c r="Q157">
        <v>0</v>
      </c>
      <c r="R157">
        <v>162776323</v>
      </c>
      <c r="S157">
        <v>1193626.8799999999</v>
      </c>
      <c r="T157">
        <v>161582696.12</v>
      </c>
      <c r="U157">
        <v>161582696.12</v>
      </c>
      <c r="V157">
        <v>0</v>
      </c>
      <c r="W157">
        <v>0</v>
      </c>
    </row>
    <row r="158" spans="1:23" x14ac:dyDescent="0.35">
      <c r="A158" t="s">
        <v>3</v>
      </c>
      <c r="B158">
        <v>5000</v>
      </c>
      <c r="C158">
        <v>320</v>
      </c>
      <c r="D158">
        <v>4</v>
      </c>
      <c r="E158">
        <v>0</v>
      </c>
      <c r="F158">
        <v>6946082</v>
      </c>
      <c r="G158">
        <v>56884.76</v>
      </c>
      <c r="H158">
        <v>6822205</v>
      </c>
      <c r="I158">
        <v>6822205</v>
      </c>
      <c r="J158">
        <v>0.109789</v>
      </c>
      <c r="K158">
        <v>0.109789</v>
      </c>
      <c r="M158" t="s">
        <v>3</v>
      </c>
      <c r="N158">
        <v>5000</v>
      </c>
      <c r="O158">
        <v>320</v>
      </c>
      <c r="P158">
        <v>4</v>
      </c>
      <c r="Q158">
        <v>0</v>
      </c>
      <c r="R158">
        <v>7069450</v>
      </c>
      <c r="S158">
        <v>57154.17</v>
      </c>
      <c r="T158">
        <v>7012295.8300000001</v>
      </c>
      <c r="U158">
        <v>7012295.8300000001</v>
      </c>
      <c r="V158">
        <v>0</v>
      </c>
      <c r="W158">
        <v>0</v>
      </c>
    </row>
    <row r="159" spans="1:23" x14ac:dyDescent="0.35">
      <c r="A159" t="s">
        <v>0</v>
      </c>
      <c r="B159">
        <v>8250</v>
      </c>
      <c r="C159">
        <v>320</v>
      </c>
      <c r="D159">
        <v>462</v>
      </c>
      <c r="E159">
        <v>0</v>
      </c>
      <c r="F159">
        <v>848193686</v>
      </c>
      <c r="G159">
        <v>13871838.74</v>
      </c>
      <c r="H159">
        <v>819827856</v>
      </c>
      <c r="I159">
        <v>826475750.72000003</v>
      </c>
      <c r="J159">
        <v>0.18684100000000001</v>
      </c>
      <c r="K159">
        <v>0.105527</v>
      </c>
      <c r="M159" t="s">
        <v>0</v>
      </c>
      <c r="N159">
        <v>8250</v>
      </c>
      <c r="O159">
        <v>320</v>
      </c>
      <c r="P159">
        <v>472</v>
      </c>
      <c r="Q159">
        <v>0</v>
      </c>
      <c r="R159">
        <v>877553841</v>
      </c>
      <c r="S159">
        <v>14074178.689999999</v>
      </c>
      <c r="T159">
        <v>859347589.20000005</v>
      </c>
      <c r="U159">
        <v>860790638.58000004</v>
      </c>
      <c r="V159">
        <v>5.5063000000000001E-2</v>
      </c>
      <c r="W159">
        <v>3.6157000000000002E-2</v>
      </c>
    </row>
    <row r="160" spans="1:23" x14ac:dyDescent="0.35">
      <c r="A160" t="s">
        <v>2</v>
      </c>
      <c r="B160">
        <v>5750</v>
      </c>
      <c r="C160">
        <v>360</v>
      </c>
      <c r="D160">
        <v>4</v>
      </c>
      <c r="E160">
        <v>0</v>
      </c>
      <c r="F160">
        <v>4881972</v>
      </c>
      <c r="G160">
        <v>116833.83</v>
      </c>
      <c r="H160">
        <v>4713887</v>
      </c>
      <c r="I160">
        <v>4713887</v>
      </c>
      <c r="J160">
        <v>0.118951</v>
      </c>
      <c r="K160">
        <v>0.118951</v>
      </c>
      <c r="M160" t="s">
        <v>2</v>
      </c>
      <c r="N160">
        <v>5750</v>
      </c>
      <c r="O160">
        <v>320</v>
      </c>
      <c r="P160">
        <v>560</v>
      </c>
      <c r="Q160">
        <v>0</v>
      </c>
      <c r="R160">
        <v>2029842376</v>
      </c>
      <c r="S160">
        <v>15789300.34</v>
      </c>
      <c r="T160">
        <v>2002248877.45</v>
      </c>
      <c r="U160">
        <v>2010866609.9400001</v>
      </c>
      <c r="V160">
        <v>6.7595000000000002E-2</v>
      </c>
      <c r="W160">
        <v>1.8676000000000002E-2</v>
      </c>
    </row>
    <row r="161" spans="1:23" x14ac:dyDescent="0.35">
      <c r="A161" t="s">
        <v>2</v>
      </c>
      <c r="B161">
        <v>5750</v>
      </c>
      <c r="C161">
        <v>320</v>
      </c>
      <c r="D161">
        <v>556</v>
      </c>
      <c r="E161">
        <v>0</v>
      </c>
      <c r="F161">
        <v>2008880899</v>
      </c>
      <c r="G161">
        <v>15772321.710000001</v>
      </c>
      <c r="H161">
        <v>1979062628</v>
      </c>
      <c r="I161">
        <v>1987406593.5999999</v>
      </c>
      <c r="J161">
        <v>8.0751000000000003E-2</v>
      </c>
      <c r="K161">
        <v>3.3534000000000001E-2</v>
      </c>
      <c r="M161" t="s">
        <v>0</v>
      </c>
      <c r="N161">
        <v>3500</v>
      </c>
      <c r="O161">
        <v>192</v>
      </c>
      <c r="P161">
        <v>437</v>
      </c>
      <c r="Q161">
        <v>0</v>
      </c>
      <c r="R161">
        <v>3493135811</v>
      </c>
      <c r="S161">
        <v>13989162.59</v>
      </c>
      <c r="T161">
        <v>3467406369.77</v>
      </c>
      <c r="U161">
        <v>3479146648.4099998</v>
      </c>
      <c r="V161">
        <v>3.9593999999999997E-2</v>
      </c>
      <c r="W161">
        <v>0</v>
      </c>
    </row>
    <row r="162" spans="1:23" x14ac:dyDescent="0.35">
      <c r="A162" t="s">
        <v>0</v>
      </c>
      <c r="B162">
        <v>3500</v>
      </c>
      <c r="C162">
        <v>192</v>
      </c>
      <c r="D162">
        <v>521</v>
      </c>
      <c r="E162">
        <v>0</v>
      </c>
      <c r="F162">
        <v>4127909660</v>
      </c>
      <c r="G162">
        <v>16580544.630000001</v>
      </c>
      <c r="H162">
        <v>4096322312</v>
      </c>
      <c r="I162">
        <v>4104643397.0100002</v>
      </c>
      <c r="J162">
        <v>4.2764000000000003E-2</v>
      </c>
      <c r="K162">
        <v>1.9262999999999999E-2</v>
      </c>
      <c r="M162" t="s">
        <v>2</v>
      </c>
      <c r="N162">
        <v>3500</v>
      </c>
      <c r="O162">
        <v>192</v>
      </c>
      <c r="P162">
        <v>61</v>
      </c>
      <c r="Q162">
        <v>0</v>
      </c>
      <c r="R162">
        <v>527432181</v>
      </c>
      <c r="S162">
        <v>2117091.2400000002</v>
      </c>
      <c r="T162">
        <v>518031840.61000001</v>
      </c>
      <c r="U162">
        <v>525315089.75999999</v>
      </c>
      <c r="V162">
        <v>0.15368299999999999</v>
      </c>
      <c r="W162">
        <v>0</v>
      </c>
    </row>
    <row r="163" spans="1:23" x14ac:dyDescent="0.35">
      <c r="A163" t="s">
        <v>2</v>
      </c>
      <c r="B163">
        <v>3500</v>
      </c>
      <c r="C163">
        <v>192</v>
      </c>
      <c r="D163">
        <v>80</v>
      </c>
      <c r="E163">
        <v>0</v>
      </c>
      <c r="F163">
        <v>706000439</v>
      </c>
      <c r="G163">
        <v>2831736.74</v>
      </c>
      <c r="H163">
        <v>702567583</v>
      </c>
      <c r="I163">
        <v>702567583</v>
      </c>
      <c r="J163">
        <v>1.017E-2</v>
      </c>
      <c r="K163">
        <v>1.017E-2</v>
      </c>
      <c r="M163" t="s">
        <v>0</v>
      </c>
      <c r="N163">
        <v>3500</v>
      </c>
      <c r="O163">
        <v>320</v>
      </c>
      <c r="P163">
        <v>6</v>
      </c>
      <c r="Q163">
        <v>0</v>
      </c>
      <c r="R163">
        <v>7399502</v>
      </c>
      <c r="S163">
        <v>138638.42000000001</v>
      </c>
      <c r="T163">
        <v>7260863.5800000001</v>
      </c>
      <c r="U163">
        <v>7260863.5800000001</v>
      </c>
      <c r="V163">
        <v>0</v>
      </c>
      <c r="W163">
        <v>0</v>
      </c>
    </row>
    <row r="164" spans="1:23" x14ac:dyDescent="0.35">
      <c r="A164" t="s">
        <v>0</v>
      </c>
      <c r="B164">
        <v>3500</v>
      </c>
      <c r="C164">
        <v>320</v>
      </c>
      <c r="D164">
        <v>6</v>
      </c>
      <c r="E164">
        <v>0</v>
      </c>
      <c r="F164">
        <v>7195620</v>
      </c>
      <c r="G164">
        <v>137738.04</v>
      </c>
      <c r="H164">
        <v>6740979</v>
      </c>
      <c r="I164">
        <v>6740979</v>
      </c>
      <c r="J164">
        <v>0.41753400000000002</v>
      </c>
      <c r="K164">
        <v>0.41753400000000002</v>
      </c>
      <c r="M164" t="s">
        <v>0</v>
      </c>
      <c r="N164">
        <v>4750</v>
      </c>
      <c r="O164">
        <v>320</v>
      </c>
      <c r="P164">
        <v>289</v>
      </c>
      <c r="Q164">
        <v>0</v>
      </c>
      <c r="R164">
        <v>1335964101</v>
      </c>
      <c r="S164">
        <v>11099336.390000001</v>
      </c>
      <c r="T164">
        <v>1316201288.71</v>
      </c>
      <c r="U164">
        <v>1324864764.6099999</v>
      </c>
      <c r="V164">
        <v>7.5101000000000001E-2</v>
      </c>
      <c r="W164">
        <v>0</v>
      </c>
    </row>
    <row r="165" spans="1:23" x14ac:dyDescent="0.35">
      <c r="A165" t="s">
        <v>0</v>
      </c>
      <c r="B165">
        <v>4750</v>
      </c>
      <c r="C165">
        <v>320</v>
      </c>
      <c r="D165">
        <v>289</v>
      </c>
      <c r="E165">
        <v>0</v>
      </c>
      <c r="F165">
        <v>1322216155</v>
      </c>
      <c r="G165">
        <v>11094596.630000001</v>
      </c>
      <c r="H165">
        <v>1299140852</v>
      </c>
      <c r="I165">
        <v>1307920195.21</v>
      </c>
      <c r="J165">
        <v>0.103475</v>
      </c>
      <c r="K165">
        <v>2.8670999999999999E-2</v>
      </c>
      <c r="M165" t="s">
        <v>1</v>
      </c>
      <c r="N165">
        <v>6750</v>
      </c>
      <c r="O165">
        <v>320</v>
      </c>
      <c r="P165">
        <v>445</v>
      </c>
      <c r="Q165">
        <v>0</v>
      </c>
      <c r="R165">
        <v>1546401475</v>
      </c>
      <c r="S165">
        <v>15402367.66</v>
      </c>
      <c r="T165">
        <v>1512267015.9000001</v>
      </c>
      <c r="U165">
        <v>1530999107.3399999</v>
      </c>
      <c r="V165">
        <v>0.13605600000000001</v>
      </c>
      <c r="W165">
        <v>0</v>
      </c>
    </row>
    <row r="166" spans="1:23" x14ac:dyDescent="0.35">
      <c r="A166" t="s">
        <v>1</v>
      </c>
      <c r="B166">
        <v>6750</v>
      </c>
      <c r="C166">
        <v>320</v>
      </c>
      <c r="D166">
        <v>438</v>
      </c>
      <c r="E166">
        <v>0</v>
      </c>
      <c r="F166">
        <v>1511466301</v>
      </c>
      <c r="G166">
        <v>15211879.880000001</v>
      </c>
      <c r="H166">
        <v>1481516045</v>
      </c>
      <c r="I166">
        <v>1487102109.6300001</v>
      </c>
      <c r="J166">
        <v>0.11093699999999999</v>
      </c>
      <c r="K166">
        <v>7.0291000000000006E-2</v>
      </c>
      <c r="M166" t="s">
        <v>2</v>
      </c>
      <c r="N166">
        <v>7750</v>
      </c>
      <c r="O166">
        <v>320</v>
      </c>
      <c r="P166">
        <v>80</v>
      </c>
      <c r="Q166">
        <v>0</v>
      </c>
      <c r="R166">
        <v>149791587</v>
      </c>
      <c r="S166">
        <v>1982000.33</v>
      </c>
      <c r="T166">
        <v>147809586.66999999</v>
      </c>
      <c r="U166">
        <v>147809586.66999999</v>
      </c>
      <c r="V166">
        <v>0</v>
      </c>
      <c r="W166">
        <v>0</v>
      </c>
    </row>
    <row r="167" spans="1:23" x14ac:dyDescent="0.35">
      <c r="A167" t="s">
        <v>2</v>
      </c>
      <c r="B167">
        <v>7750</v>
      </c>
      <c r="C167">
        <v>320</v>
      </c>
      <c r="D167">
        <v>75</v>
      </c>
      <c r="E167">
        <v>0</v>
      </c>
      <c r="F167">
        <v>140867406</v>
      </c>
      <c r="G167">
        <v>1844373.84</v>
      </c>
      <c r="H167">
        <v>138329125</v>
      </c>
      <c r="I167">
        <v>138329125</v>
      </c>
      <c r="J167">
        <v>5.7535999999999997E-2</v>
      </c>
      <c r="K167">
        <v>5.7535999999999997E-2</v>
      </c>
      <c r="M167" t="s">
        <v>2</v>
      </c>
      <c r="N167">
        <v>20000</v>
      </c>
      <c r="O167">
        <v>320</v>
      </c>
      <c r="P167">
        <v>7</v>
      </c>
      <c r="Q167">
        <v>0</v>
      </c>
      <c r="R167">
        <v>10333943</v>
      </c>
      <c r="S167">
        <v>162902.64000000001</v>
      </c>
      <c r="T167">
        <v>10171040.359999999</v>
      </c>
      <c r="U167">
        <v>10171040.359999999</v>
      </c>
      <c r="V167">
        <v>0</v>
      </c>
      <c r="W167">
        <v>0</v>
      </c>
    </row>
    <row r="168" spans="1:23" x14ac:dyDescent="0.35">
      <c r="A168" t="s">
        <v>2</v>
      </c>
      <c r="B168">
        <v>20000</v>
      </c>
      <c r="C168">
        <v>320</v>
      </c>
      <c r="D168">
        <v>7</v>
      </c>
      <c r="E168">
        <v>0</v>
      </c>
      <c r="F168">
        <v>10062474</v>
      </c>
      <c r="G168">
        <v>162484.12</v>
      </c>
      <c r="H168">
        <v>9796259</v>
      </c>
      <c r="I168">
        <v>9796259</v>
      </c>
      <c r="J168">
        <v>0.116926</v>
      </c>
      <c r="K168">
        <v>0.116926</v>
      </c>
      <c r="M168" t="s">
        <v>1</v>
      </c>
      <c r="N168">
        <v>8250</v>
      </c>
      <c r="O168">
        <v>320</v>
      </c>
      <c r="P168">
        <v>47</v>
      </c>
      <c r="Q168">
        <v>0</v>
      </c>
      <c r="R168">
        <v>101360220</v>
      </c>
      <c r="S168">
        <v>1671748.21</v>
      </c>
      <c r="T168">
        <v>99688471.790000007</v>
      </c>
      <c r="U168">
        <v>99688471.790000007</v>
      </c>
      <c r="V168">
        <v>0</v>
      </c>
      <c r="W168">
        <v>0</v>
      </c>
    </row>
    <row r="169" spans="1:23" x14ac:dyDescent="0.35">
      <c r="A169" t="s">
        <v>1</v>
      </c>
      <c r="B169">
        <v>8250</v>
      </c>
      <c r="C169">
        <v>320</v>
      </c>
      <c r="D169">
        <v>47</v>
      </c>
      <c r="E169">
        <v>0</v>
      </c>
      <c r="F169">
        <v>99283938</v>
      </c>
      <c r="G169">
        <v>1676827.67</v>
      </c>
      <c r="H169">
        <v>97241923</v>
      </c>
      <c r="I169">
        <v>97241923</v>
      </c>
      <c r="J169">
        <v>4.3256000000000003E-2</v>
      </c>
      <c r="K169">
        <v>4.3256000000000003E-2</v>
      </c>
      <c r="M169" t="s">
        <v>2</v>
      </c>
      <c r="N169">
        <v>8250</v>
      </c>
      <c r="O169">
        <v>320</v>
      </c>
      <c r="P169">
        <v>22</v>
      </c>
      <c r="Q169">
        <v>0</v>
      </c>
      <c r="R169">
        <v>36457301</v>
      </c>
      <c r="S169">
        <v>620765.11</v>
      </c>
      <c r="T169">
        <v>35836535.890000001</v>
      </c>
      <c r="U169">
        <v>35836535.890000001</v>
      </c>
      <c r="V169">
        <v>0</v>
      </c>
      <c r="W169">
        <v>0</v>
      </c>
    </row>
    <row r="170" spans="1:23" x14ac:dyDescent="0.35">
      <c r="A170" t="s">
        <v>2</v>
      </c>
      <c r="B170">
        <v>8250</v>
      </c>
      <c r="C170">
        <v>320</v>
      </c>
      <c r="D170">
        <v>22</v>
      </c>
      <c r="E170">
        <v>0</v>
      </c>
      <c r="F170">
        <v>35845568</v>
      </c>
      <c r="G170">
        <v>625027.14</v>
      </c>
      <c r="H170">
        <v>35012407</v>
      </c>
      <c r="I170">
        <v>35012407</v>
      </c>
      <c r="J170">
        <v>6.7493999999999998E-2</v>
      </c>
      <c r="K170">
        <v>6.7493999999999998E-2</v>
      </c>
      <c r="M170" t="s">
        <v>1</v>
      </c>
      <c r="N170">
        <v>7750</v>
      </c>
      <c r="O170">
        <v>320</v>
      </c>
      <c r="P170">
        <v>65</v>
      </c>
      <c r="Q170">
        <v>0</v>
      </c>
      <c r="R170">
        <v>151594949</v>
      </c>
      <c r="S170">
        <v>2232853.25</v>
      </c>
      <c r="T170">
        <v>149362095.75</v>
      </c>
      <c r="U170">
        <v>149362095.75</v>
      </c>
      <c r="V170">
        <v>0</v>
      </c>
      <c r="W170">
        <v>0</v>
      </c>
    </row>
    <row r="171" spans="1:23" x14ac:dyDescent="0.35">
      <c r="A171" t="s">
        <v>1</v>
      </c>
      <c r="B171">
        <v>7750</v>
      </c>
      <c r="C171">
        <v>320</v>
      </c>
      <c r="D171">
        <v>65</v>
      </c>
      <c r="E171">
        <v>0</v>
      </c>
      <c r="F171">
        <v>148440326</v>
      </c>
      <c r="G171">
        <v>2231574.0699999998</v>
      </c>
      <c r="H171">
        <v>145590154</v>
      </c>
      <c r="I171">
        <v>145590154</v>
      </c>
      <c r="J171">
        <v>4.8876999999999997E-2</v>
      </c>
      <c r="K171">
        <v>4.8876999999999997E-2</v>
      </c>
      <c r="M171" t="s">
        <v>1</v>
      </c>
      <c r="N171">
        <v>3500</v>
      </c>
      <c r="O171">
        <v>168</v>
      </c>
      <c r="P171">
        <v>27097</v>
      </c>
      <c r="Q171">
        <v>0</v>
      </c>
      <c r="R171">
        <v>358131190634</v>
      </c>
      <c r="S171">
        <v>1297172008.0599999</v>
      </c>
      <c r="T171">
        <v>355091697599.27002</v>
      </c>
      <c r="U171">
        <v>356748469802.5</v>
      </c>
      <c r="V171">
        <v>5.6842999999999998E-2</v>
      </c>
      <c r="W171">
        <v>2.8630000000000001E-3</v>
      </c>
    </row>
    <row r="172" spans="1:23" x14ac:dyDescent="0.35">
      <c r="A172" t="s">
        <v>1</v>
      </c>
      <c r="B172">
        <v>4000</v>
      </c>
      <c r="C172">
        <v>168</v>
      </c>
      <c r="D172">
        <v>17756</v>
      </c>
      <c r="E172">
        <v>0</v>
      </c>
      <c r="F172">
        <v>207504929985</v>
      </c>
      <c r="G172">
        <v>732922313.48000002</v>
      </c>
      <c r="H172">
        <v>205079504415</v>
      </c>
      <c r="I172">
        <v>206395992684.53</v>
      </c>
      <c r="J172">
        <v>9.3604000000000007E-2</v>
      </c>
      <c r="K172">
        <v>2.1530000000000001E-2</v>
      </c>
      <c r="M172" t="s">
        <v>3</v>
      </c>
      <c r="N172">
        <v>7000</v>
      </c>
      <c r="O172">
        <v>320</v>
      </c>
      <c r="P172">
        <v>4</v>
      </c>
      <c r="Q172">
        <v>0</v>
      </c>
      <c r="R172">
        <v>12845963</v>
      </c>
      <c r="S172">
        <v>113412.13</v>
      </c>
      <c r="T172">
        <v>12732550.869999999</v>
      </c>
      <c r="U172">
        <v>12732550.869999999</v>
      </c>
      <c r="V172">
        <v>0</v>
      </c>
      <c r="W172">
        <v>0</v>
      </c>
    </row>
    <row r="173" spans="1:23" x14ac:dyDescent="0.35">
      <c r="A173" t="s">
        <v>1</v>
      </c>
      <c r="B173">
        <v>3500</v>
      </c>
      <c r="C173">
        <v>168</v>
      </c>
      <c r="D173">
        <v>26933</v>
      </c>
      <c r="E173">
        <v>0</v>
      </c>
      <c r="F173">
        <v>354536261252</v>
      </c>
      <c r="G173">
        <v>1292418647.9200001</v>
      </c>
      <c r="H173">
        <v>350757181919</v>
      </c>
      <c r="I173">
        <v>352571589787.42999</v>
      </c>
      <c r="J173">
        <v>8.0993999999999997E-2</v>
      </c>
      <c r="K173">
        <v>2.2518E-2</v>
      </c>
      <c r="M173" t="s">
        <v>0</v>
      </c>
      <c r="N173">
        <v>4000</v>
      </c>
      <c r="O173">
        <v>320</v>
      </c>
      <c r="P173">
        <v>41</v>
      </c>
      <c r="Q173">
        <v>0</v>
      </c>
      <c r="R173">
        <v>124266471</v>
      </c>
      <c r="S173">
        <v>1244542.08</v>
      </c>
      <c r="T173">
        <v>123021928.92</v>
      </c>
      <c r="U173">
        <v>123021928.92</v>
      </c>
      <c r="V173">
        <v>0</v>
      </c>
      <c r="W173">
        <v>0</v>
      </c>
    </row>
    <row r="174" spans="1:23" x14ac:dyDescent="0.35">
      <c r="A174" t="s">
        <v>3</v>
      </c>
      <c r="B174">
        <v>7000</v>
      </c>
      <c r="C174">
        <v>320</v>
      </c>
      <c r="D174">
        <v>4</v>
      </c>
      <c r="E174">
        <v>0</v>
      </c>
      <c r="F174">
        <v>12727279</v>
      </c>
      <c r="G174">
        <v>114008.85</v>
      </c>
      <c r="H174">
        <v>12571762</v>
      </c>
      <c r="I174">
        <v>12571762</v>
      </c>
      <c r="J174">
        <v>3.8441999999999997E-2</v>
      </c>
      <c r="K174">
        <v>3.8441999999999997E-2</v>
      </c>
      <c r="M174" t="s">
        <v>1</v>
      </c>
      <c r="N174">
        <v>4500</v>
      </c>
      <c r="O174">
        <v>320</v>
      </c>
      <c r="P174">
        <v>100</v>
      </c>
      <c r="Q174">
        <v>0</v>
      </c>
      <c r="R174">
        <v>471528826</v>
      </c>
      <c r="S174">
        <v>4017003.4</v>
      </c>
      <c r="T174">
        <v>462787601.13</v>
      </c>
      <c r="U174">
        <v>467511822.60000002</v>
      </c>
      <c r="V174">
        <v>0.113819</v>
      </c>
      <c r="W174">
        <v>0</v>
      </c>
    </row>
    <row r="175" spans="1:23" x14ac:dyDescent="0.35">
      <c r="A175" t="s">
        <v>0</v>
      </c>
      <c r="B175">
        <v>4000</v>
      </c>
      <c r="C175">
        <v>320</v>
      </c>
      <c r="D175">
        <v>40</v>
      </c>
      <c r="E175">
        <v>0</v>
      </c>
      <c r="F175">
        <v>120758329</v>
      </c>
      <c r="G175">
        <v>1198343.71</v>
      </c>
      <c r="H175">
        <v>119068625</v>
      </c>
      <c r="I175">
        <v>119202299.17</v>
      </c>
      <c r="J175">
        <v>4.7749E-2</v>
      </c>
      <c r="K175">
        <v>3.4971000000000002E-2</v>
      </c>
      <c r="M175" t="s">
        <v>2</v>
      </c>
      <c r="N175">
        <v>5000</v>
      </c>
      <c r="O175">
        <v>320</v>
      </c>
      <c r="P175">
        <v>70</v>
      </c>
      <c r="Q175">
        <v>0</v>
      </c>
      <c r="R175">
        <v>270552717</v>
      </c>
      <c r="S175">
        <v>2160082.1800000002</v>
      </c>
      <c r="T175">
        <v>268392634.81999999</v>
      </c>
      <c r="U175">
        <v>268392634.81999999</v>
      </c>
      <c r="V175">
        <v>0</v>
      </c>
      <c r="W175">
        <v>0</v>
      </c>
    </row>
    <row r="176" spans="1:23" x14ac:dyDescent="0.35">
      <c r="A176" t="s">
        <v>1</v>
      </c>
      <c r="B176">
        <v>4500</v>
      </c>
      <c r="C176">
        <v>320</v>
      </c>
      <c r="D176">
        <v>99</v>
      </c>
      <c r="E176">
        <v>0</v>
      </c>
      <c r="F176">
        <v>462756377</v>
      </c>
      <c r="G176">
        <v>3979084.96</v>
      </c>
      <c r="H176">
        <v>457241565</v>
      </c>
      <c r="I176">
        <v>457241565</v>
      </c>
      <c r="J176">
        <v>3.9105000000000001E-2</v>
      </c>
      <c r="K176">
        <v>3.9105000000000001E-2</v>
      </c>
      <c r="M176" t="s">
        <v>0</v>
      </c>
      <c r="N176">
        <v>5750</v>
      </c>
      <c r="O176">
        <v>192</v>
      </c>
      <c r="P176">
        <v>1947</v>
      </c>
      <c r="Q176">
        <v>0</v>
      </c>
      <c r="R176">
        <v>11739354684</v>
      </c>
      <c r="S176">
        <v>44025234.82</v>
      </c>
      <c r="T176">
        <v>11643254702.51</v>
      </c>
      <c r="U176">
        <v>11692936072.469999</v>
      </c>
      <c r="V176">
        <v>5.1950999999999997E-2</v>
      </c>
      <c r="W176">
        <v>2.444E-3</v>
      </c>
    </row>
    <row r="177" spans="1:23" x14ac:dyDescent="0.35">
      <c r="A177" t="s">
        <v>2</v>
      </c>
      <c r="B177">
        <v>5000</v>
      </c>
      <c r="C177">
        <v>320</v>
      </c>
      <c r="D177">
        <v>71</v>
      </c>
      <c r="E177">
        <v>0</v>
      </c>
      <c r="F177">
        <v>269730014</v>
      </c>
      <c r="G177">
        <v>2176423.4300000002</v>
      </c>
      <c r="H177">
        <v>265132868</v>
      </c>
      <c r="I177">
        <v>266782908.28</v>
      </c>
      <c r="J177">
        <v>0.102535</v>
      </c>
      <c r="K177">
        <v>3.3752999999999998E-2</v>
      </c>
      <c r="M177" t="s">
        <v>0</v>
      </c>
      <c r="N177">
        <v>3000</v>
      </c>
      <c r="O177">
        <v>192</v>
      </c>
      <c r="P177">
        <v>134</v>
      </c>
      <c r="Q177">
        <v>0</v>
      </c>
      <c r="R177">
        <v>956939782</v>
      </c>
      <c r="S177">
        <v>4056762.41</v>
      </c>
      <c r="T177">
        <v>952883019.59000003</v>
      </c>
      <c r="U177">
        <v>952883019.59000003</v>
      </c>
      <c r="V177">
        <v>0</v>
      </c>
      <c r="W177">
        <v>0</v>
      </c>
    </row>
    <row r="178" spans="1:23" x14ac:dyDescent="0.35">
      <c r="A178" t="s">
        <v>0</v>
      </c>
      <c r="B178">
        <v>5750</v>
      </c>
      <c r="C178">
        <v>192</v>
      </c>
      <c r="D178">
        <v>1688</v>
      </c>
      <c r="E178">
        <v>0</v>
      </c>
      <c r="F178">
        <v>10101299117</v>
      </c>
      <c r="G178">
        <v>37935634.57</v>
      </c>
      <c r="H178">
        <v>9973696173</v>
      </c>
      <c r="I178">
        <v>10033491300.9</v>
      </c>
      <c r="J178">
        <v>0.10147200000000001</v>
      </c>
      <c r="K178">
        <v>3.4916000000000003E-2</v>
      </c>
      <c r="M178" t="s">
        <v>2</v>
      </c>
      <c r="N178">
        <v>3000</v>
      </c>
      <c r="O178">
        <v>192</v>
      </c>
      <c r="P178">
        <v>19</v>
      </c>
      <c r="Q178">
        <v>0</v>
      </c>
      <c r="R178">
        <v>123429310</v>
      </c>
      <c r="S178">
        <v>576521.97</v>
      </c>
      <c r="T178">
        <v>122852788.03</v>
      </c>
      <c r="U178">
        <v>122852788.03</v>
      </c>
      <c r="V178">
        <v>0</v>
      </c>
      <c r="W178">
        <v>0</v>
      </c>
    </row>
    <row r="179" spans="1:23" x14ac:dyDescent="0.35">
      <c r="A179" t="s">
        <v>0</v>
      </c>
      <c r="B179">
        <v>3000</v>
      </c>
      <c r="C179">
        <v>192</v>
      </c>
      <c r="D179">
        <v>151</v>
      </c>
      <c r="E179">
        <v>0</v>
      </c>
      <c r="F179">
        <v>1063816090</v>
      </c>
      <c r="G179">
        <v>4520858.67</v>
      </c>
      <c r="H179">
        <v>1058351338</v>
      </c>
      <c r="I179">
        <v>1058351338</v>
      </c>
      <c r="J179">
        <v>1.0595E-2</v>
      </c>
      <c r="K179">
        <v>1.0595E-2</v>
      </c>
      <c r="M179" t="s">
        <v>0</v>
      </c>
      <c r="N179">
        <v>3250</v>
      </c>
      <c r="O179">
        <v>192</v>
      </c>
      <c r="P179">
        <v>144</v>
      </c>
      <c r="Q179">
        <v>0</v>
      </c>
      <c r="R179">
        <v>1074918047</v>
      </c>
      <c r="S179">
        <v>4372920.47</v>
      </c>
      <c r="T179">
        <v>1060873401.64</v>
      </c>
      <c r="U179">
        <v>1070545126.53</v>
      </c>
      <c r="V179">
        <v>0.102786</v>
      </c>
      <c r="W179">
        <v>0</v>
      </c>
    </row>
    <row r="180" spans="1:23" x14ac:dyDescent="0.35">
      <c r="A180" t="s">
        <v>2</v>
      </c>
      <c r="B180">
        <v>3000</v>
      </c>
      <c r="C180">
        <v>192</v>
      </c>
      <c r="D180">
        <v>20</v>
      </c>
      <c r="E180">
        <v>0</v>
      </c>
      <c r="F180">
        <v>137076288</v>
      </c>
      <c r="G180">
        <v>636133.01</v>
      </c>
      <c r="H180">
        <v>134729911</v>
      </c>
      <c r="I180">
        <v>134729911</v>
      </c>
      <c r="J180">
        <v>0.13986100000000001</v>
      </c>
      <c r="K180">
        <v>0.13986100000000001</v>
      </c>
      <c r="M180" t="s">
        <v>2</v>
      </c>
      <c r="N180">
        <v>4750</v>
      </c>
      <c r="O180">
        <v>320</v>
      </c>
      <c r="P180">
        <v>9</v>
      </c>
      <c r="Q180">
        <v>0</v>
      </c>
      <c r="R180">
        <v>22019648</v>
      </c>
      <c r="S180">
        <v>215220.58</v>
      </c>
      <c r="T180">
        <v>21804427.420000002</v>
      </c>
      <c r="U180">
        <v>21804427.420000002</v>
      </c>
      <c r="V180">
        <v>0</v>
      </c>
      <c r="W180">
        <v>0</v>
      </c>
    </row>
    <row r="181" spans="1:23" x14ac:dyDescent="0.35">
      <c r="A181" t="s">
        <v>0</v>
      </c>
      <c r="B181">
        <v>3250</v>
      </c>
      <c r="C181">
        <v>192</v>
      </c>
      <c r="D181">
        <v>153</v>
      </c>
      <c r="E181">
        <v>0</v>
      </c>
      <c r="F181">
        <v>1136520064</v>
      </c>
      <c r="G181">
        <v>4649990.92</v>
      </c>
      <c r="H181">
        <v>1117693907</v>
      </c>
      <c r="I181">
        <v>1128001580.5</v>
      </c>
      <c r="J181">
        <v>0.13982600000000001</v>
      </c>
      <c r="K181">
        <v>4.0090000000000001E-2</v>
      </c>
      <c r="M181" t="s">
        <v>2</v>
      </c>
      <c r="N181">
        <v>7000</v>
      </c>
      <c r="O181">
        <v>240</v>
      </c>
      <c r="P181">
        <v>749</v>
      </c>
      <c r="Q181">
        <v>0</v>
      </c>
      <c r="R181">
        <v>3255170964</v>
      </c>
      <c r="S181">
        <v>16126553.890000001</v>
      </c>
      <c r="T181">
        <v>3218736103.1199999</v>
      </c>
      <c r="U181">
        <v>3230045944.5100002</v>
      </c>
      <c r="V181">
        <v>7.2348999999999997E-2</v>
      </c>
      <c r="W181">
        <v>3.2673000000000001E-2</v>
      </c>
    </row>
    <row r="182" spans="1:23" x14ac:dyDescent="0.35">
      <c r="A182" t="s">
        <v>2</v>
      </c>
      <c r="B182">
        <v>4750</v>
      </c>
      <c r="C182">
        <v>320</v>
      </c>
      <c r="D182">
        <v>9</v>
      </c>
      <c r="E182">
        <v>0</v>
      </c>
      <c r="F182">
        <v>21755562</v>
      </c>
      <c r="G182">
        <v>215735.52</v>
      </c>
      <c r="H182">
        <v>21369640</v>
      </c>
      <c r="I182">
        <v>21369640</v>
      </c>
      <c r="J182">
        <v>8.9937000000000003E-2</v>
      </c>
      <c r="K182">
        <v>8.9937000000000003E-2</v>
      </c>
      <c r="M182" t="s">
        <v>2</v>
      </c>
      <c r="N182">
        <v>7500</v>
      </c>
      <c r="O182">
        <v>240</v>
      </c>
      <c r="P182">
        <v>64</v>
      </c>
      <c r="Q182">
        <v>0</v>
      </c>
      <c r="R182">
        <v>242734190</v>
      </c>
      <c r="S182">
        <v>1161007.68</v>
      </c>
      <c r="T182">
        <v>238714138.44</v>
      </c>
      <c r="U182">
        <v>241573182.31999999</v>
      </c>
      <c r="V182">
        <v>0.13253599999999999</v>
      </c>
      <c r="W182">
        <v>0</v>
      </c>
    </row>
    <row r="183" spans="1:23" x14ac:dyDescent="0.35">
      <c r="A183" t="s">
        <v>2</v>
      </c>
      <c r="B183">
        <v>7000</v>
      </c>
      <c r="C183">
        <v>240</v>
      </c>
      <c r="D183">
        <v>755</v>
      </c>
      <c r="E183">
        <v>0</v>
      </c>
      <c r="F183">
        <v>3250929421</v>
      </c>
      <c r="G183">
        <v>16256389.189999999</v>
      </c>
      <c r="H183">
        <v>3203404354</v>
      </c>
      <c r="I183">
        <v>3225647470.6999998</v>
      </c>
      <c r="J183">
        <v>0.10950600000000001</v>
      </c>
      <c r="K183">
        <v>3.2812000000000001E-2</v>
      </c>
      <c r="M183" t="s">
        <v>0</v>
      </c>
      <c r="N183">
        <v>8000</v>
      </c>
      <c r="O183">
        <v>240</v>
      </c>
      <c r="P183">
        <v>32</v>
      </c>
      <c r="Q183">
        <v>0</v>
      </c>
      <c r="R183">
        <v>168330120</v>
      </c>
      <c r="S183">
        <v>791440.5</v>
      </c>
      <c r="T183">
        <v>164901046.09</v>
      </c>
      <c r="U183">
        <v>167538679.5</v>
      </c>
      <c r="V183">
        <v>0.17264499999999999</v>
      </c>
      <c r="W183">
        <v>0</v>
      </c>
    </row>
    <row r="184" spans="1:23" x14ac:dyDescent="0.35">
      <c r="A184" t="s">
        <v>0</v>
      </c>
      <c r="B184">
        <v>8000</v>
      </c>
      <c r="C184">
        <v>240</v>
      </c>
      <c r="D184">
        <v>32</v>
      </c>
      <c r="E184">
        <v>0</v>
      </c>
      <c r="F184">
        <v>165376741</v>
      </c>
      <c r="G184">
        <v>786202.69</v>
      </c>
      <c r="H184">
        <v>164097735</v>
      </c>
      <c r="I184">
        <v>164097735</v>
      </c>
      <c r="J184">
        <v>3.5178000000000001E-2</v>
      </c>
      <c r="K184">
        <v>3.5178000000000001E-2</v>
      </c>
      <c r="M184" t="s">
        <v>1</v>
      </c>
      <c r="N184">
        <v>7500</v>
      </c>
      <c r="O184">
        <v>240</v>
      </c>
      <c r="P184">
        <v>35</v>
      </c>
      <c r="Q184">
        <v>0</v>
      </c>
      <c r="R184">
        <v>169627905</v>
      </c>
      <c r="S184">
        <v>826618.87</v>
      </c>
      <c r="T184">
        <v>168801286.13</v>
      </c>
      <c r="U184">
        <v>168801286.13</v>
      </c>
      <c r="V184">
        <v>0</v>
      </c>
      <c r="W184">
        <v>0</v>
      </c>
    </row>
    <row r="185" spans="1:23" x14ac:dyDescent="0.35">
      <c r="A185" t="s">
        <v>1</v>
      </c>
      <c r="B185">
        <v>7500</v>
      </c>
      <c r="C185">
        <v>240</v>
      </c>
      <c r="D185">
        <v>35</v>
      </c>
      <c r="E185">
        <v>0</v>
      </c>
      <c r="F185">
        <v>168444424</v>
      </c>
      <c r="G185">
        <v>829930.53</v>
      </c>
      <c r="H185">
        <v>167237615</v>
      </c>
      <c r="I185">
        <v>167237615</v>
      </c>
      <c r="J185">
        <v>2.6520999999999999E-2</v>
      </c>
      <c r="K185">
        <v>2.6520999999999999E-2</v>
      </c>
      <c r="M185" t="s">
        <v>2</v>
      </c>
      <c r="N185">
        <v>4500</v>
      </c>
      <c r="O185">
        <v>320</v>
      </c>
      <c r="P185">
        <v>5</v>
      </c>
      <c r="Q185">
        <v>0</v>
      </c>
      <c r="R185">
        <v>20001862</v>
      </c>
      <c r="S185">
        <v>160663.35999999999</v>
      </c>
      <c r="T185">
        <v>19841198.640000001</v>
      </c>
      <c r="U185">
        <v>19841198.640000001</v>
      </c>
      <c r="V185">
        <v>0</v>
      </c>
      <c r="W185">
        <v>0</v>
      </c>
    </row>
    <row r="186" spans="1:23" x14ac:dyDescent="0.35">
      <c r="A186" t="s">
        <v>2</v>
      </c>
      <c r="B186">
        <v>7500</v>
      </c>
      <c r="C186">
        <v>240</v>
      </c>
      <c r="D186">
        <v>65</v>
      </c>
      <c r="E186">
        <v>0</v>
      </c>
      <c r="F186">
        <v>237536623</v>
      </c>
      <c r="G186">
        <v>1139031.26</v>
      </c>
      <c r="H186">
        <v>236026041</v>
      </c>
      <c r="I186">
        <v>236026041</v>
      </c>
      <c r="J186">
        <v>1.8610000000000002E-2</v>
      </c>
      <c r="K186">
        <v>1.8610000000000002E-2</v>
      </c>
      <c r="M186" t="s">
        <v>1</v>
      </c>
      <c r="N186">
        <v>5250</v>
      </c>
      <c r="O186">
        <v>320</v>
      </c>
      <c r="P186">
        <v>635</v>
      </c>
      <c r="Q186">
        <v>0</v>
      </c>
      <c r="R186">
        <v>2933905455</v>
      </c>
      <c r="S186">
        <v>24697458.239999998</v>
      </c>
      <c r="T186">
        <v>2900754229.8400002</v>
      </c>
      <c r="U186">
        <v>2909207996.7600002</v>
      </c>
      <c r="V186">
        <v>3.4034000000000002E-2</v>
      </c>
      <c r="W186">
        <v>0</v>
      </c>
    </row>
    <row r="187" spans="1:23" x14ac:dyDescent="0.35">
      <c r="A187" t="s">
        <v>2</v>
      </c>
      <c r="B187">
        <v>4500</v>
      </c>
      <c r="C187">
        <v>320</v>
      </c>
      <c r="D187">
        <v>5</v>
      </c>
      <c r="E187">
        <v>0</v>
      </c>
      <c r="F187">
        <v>19791404</v>
      </c>
      <c r="G187">
        <v>160823.09</v>
      </c>
      <c r="H187">
        <v>19626910</v>
      </c>
      <c r="I187">
        <v>19626910</v>
      </c>
      <c r="J187">
        <v>2.2230000000000001E-3</v>
      </c>
      <c r="K187">
        <v>2.2230000000000001E-3</v>
      </c>
      <c r="M187" t="s">
        <v>0</v>
      </c>
      <c r="N187">
        <v>6250</v>
      </c>
      <c r="O187">
        <v>240</v>
      </c>
      <c r="P187">
        <v>3736</v>
      </c>
      <c r="Q187">
        <v>0</v>
      </c>
      <c r="R187">
        <v>21413087042</v>
      </c>
      <c r="S187">
        <v>114670983.29000001</v>
      </c>
      <c r="T187">
        <v>21156863315.599998</v>
      </c>
      <c r="U187">
        <v>21265786392.07</v>
      </c>
      <c r="V187">
        <v>7.6505000000000004E-2</v>
      </c>
      <c r="W187">
        <v>1.8133E-2</v>
      </c>
    </row>
    <row r="188" spans="1:23" x14ac:dyDescent="0.35">
      <c r="A188" t="s">
        <v>1</v>
      </c>
      <c r="B188">
        <v>5250</v>
      </c>
      <c r="C188">
        <v>320</v>
      </c>
      <c r="D188">
        <v>630</v>
      </c>
      <c r="E188">
        <v>0</v>
      </c>
      <c r="F188">
        <v>2888601953</v>
      </c>
      <c r="G188">
        <v>24628480.940000001</v>
      </c>
      <c r="H188">
        <v>2826411802</v>
      </c>
      <c r="I188">
        <v>2852671335.3400002</v>
      </c>
      <c r="J188">
        <v>0.14535100000000001</v>
      </c>
      <c r="K188">
        <v>4.5955000000000003E-2</v>
      </c>
      <c r="M188" t="s">
        <v>0</v>
      </c>
      <c r="N188">
        <v>3750</v>
      </c>
      <c r="O188">
        <v>320</v>
      </c>
      <c r="P188">
        <v>11</v>
      </c>
      <c r="Q188">
        <v>0</v>
      </c>
      <c r="R188">
        <v>44970477</v>
      </c>
      <c r="S188">
        <v>428332.38</v>
      </c>
      <c r="T188">
        <v>44542144.619999997</v>
      </c>
      <c r="U188">
        <v>44542144.619999997</v>
      </c>
      <c r="V188">
        <v>0</v>
      </c>
      <c r="W188">
        <v>0</v>
      </c>
    </row>
    <row r="189" spans="1:23" x14ac:dyDescent="0.35">
      <c r="A189" t="s">
        <v>0</v>
      </c>
      <c r="B189">
        <v>6250</v>
      </c>
      <c r="C189">
        <v>240</v>
      </c>
      <c r="D189">
        <v>3714</v>
      </c>
      <c r="E189">
        <v>0</v>
      </c>
      <c r="F189">
        <v>21439565547</v>
      </c>
      <c r="G189">
        <v>114461851.78</v>
      </c>
      <c r="H189">
        <v>21185263005</v>
      </c>
      <c r="I189">
        <v>21279446146.610001</v>
      </c>
      <c r="J189">
        <v>7.5523000000000007E-2</v>
      </c>
      <c r="K189">
        <v>2.5257999999999999E-2</v>
      </c>
      <c r="M189" t="s">
        <v>0</v>
      </c>
      <c r="N189">
        <v>4000</v>
      </c>
      <c r="O189">
        <v>144</v>
      </c>
      <c r="P189">
        <v>86246</v>
      </c>
      <c r="Q189">
        <v>0</v>
      </c>
      <c r="R189">
        <v>1007231484281</v>
      </c>
      <c r="S189">
        <v>2917427844.3699999</v>
      </c>
      <c r="T189">
        <v>999205529861.96997</v>
      </c>
      <c r="U189">
        <v>1003872364315.54</v>
      </c>
      <c r="V189">
        <v>5.9193000000000003E-2</v>
      </c>
      <c r="W189">
        <v>5.2500000000000003E-3</v>
      </c>
    </row>
    <row r="190" spans="1:23" x14ac:dyDescent="0.35">
      <c r="A190" t="s">
        <v>0</v>
      </c>
      <c r="B190">
        <v>3750</v>
      </c>
      <c r="C190">
        <v>320</v>
      </c>
      <c r="D190">
        <v>11</v>
      </c>
      <c r="E190">
        <v>0</v>
      </c>
      <c r="F190">
        <v>44348997</v>
      </c>
      <c r="G190">
        <v>427345.37</v>
      </c>
      <c r="H190">
        <v>43901072</v>
      </c>
      <c r="I190">
        <v>43901072</v>
      </c>
      <c r="J190">
        <v>5.5539999999999999E-3</v>
      </c>
      <c r="K190">
        <v>5.5539999999999999E-3</v>
      </c>
      <c r="M190" t="s">
        <v>1</v>
      </c>
      <c r="N190">
        <v>4000</v>
      </c>
      <c r="O190">
        <v>144</v>
      </c>
      <c r="P190">
        <v>26802</v>
      </c>
      <c r="Q190">
        <v>0</v>
      </c>
      <c r="R190">
        <v>368125548631</v>
      </c>
      <c r="S190">
        <v>1085342400.4000001</v>
      </c>
      <c r="T190">
        <v>364964984720.37</v>
      </c>
      <c r="U190">
        <v>366747957782.03998</v>
      </c>
      <c r="V190">
        <v>6.5588999999999995E-2</v>
      </c>
      <c r="W190">
        <v>9.4850000000000004E-3</v>
      </c>
    </row>
    <row r="191" spans="1:23" x14ac:dyDescent="0.35">
      <c r="A191" t="s">
        <v>0</v>
      </c>
      <c r="B191">
        <v>4000</v>
      </c>
      <c r="C191">
        <v>144</v>
      </c>
      <c r="D191">
        <v>89786</v>
      </c>
      <c r="E191">
        <v>0</v>
      </c>
      <c r="F191">
        <v>1049617861123</v>
      </c>
      <c r="G191">
        <v>3049160687.77</v>
      </c>
      <c r="H191">
        <v>1040484846588</v>
      </c>
      <c r="I191">
        <v>1045293751610.41</v>
      </c>
      <c r="J191">
        <v>6.7379999999999995E-2</v>
      </c>
      <c r="K191">
        <v>1.4479000000000001E-2</v>
      </c>
      <c r="M191" t="s">
        <v>1</v>
      </c>
      <c r="N191">
        <v>4500</v>
      </c>
      <c r="O191">
        <v>144</v>
      </c>
      <c r="P191">
        <v>6160</v>
      </c>
      <c r="Q191">
        <v>0</v>
      </c>
      <c r="R191">
        <v>65551512089</v>
      </c>
      <c r="S191">
        <v>186065402.78</v>
      </c>
      <c r="T191">
        <v>64985199087.199997</v>
      </c>
      <c r="U191">
        <v>65316525214.169998</v>
      </c>
      <c r="V191">
        <v>6.7431000000000005E-2</v>
      </c>
      <c r="W191">
        <v>8.9189999999999998E-3</v>
      </c>
    </row>
    <row r="192" spans="1:23" x14ac:dyDescent="0.35">
      <c r="A192" t="s">
        <v>1</v>
      </c>
      <c r="B192">
        <v>4000</v>
      </c>
      <c r="C192">
        <v>144</v>
      </c>
      <c r="D192">
        <v>27425</v>
      </c>
      <c r="E192">
        <v>0</v>
      </c>
      <c r="F192">
        <v>375110625674</v>
      </c>
      <c r="G192">
        <v>1108633051.72</v>
      </c>
      <c r="H192">
        <v>371321826891</v>
      </c>
      <c r="I192">
        <v>373396942014.78003</v>
      </c>
      <c r="J192">
        <v>8.2449999999999996E-2</v>
      </c>
      <c r="K192">
        <v>1.9185000000000001E-2</v>
      </c>
      <c r="M192" t="s">
        <v>0</v>
      </c>
      <c r="N192">
        <v>5750</v>
      </c>
      <c r="O192">
        <v>240</v>
      </c>
      <c r="P192">
        <v>1098</v>
      </c>
      <c r="Q192">
        <v>0</v>
      </c>
      <c r="R192">
        <v>6328264190</v>
      </c>
      <c r="S192">
        <v>35505957.719999999</v>
      </c>
      <c r="T192">
        <v>6267541002.79</v>
      </c>
      <c r="U192">
        <v>6292758232.2799997</v>
      </c>
      <c r="V192">
        <v>4.6783999999999999E-2</v>
      </c>
      <c r="W192">
        <v>0</v>
      </c>
    </row>
    <row r="193" spans="1:23" x14ac:dyDescent="0.35">
      <c r="A193" t="s">
        <v>1</v>
      </c>
      <c r="B193">
        <v>4500</v>
      </c>
      <c r="C193">
        <v>144</v>
      </c>
      <c r="D193">
        <v>5959</v>
      </c>
      <c r="E193">
        <v>0</v>
      </c>
      <c r="F193">
        <v>63096998128</v>
      </c>
      <c r="G193">
        <v>179019069.30000001</v>
      </c>
      <c r="H193">
        <v>62450943412</v>
      </c>
      <c r="I193">
        <v>62870309892.790001</v>
      </c>
      <c r="J193">
        <v>8.5293999999999995E-2</v>
      </c>
      <c r="K193">
        <v>9.0279999999999996E-3</v>
      </c>
      <c r="M193" t="s">
        <v>3</v>
      </c>
      <c r="N193">
        <v>6500</v>
      </c>
      <c r="O193">
        <v>320</v>
      </c>
      <c r="P193">
        <v>23</v>
      </c>
      <c r="Q193">
        <v>0</v>
      </c>
      <c r="R193">
        <v>122585711</v>
      </c>
      <c r="S193">
        <v>843984.59</v>
      </c>
      <c r="T193">
        <v>121741726.41</v>
      </c>
      <c r="U193">
        <v>121741726.41</v>
      </c>
      <c r="V193">
        <v>0</v>
      </c>
      <c r="W193">
        <v>0</v>
      </c>
    </row>
    <row r="194" spans="1:23" x14ac:dyDescent="0.35">
      <c r="A194" t="s">
        <v>0</v>
      </c>
      <c r="B194">
        <v>5750</v>
      </c>
      <c r="C194">
        <v>240</v>
      </c>
      <c r="D194">
        <v>1138</v>
      </c>
      <c r="E194">
        <v>0</v>
      </c>
      <c r="F194">
        <v>6652347766</v>
      </c>
      <c r="G194">
        <v>36876739.579999998</v>
      </c>
      <c r="H194">
        <v>6557473059</v>
      </c>
      <c r="I194">
        <v>6597873171.3000002</v>
      </c>
      <c r="J194">
        <v>9.9747000000000002E-2</v>
      </c>
      <c r="K194">
        <v>3.1287000000000002E-2</v>
      </c>
      <c r="M194" t="s">
        <v>0</v>
      </c>
      <c r="N194">
        <v>8000</v>
      </c>
      <c r="O194">
        <v>216</v>
      </c>
      <c r="P194">
        <v>18</v>
      </c>
      <c r="Q194">
        <v>0</v>
      </c>
      <c r="R194">
        <v>100163136</v>
      </c>
      <c r="S194">
        <v>391644.26</v>
      </c>
      <c r="T194">
        <v>99771491.739999995</v>
      </c>
      <c r="U194">
        <v>99771491.739999995</v>
      </c>
      <c r="V194">
        <v>0</v>
      </c>
      <c r="W194">
        <v>0</v>
      </c>
    </row>
    <row r="195" spans="1:23" x14ac:dyDescent="0.35">
      <c r="A195" t="s">
        <v>3</v>
      </c>
      <c r="B195">
        <v>6500</v>
      </c>
      <c r="C195">
        <v>320</v>
      </c>
      <c r="D195">
        <v>25</v>
      </c>
      <c r="E195">
        <v>0</v>
      </c>
      <c r="F195">
        <v>134240003</v>
      </c>
      <c r="G195">
        <v>923640.2</v>
      </c>
      <c r="H195">
        <v>133190423</v>
      </c>
      <c r="I195">
        <v>133190423</v>
      </c>
      <c r="J195">
        <v>1.12E-2</v>
      </c>
      <c r="K195">
        <v>1.12E-2</v>
      </c>
      <c r="M195" t="s">
        <v>2</v>
      </c>
      <c r="N195">
        <v>4000</v>
      </c>
      <c r="O195">
        <v>168</v>
      </c>
      <c r="P195">
        <v>10468</v>
      </c>
      <c r="Q195">
        <v>0</v>
      </c>
      <c r="R195">
        <v>83779426593</v>
      </c>
      <c r="S195">
        <v>296049731.35000002</v>
      </c>
      <c r="T195">
        <v>83196346245.630005</v>
      </c>
      <c r="U195">
        <v>83477064802.199997</v>
      </c>
      <c r="V195">
        <v>4.0346E-2</v>
      </c>
      <c r="W195">
        <v>9.0399999999999996E-4</v>
      </c>
    </row>
    <row r="196" spans="1:23" x14ac:dyDescent="0.35">
      <c r="A196" t="s">
        <v>0</v>
      </c>
      <c r="B196">
        <v>8000</v>
      </c>
      <c r="C196">
        <v>216</v>
      </c>
      <c r="D196">
        <v>17</v>
      </c>
      <c r="E196">
        <v>0</v>
      </c>
      <c r="F196">
        <v>99210664</v>
      </c>
      <c r="G196">
        <v>391899.01</v>
      </c>
      <c r="H196">
        <v>98725478</v>
      </c>
      <c r="I196">
        <v>98725478</v>
      </c>
      <c r="J196">
        <v>1.1225000000000001E-2</v>
      </c>
      <c r="K196">
        <v>1.1225000000000001E-2</v>
      </c>
      <c r="M196" t="s">
        <v>2</v>
      </c>
      <c r="N196">
        <v>4500</v>
      </c>
      <c r="O196">
        <v>168</v>
      </c>
      <c r="P196">
        <v>3471</v>
      </c>
      <c r="Q196">
        <v>0</v>
      </c>
      <c r="R196">
        <v>28672730295</v>
      </c>
      <c r="S196">
        <v>89685714.680000007</v>
      </c>
      <c r="T196">
        <v>28429790562.349998</v>
      </c>
      <c r="U196">
        <v>28583044580.32</v>
      </c>
      <c r="V196">
        <v>6.2287000000000002E-2</v>
      </c>
      <c r="W196">
        <v>0</v>
      </c>
    </row>
    <row r="197" spans="1:23" x14ac:dyDescent="0.35">
      <c r="A197" t="s">
        <v>2</v>
      </c>
      <c r="B197">
        <v>4000</v>
      </c>
      <c r="C197">
        <v>168</v>
      </c>
      <c r="D197">
        <v>9981</v>
      </c>
      <c r="E197">
        <v>0</v>
      </c>
      <c r="F197">
        <v>79879624272</v>
      </c>
      <c r="G197">
        <v>282152499.38999999</v>
      </c>
      <c r="H197">
        <v>79073323188</v>
      </c>
      <c r="I197">
        <v>79439616004.139999</v>
      </c>
      <c r="J197">
        <v>7.596E-2</v>
      </c>
      <c r="K197">
        <v>2.3458E-2</v>
      </c>
      <c r="M197" t="s">
        <v>1</v>
      </c>
      <c r="N197">
        <v>4500</v>
      </c>
      <c r="O197">
        <v>168</v>
      </c>
      <c r="P197">
        <v>3452</v>
      </c>
      <c r="Q197">
        <v>0</v>
      </c>
      <c r="R197">
        <v>36900512689</v>
      </c>
      <c r="S197">
        <v>117208422.14</v>
      </c>
      <c r="T197">
        <v>36604667106.230003</v>
      </c>
      <c r="U197">
        <v>36767298763.040001</v>
      </c>
      <c r="V197">
        <v>5.6571000000000003E-2</v>
      </c>
      <c r="W197">
        <v>5.1929999999999997E-3</v>
      </c>
    </row>
    <row r="198" spans="1:23" x14ac:dyDescent="0.35">
      <c r="A198" t="s">
        <v>2</v>
      </c>
      <c r="B198">
        <v>4500</v>
      </c>
      <c r="C198">
        <v>168</v>
      </c>
      <c r="D198">
        <v>3875</v>
      </c>
      <c r="E198">
        <v>0</v>
      </c>
      <c r="F198">
        <v>32273662467</v>
      </c>
      <c r="G198">
        <v>100967566.73999999</v>
      </c>
      <c r="H198">
        <v>31987856361</v>
      </c>
      <c r="I198">
        <v>32133483737.310001</v>
      </c>
      <c r="J198">
        <v>6.6602999999999996E-2</v>
      </c>
      <c r="K198">
        <v>1.4482E-2</v>
      </c>
      <c r="M198" t="s">
        <v>0</v>
      </c>
      <c r="N198">
        <v>5000</v>
      </c>
      <c r="O198">
        <v>168</v>
      </c>
      <c r="P198">
        <v>4572</v>
      </c>
      <c r="Q198">
        <v>0</v>
      </c>
      <c r="R198">
        <v>35978838410</v>
      </c>
      <c r="S198">
        <v>107847317.14</v>
      </c>
      <c r="T198">
        <v>35638573385.75</v>
      </c>
      <c r="U198">
        <v>35834290388.739998</v>
      </c>
      <c r="V198">
        <v>7.4822E-2</v>
      </c>
      <c r="W198">
        <v>1.2172000000000001E-2</v>
      </c>
    </row>
    <row r="199" spans="1:23" x14ac:dyDescent="0.35">
      <c r="A199" t="s">
        <v>1</v>
      </c>
      <c r="B199">
        <v>4500</v>
      </c>
      <c r="C199">
        <v>168</v>
      </c>
      <c r="D199">
        <v>3670</v>
      </c>
      <c r="E199">
        <v>0</v>
      </c>
      <c r="F199">
        <v>39432487974</v>
      </c>
      <c r="G199">
        <v>125156518.51000001</v>
      </c>
      <c r="H199">
        <v>39047885571</v>
      </c>
      <c r="I199">
        <v>39248475598.699997</v>
      </c>
      <c r="J199">
        <v>7.6159000000000004E-2</v>
      </c>
      <c r="K199">
        <v>1.7765E-2</v>
      </c>
      <c r="M199" t="s">
        <v>2</v>
      </c>
      <c r="N199">
        <v>5000</v>
      </c>
      <c r="O199">
        <v>168</v>
      </c>
      <c r="P199">
        <v>621</v>
      </c>
      <c r="Q199">
        <v>0</v>
      </c>
      <c r="R199">
        <v>4516038819</v>
      </c>
      <c r="S199">
        <v>13376685.289999999</v>
      </c>
      <c r="T199">
        <v>4477601328.4399996</v>
      </c>
      <c r="U199">
        <v>4502662133.71</v>
      </c>
      <c r="V199">
        <v>6.4596000000000001E-2</v>
      </c>
      <c r="W199">
        <v>0</v>
      </c>
    </row>
    <row r="200" spans="1:23" x14ac:dyDescent="0.35">
      <c r="A200" t="s">
        <v>0</v>
      </c>
      <c r="B200">
        <v>5000</v>
      </c>
      <c r="C200">
        <v>168</v>
      </c>
      <c r="D200">
        <v>5074</v>
      </c>
      <c r="E200">
        <v>0</v>
      </c>
      <c r="F200">
        <v>39996818803</v>
      </c>
      <c r="G200">
        <v>120000485.72</v>
      </c>
      <c r="H200">
        <v>39636281543</v>
      </c>
      <c r="I200">
        <v>39804776373.330002</v>
      </c>
      <c r="J200">
        <v>6.9827E-2</v>
      </c>
      <c r="K200">
        <v>2.1401E-2</v>
      </c>
      <c r="M200" t="s">
        <v>0</v>
      </c>
      <c r="N200">
        <v>3500</v>
      </c>
      <c r="O200">
        <v>144</v>
      </c>
      <c r="P200">
        <v>22085</v>
      </c>
      <c r="Q200">
        <v>0</v>
      </c>
      <c r="R200">
        <v>278548762929</v>
      </c>
      <c r="S200">
        <v>846211449.80999994</v>
      </c>
      <c r="T200">
        <v>276400044071.27002</v>
      </c>
      <c r="U200">
        <v>277580904559.21002</v>
      </c>
      <c r="V200">
        <v>5.4691999999999998E-2</v>
      </c>
      <c r="W200">
        <v>5.228E-3</v>
      </c>
    </row>
    <row r="201" spans="1:23" x14ac:dyDescent="0.35">
      <c r="A201" t="s">
        <v>2</v>
      </c>
      <c r="B201">
        <v>5000</v>
      </c>
      <c r="C201">
        <v>168</v>
      </c>
      <c r="D201">
        <v>679</v>
      </c>
      <c r="E201">
        <v>0</v>
      </c>
      <c r="F201">
        <v>4881732499</v>
      </c>
      <c r="G201">
        <v>14527998.83</v>
      </c>
      <c r="H201">
        <v>4820481502</v>
      </c>
      <c r="I201">
        <v>4864489093.6300001</v>
      </c>
      <c r="J201">
        <v>0.10899499999999999</v>
      </c>
      <c r="K201">
        <v>6.6540000000000002E-3</v>
      </c>
      <c r="M201" t="s">
        <v>2</v>
      </c>
      <c r="N201">
        <v>3500</v>
      </c>
      <c r="O201">
        <v>144</v>
      </c>
      <c r="P201">
        <v>4904</v>
      </c>
      <c r="Q201">
        <v>0</v>
      </c>
      <c r="R201">
        <v>50658208771</v>
      </c>
      <c r="S201">
        <v>154287976.16</v>
      </c>
      <c r="T201">
        <v>50270565244.120003</v>
      </c>
      <c r="U201">
        <v>50467907003.550003</v>
      </c>
      <c r="V201">
        <v>5.3898000000000001E-2</v>
      </c>
      <c r="W201">
        <v>8.4980000000000003E-3</v>
      </c>
    </row>
    <row r="202" spans="1:23" x14ac:dyDescent="0.35">
      <c r="A202" t="s">
        <v>1</v>
      </c>
      <c r="B202">
        <v>5000</v>
      </c>
      <c r="C202">
        <v>168</v>
      </c>
      <c r="D202">
        <v>487</v>
      </c>
      <c r="E202">
        <v>0</v>
      </c>
      <c r="F202">
        <v>4572620565</v>
      </c>
      <c r="G202">
        <v>13925795.039999999</v>
      </c>
      <c r="H202">
        <v>4522672751</v>
      </c>
      <c r="I202">
        <v>4550444737.8599997</v>
      </c>
      <c r="J202">
        <v>9.0542999999999998E-2</v>
      </c>
      <c r="K202">
        <v>2.1437000000000001E-2</v>
      </c>
      <c r="M202" t="s">
        <v>1</v>
      </c>
      <c r="N202">
        <v>3500</v>
      </c>
      <c r="O202">
        <v>144</v>
      </c>
      <c r="P202">
        <v>15651</v>
      </c>
      <c r="Q202">
        <v>0</v>
      </c>
      <c r="R202">
        <v>260633942378</v>
      </c>
      <c r="S202">
        <v>794582288.45000005</v>
      </c>
      <c r="T202">
        <v>258435252066.95999</v>
      </c>
      <c r="U202">
        <v>259780289160.67001</v>
      </c>
      <c r="V202">
        <v>6.2766000000000002E-2</v>
      </c>
      <c r="W202">
        <v>2.7160000000000001E-3</v>
      </c>
    </row>
    <row r="203" spans="1:23" x14ac:dyDescent="0.35">
      <c r="A203" t="s">
        <v>2</v>
      </c>
      <c r="B203">
        <v>3500</v>
      </c>
      <c r="C203">
        <v>144</v>
      </c>
      <c r="D203">
        <v>4980</v>
      </c>
      <c r="E203">
        <v>0</v>
      </c>
      <c r="F203">
        <v>51371877577</v>
      </c>
      <c r="G203">
        <v>157192659.88999999</v>
      </c>
      <c r="H203">
        <v>50957990522</v>
      </c>
      <c r="I203">
        <v>51173162980.730003</v>
      </c>
      <c r="J203">
        <v>5.8340999999999997E-2</v>
      </c>
      <c r="K203">
        <v>9.6559999999999997E-3</v>
      </c>
      <c r="M203" t="s">
        <v>2</v>
      </c>
      <c r="N203">
        <v>4000</v>
      </c>
      <c r="O203">
        <v>144</v>
      </c>
      <c r="P203">
        <v>17489</v>
      </c>
      <c r="Q203">
        <v>0</v>
      </c>
      <c r="R203">
        <v>169143629761</v>
      </c>
      <c r="S203">
        <v>496354050.45999998</v>
      </c>
      <c r="T203">
        <v>167848640960.94</v>
      </c>
      <c r="U203">
        <v>168596492153.75</v>
      </c>
      <c r="V203">
        <v>5.5211000000000003E-2</v>
      </c>
      <c r="W203">
        <v>3.5969999999999999E-3</v>
      </c>
    </row>
    <row r="204" spans="1:23" x14ac:dyDescent="0.35">
      <c r="A204" t="s">
        <v>0</v>
      </c>
      <c r="B204">
        <v>3500</v>
      </c>
      <c r="C204">
        <v>144</v>
      </c>
      <c r="D204">
        <v>22523</v>
      </c>
      <c r="E204">
        <v>0</v>
      </c>
      <c r="F204">
        <v>283798622474</v>
      </c>
      <c r="G204">
        <v>865934323.72000003</v>
      </c>
      <c r="H204">
        <v>281386638171</v>
      </c>
      <c r="I204">
        <v>282648229631.48999</v>
      </c>
      <c r="J204">
        <v>6.3449000000000005E-2</v>
      </c>
      <c r="K204">
        <v>1.1962E-2</v>
      </c>
      <c r="M204" t="s">
        <v>0</v>
      </c>
      <c r="N204">
        <v>5000</v>
      </c>
      <c r="O204">
        <v>144</v>
      </c>
      <c r="P204">
        <v>8874</v>
      </c>
      <c r="Q204">
        <v>0</v>
      </c>
      <c r="R204">
        <v>74694517026</v>
      </c>
      <c r="S204">
        <v>198488778.59</v>
      </c>
      <c r="T204">
        <v>74035988369.919998</v>
      </c>
      <c r="U204">
        <v>74422404906.139999</v>
      </c>
      <c r="V204">
        <v>7.1455000000000005E-2</v>
      </c>
      <c r="W204">
        <v>1.1764E-2</v>
      </c>
    </row>
    <row r="205" spans="1:23" x14ac:dyDescent="0.35">
      <c r="A205" t="s">
        <v>1</v>
      </c>
      <c r="B205">
        <v>3500</v>
      </c>
      <c r="C205">
        <v>144</v>
      </c>
      <c r="D205">
        <v>16066</v>
      </c>
      <c r="E205">
        <v>0</v>
      </c>
      <c r="F205">
        <v>266645938321</v>
      </c>
      <c r="G205">
        <v>816420116.74000001</v>
      </c>
      <c r="H205">
        <v>264049360661</v>
      </c>
      <c r="I205">
        <v>265388538839.20001</v>
      </c>
      <c r="J205">
        <v>7.7235999999999999E-2</v>
      </c>
      <c r="K205">
        <v>1.9665999999999999E-2</v>
      </c>
      <c r="M205" t="s">
        <v>2</v>
      </c>
      <c r="N205">
        <v>5000</v>
      </c>
      <c r="O205">
        <v>144</v>
      </c>
      <c r="P205">
        <v>219</v>
      </c>
      <c r="Q205">
        <v>0</v>
      </c>
      <c r="R205">
        <v>1543138364</v>
      </c>
      <c r="S205">
        <v>4333052.7300000004</v>
      </c>
      <c r="T205">
        <v>1527132783.9100001</v>
      </c>
      <c r="U205">
        <v>1538805311.27</v>
      </c>
      <c r="V205">
        <v>8.7086999999999998E-2</v>
      </c>
      <c r="W205">
        <v>0</v>
      </c>
    </row>
    <row r="206" spans="1:23" x14ac:dyDescent="0.35">
      <c r="A206" t="s">
        <v>2</v>
      </c>
      <c r="B206">
        <v>4000</v>
      </c>
      <c r="C206">
        <v>144</v>
      </c>
      <c r="D206">
        <v>17825</v>
      </c>
      <c r="E206">
        <v>0</v>
      </c>
      <c r="F206">
        <v>172630828403</v>
      </c>
      <c r="G206">
        <v>507912033.52999997</v>
      </c>
      <c r="H206">
        <v>171025756402</v>
      </c>
      <c r="I206">
        <v>171919779312.89999</v>
      </c>
      <c r="J206">
        <v>7.3655999999999999E-2</v>
      </c>
      <c r="K206">
        <v>1.4030000000000001E-2</v>
      </c>
      <c r="M206" t="s">
        <v>1</v>
      </c>
      <c r="N206">
        <v>5000</v>
      </c>
      <c r="O206">
        <v>144</v>
      </c>
      <c r="P206">
        <v>509</v>
      </c>
      <c r="Q206">
        <v>0</v>
      </c>
      <c r="R206">
        <v>4383644031</v>
      </c>
      <c r="S206">
        <v>11930768.310000001</v>
      </c>
      <c r="T206">
        <v>4351031932.8999996</v>
      </c>
      <c r="U206">
        <v>4356519242.6700001</v>
      </c>
      <c r="V206">
        <v>5.5168000000000002E-2</v>
      </c>
      <c r="W206">
        <v>4.0808999999999998E-2</v>
      </c>
    </row>
    <row r="207" spans="1:23" x14ac:dyDescent="0.35">
      <c r="A207" t="s">
        <v>0</v>
      </c>
      <c r="B207">
        <v>5000</v>
      </c>
      <c r="C207">
        <v>144</v>
      </c>
      <c r="D207">
        <v>8545</v>
      </c>
      <c r="E207">
        <v>0</v>
      </c>
      <c r="F207">
        <v>72253747792</v>
      </c>
      <c r="G207">
        <v>191480352.47999999</v>
      </c>
      <c r="H207">
        <v>71567505749</v>
      </c>
      <c r="I207">
        <v>71964220400.009995</v>
      </c>
      <c r="J207">
        <v>7.9145999999999994E-2</v>
      </c>
      <c r="K207">
        <v>1.6163E-2</v>
      </c>
      <c r="M207" t="s">
        <v>1</v>
      </c>
      <c r="N207">
        <v>5500</v>
      </c>
      <c r="O207">
        <v>168</v>
      </c>
      <c r="P207">
        <v>17</v>
      </c>
      <c r="Q207">
        <v>0</v>
      </c>
      <c r="R207">
        <v>178188494</v>
      </c>
      <c r="S207">
        <v>520272.89</v>
      </c>
      <c r="T207">
        <v>177668221.11000001</v>
      </c>
      <c r="U207">
        <v>177668221.11000001</v>
      </c>
      <c r="V207">
        <v>0</v>
      </c>
      <c r="W207">
        <v>0</v>
      </c>
    </row>
    <row r="208" spans="1:23" x14ac:dyDescent="0.35">
      <c r="A208" t="s">
        <v>1</v>
      </c>
      <c r="B208">
        <v>5500</v>
      </c>
      <c r="C208">
        <v>168</v>
      </c>
      <c r="D208">
        <v>17</v>
      </c>
      <c r="E208">
        <v>0</v>
      </c>
      <c r="F208">
        <v>177512647</v>
      </c>
      <c r="G208">
        <v>522188.34</v>
      </c>
      <c r="H208">
        <v>176693713</v>
      </c>
      <c r="I208">
        <v>176693713</v>
      </c>
      <c r="J208">
        <v>1.9876999999999999E-2</v>
      </c>
      <c r="K208">
        <v>1.9876999999999999E-2</v>
      </c>
      <c r="M208" t="s">
        <v>0</v>
      </c>
      <c r="N208">
        <v>5500</v>
      </c>
      <c r="O208">
        <v>168</v>
      </c>
      <c r="P208">
        <v>483</v>
      </c>
      <c r="Q208">
        <v>0</v>
      </c>
      <c r="R208">
        <v>3155501934</v>
      </c>
      <c r="S208">
        <v>9082291.7100000009</v>
      </c>
      <c r="T208">
        <v>3137715176.7800002</v>
      </c>
      <c r="U208">
        <v>3146419642.29</v>
      </c>
      <c r="V208">
        <v>3.2604000000000001E-2</v>
      </c>
      <c r="W208">
        <v>0</v>
      </c>
    </row>
    <row r="209" spans="1:23" x14ac:dyDescent="0.35">
      <c r="A209" t="s">
        <v>0</v>
      </c>
      <c r="B209">
        <v>5500</v>
      </c>
      <c r="C209">
        <v>168</v>
      </c>
      <c r="D209">
        <v>496</v>
      </c>
      <c r="E209">
        <v>0</v>
      </c>
      <c r="F209">
        <v>3264078223</v>
      </c>
      <c r="G209">
        <v>9407928.2799999993</v>
      </c>
      <c r="H209">
        <v>3222427509</v>
      </c>
      <c r="I209">
        <v>3246012153.23</v>
      </c>
      <c r="J209">
        <v>0.112304</v>
      </c>
      <c r="K209">
        <v>3.1370000000000002E-2</v>
      </c>
      <c r="M209" t="s">
        <v>0</v>
      </c>
      <c r="N209">
        <v>5500</v>
      </c>
      <c r="O209">
        <v>144</v>
      </c>
      <c r="P209">
        <v>634</v>
      </c>
      <c r="Q209">
        <v>0</v>
      </c>
      <c r="R209">
        <v>4134710970</v>
      </c>
      <c r="S209">
        <v>10136800.65</v>
      </c>
      <c r="T209">
        <v>4087649755.71</v>
      </c>
      <c r="U209">
        <v>4124574169.3499999</v>
      </c>
      <c r="V209">
        <v>0.10205400000000001</v>
      </c>
      <c r="W209">
        <v>0</v>
      </c>
    </row>
    <row r="210" spans="1:23" x14ac:dyDescent="0.35">
      <c r="A210" t="s">
        <v>1</v>
      </c>
      <c r="B210">
        <v>5000</v>
      </c>
      <c r="C210">
        <v>144</v>
      </c>
      <c r="D210">
        <v>489</v>
      </c>
      <c r="E210">
        <v>0</v>
      </c>
      <c r="F210">
        <v>4249760444</v>
      </c>
      <c r="G210">
        <v>11499016.390000001</v>
      </c>
      <c r="H210">
        <v>4229131829</v>
      </c>
      <c r="I210">
        <v>4235906582.1599998</v>
      </c>
      <c r="J210">
        <v>2.5477E-2</v>
      </c>
      <c r="K210">
        <v>6.6290000000000003E-3</v>
      </c>
      <c r="M210" t="s">
        <v>1</v>
      </c>
      <c r="N210">
        <v>3000</v>
      </c>
      <c r="O210">
        <v>168</v>
      </c>
      <c r="P210">
        <v>2755</v>
      </c>
      <c r="Q210">
        <v>0</v>
      </c>
      <c r="R210">
        <v>39094822435</v>
      </c>
      <c r="S210">
        <v>147285501.40000001</v>
      </c>
      <c r="T210">
        <v>38739329238.599998</v>
      </c>
      <c r="U210">
        <v>38938643675.029999</v>
      </c>
      <c r="V210">
        <v>6.2068999999999999E-2</v>
      </c>
      <c r="W210">
        <v>2.7260000000000001E-3</v>
      </c>
    </row>
    <row r="211" spans="1:23" x14ac:dyDescent="0.35">
      <c r="A211" t="s">
        <v>2</v>
      </c>
      <c r="B211">
        <v>5000</v>
      </c>
      <c r="C211">
        <v>144</v>
      </c>
      <c r="D211">
        <v>155</v>
      </c>
      <c r="E211">
        <v>0</v>
      </c>
      <c r="F211">
        <v>1113476493</v>
      </c>
      <c r="G211">
        <v>3119253.11</v>
      </c>
      <c r="H211">
        <v>1109745202</v>
      </c>
      <c r="I211">
        <v>1109745202</v>
      </c>
      <c r="J211">
        <v>6.5760000000000002E-3</v>
      </c>
      <c r="K211">
        <v>6.5760000000000002E-3</v>
      </c>
      <c r="M211" t="s">
        <v>2</v>
      </c>
      <c r="N211">
        <v>3000</v>
      </c>
      <c r="O211">
        <v>168</v>
      </c>
      <c r="P211">
        <v>832</v>
      </c>
      <c r="Q211">
        <v>0</v>
      </c>
      <c r="R211">
        <v>7310127105</v>
      </c>
      <c r="S211">
        <v>27618419.469999999</v>
      </c>
      <c r="T211">
        <v>7268566809.3299999</v>
      </c>
      <c r="U211">
        <v>7282508685.5299997</v>
      </c>
      <c r="V211">
        <v>2.2648000000000001E-2</v>
      </c>
      <c r="W211">
        <v>0</v>
      </c>
    </row>
    <row r="212" spans="1:23" x14ac:dyDescent="0.35">
      <c r="A212" t="s">
        <v>0</v>
      </c>
      <c r="B212">
        <v>5500</v>
      </c>
      <c r="C212">
        <v>144</v>
      </c>
      <c r="D212">
        <v>615</v>
      </c>
      <c r="E212">
        <v>0</v>
      </c>
      <c r="F212">
        <v>4002634641</v>
      </c>
      <c r="G212">
        <v>9809154.1799999997</v>
      </c>
      <c r="H212">
        <v>3971619511</v>
      </c>
      <c r="I212">
        <v>3971619511</v>
      </c>
      <c r="J212">
        <v>6.1755999999999998E-2</v>
      </c>
      <c r="K212">
        <v>6.1755999999999998E-2</v>
      </c>
      <c r="M212" t="s">
        <v>0</v>
      </c>
      <c r="N212">
        <v>3000</v>
      </c>
      <c r="O212">
        <v>168</v>
      </c>
      <c r="P212">
        <v>3252</v>
      </c>
      <c r="Q212">
        <v>0</v>
      </c>
      <c r="R212">
        <v>32355112822</v>
      </c>
      <c r="S212">
        <v>122410651.51000001</v>
      </c>
      <c r="T212">
        <v>32190639654.380001</v>
      </c>
      <c r="U212">
        <v>32232702170.490002</v>
      </c>
      <c r="V212">
        <v>1.5488999999999999E-2</v>
      </c>
      <c r="W212">
        <v>0</v>
      </c>
    </row>
    <row r="213" spans="1:23" x14ac:dyDescent="0.35">
      <c r="A213" t="s">
        <v>1</v>
      </c>
      <c r="B213">
        <v>3000</v>
      </c>
      <c r="C213">
        <v>168</v>
      </c>
      <c r="D213">
        <v>2732</v>
      </c>
      <c r="E213">
        <v>0</v>
      </c>
      <c r="F213">
        <v>38666835129</v>
      </c>
      <c r="G213">
        <v>146587552.46000001</v>
      </c>
      <c r="H213">
        <v>38316075086</v>
      </c>
      <c r="I213">
        <v>38453936583.029999</v>
      </c>
      <c r="J213">
        <v>6.1554999999999999E-2</v>
      </c>
      <c r="K213">
        <v>2.0386000000000001E-2</v>
      </c>
      <c r="M213" t="s">
        <v>0</v>
      </c>
      <c r="N213">
        <v>3000</v>
      </c>
      <c r="O213">
        <v>144</v>
      </c>
      <c r="P213">
        <v>338</v>
      </c>
      <c r="Q213">
        <v>0</v>
      </c>
      <c r="R213">
        <v>3548908840</v>
      </c>
      <c r="S213">
        <v>11351938.199999999</v>
      </c>
      <c r="T213">
        <v>3537556901.8000002</v>
      </c>
      <c r="U213">
        <v>3537556901.8000002</v>
      </c>
      <c r="V213">
        <v>0</v>
      </c>
      <c r="W213">
        <v>0</v>
      </c>
    </row>
    <row r="214" spans="1:23" x14ac:dyDescent="0.35">
      <c r="A214" t="s">
        <v>2</v>
      </c>
      <c r="B214">
        <v>3000</v>
      </c>
      <c r="C214">
        <v>168</v>
      </c>
      <c r="D214">
        <v>827</v>
      </c>
      <c r="E214">
        <v>0</v>
      </c>
      <c r="F214">
        <v>7248142118</v>
      </c>
      <c r="G214">
        <v>27552010.23</v>
      </c>
      <c r="H214">
        <v>7177964623</v>
      </c>
      <c r="I214">
        <v>7214523921.5200005</v>
      </c>
      <c r="J214">
        <v>6.8332000000000004E-2</v>
      </c>
      <c r="K214">
        <v>9.9970000000000007E-3</v>
      </c>
      <c r="M214" t="s">
        <v>1</v>
      </c>
      <c r="N214">
        <v>3000</v>
      </c>
      <c r="O214">
        <v>144</v>
      </c>
      <c r="P214">
        <v>212</v>
      </c>
      <c r="Q214">
        <v>0</v>
      </c>
      <c r="R214">
        <v>3149947646</v>
      </c>
      <c r="S214">
        <v>10213037.529999999</v>
      </c>
      <c r="T214">
        <v>3123015784.79</v>
      </c>
      <c r="U214">
        <v>3139734608.4699998</v>
      </c>
      <c r="V214">
        <v>6.1865000000000003E-2</v>
      </c>
      <c r="W214">
        <v>0</v>
      </c>
    </row>
    <row r="215" spans="1:23" x14ac:dyDescent="0.35">
      <c r="A215" t="s">
        <v>0</v>
      </c>
      <c r="B215">
        <v>3000</v>
      </c>
      <c r="C215">
        <v>168</v>
      </c>
      <c r="D215">
        <v>3232</v>
      </c>
      <c r="E215">
        <v>0</v>
      </c>
      <c r="F215">
        <v>32054038382</v>
      </c>
      <c r="G215">
        <v>121996804.5</v>
      </c>
      <c r="H215">
        <v>31759127179</v>
      </c>
      <c r="I215">
        <v>31890138290.779999</v>
      </c>
      <c r="J215">
        <v>6.2847E-2</v>
      </c>
      <c r="K215">
        <v>1.5575E-2</v>
      </c>
      <c r="M215" t="s">
        <v>3</v>
      </c>
      <c r="N215">
        <v>5500</v>
      </c>
      <c r="O215">
        <v>320</v>
      </c>
      <c r="P215">
        <v>6</v>
      </c>
      <c r="Q215">
        <v>0</v>
      </c>
      <c r="R215">
        <v>33464758</v>
      </c>
      <c r="S215">
        <v>250741.77</v>
      </c>
      <c r="T215">
        <v>33214016.23</v>
      </c>
      <c r="U215">
        <v>33214016.23</v>
      </c>
      <c r="V215">
        <v>0</v>
      </c>
      <c r="W215">
        <v>0</v>
      </c>
    </row>
    <row r="216" spans="1:23" x14ac:dyDescent="0.35">
      <c r="A216" t="s">
        <v>0</v>
      </c>
      <c r="B216">
        <v>3000</v>
      </c>
      <c r="C216">
        <v>144</v>
      </c>
      <c r="D216">
        <v>352</v>
      </c>
      <c r="E216">
        <v>0</v>
      </c>
      <c r="F216">
        <v>3670759180</v>
      </c>
      <c r="G216">
        <v>11781415.24</v>
      </c>
      <c r="H216">
        <v>3641640873</v>
      </c>
      <c r="I216">
        <v>3656548805.54</v>
      </c>
      <c r="J216">
        <v>5.5225999999999997E-2</v>
      </c>
      <c r="K216">
        <v>7.9120000000000006E-3</v>
      </c>
      <c r="M216" t="s">
        <v>2</v>
      </c>
      <c r="N216">
        <v>4000</v>
      </c>
      <c r="O216">
        <v>320</v>
      </c>
      <c r="P216">
        <v>3</v>
      </c>
      <c r="Q216">
        <v>0</v>
      </c>
      <c r="R216">
        <v>12263237</v>
      </c>
      <c r="S216">
        <v>95620.06</v>
      </c>
      <c r="T216">
        <v>12167616.939999999</v>
      </c>
      <c r="U216">
        <v>12167616.939999999</v>
      </c>
      <c r="V216">
        <v>0</v>
      </c>
      <c r="W216">
        <v>0</v>
      </c>
    </row>
    <row r="217" spans="1:23" x14ac:dyDescent="0.35">
      <c r="A217" t="s">
        <v>1</v>
      </c>
      <c r="B217">
        <v>3000</v>
      </c>
      <c r="C217">
        <v>144</v>
      </c>
      <c r="D217">
        <v>219</v>
      </c>
      <c r="E217">
        <v>0</v>
      </c>
      <c r="F217">
        <v>3256511349</v>
      </c>
      <c r="G217">
        <v>10592161.32</v>
      </c>
      <c r="H217">
        <v>3242901250</v>
      </c>
      <c r="I217">
        <v>3242901250</v>
      </c>
      <c r="J217">
        <v>1.1063999999999999E-2</v>
      </c>
      <c r="K217">
        <v>1.1063999999999999E-2</v>
      </c>
      <c r="M217" t="s">
        <v>3</v>
      </c>
      <c r="N217">
        <v>6000</v>
      </c>
      <c r="O217">
        <v>216</v>
      </c>
      <c r="P217">
        <v>71</v>
      </c>
      <c r="Q217">
        <v>0</v>
      </c>
      <c r="R217">
        <v>495104854</v>
      </c>
      <c r="S217">
        <v>2165644.06</v>
      </c>
      <c r="T217">
        <v>490140681.12</v>
      </c>
      <c r="U217">
        <v>492939209.94</v>
      </c>
      <c r="V217">
        <v>6.5758999999999998E-2</v>
      </c>
      <c r="W217">
        <v>0</v>
      </c>
    </row>
    <row r="218" spans="1:23" x14ac:dyDescent="0.35">
      <c r="A218" t="s">
        <v>3</v>
      </c>
      <c r="B218">
        <v>5500</v>
      </c>
      <c r="C218">
        <v>320</v>
      </c>
      <c r="D218">
        <v>6</v>
      </c>
      <c r="E218">
        <v>0</v>
      </c>
      <c r="F218">
        <v>32946746</v>
      </c>
      <c r="G218">
        <v>250102.74</v>
      </c>
      <c r="H218">
        <v>32300872</v>
      </c>
      <c r="I218">
        <v>32300872</v>
      </c>
      <c r="J218">
        <v>0.13499700000000001</v>
      </c>
      <c r="K218">
        <v>0.13499700000000001</v>
      </c>
      <c r="M218" t="s">
        <v>2</v>
      </c>
      <c r="N218">
        <v>3000</v>
      </c>
      <c r="O218">
        <v>144</v>
      </c>
      <c r="P218">
        <v>96</v>
      </c>
      <c r="Q218">
        <v>0</v>
      </c>
      <c r="R218">
        <v>765794721</v>
      </c>
      <c r="S218">
        <v>2427984.21</v>
      </c>
      <c r="T218">
        <v>763366736.78999996</v>
      </c>
      <c r="U218">
        <v>763366736.78999996</v>
      </c>
      <c r="V218">
        <v>0</v>
      </c>
      <c r="W218">
        <v>0</v>
      </c>
    </row>
    <row r="219" spans="1:23" x14ac:dyDescent="0.35">
      <c r="A219" t="s">
        <v>2</v>
      </c>
      <c r="B219">
        <v>4000</v>
      </c>
      <c r="C219">
        <v>320</v>
      </c>
      <c r="D219">
        <v>3</v>
      </c>
      <c r="E219">
        <v>0</v>
      </c>
      <c r="F219">
        <v>12148013</v>
      </c>
      <c r="G219">
        <v>95790.84</v>
      </c>
      <c r="H219">
        <v>12085466</v>
      </c>
      <c r="I219">
        <v>12085466</v>
      </c>
      <c r="J219">
        <v>-3.3338E-2</v>
      </c>
      <c r="K219">
        <v>-3.3338E-2</v>
      </c>
      <c r="M219" t="s">
        <v>2</v>
      </c>
      <c r="N219">
        <v>3500</v>
      </c>
      <c r="O219">
        <v>120</v>
      </c>
      <c r="P219">
        <v>10816</v>
      </c>
      <c r="Q219">
        <v>0</v>
      </c>
      <c r="R219">
        <v>119399309636</v>
      </c>
      <c r="S219">
        <v>333428177.69</v>
      </c>
      <c r="T219">
        <v>118526929296</v>
      </c>
      <c r="U219">
        <v>119019213921.34</v>
      </c>
      <c r="V219">
        <v>5.2842E-2</v>
      </c>
      <c r="W219">
        <v>4.6800000000000001E-3</v>
      </c>
    </row>
    <row r="220" spans="1:23" x14ac:dyDescent="0.35">
      <c r="A220" t="s">
        <v>3</v>
      </c>
      <c r="B220">
        <v>6000</v>
      </c>
      <c r="C220">
        <v>216</v>
      </c>
      <c r="D220">
        <v>67</v>
      </c>
      <c r="E220">
        <v>0</v>
      </c>
      <c r="F220">
        <v>461968865</v>
      </c>
      <c r="G220">
        <v>2028765.06</v>
      </c>
      <c r="H220">
        <v>459002953</v>
      </c>
      <c r="I220">
        <v>459002953</v>
      </c>
      <c r="J220">
        <v>2.4073000000000001E-2</v>
      </c>
      <c r="K220">
        <v>2.4073000000000001E-2</v>
      </c>
      <c r="M220" t="s">
        <v>0</v>
      </c>
      <c r="N220">
        <v>3500</v>
      </c>
      <c r="O220">
        <v>120</v>
      </c>
      <c r="P220">
        <v>62407</v>
      </c>
      <c r="Q220">
        <v>0</v>
      </c>
      <c r="R220">
        <v>881870939115</v>
      </c>
      <c r="S220">
        <v>2464896066.8899999</v>
      </c>
      <c r="T220">
        <v>875380744926.81995</v>
      </c>
      <c r="U220">
        <v>879165430308.33997</v>
      </c>
      <c r="V220">
        <v>5.3420000000000002E-2</v>
      </c>
      <c r="W220">
        <v>3.2690000000000002E-3</v>
      </c>
    </row>
    <row r="221" spans="1:23" x14ac:dyDescent="0.35">
      <c r="A221" t="s">
        <v>2</v>
      </c>
      <c r="B221">
        <v>3000</v>
      </c>
      <c r="C221">
        <v>144</v>
      </c>
      <c r="D221">
        <v>102</v>
      </c>
      <c r="E221">
        <v>0</v>
      </c>
      <c r="F221">
        <v>823477000</v>
      </c>
      <c r="G221">
        <v>2618068.69</v>
      </c>
      <c r="H221">
        <v>820419483</v>
      </c>
      <c r="I221">
        <v>820419483</v>
      </c>
      <c r="J221">
        <v>6.3850000000000001E-3</v>
      </c>
      <c r="K221">
        <v>6.3850000000000001E-3</v>
      </c>
      <c r="M221" t="s">
        <v>1</v>
      </c>
      <c r="N221">
        <v>3500</v>
      </c>
      <c r="O221">
        <v>120</v>
      </c>
      <c r="P221">
        <v>34294</v>
      </c>
      <c r="Q221">
        <v>0</v>
      </c>
      <c r="R221">
        <v>591222340914</v>
      </c>
      <c r="S221">
        <v>1659537881.71</v>
      </c>
      <c r="T221">
        <v>586184105025.41003</v>
      </c>
      <c r="U221">
        <v>589325086203.88</v>
      </c>
      <c r="V221">
        <v>6.6461999999999993E-2</v>
      </c>
      <c r="W221">
        <v>4.8139999999999997E-3</v>
      </c>
    </row>
    <row r="222" spans="1:23" x14ac:dyDescent="0.35">
      <c r="A222" t="s">
        <v>0</v>
      </c>
      <c r="B222">
        <v>6750</v>
      </c>
      <c r="C222">
        <v>240</v>
      </c>
      <c r="D222">
        <v>4633</v>
      </c>
      <c r="E222">
        <v>0</v>
      </c>
      <c r="F222">
        <v>25539520034</v>
      </c>
      <c r="G222">
        <v>129968158.84</v>
      </c>
      <c r="H222">
        <v>25174320996</v>
      </c>
      <c r="I222">
        <v>25327000495.630001</v>
      </c>
      <c r="J222">
        <v>0.10509499999999999</v>
      </c>
      <c r="K222">
        <v>3.8105E-2</v>
      </c>
      <c r="M222" t="s">
        <v>2</v>
      </c>
      <c r="N222">
        <v>4000</v>
      </c>
      <c r="O222">
        <v>120</v>
      </c>
      <c r="P222">
        <v>9303</v>
      </c>
      <c r="Q222">
        <v>0</v>
      </c>
      <c r="R222">
        <v>87743641083</v>
      </c>
      <c r="S222">
        <v>233743853.41</v>
      </c>
      <c r="T222">
        <v>87124635754.649994</v>
      </c>
      <c r="U222">
        <v>87481180747.729996</v>
      </c>
      <c r="V222">
        <v>5.1435000000000002E-2</v>
      </c>
      <c r="W222">
        <v>3.9199999999999999E-3</v>
      </c>
    </row>
    <row r="223" spans="1:23" x14ac:dyDescent="0.35">
      <c r="A223" t="s">
        <v>0</v>
      </c>
      <c r="B223">
        <v>3000</v>
      </c>
      <c r="C223">
        <v>120</v>
      </c>
      <c r="D223">
        <v>2534</v>
      </c>
      <c r="E223">
        <v>0</v>
      </c>
      <c r="F223">
        <v>34349868702</v>
      </c>
      <c r="G223">
        <v>101154918.34</v>
      </c>
      <c r="H223">
        <v>34109283594</v>
      </c>
      <c r="I223">
        <v>34221168697.73</v>
      </c>
      <c r="J223">
        <v>4.7636999999999999E-2</v>
      </c>
      <c r="K223">
        <v>9.58E-3</v>
      </c>
      <c r="M223" t="s">
        <v>0</v>
      </c>
      <c r="N223">
        <v>4000</v>
      </c>
      <c r="O223">
        <v>120</v>
      </c>
      <c r="P223">
        <v>71094</v>
      </c>
      <c r="Q223">
        <v>0</v>
      </c>
      <c r="R223">
        <v>890762588942</v>
      </c>
      <c r="S223">
        <v>2375116221.0300002</v>
      </c>
      <c r="T223">
        <v>883781187878.80005</v>
      </c>
      <c r="U223">
        <v>888051863542.77002</v>
      </c>
      <c r="V223">
        <v>6.0318999999999998E-2</v>
      </c>
      <c r="W223">
        <v>4.5120000000000004E-3</v>
      </c>
    </row>
    <row r="224" spans="1:23" x14ac:dyDescent="0.35">
      <c r="A224" t="s">
        <v>2</v>
      </c>
      <c r="B224">
        <v>3000</v>
      </c>
      <c r="C224">
        <v>120</v>
      </c>
      <c r="D224">
        <v>652</v>
      </c>
      <c r="E224">
        <v>0</v>
      </c>
      <c r="F224">
        <v>6916027226</v>
      </c>
      <c r="G224">
        <v>20303383.52</v>
      </c>
      <c r="H224">
        <v>6844930437</v>
      </c>
      <c r="I224">
        <v>6884854761.0600004</v>
      </c>
      <c r="J224">
        <v>8.4656999999999996E-2</v>
      </c>
      <c r="K224">
        <v>1.8696999999999998E-2</v>
      </c>
      <c r="M224" t="s">
        <v>1</v>
      </c>
      <c r="N224">
        <v>4000</v>
      </c>
      <c r="O224">
        <v>120</v>
      </c>
      <c r="P224">
        <v>10966</v>
      </c>
      <c r="Q224">
        <v>0</v>
      </c>
      <c r="R224">
        <v>151949158610</v>
      </c>
      <c r="S224">
        <v>407061253.69999999</v>
      </c>
      <c r="T224">
        <v>150404895562.42999</v>
      </c>
      <c r="U224">
        <v>151387111802.73999</v>
      </c>
      <c r="V224">
        <v>8.6203000000000002E-2</v>
      </c>
      <c r="W224">
        <v>1.2171E-2</v>
      </c>
    </row>
    <row r="225" spans="1:23" x14ac:dyDescent="0.35">
      <c r="A225" t="s">
        <v>1</v>
      </c>
      <c r="B225">
        <v>3000</v>
      </c>
      <c r="C225">
        <v>120</v>
      </c>
      <c r="D225">
        <v>3527</v>
      </c>
      <c r="E225">
        <v>0</v>
      </c>
      <c r="F225">
        <v>64931815951</v>
      </c>
      <c r="G225">
        <v>191850555.33000001</v>
      </c>
      <c r="H225">
        <v>64384010028</v>
      </c>
      <c r="I225">
        <v>64674822340.540001</v>
      </c>
      <c r="J225">
        <v>6.3836000000000004E-2</v>
      </c>
      <c r="K225">
        <v>1.1972999999999999E-2</v>
      </c>
      <c r="M225" t="s">
        <v>0</v>
      </c>
      <c r="N225">
        <v>4500</v>
      </c>
      <c r="O225">
        <v>120</v>
      </c>
      <c r="P225">
        <v>17298</v>
      </c>
      <c r="Q225">
        <v>0</v>
      </c>
      <c r="R225">
        <v>193051637578</v>
      </c>
      <c r="S225">
        <v>484875375.41000003</v>
      </c>
      <c r="T225">
        <v>191539386503.44</v>
      </c>
      <c r="U225">
        <v>192456658182.17001</v>
      </c>
      <c r="V225">
        <v>6.2024999999999997E-2</v>
      </c>
      <c r="W225">
        <v>6.8230000000000001E-3</v>
      </c>
    </row>
    <row r="226" spans="1:23" x14ac:dyDescent="0.35">
      <c r="A226" t="s">
        <v>0</v>
      </c>
      <c r="B226">
        <v>3500</v>
      </c>
      <c r="C226">
        <v>120</v>
      </c>
      <c r="D226">
        <v>62655</v>
      </c>
      <c r="E226">
        <v>0</v>
      </c>
      <c r="F226">
        <v>882140189239</v>
      </c>
      <c r="G226">
        <v>2477720776.8099999</v>
      </c>
      <c r="H226">
        <v>874883677395</v>
      </c>
      <c r="I226">
        <v>878992281627.83997</v>
      </c>
      <c r="J226">
        <v>6.3104999999999994E-2</v>
      </c>
      <c r="K226">
        <v>9.0790000000000003E-3</v>
      </c>
      <c r="M226" t="s">
        <v>2</v>
      </c>
      <c r="N226">
        <v>4500</v>
      </c>
      <c r="O226">
        <v>120</v>
      </c>
      <c r="P226">
        <v>1103</v>
      </c>
      <c r="Q226">
        <v>0</v>
      </c>
      <c r="R226">
        <v>9101208004</v>
      </c>
      <c r="S226">
        <v>23174429.82</v>
      </c>
      <c r="T226">
        <v>9026374637.9400005</v>
      </c>
      <c r="U226">
        <v>9073906663.6100006</v>
      </c>
      <c r="V226">
        <v>6.6026000000000001E-2</v>
      </c>
      <c r="W226">
        <v>5.4279999999999997E-3</v>
      </c>
    </row>
    <row r="227" spans="1:23" x14ac:dyDescent="0.35">
      <c r="A227" t="s">
        <v>2</v>
      </c>
      <c r="B227">
        <v>3500</v>
      </c>
      <c r="C227">
        <v>120</v>
      </c>
      <c r="D227">
        <v>10960</v>
      </c>
      <c r="E227">
        <v>0</v>
      </c>
      <c r="F227">
        <v>120641564867</v>
      </c>
      <c r="G227">
        <v>338396768.18000001</v>
      </c>
      <c r="H227">
        <v>119527893686</v>
      </c>
      <c r="I227">
        <v>120212053148.53</v>
      </c>
      <c r="J227">
        <v>7.4446999999999999E-2</v>
      </c>
      <c r="K227">
        <v>9.025E-3</v>
      </c>
      <c r="M227" t="s">
        <v>1</v>
      </c>
      <c r="N227">
        <v>4500</v>
      </c>
      <c r="O227">
        <v>120</v>
      </c>
      <c r="P227">
        <v>1375</v>
      </c>
      <c r="Q227">
        <v>0</v>
      </c>
      <c r="R227">
        <v>15691426158</v>
      </c>
      <c r="S227">
        <v>39579884.829999998</v>
      </c>
      <c r="T227">
        <v>15411878303.639999</v>
      </c>
      <c r="U227">
        <v>15622543074.82</v>
      </c>
      <c r="V227">
        <v>0.16883999999999999</v>
      </c>
      <c r="W227">
        <v>2.2180999999999999E-2</v>
      </c>
    </row>
    <row r="228" spans="1:23" x14ac:dyDescent="0.35">
      <c r="A228" t="s">
        <v>1</v>
      </c>
      <c r="B228">
        <v>3500</v>
      </c>
      <c r="C228">
        <v>120</v>
      </c>
      <c r="D228">
        <v>34553</v>
      </c>
      <c r="E228">
        <v>0</v>
      </c>
      <c r="F228">
        <v>593826174666</v>
      </c>
      <c r="G228">
        <v>1674006490.6800001</v>
      </c>
      <c r="H228">
        <v>588491081554</v>
      </c>
      <c r="I228">
        <v>591424004407.43994</v>
      </c>
      <c r="J228">
        <v>7.1525000000000005E-2</v>
      </c>
      <c r="K228">
        <v>1.4616000000000001E-2</v>
      </c>
      <c r="M228" t="s">
        <v>0</v>
      </c>
      <c r="N228">
        <v>6750</v>
      </c>
      <c r="O228">
        <v>240</v>
      </c>
      <c r="P228">
        <v>4593</v>
      </c>
      <c r="Q228">
        <v>0</v>
      </c>
      <c r="R228">
        <v>25248779840</v>
      </c>
      <c r="S228">
        <v>128025914.76000001</v>
      </c>
      <c r="T228">
        <v>24987042753.959999</v>
      </c>
      <c r="U228">
        <v>25097644769.68</v>
      </c>
      <c r="V228">
        <v>6.173E-2</v>
      </c>
      <c r="W228">
        <v>1.0928E-2</v>
      </c>
    </row>
    <row r="229" spans="1:23" x14ac:dyDescent="0.35">
      <c r="A229" t="s">
        <v>0</v>
      </c>
      <c r="B229">
        <v>4000</v>
      </c>
      <c r="C229">
        <v>120</v>
      </c>
      <c r="D229">
        <v>70143</v>
      </c>
      <c r="E229">
        <v>0</v>
      </c>
      <c r="F229">
        <v>882717505365</v>
      </c>
      <c r="G229">
        <v>2357568062.0599999</v>
      </c>
      <c r="H229">
        <v>875002742776</v>
      </c>
      <c r="I229">
        <v>879483111211.07996</v>
      </c>
      <c r="J229">
        <v>7.0444999999999994E-2</v>
      </c>
      <c r="K229">
        <v>1.1854999999999999E-2</v>
      </c>
      <c r="M229" t="s">
        <v>3</v>
      </c>
      <c r="N229">
        <v>6000</v>
      </c>
      <c r="O229">
        <v>240</v>
      </c>
      <c r="P229">
        <v>18</v>
      </c>
      <c r="Q229">
        <v>0</v>
      </c>
      <c r="R229">
        <v>192697670</v>
      </c>
      <c r="S229">
        <v>1072475.6399999999</v>
      </c>
      <c r="T229">
        <v>191625194.36000001</v>
      </c>
      <c r="U229">
        <v>191625194.36000001</v>
      </c>
      <c r="V229">
        <v>0</v>
      </c>
      <c r="W229">
        <v>0</v>
      </c>
    </row>
    <row r="230" spans="1:23" x14ac:dyDescent="0.35">
      <c r="A230" t="s">
        <v>2</v>
      </c>
      <c r="B230">
        <v>4000</v>
      </c>
      <c r="C230">
        <v>120</v>
      </c>
      <c r="D230">
        <v>9309</v>
      </c>
      <c r="E230">
        <v>0</v>
      </c>
      <c r="F230">
        <v>87852203418</v>
      </c>
      <c r="G230">
        <v>233875396.5</v>
      </c>
      <c r="H230">
        <v>87016310426</v>
      </c>
      <c r="I230">
        <v>87513369195.440002</v>
      </c>
      <c r="J230">
        <v>7.9201999999999995E-2</v>
      </c>
      <c r="K230">
        <v>1.4243E-2</v>
      </c>
      <c r="M230" t="s">
        <v>0</v>
      </c>
      <c r="N230">
        <v>3000</v>
      </c>
      <c r="O230">
        <v>120</v>
      </c>
      <c r="P230">
        <v>2510</v>
      </c>
      <c r="Q230">
        <v>0</v>
      </c>
      <c r="R230">
        <v>34152140091</v>
      </c>
      <c r="S230">
        <v>100079803.67</v>
      </c>
      <c r="T230">
        <v>33981577805.009998</v>
      </c>
      <c r="U230">
        <v>34052060287.330002</v>
      </c>
      <c r="V230">
        <v>2.4486000000000001E-2</v>
      </c>
      <c r="W230">
        <v>0</v>
      </c>
    </row>
    <row r="231" spans="1:23" x14ac:dyDescent="0.35">
      <c r="A231" t="s">
        <v>0</v>
      </c>
      <c r="B231">
        <v>4500</v>
      </c>
      <c r="C231">
        <v>120</v>
      </c>
      <c r="D231">
        <v>17553</v>
      </c>
      <c r="E231">
        <v>0</v>
      </c>
      <c r="F231">
        <v>198819799530</v>
      </c>
      <c r="G231">
        <v>497842515.60000002</v>
      </c>
      <c r="H231">
        <v>197118933364</v>
      </c>
      <c r="I231">
        <v>198078671273.70999</v>
      </c>
      <c r="J231">
        <v>7.0241999999999999E-2</v>
      </c>
      <c r="K231">
        <v>1.4585000000000001E-2</v>
      </c>
      <c r="M231" t="s">
        <v>2</v>
      </c>
      <c r="N231">
        <v>3000</v>
      </c>
      <c r="O231">
        <v>120</v>
      </c>
      <c r="P231">
        <v>653</v>
      </c>
      <c r="Q231">
        <v>0</v>
      </c>
      <c r="R231">
        <v>6932432106</v>
      </c>
      <c r="S231">
        <v>20255511.460000001</v>
      </c>
      <c r="T231">
        <v>6881641741.7600002</v>
      </c>
      <c r="U231">
        <v>6912176594.54</v>
      </c>
      <c r="V231">
        <v>5.1594000000000001E-2</v>
      </c>
      <c r="W231">
        <v>0</v>
      </c>
    </row>
    <row r="232" spans="1:23" x14ac:dyDescent="0.35">
      <c r="A232" t="s">
        <v>2</v>
      </c>
      <c r="B232">
        <v>4500</v>
      </c>
      <c r="C232">
        <v>120</v>
      </c>
      <c r="D232">
        <v>1178</v>
      </c>
      <c r="E232">
        <v>0</v>
      </c>
      <c r="F232">
        <v>9856110545</v>
      </c>
      <c r="G232">
        <v>24761418</v>
      </c>
      <c r="H232">
        <v>9783043801</v>
      </c>
      <c r="I232">
        <v>9825849109.6100006</v>
      </c>
      <c r="J232">
        <v>5.7252999999999998E-2</v>
      </c>
      <c r="K232">
        <v>6.6759999999999996E-3</v>
      </c>
      <c r="M232" t="s">
        <v>1</v>
      </c>
      <c r="N232">
        <v>3000</v>
      </c>
      <c r="O232">
        <v>120</v>
      </c>
      <c r="P232">
        <v>3474</v>
      </c>
      <c r="Q232">
        <v>0</v>
      </c>
      <c r="R232">
        <v>64302731442</v>
      </c>
      <c r="S232">
        <v>189046167.43000001</v>
      </c>
      <c r="T232">
        <v>63756303045.559998</v>
      </c>
      <c r="U232">
        <v>64113685274.57</v>
      </c>
      <c r="V232">
        <v>6.4692E-2</v>
      </c>
      <c r="W232">
        <v>0</v>
      </c>
    </row>
    <row r="233" spans="1:23" x14ac:dyDescent="0.35">
      <c r="A233" t="s">
        <v>1</v>
      </c>
      <c r="B233">
        <v>4500</v>
      </c>
      <c r="C233">
        <v>120</v>
      </c>
      <c r="D233">
        <v>1441</v>
      </c>
      <c r="E233">
        <v>0</v>
      </c>
      <c r="F233">
        <v>16950153157</v>
      </c>
      <c r="G233">
        <v>42436620.539999999</v>
      </c>
      <c r="H233">
        <v>16797137586</v>
      </c>
      <c r="I233">
        <v>16869922200.120001</v>
      </c>
      <c r="J233">
        <v>7.5537000000000007E-2</v>
      </c>
      <c r="K233">
        <v>2.6431E-2</v>
      </c>
      <c r="M233" t="s">
        <v>0</v>
      </c>
      <c r="N233">
        <v>5000</v>
      </c>
      <c r="O233">
        <v>120</v>
      </c>
      <c r="P233">
        <v>2587</v>
      </c>
      <c r="Q233">
        <v>0</v>
      </c>
      <c r="R233">
        <v>24602044497</v>
      </c>
      <c r="S233">
        <v>58258836.210000001</v>
      </c>
      <c r="T233">
        <v>24403229795.040001</v>
      </c>
      <c r="U233">
        <v>24530559058.07</v>
      </c>
      <c r="V233">
        <v>6.6444000000000003E-2</v>
      </c>
      <c r="W233">
        <v>6.4320000000000002E-3</v>
      </c>
    </row>
    <row r="234" spans="1:23" x14ac:dyDescent="0.35">
      <c r="A234" t="s">
        <v>0</v>
      </c>
      <c r="B234">
        <v>5000</v>
      </c>
      <c r="C234">
        <v>120</v>
      </c>
      <c r="D234">
        <v>2703</v>
      </c>
      <c r="E234">
        <v>0</v>
      </c>
      <c r="F234">
        <v>26373527048</v>
      </c>
      <c r="G234">
        <v>62060005.969999999</v>
      </c>
      <c r="H234">
        <v>26153021501</v>
      </c>
      <c r="I234">
        <v>26289715848.900002</v>
      </c>
      <c r="J234">
        <v>6.9758000000000001E-2</v>
      </c>
      <c r="K234">
        <v>9.8519999999999996E-3</v>
      </c>
      <c r="M234" t="s">
        <v>1</v>
      </c>
      <c r="N234">
        <v>5000</v>
      </c>
      <c r="O234">
        <v>120</v>
      </c>
      <c r="P234">
        <v>166</v>
      </c>
      <c r="Q234">
        <v>0</v>
      </c>
      <c r="R234">
        <v>1528786791</v>
      </c>
      <c r="S234">
        <v>3634378.64</v>
      </c>
      <c r="T234">
        <v>1525152412.3599999</v>
      </c>
      <c r="U234">
        <v>1525152412.3599999</v>
      </c>
      <c r="V234">
        <v>0</v>
      </c>
      <c r="W234">
        <v>0</v>
      </c>
    </row>
    <row r="235" spans="1:23" x14ac:dyDescent="0.35">
      <c r="A235" t="s">
        <v>1</v>
      </c>
      <c r="B235">
        <v>5000</v>
      </c>
      <c r="C235">
        <v>120</v>
      </c>
      <c r="D235">
        <v>161</v>
      </c>
      <c r="E235">
        <v>0</v>
      </c>
      <c r="F235">
        <v>1475967578</v>
      </c>
      <c r="G235">
        <v>3493806.87</v>
      </c>
      <c r="H235">
        <v>1461305239</v>
      </c>
      <c r="I235">
        <v>1472109443.05</v>
      </c>
      <c r="J235">
        <v>8.7118000000000001E-2</v>
      </c>
      <c r="K235">
        <v>2.9580000000000001E-3</v>
      </c>
      <c r="M235" t="s">
        <v>2</v>
      </c>
      <c r="N235">
        <v>5000</v>
      </c>
      <c r="O235">
        <v>120</v>
      </c>
      <c r="P235">
        <v>6</v>
      </c>
      <c r="Q235">
        <v>0</v>
      </c>
      <c r="R235">
        <v>47664424</v>
      </c>
      <c r="S235">
        <v>112125.61</v>
      </c>
      <c r="T235">
        <v>47552298.390000001</v>
      </c>
      <c r="U235">
        <v>47552298.390000001</v>
      </c>
      <c r="V235">
        <v>0</v>
      </c>
      <c r="W235">
        <v>0</v>
      </c>
    </row>
    <row r="236" spans="1:23" x14ac:dyDescent="0.35">
      <c r="A236" t="s">
        <v>1</v>
      </c>
      <c r="B236">
        <v>4000</v>
      </c>
      <c r="C236">
        <v>120</v>
      </c>
      <c r="D236">
        <v>11189</v>
      </c>
      <c r="E236">
        <v>0</v>
      </c>
      <c r="F236">
        <v>157616458552</v>
      </c>
      <c r="G236">
        <v>421017075.01999998</v>
      </c>
      <c r="H236">
        <v>155852619785</v>
      </c>
      <c r="I236">
        <v>156813362182.32001</v>
      </c>
      <c r="J236">
        <v>9.7577999999999998E-2</v>
      </c>
      <c r="K236">
        <v>2.8705000000000001E-2</v>
      </c>
      <c r="M236" t="s">
        <v>0</v>
      </c>
      <c r="N236">
        <v>3500</v>
      </c>
      <c r="O236">
        <v>108</v>
      </c>
      <c r="P236">
        <v>10068</v>
      </c>
      <c r="Q236">
        <v>0</v>
      </c>
      <c r="R236">
        <v>151240230880</v>
      </c>
      <c r="S236">
        <v>396470870</v>
      </c>
      <c r="T236">
        <v>150138703208.59</v>
      </c>
      <c r="U236">
        <v>150805299942.47</v>
      </c>
      <c r="V236">
        <v>5.4530000000000002E-2</v>
      </c>
      <c r="W236">
        <v>3.0469999999999998E-3</v>
      </c>
    </row>
    <row r="237" spans="1:23" x14ac:dyDescent="0.35">
      <c r="A237" t="s">
        <v>2</v>
      </c>
      <c r="B237">
        <v>5000</v>
      </c>
      <c r="C237">
        <v>120</v>
      </c>
      <c r="D237">
        <v>23</v>
      </c>
      <c r="E237">
        <v>0</v>
      </c>
      <c r="F237">
        <v>185109361</v>
      </c>
      <c r="G237">
        <v>425942.35</v>
      </c>
      <c r="H237">
        <v>184674600</v>
      </c>
      <c r="I237">
        <v>184674600</v>
      </c>
      <c r="J237">
        <v>5.7200000000000003E-4</v>
      </c>
      <c r="K237">
        <v>5.7200000000000003E-4</v>
      </c>
      <c r="M237" t="s">
        <v>2</v>
      </c>
      <c r="N237">
        <v>3500</v>
      </c>
      <c r="O237">
        <v>108</v>
      </c>
      <c r="P237">
        <v>2542</v>
      </c>
      <c r="Q237">
        <v>0</v>
      </c>
      <c r="R237">
        <v>30166448983</v>
      </c>
      <c r="S237">
        <v>79071439.290000007</v>
      </c>
      <c r="T237">
        <v>29964220159.259998</v>
      </c>
      <c r="U237">
        <v>30080052951.09</v>
      </c>
      <c r="V237">
        <v>4.7905999999999997E-2</v>
      </c>
      <c r="W237">
        <v>2.9099999999999998E-3</v>
      </c>
    </row>
    <row r="238" spans="1:23" x14ac:dyDescent="0.35">
      <c r="A238" t="s">
        <v>0</v>
      </c>
      <c r="B238">
        <v>3500</v>
      </c>
      <c r="C238">
        <v>108</v>
      </c>
      <c r="D238">
        <v>9263</v>
      </c>
      <c r="E238">
        <v>0</v>
      </c>
      <c r="F238">
        <v>140887259008</v>
      </c>
      <c r="G238">
        <v>369232829.06</v>
      </c>
      <c r="H238">
        <v>139720361851</v>
      </c>
      <c r="I238">
        <v>140394401883.29001</v>
      </c>
      <c r="J238">
        <v>6.5864000000000006E-2</v>
      </c>
      <c r="K238">
        <v>1.0479E-2</v>
      </c>
      <c r="M238" t="s">
        <v>2</v>
      </c>
      <c r="N238">
        <v>4000</v>
      </c>
      <c r="O238">
        <v>108</v>
      </c>
      <c r="P238">
        <v>12911</v>
      </c>
      <c r="Q238">
        <v>0</v>
      </c>
      <c r="R238">
        <v>145612347822</v>
      </c>
      <c r="S238">
        <v>360885794.06</v>
      </c>
      <c r="T238">
        <v>144412014428.07999</v>
      </c>
      <c r="U238">
        <v>145202299094.67999</v>
      </c>
      <c r="V238">
        <v>6.7027000000000003E-2</v>
      </c>
      <c r="W238">
        <v>4.0439999999999999E-3</v>
      </c>
    </row>
    <row r="239" spans="1:23" x14ac:dyDescent="0.35">
      <c r="A239" t="s">
        <v>1</v>
      </c>
      <c r="B239">
        <v>3500</v>
      </c>
      <c r="C239">
        <v>108</v>
      </c>
      <c r="D239">
        <v>9422</v>
      </c>
      <c r="E239">
        <v>0</v>
      </c>
      <c r="F239">
        <v>178642818421</v>
      </c>
      <c r="G239">
        <v>467858847.38</v>
      </c>
      <c r="H239">
        <v>177103742819</v>
      </c>
      <c r="I239">
        <v>177952500104.48001</v>
      </c>
      <c r="J239">
        <v>6.9630999999999998E-2</v>
      </c>
      <c r="K239">
        <v>1.4841E-2</v>
      </c>
      <c r="M239" t="s">
        <v>0</v>
      </c>
      <c r="N239">
        <v>4000</v>
      </c>
      <c r="O239">
        <v>108</v>
      </c>
      <c r="P239">
        <v>66996</v>
      </c>
      <c r="Q239">
        <v>0</v>
      </c>
      <c r="R239">
        <v>970495618399</v>
      </c>
      <c r="S239">
        <v>2404459082.9699998</v>
      </c>
      <c r="T239">
        <v>963555843450.01001</v>
      </c>
      <c r="U239">
        <v>967575252330.54004</v>
      </c>
      <c r="V239">
        <v>5.4658999999999999E-2</v>
      </c>
      <c r="W239">
        <v>6.3600000000000002E-3</v>
      </c>
    </row>
    <row r="240" spans="1:23" x14ac:dyDescent="0.35">
      <c r="A240" t="s">
        <v>2</v>
      </c>
      <c r="B240">
        <v>3500</v>
      </c>
      <c r="C240">
        <v>108</v>
      </c>
      <c r="D240">
        <v>2353</v>
      </c>
      <c r="E240">
        <v>0</v>
      </c>
      <c r="F240">
        <v>28150603769</v>
      </c>
      <c r="G240">
        <v>73724900.689999998</v>
      </c>
      <c r="H240">
        <v>27955165145</v>
      </c>
      <c r="I240">
        <v>28052637771.419998</v>
      </c>
      <c r="J240">
        <v>5.0667999999999998E-2</v>
      </c>
      <c r="K240">
        <v>1.0285000000000001E-2</v>
      </c>
      <c r="M240" t="s">
        <v>1</v>
      </c>
      <c r="N240">
        <v>4000</v>
      </c>
      <c r="O240">
        <v>108</v>
      </c>
      <c r="P240">
        <v>23896</v>
      </c>
      <c r="Q240">
        <v>0</v>
      </c>
      <c r="R240">
        <v>401068983336</v>
      </c>
      <c r="S240">
        <v>995263919.75999999</v>
      </c>
      <c r="T240">
        <v>397964101231.21002</v>
      </c>
      <c r="U240">
        <v>399855478951.71002</v>
      </c>
      <c r="V240">
        <v>6.1324999999999998E-2</v>
      </c>
      <c r="W240">
        <v>6.5100000000000002E-3</v>
      </c>
    </row>
    <row r="241" spans="1:23" x14ac:dyDescent="0.35">
      <c r="A241" t="s">
        <v>0</v>
      </c>
      <c r="B241">
        <v>4000</v>
      </c>
      <c r="C241">
        <v>108</v>
      </c>
      <c r="D241">
        <v>67264</v>
      </c>
      <c r="E241">
        <v>0</v>
      </c>
      <c r="F241">
        <v>975820246679</v>
      </c>
      <c r="G241">
        <v>2419961535.9400001</v>
      </c>
      <c r="H241">
        <v>967625409821</v>
      </c>
      <c r="I241">
        <v>972661933670.28003</v>
      </c>
      <c r="J241">
        <v>6.8749000000000005E-2</v>
      </c>
      <c r="K241">
        <v>9.0419999999999997E-3</v>
      </c>
      <c r="M241" t="s">
        <v>0</v>
      </c>
      <c r="N241">
        <v>5000</v>
      </c>
      <c r="O241">
        <v>108</v>
      </c>
      <c r="P241">
        <v>11114</v>
      </c>
      <c r="Q241">
        <v>0</v>
      </c>
      <c r="R241">
        <v>131799597901</v>
      </c>
      <c r="S241">
        <v>287637731.48000002</v>
      </c>
      <c r="T241">
        <v>130813721648.97</v>
      </c>
      <c r="U241">
        <v>131450412071.71001</v>
      </c>
      <c r="V241">
        <v>6.1753000000000002E-2</v>
      </c>
      <c r="W241">
        <v>5.5890000000000002E-3</v>
      </c>
    </row>
    <row r="242" spans="1:23" x14ac:dyDescent="0.35">
      <c r="A242" t="s">
        <v>1</v>
      </c>
      <c r="B242">
        <v>4000</v>
      </c>
      <c r="C242">
        <v>108</v>
      </c>
      <c r="D242">
        <v>23945</v>
      </c>
      <c r="E242">
        <v>0</v>
      </c>
      <c r="F242">
        <v>402711533564</v>
      </c>
      <c r="G242">
        <v>1000691110.6900001</v>
      </c>
      <c r="H242">
        <v>398366311419</v>
      </c>
      <c r="I242">
        <v>400996318427.13</v>
      </c>
      <c r="J242">
        <v>9.5231999999999997E-2</v>
      </c>
      <c r="K242">
        <v>2.1085E-2</v>
      </c>
      <c r="M242" t="s">
        <v>1</v>
      </c>
      <c r="N242">
        <v>3500</v>
      </c>
      <c r="O242">
        <v>108</v>
      </c>
      <c r="P242">
        <v>10012</v>
      </c>
      <c r="Q242">
        <v>0</v>
      </c>
      <c r="R242">
        <v>187766551241</v>
      </c>
      <c r="S242">
        <v>491569293.30000001</v>
      </c>
      <c r="T242">
        <v>186469074539.17001</v>
      </c>
      <c r="U242">
        <v>187256203243.14001</v>
      </c>
      <c r="V242">
        <v>5.0305999999999997E-2</v>
      </c>
      <c r="W242">
        <v>1.199E-3</v>
      </c>
    </row>
    <row r="243" spans="1:23" x14ac:dyDescent="0.35">
      <c r="A243" t="s">
        <v>2</v>
      </c>
      <c r="B243">
        <v>4000</v>
      </c>
      <c r="C243">
        <v>108</v>
      </c>
      <c r="D243">
        <v>13117</v>
      </c>
      <c r="E243">
        <v>0</v>
      </c>
      <c r="F243">
        <v>147775125829</v>
      </c>
      <c r="G243">
        <v>367013370.92000002</v>
      </c>
      <c r="H243">
        <v>146470681857</v>
      </c>
      <c r="I243">
        <v>147244396356.82001</v>
      </c>
      <c r="J243">
        <v>7.3523000000000005E-2</v>
      </c>
      <c r="K243">
        <v>1.3214E-2</v>
      </c>
      <c r="M243" t="s">
        <v>0</v>
      </c>
      <c r="N243">
        <v>4500</v>
      </c>
      <c r="O243">
        <v>108</v>
      </c>
      <c r="P243">
        <v>45353</v>
      </c>
      <c r="Q243">
        <v>0</v>
      </c>
      <c r="R243">
        <v>588476298419</v>
      </c>
      <c r="S243">
        <v>1372147598.02</v>
      </c>
      <c r="T243">
        <v>584049457049.35999</v>
      </c>
      <c r="U243">
        <v>586724134174.45996</v>
      </c>
      <c r="V243">
        <v>6.0541999999999999E-2</v>
      </c>
      <c r="W243">
        <v>7.7219999999999997E-3</v>
      </c>
    </row>
    <row r="244" spans="1:23" x14ac:dyDescent="0.35">
      <c r="A244" t="s">
        <v>0</v>
      </c>
      <c r="B244">
        <v>4500</v>
      </c>
      <c r="C244">
        <v>108</v>
      </c>
      <c r="D244">
        <v>44767</v>
      </c>
      <c r="E244">
        <v>0</v>
      </c>
      <c r="F244">
        <v>582486870290</v>
      </c>
      <c r="G244">
        <v>1361631665.02</v>
      </c>
      <c r="H244">
        <v>577530812088</v>
      </c>
      <c r="I244">
        <v>580411448279.12</v>
      </c>
      <c r="J244">
        <v>7.1587999999999999E-2</v>
      </c>
      <c r="K244">
        <v>1.4605999999999999E-2</v>
      </c>
      <c r="M244" t="s">
        <v>2</v>
      </c>
      <c r="N244">
        <v>4500</v>
      </c>
      <c r="O244">
        <v>108</v>
      </c>
      <c r="P244">
        <v>7824</v>
      </c>
      <c r="Q244">
        <v>0</v>
      </c>
      <c r="R244">
        <v>74116764736</v>
      </c>
      <c r="S244">
        <v>172070867.65000001</v>
      </c>
      <c r="T244">
        <v>73519370330.729996</v>
      </c>
      <c r="U244">
        <v>73899324720.910004</v>
      </c>
      <c r="V244">
        <v>6.6729999999999998E-2</v>
      </c>
      <c r="W244">
        <v>7.3210000000000003E-3</v>
      </c>
    </row>
    <row r="245" spans="1:23" x14ac:dyDescent="0.35">
      <c r="A245" t="s">
        <v>2</v>
      </c>
      <c r="B245">
        <v>4500</v>
      </c>
      <c r="C245">
        <v>108</v>
      </c>
      <c r="D245">
        <v>7952</v>
      </c>
      <c r="E245">
        <v>0</v>
      </c>
      <c r="F245">
        <v>75406937965</v>
      </c>
      <c r="G245">
        <v>175404719.37</v>
      </c>
      <c r="H245">
        <v>74753886498</v>
      </c>
      <c r="I245">
        <v>75169773241.119995</v>
      </c>
      <c r="J245">
        <v>7.3417999999999997E-2</v>
      </c>
      <c r="K245">
        <v>9.7839999999999993E-3</v>
      </c>
      <c r="M245" t="s">
        <v>1</v>
      </c>
      <c r="N245">
        <v>4500</v>
      </c>
      <c r="O245">
        <v>108</v>
      </c>
      <c r="P245">
        <v>5227</v>
      </c>
      <c r="Q245">
        <v>0</v>
      </c>
      <c r="R245">
        <v>71738763045</v>
      </c>
      <c r="S245">
        <v>167447633.5</v>
      </c>
      <c r="T245">
        <v>71107680079.830002</v>
      </c>
      <c r="U245">
        <v>71502006211.220001</v>
      </c>
      <c r="V245">
        <v>7.4856000000000006E-2</v>
      </c>
      <c r="W245">
        <v>1.1532000000000001E-2</v>
      </c>
    </row>
    <row r="246" spans="1:23" x14ac:dyDescent="0.35">
      <c r="A246" t="s">
        <v>0</v>
      </c>
      <c r="B246">
        <v>5000</v>
      </c>
      <c r="C246">
        <v>108</v>
      </c>
      <c r="D246">
        <v>11296</v>
      </c>
      <c r="E246">
        <v>0</v>
      </c>
      <c r="F246">
        <v>134951626011</v>
      </c>
      <c r="G246">
        <v>295157476.91000003</v>
      </c>
      <c r="H246">
        <v>133759223905</v>
      </c>
      <c r="I246">
        <v>134491854672.49001</v>
      </c>
      <c r="J246">
        <v>7.6929999999999998E-2</v>
      </c>
      <c r="K246">
        <v>1.4540000000000001E-2</v>
      </c>
      <c r="M246" t="s">
        <v>1</v>
      </c>
      <c r="N246">
        <v>5000</v>
      </c>
      <c r="O246">
        <v>108</v>
      </c>
      <c r="P246">
        <v>668</v>
      </c>
      <c r="Q246">
        <v>0</v>
      </c>
      <c r="R246">
        <v>7956194375</v>
      </c>
      <c r="S246">
        <v>17362613.5</v>
      </c>
      <c r="T246">
        <v>7847432194.04</v>
      </c>
      <c r="U246">
        <v>7909329997.4399996</v>
      </c>
      <c r="V246">
        <v>0.129469</v>
      </c>
      <c r="W246">
        <v>4.36E-2</v>
      </c>
    </row>
    <row r="247" spans="1:23" x14ac:dyDescent="0.35">
      <c r="A247" t="s">
        <v>1</v>
      </c>
      <c r="B247">
        <v>5000</v>
      </c>
      <c r="C247">
        <v>108</v>
      </c>
      <c r="D247">
        <v>692</v>
      </c>
      <c r="E247">
        <v>0</v>
      </c>
      <c r="F247">
        <v>8219782107</v>
      </c>
      <c r="G247">
        <v>17988552.879999999</v>
      </c>
      <c r="H247">
        <v>8111653191</v>
      </c>
      <c r="I247">
        <v>8187832027.6400003</v>
      </c>
      <c r="J247">
        <v>0.123941</v>
      </c>
      <c r="K247">
        <v>2.0192999999999999E-2</v>
      </c>
      <c r="M247" t="s">
        <v>0</v>
      </c>
      <c r="N247">
        <v>4250</v>
      </c>
      <c r="O247">
        <v>320</v>
      </c>
      <c r="P247">
        <v>36</v>
      </c>
      <c r="Q247">
        <v>0</v>
      </c>
      <c r="R247">
        <v>151174582</v>
      </c>
      <c r="S247">
        <v>1257452.26</v>
      </c>
      <c r="T247">
        <v>149917129.74000001</v>
      </c>
      <c r="U247">
        <v>149917129.74000001</v>
      </c>
      <c r="V247">
        <v>0</v>
      </c>
      <c r="W247">
        <v>0</v>
      </c>
    </row>
    <row r="248" spans="1:23" x14ac:dyDescent="0.35">
      <c r="A248" t="s">
        <v>1</v>
      </c>
      <c r="B248">
        <v>4500</v>
      </c>
      <c r="C248">
        <v>108</v>
      </c>
      <c r="D248">
        <v>5254</v>
      </c>
      <c r="E248">
        <v>0</v>
      </c>
      <c r="F248">
        <v>72075587000</v>
      </c>
      <c r="G248">
        <v>168562357.72999999</v>
      </c>
      <c r="H248">
        <v>71027723253</v>
      </c>
      <c r="I248">
        <v>71698888149.800003</v>
      </c>
      <c r="J248">
        <v>0.136962</v>
      </c>
      <c r="K248">
        <v>3.4107999999999999E-2</v>
      </c>
      <c r="M248" t="s">
        <v>1</v>
      </c>
      <c r="N248">
        <v>6250</v>
      </c>
      <c r="O248">
        <v>240</v>
      </c>
      <c r="P248">
        <v>487</v>
      </c>
      <c r="Q248">
        <v>0</v>
      </c>
      <c r="R248">
        <v>3397081885</v>
      </c>
      <c r="S248">
        <v>18309950.59</v>
      </c>
      <c r="T248">
        <v>3322313673.3699999</v>
      </c>
      <c r="U248">
        <v>3370050004.0300002</v>
      </c>
      <c r="V248">
        <v>0.18217900000000001</v>
      </c>
      <c r="W248">
        <v>3.0377999999999999E-2</v>
      </c>
    </row>
    <row r="249" spans="1:23" x14ac:dyDescent="0.35">
      <c r="A249" t="s">
        <v>0</v>
      </c>
      <c r="B249">
        <v>4250</v>
      </c>
      <c r="C249">
        <v>320</v>
      </c>
      <c r="D249">
        <v>36</v>
      </c>
      <c r="E249">
        <v>0</v>
      </c>
      <c r="F249">
        <v>149565162</v>
      </c>
      <c r="G249">
        <v>1258970.5900000001</v>
      </c>
      <c r="H249">
        <v>147780885</v>
      </c>
      <c r="I249">
        <v>147823133.21000001</v>
      </c>
      <c r="J249">
        <v>4.1341999999999997E-2</v>
      </c>
      <c r="K249">
        <v>3.8075999999999999E-2</v>
      </c>
      <c r="M249" t="s">
        <v>3</v>
      </c>
      <c r="N249">
        <v>6500</v>
      </c>
      <c r="O249">
        <v>240</v>
      </c>
      <c r="P249">
        <v>75</v>
      </c>
      <c r="Q249">
        <v>0</v>
      </c>
      <c r="R249">
        <v>487444283</v>
      </c>
      <c r="S249">
        <v>2551872.08</v>
      </c>
      <c r="T249">
        <v>484892410.92000002</v>
      </c>
      <c r="U249">
        <v>484892410.92000002</v>
      </c>
      <c r="V249">
        <v>0</v>
      </c>
      <c r="W249">
        <v>0</v>
      </c>
    </row>
    <row r="250" spans="1:23" x14ac:dyDescent="0.35">
      <c r="A250" t="s">
        <v>1</v>
      </c>
      <c r="B250">
        <v>6250</v>
      </c>
      <c r="C250">
        <v>240</v>
      </c>
      <c r="D250">
        <v>460</v>
      </c>
      <c r="E250">
        <v>0</v>
      </c>
      <c r="F250">
        <v>3215918966</v>
      </c>
      <c r="G250">
        <v>17377085.129999999</v>
      </c>
      <c r="H250">
        <v>3170486150</v>
      </c>
      <c r="I250">
        <v>3184531685.8200002</v>
      </c>
      <c r="J250">
        <v>9.9807999999999994E-2</v>
      </c>
      <c r="K250">
        <v>5.1043999999999999E-2</v>
      </c>
      <c r="M250" t="s">
        <v>0</v>
      </c>
      <c r="N250">
        <v>6250</v>
      </c>
      <c r="O250">
        <v>216</v>
      </c>
      <c r="P250">
        <v>4520</v>
      </c>
      <c r="Q250">
        <v>0</v>
      </c>
      <c r="R250">
        <v>30178804422</v>
      </c>
      <c r="S250">
        <v>132533682.84</v>
      </c>
      <c r="T250">
        <v>29948813715.450001</v>
      </c>
      <c r="U250">
        <v>30028484136.549999</v>
      </c>
      <c r="V250">
        <v>3.8071000000000001E-2</v>
      </c>
      <c r="W250">
        <v>7.0499999999999998E-3</v>
      </c>
    </row>
    <row r="251" spans="1:23" x14ac:dyDescent="0.35">
      <c r="A251" t="s">
        <v>3</v>
      </c>
      <c r="B251">
        <v>6500</v>
      </c>
      <c r="C251">
        <v>240</v>
      </c>
      <c r="D251">
        <v>73</v>
      </c>
      <c r="E251">
        <v>0</v>
      </c>
      <c r="F251">
        <v>471584465</v>
      </c>
      <c r="G251">
        <v>2485573.6800000002</v>
      </c>
      <c r="H251">
        <v>468223220</v>
      </c>
      <c r="I251">
        <v>468223220</v>
      </c>
      <c r="J251">
        <v>2.2055999999999999E-2</v>
      </c>
      <c r="K251">
        <v>2.2055999999999999E-2</v>
      </c>
      <c r="M251" t="s">
        <v>3</v>
      </c>
      <c r="N251">
        <v>6500</v>
      </c>
      <c r="O251">
        <v>216</v>
      </c>
      <c r="P251">
        <v>28</v>
      </c>
      <c r="Q251">
        <v>0</v>
      </c>
      <c r="R251">
        <v>168800058</v>
      </c>
      <c r="S251">
        <v>727842.31</v>
      </c>
      <c r="T251">
        <v>168072215.69</v>
      </c>
      <c r="U251">
        <v>168072215.69</v>
      </c>
      <c r="V251">
        <v>0</v>
      </c>
      <c r="W251">
        <v>0</v>
      </c>
    </row>
    <row r="252" spans="1:23" x14ac:dyDescent="0.35">
      <c r="A252" t="s">
        <v>0</v>
      </c>
      <c r="B252">
        <v>6250</v>
      </c>
      <c r="C252">
        <v>216</v>
      </c>
      <c r="D252">
        <v>4316</v>
      </c>
      <c r="E252">
        <v>0</v>
      </c>
      <c r="F252">
        <v>28726423141</v>
      </c>
      <c r="G252">
        <v>126933170.34999999</v>
      </c>
      <c r="H252">
        <v>28451945881</v>
      </c>
      <c r="I252">
        <v>28548057357.48</v>
      </c>
      <c r="J252">
        <v>5.9922999999999997E-2</v>
      </c>
      <c r="K252">
        <v>2.1274999999999999E-2</v>
      </c>
      <c r="M252" t="s">
        <v>1</v>
      </c>
      <c r="N252">
        <v>3000</v>
      </c>
      <c r="O252">
        <v>320</v>
      </c>
      <c r="P252">
        <v>1</v>
      </c>
      <c r="Q252">
        <v>0</v>
      </c>
      <c r="R252">
        <v>4852394</v>
      </c>
      <c r="S252">
        <v>38397.800000000003</v>
      </c>
      <c r="T252">
        <v>4813996.2</v>
      </c>
      <c r="U252">
        <v>4813996.2</v>
      </c>
      <c r="V252">
        <v>0</v>
      </c>
      <c r="W252">
        <v>0</v>
      </c>
    </row>
    <row r="253" spans="1:23" x14ac:dyDescent="0.35">
      <c r="A253" t="s">
        <v>3</v>
      </c>
      <c r="B253">
        <v>6500</v>
      </c>
      <c r="C253">
        <v>216</v>
      </c>
      <c r="D253">
        <v>28</v>
      </c>
      <c r="E253">
        <v>0</v>
      </c>
      <c r="F253">
        <v>167920578</v>
      </c>
      <c r="G253">
        <v>731108.63</v>
      </c>
      <c r="H253">
        <v>167091478</v>
      </c>
      <c r="I253">
        <v>167091478</v>
      </c>
      <c r="J253">
        <v>6.9800000000000001E-3</v>
      </c>
      <c r="K253">
        <v>6.9800000000000001E-3</v>
      </c>
      <c r="M253" t="s">
        <v>1</v>
      </c>
      <c r="N253">
        <v>5250</v>
      </c>
      <c r="O253">
        <v>360</v>
      </c>
      <c r="P253">
        <v>1</v>
      </c>
      <c r="Q253">
        <v>0</v>
      </c>
      <c r="R253">
        <v>894457</v>
      </c>
      <c r="S253">
        <v>32557.77</v>
      </c>
      <c r="T253">
        <v>861899.23</v>
      </c>
      <c r="U253">
        <v>861899.23</v>
      </c>
      <c r="V253">
        <v>0</v>
      </c>
      <c r="W253">
        <v>0</v>
      </c>
    </row>
    <row r="254" spans="1:23" x14ac:dyDescent="0.35">
      <c r="A254" t="s">
        <v>1</v>
      </c>
      <c r="B254">
        <v>3000</v>
      </c>
      <c r="C254">
        <v>320</v>
      </c>
      <c r="D254">
        <v>1</v>
      </c>
      <c r="E254">
        <v>0</v>
      </c>
      <c r="F254">
        <v>4812715</v>
      </c>
      <c r="G254">
        <v>38483.230000000003</v>
      </c>
      <c r="H254">
        <v>4772937</v>
      </c>
      <c r="I254">
        <v>4772937</v>
      </c>
      <c r="J254">
        <v>3.2239999999999999E-3</v>
      </c>
      <c r="K254">
        <v>3.2239999999999999E-3</v>
      </c>
      <c r="M254" t="s">
        <v>2</v>
      </c>
      <c r="N254">
        <v>5500</v>
      </c>
      <c r="O254">
        <v>360</v>
      </c>
      <c r="P254">
        <v>1</v>
      </c>
      <c r="Q254">
        <v>0</v>
      </c>
      <c r="R254">
        <v>406166</v>
      </c>
      <c r="S254">
        <v>26219.58</v>
      </c>
      <c r="T254">
        <v>379946.42</v>
      </c>
      <c r="U254">
        <v>379946.42</v>
      </c>
      <c r="V254">
        <v>0</v>
      </c>
      <c r="W254">
        <v>0</v>
      </c>
    </row>
    <row r="255" spans="1:23" x14ac:dyDescent="0.35">
      <c r="A255" t="s">
        <v>1</v>
      </c>
      <c r="B255">
        <v>5250</v>
      </c>
      <c r="C255">
        <v>360</v>
      </c>
      <c r="D255">
        <v>1</v>
      </c>
      <c r="E255">
        <v>0</v>
      </c>
      <c r="F255">
        <v>860875</v>
      </c>
      <c r="G255">
        <v>32661.35</v>
      </c>
      <c r="H255">
        <v>827146</v>
      </c>
      <c r="I255">
        <v>827146</v>
      </c>
      <c r="J255">
        <v>1.4781000000000001E-2</v>
      </c>
      <c r="K255">
        <v>1.4781000000000001E-2</v>
      </c>
      <c r="M255" t="s">
        <v>1</v>
      </c>
      <c r="N255">
        <v>4750</v>
      </c>
      <c r="O255">
        <v>320</v>
      </c>
      <c r="P255">
        <v>87</v>
      </c>
      <c r="Q255">
        <v>0</v>
      </c>
      <c r="R255">
        <v>455669957</v>
      </c>
      <c r="S255">
        <v>3900808.89</v>
      </c>
      <c r="T255">
        <v>451769148.11000001</v>
      </c>
      <c r="U255">
        <v>451769148.11000001</v>
      </c>
      <c r="V255">
        <v>0</v>
      </c>
      <c r="W255">
        <v>0</v>
      </c>
    </row>
    <row r="256" spans="1:23" x14ac:dyDescent="0.35">
      <c r="A256" t="s">
        <v>2</v>
      </c>
      <c r="B256">
        <v>5500</v>
      </c>
      <c r="C256">
        <v>360</v>
      </c>
      <c r="D256">
        <v>1</v>
      </c>
      <c r="E256">
        <v>0</v>
      </c>
      <c r="F256">
        <v>374898</v>
      </c>
      <c r="G256">
        <v>25989.77</v>
      </c>
      <c r="H256">
        <v>343486</v>
      </c>
      <c r="I256">
        <v>343486</v>
      </c>
      <c r="J256">
        <v>0.16039700000000001</v>
      </c>
      <c r="K256">
        <v>0.16039700000000001</v>
      </c>
      <c r="M256" t="s">
        <v>0</v>
      </c>
      <c r="N256">
        <v>5250</v>
      </c>
      <c r="O256">
        <v>240</v>
      </c>
      <c r="P256">
        <v>250</v>
      </c>
      <c r="Q256">
        <v>0</v>
      </c>
      <c r="R256">
        <v>1528994858</v>
      </c>
      <c r="S256">
        <v>8737103.7599999998</v>
      </c>
      <c r="T256">
        <v>1502223051.4300001</v>
      </c>
      <c r="U256">
        <v>1520257754.24</v>
      </c>
      <c r="V256">
        <v>0.132711</v>
      </c>
      <c r="W256">
        <v>0</v>
      </c>
    </row>
    <row r="257" spans="1:23" x14ac:dyDescent="0.35">
      <c r="A257" t="s">
        <v>1</v>
      </c>
      <c r="B257">
        <v>4750</v>
      </c>
      <c r="C257">
        <v>320</v>
      </c>
      <c r="D257">
        <v>87</v>
      </c>
      <c r="E257">
        <v>0</v>
      </c>
      <c r="F257">
        <v>451282743</v>
      </c>
      <c r="G257">
        <v>3911292.12</v>
      </c>
      <c r="H257">
        <v>435843286</v>
      </c>
      <c r="I257">
        <v>446177397.63999999</v>
      </c>
      <c r="J257">
        <v>0.26694000000000001</v>
      </c>
      <c r="K257">
        <v>3.1293000000000001E-2</v>
      </c>
      <c r="M257" t="s">
        <v>0</v>
      </c>
      <c r="N257">
        <v>8500</v>
      </c>
      <c r="O257">
        <v>240</v>
      </c>
      <c r="P257">
        <v>5</v>
      </c>
      <c r="Q257">
        <v>0</v>
      </c>
      <c r="R257">
        <v>23317568</v>
      </c>
      <c r="S257">
        <v>116151.44</v>
      </c>
      <c r="T257">
        <v>23201416.559999999</v>
      </c>
      <c r="U257">
        <v>23201416.559999999</v>
      </c>
      <c r="V257">
        <v>0</v>
      </c>
      <c r="W257">
        <v>0</v>
      </c>
    </row>
    <row r="258" spans="1:23" x14ac:dyDescent="0.35">
      <c r="A258" t="s">
        <v>0</v>
      </c>
      <c r="B258">
        <v>5250</v>
      </c>
      <c r="C258">
        <v>240</v>
      </c>
      <c r="D258">
        <v>246</v>
      </c>
      <c r="E258">
        <v>0</v>
      </c>
      <c r="F258">
        <v>1511244157</v>
      </c>
      <c r="G258">
        <v>8621758.6400000006</v>
      </c>
      <c r="H258">
        <v>1483750889</v>
      </c>
      <c r="I258">
        <v>1499384333.24</v>
      </c>
      <c r="J258">
        <v>0.13997399999999999</v>
      </c>
      <c r="K258">
        <v>2.5411E-2</v>
      </c>
      <c r="M258" t="s">
        <v>0</v>
      </c>
      <c r="N258">
        <v>9000</v>
      </c>
      <c r="O258">
        <v>240</v>
      </c>
      <c r="P258">
        <v>3</v>
      </c>
      <c r="Q258">
        <v>0</v>
      </c>
      <c r="R258">
        <v>16664884</v>
      </c>
      <c r="S258">
        <v>74296.02</v>
      </c>
      <c r="T258">
        <v>16590587.98</v>
      </c>
      <c r="U258">
        <v>16590587.98</v>
      </c>
      <c r="V258">
        <v>0</v>
      </c>
      <c r="W258">
        <v>0</v>
      </c>
    </row>
    <row r="259" spans="1:23" x14ac:dyDescent="0.35">
      <c r="A259" t="s">
        <v>0</v>
      </c>
      <c r="B259">
        <v>8500</v>
      </c>
      <c r="C259">
        <v>240</v>
      </c>
      <c r="D259">
        <v>5</v>
      </c>
      <c r="E259">
        <v>0</v>
      </c>
      <c r="F259">
        <v>23103424</v>
      </c>
      <c r="G259">
        <v>116497.21</v>
      </c>
      <c r="H259">
        <v>22875229</v>
      </c>
      <c r="I259">
        <v>22875229</v>
      </c>
      <c r="J259">
        <v>5.6498E-2</v>
      </c>
      <c r="K259">
        <v>5.6498E-2</v>
      </c>
      <c r="M259" t="s">
        <v>1</v>
      </c>
      <c r="N259">
        <v>5000</v>
      </c>
      <c r="O259">
        <v>240</v>
      </c>
      <c r="P259">
        <v>30</v>
      </c>
      <c r="Q259">
        <v>0</v>
      </c>
      <c r="R259">
        <v>218078883</v>
      </c>
      <c r="S259">
        <v>1283576.06</v>
      </c>
      <c r="T259">
        <v>216795306.94</v>
      </c>
      <c r="U259">
        <v>216795306.94</v>
      </c>
      <c r="V259">
        <v>0</v>
      </c>
      <c r="W259">
        <v>0</v>
      </c>
    </row>
    <row r="260" spans="1:23" x14ac:dyDescent="0.35">
      <c r="A260" t="s">
        <v>0</v>
      </c>
      <c r="B260">
        <v>9000</v>
      </c>
      <c r="C260">
        <v>240</v>
      </c>
      <c r="D260">
        <v>3</v>
      </c>
      <c r="E260">
        <v>0</v>
      </c>
      <c r="F260">
        <v>16542259</v>
      </c>
      <c r="G260">
        <v>74626.2</v>
      </c>
      <c r="H260">
        <v>16451471</v>
      </c>
      <c r="I260">
        <v>16451471</v>
      </c>
      <c r="J260">
        <v>1.1660999999999999E-2</v>
      </c>
      <c r="K260">
        <v>1.1660999999999999E-2</v>
      </c>
      <c r="M260" t="s">
        <v>1</v>
      </c>
      <c r="N260">
        <v>4000</v>
      </c>
      <c r="O260">
        <v>320</v>
      </c>
      <c r="P260">
        <v>47</v>
      </c>
      <c r="Q260">
        <v>0</v>
      </c>
      <c r="R260">
        <v>194176853</v>
      </c>
      <c r="S260">
        <v>1759690.04</v>
      </c>
      <c r="T260">
        <v>192417162.96000001</v>
      </c>
      <c r="U260">
        <v>192417162.96000001</v>
      </c>
      <c r="V260">
        <v>0</v>
      </c>
      <c r="W260">
        <v>0</v>
      </c>
    </row>
    <row r="261" spans="1:23" x14ac:dyDescent="0.35">
      <c r="A261" t="s">
        <v>1</v>
      </c>
      <c r="B261">
        <v>4000</v>
      </c>
      <c r="C261">
        <v>320</v>
      </c>
      <c r="D261">
        <v>47</v>
      </c>
      <c r="E261">
        <v>0</v>
      </c>
      <c r="F261">
        <v>191460046</v>
      </c>
      <c r="G261">
        <v>1756987.56</v>
      </c>
      <c r="H261">
        <v>188660597</v>
      </c>
      <c r="I261">
        <v>188660597</v>
      </c>
      <c r="J261">
        <v>6.3416E-2</v>
      </c>
      <c r="K261">
        <v>6.3416E-2</v>
      </c>
      <c r="M261" t="s">
        <v>3</v>
      </c>
      <c r="N261">
        <v>5500</v>
      </c>
      <c r="O261">
        <v>240</v>
      </c>
      <c r="P261">
        <v>2</v>
      </c>
      <c r="Q261">
        <v>0</v>
      </c>
      <c r="R261">
        <v>8671927</v>
      </c>
      <c r="S261">
        <v>51149.97</v>
      </c>
      <c r="T261">
        <v>8620777.0299999993</v>
      </c>
      <c r="U261">
        <v>8620777.0299999993</v>
      </c>
      <c r="V261">
        <v>0</v>
      </c>
      <c r="W261">
        <v>0</v>
      </c>
    </row>
    <row r="262" spans="1:23" x14ac:dyDescent="0.35">
      <c r="A262" t="s">
        <v>3</v>
      </c>
      <c r="B262">
        <v>6000</v>
      </c>
      <c r="C262">
        <v>240</v>
      </c>
      <c r="D262">
        <v>16</v>
      </c>
      <c r="E262">
        <v>0</v>
      </c>
      <c r="F262">
        <v>177916533</v>
      </c>
      <c r="G262">
        <v>955785.58</v>
      </c>
      <c r="H262">
        <v>176683160</v>
      </c>
      <c r="I262">
        <v>176683160</v>
      </c>
      <c r="J262">
        <v>1.8563E-2</v>
      </c>
      <c r="K262">
        <v>1.8563E-2</v>
      </c>
      <c r="M262" t="s">
        <v>2</v>
      </c>
      <c r="N262">
        <v>5750</v>
      </c>
      <c r="O262">
        <v>240</v>
      </c>
      <c r="P262">
        <v>77</v>
      </c>
      <c r="Q262">
        <v>0</v>
      </c>
      <c r="R262">
        <v>366101838</v>
      </c>
      <c r="S262">
        <v>2021828.88</v>
      </c>
      <c r="T262">
        <v>363914404.37</v>
      </c>
      <c r="U262">
        <v>364080009.12</v>
      </c>
      <c r="V262">
        <v>5.4149999999999997E-3</v>
      </c>
      <c r="W262">
        <v>0</v>
      </c>
    </row>
    <row r="263" spans="1:23" x14ac:dyDescent="0.35">
      <c r="A263" t="s">
        <v>3</v>
      </c>
      <c r="B263">
        <v>5500</v>
      </c>
      <c r="C263">
        <v>240</v>
      </c>
      <c r="D263">
        <v>3</v>
      </c>
      <c r="E263">
        <v>0</v>
      </c>
      <c r="F263">
        <v>14650082</v>
      </c>
      <c r="G263">
        <v>81182.53</v>
      </c>
      <c r="H263">
        <v>14509945</v>
      </c>
      <c r="I263">
        <v>14509945</v>
      </c>
      <c r="J263">
        <v>4.7234999999999999E-2</v>
      </c>
      <c r="K263">
        <v>4.7234999999999999E-2</v>
      </c>
      <c r="M263" t="s">
        <v>0</v>
      </c>
      <c r="N263">
        <v>4750</v>
      </c>
      <c r="O263">
        <v>240</v>
      </c>
      <c r="P263">
        <v>35</v>
      </c>
      <c r="Q263">
        <v>0</v>
      </c>
      <c r="R263">
        <v>160847516</v>
      </c>
      <c r="S263">
        <v>986539.37</v>
      </c>
      <c r="T263">
        <v>159860976.63</v>
      </c>
      <c r="U263">
        <v>159860976.63</v>
      </c>
      <c r="V263">
        <v>0</v>
      </c>
      <c r="W263">
        <v>0</v>
      </c>
    </row>
    <row r="264" spans="1:23" x14ac:dyDescent="0.35">
      <c r="A264" t="s">
        <v>2</v>
      </c>
      <c r="B264">
        <v>5750</v>
      </c>
      <c r="C264">
        <v>240</v>
      </c>
      <c r="D264">
        <v>80</v>
      </c>
      <c r="E264">
        <v>0</v>
      </c>
      <c r="F264">
        <v>392577042</v>
      </c>
      <c r="G264">
        <v>2150610.61</v>
      </c>
      <c r="H264">
        <v>388929585</v>
      </c>
      <c r="I264">
        <v>388929585</v>
      </c>
      <c r="J264">
        <v>4.4807E-2</v>
      </c>
      <c r="K264">
        <v>4.4807E-2</v>
      </c>
      <c r="M264" t="s">
        <v>1</v>
      </c>
      <c r="N264">
        <v>5250</v>
      </c>
      <c r="O264">
        <v>240</v>
      </c>
      <c r="P264">
        <v>19</v>
      </c>
      <c r="Q264">
        <v>0</v>
      </c>
      <c r="R264">
        <v>160640230</v>
      </c>
      <c r="S264">
        <v>908357.71</v>
      </c>
      <c r="T264">
        <v>159731872.28999999</v>
      </c>
      <c r="U264">
        <v>159731872.28999999</v>
      </c>
      <c r="V264">
        <v>0</v>
      </c>
      <c r="W264">
        <v>0</v>
      </c>
    </row>
    <row r="265" spans="1:23" x14ac:dyDescent="0.35">
      <c r="A265" t="s">
        <v>1</v>
      </c>
      <c r="B265">
        <v>5250</v>
      </c>
      <c r="C265">
        <v>240</v>
      </c>
      <c r="D265">
        <v>19</v>
      </c>
      <c r="E265">
        <v>0</v>
      </c>
      <c r="F265">
        <v>159512997</v>
      </c>
      <c r="G265">
        <v>911057.74</v>
      </c>
      <c r="H265">
        <v>158389023</v>
      </c>
      <c r="I265">
        <v>158389023</v>
      </c>
      <c r="J265">
        <v>1.5900000000000001E-2</v>
      </c>
      <c r="K265">
        <v>1.5900000000000001E-2</v>
      </c>
      <c r="M265" t="s">
        <v>2</v>
      </c>
      <c r="N265">
        <v>5250</v>
      </c>
      <c r="O265">
        <v>240</v>
      </c>
      <c r="P265">
        <v>31</v>
      </c>
      <c r="Q265">
        <v>0</v>
      </c>
      <c r="R265">
        <v>138665901</v>
      </c>
      <c r="S265">
        <v>811010.75</v>
      </c>
      <c r="T265">
        <v>137655469.41999999</v>
      </c>
      <c r="U265">
        <v>137854890.25</v>
      </c>
      <c r="V265">
        <v>1.7121999999999998E-2</v>
      </c>
      <c r="W265">
        <v>0</v>
      </c>
    </row>
    <row r="266" spans="1:23" x14ac:dyDescent="0.35">
      <c r="A266" t="s">
        <v>2</v>
      </c>
      <c r="B266">
        <v>5250</v>
      </c>
      <c r="C266">
        <v>240</v>
      </c>
      <c r="D266">
        <v>30</v>
      </c>
      <c r="E266">
        <v>0</v>
      </c>
      <c r="F266">
        <v>137392646</v>
      </c>
      <c r="G266">
        <v>811945.51</v>
      </c>
      <c r="H266">
        <v>136180316</v>
      </c>
      <c r="I266">
        <v>136180316</v>
      </c>
      <c r="J266">
        <v>3.4415000000000001E-2</v>
      </c>
      <c r="K266">
        <v>3.4415000000000001E-2</v>
      </c>
      <c r="M266" t="s">
        <v>2</v>
      </c>
      <c r="N266">
        <v>5000</v>
      </c>
      <c r="O266">
        <v>240</v>
      </c>
      <c r="P266">
        <v>8</v>
      </c>
      <c r="Q266">
        <v>0</v>
      </c>
      <c r="R266">
        <v>44008355</v>
      </c>
      <c r="S266">
        <v>249343.24</v>
      </c>
      <c r="T266">
        <v>43759011.759999998</v>
      </c>
      <c r="U266">
        <v>43759011.759999998</v>
      </c>
      <c r="V266">
        <v>0</v>
      </c>
      <c r="W266">
        <v>0</v>
      </c>
    </row>
    <row r="267" spans="1:23" x14ac:dyDescent="0.35">
      <c r="A267" t="s">
        <v>0</v>
      </c>
      <c r="B267">
        <v>4750</v>
      </c>
      <c r="C267">
        <v>240</v>
      </c>
      <c r="D267">
        <v>33</v>
      </c>
      <c r="E267">
        <v>0</v>
      </c>
      <c r="F267">
        <v>150753149</v>
      </c>
      <c r="G267">
        <v>930335.45</v>
      </c>
      <c r="H267">
        <v>149546556</v>
      </c>
      <c r="I267">
        <v>149546556</v>
      </c>
      <c r="J267">
        <v>2.1770000000000001E-2</v>
      </c>
      <c r="K267">
        <v>2.1770000000000001E-2</v>
      </c>
      <c r="M267" t="s">
        <v>0</v>
      </c>
      <c r="N267">
        <v>4000</v>
      </c>
      <c r="O267">
        <v>240</v>
      </c>
      <c r="P267">
        <v>16</v>
      </c>
      <c r="Q267">
        <v>0</v>
      </c>
      <c r="R267">
        <v>65589969</v>
      </c>
      <c r="S267">
        <v>427178.08</v>
      </c>
      <c r="T267">
        <v>65162790.920000002</v>
      </c>
      <c r="U267">
        <v>65162790.920000002</v>
      </c>
      <c r="V267">
        <v>0</v>
      </c>
      <c r="W267">
        <v>0</v>
      </c>
    </row>
    <row r="268" spans="1:23" x14ac:dyDescent="0.35">
      <c r="A268" t="s">
        <v>0</v>
      </c>
      <c r="B268">
        <v>4000</v>
      </c>
      <c r="C268">
        <v>240</v>
      </c>
      <c r="D268">
        <v>16</v>
      </c>
      <c r="E268">
        <v>0</v>
      </c>
      <c r="F268">
        <v>65028644</v>
      </c>
      <c r="G268">
        <v>427712.3</v>
      </c>
      <c r="H268">
        <v>64408331</v>
      </c>
      <c r="I268">
        <v>64408331</v>
      </c>
      <c r="J268">
        <v>3.4967999999999999E-2</v>
      </c>
      <c r="K268">
        <v>3.4967999999999999E-2</v>
      </c>
      <c r="M268" t="s">
        <v>2</v>
      </c>
      <c r="N268">
        <v>6250</v>
      </c>
      <c r="O268">
        <v>240</v>
      </c>
      <c r="P268">
        <v>323</v>
      </c>
      <c r="Q268">
        <v>0</v>
      </c>
      <c r="R268">
        <v>1636904880</v>
      </c>
      <c r="S268">
        <v>8712491.5700000003</v>
      </c>
      <c r="T268">
        <v>1621667663.6600001</v>
      </c>
      <c r="U268">
        <v>1628192388.4300001</v>
      </c>
      <c r="V268">
        <v>4.6796999999999998E-2</v>
      </c>
      <c r="W268">
        <v>0</v>
      </c>
    </row>
    <row r="269" spans="1:23" x14ac:dyDescent="0.35">
      <c r="A269" t="s">
        <v>2</v>
      </c>
      <c r="B269">
        <v>6250</v>
      </c>
      <c r="C269">
        <v>240</v>
      </c>
      <c r="D269">
        <v>327</v>
      </c>
      <c r="E269">
        <v>0</v>
      </c>
      <c r="F269">
        <v>1663726496</v>
      </c>
      <c r="G269">
        <v>8791253.2300000004</v>
      </c>
      <c r="H269">
        <v>1637175675</v>
      </c>
      <c r="I269">
        <v>1651956802.23</v>
      </c>
      <c r="J269">
        <v>0.120836</v>
      </c>
      <c r="K269">
        <v>2.1271999999999999E-2</v>
      </c>
      <c r="M269" t="s">
        <v>3</v>
      </c>
      <c r="N269">
        <v>5750</v>
      </c>
      <c r="O269">
        <v>240</v>
      </c>
      <c r="P269">
        <v>2</v>
      </c>
      <c r="Q269">
        <v>0</v>
      </c>
      <c r="R269">
        <v>10138209</v>
      </c>
      <c r="S269">
        <v>62185.85</v>
      </c>
      <c r="T269">
        <v>10076023.15</v>
      </c>
      <c r="U269">
        <v>10076023.15</v>
      </c>
      <c r="V269">
        <v>0</v>
      </c>
      <c r="W269">
        <v>0</v>
      </c>
    </row>
    <row r="270" spans="1:23" x14ac:dyDescent="0.35">
      <c r="A270" t="s">
        <v>3</v>
      </c>
      <c r="B270">
        <v>5750</v>
      </c>
      <c r="C270">
        <v>240</v>
      </c>
      <c r="D270">
        <v>2</v>
      </c>
      <c r="E270">
        <v>0</v>
      </c>
      <c r="F270">
        <v>10119796</v>
      </c>
      <c r="G270">
        <v>62752.12</v>
      </c>
      <c r="H270">
        <v>9992885</v>
      </c>
      <c r="I270">
        <v>9992885</v>
      </c>
      <c r="J270">
        <v>7.3482000000000006E-2</v>
      </c>
      <c r="K270">
        <v>7.3482000000000006E-2</v>
      </c>
      <c r="M270" t="s">
        <v>1</v>
      </c>
      <c r="N270">
        <v>6750</v>
      </c>
      <c r="O270">
        <v>216</v>
      </c>
      <c r="P270">
        <v>129</v>
      </c>
      <c r="Q270">
        <v>0</v>
      </c>
      <c r="R270">
        <v>879215117</v>
      </c>
      <c r="S270">
        <v>3732913.75</v>
      </c>
      <c r="T270">
        <v>875482203.25</v>
      </c>
      <c r="U270">
        <v>875482203.25</v>
      </c>
      <c r="V270">
        <v>0</v>
      </c>
      <c r="W270">
        <v>0</v>
      </c>
    </row>
    <row r="271" spans="1:23" x14ac:dyDescent="0.35">
      <c r="A271" t="s">
        <v>1</v>
      </c>
      <c r="B271">
        <v>6750</v>
      </c>
      <c r="C271">
        <v>216</v>
      </c>
      <c r="D271">
        <v>119</v>
      </c>
      <c r="E271">
        <v>0</v>
      </c>
      <c r="F271">
        <v>823075555</v>
      </c>
      <c r="G271">
        <v>3513507.45</v>
      </c>
      <c r="H271">
        <v>814527475</v>
      </c>
      <c r="I271">
        <v>818247321.45000005</v>
      </c>
      <c r="J271">
        <v>7.0982000000000003E-2</v>
      </c>
      <c r="K271">
        <v>1.9E-2</v>
      </c>
      <c r="M271" t="s">
        <v>0</v>
      </c>
      <c r="N271">
        <v>6750</v>
      </c>
      <c r="O271">
        <v>216</v>
      </c>
      <c r="P271">
        <v>3635</v>
      </c>
      <c r="Q271">
        <v>0</v>
      </c>
      <c r="R271">
        <v>22470557044</v>
      </c>
      <c r="S271">
        <v>95287157.980000004</v>
      </c>
      <c r="T271">
        <v>22204396393.130001</v>
      </c>
      <c r="U271">
        <v>22331998416.48</v>
      </c>
      <c r="V271">
        <v>8.7530999999999998E-2</v>
      </c>
      <c r="W271">
        <v>2.2865E-2</v>
      </c>
    </row>
    <row r="272" spans="1:23" x14ac:dyDescent="0.35">
      <c r="A272" t="s">
        <v>0</v>
      </c>
      <c r="B272">
        <v>6750</v>
      </c>
      <c r="C272">
        <v>216</v>
      </c>
      <c r="D272">
        <v>3436</v>
      </c>
      <c r="E272">
        <v>0</v>
      </c>
      <c r="F272">
        <v>21150164461</v>
      </c>
      <c r="G272">
        <v>90265023.75</v>
      </c>
      <c r="H272">
        <v>20835774875</v>
      </c>
      <c r="I272">
        <v>20972205123.23</v>
      </c>
      <c r="J272">
        <v>0.120006</v>
      </c>
      <c r="K272">
        <v>4.8635999999999999E-2</v>
      </c>
      <c r="M272" t="s">
        <v>2</v>
      </c>
      <c r="N272">
        <v>6750</v>
      </c>
      <c r="O272">
        <v>216</v>
      </c>
      <c r="P272">
        <v>698</v>
      </c>
      <c r="Q272">
        <v>0</v>
      </c>
      <c r="R272">
        <v>3580528515</v>
      </c>
      <c r="S272">
        <v>15141952.439999999</v>
      </c>
      <c r="T272">
        <v>3554845420.96</v>
      </c>
      <c r="U272">
        <v>3556549167.4200001</v>
      </c>
      <c r="V272">
        <v>3.4762000000000001E-2</v>
      </c>
      <c r="W272">
        <v>2.9218999999999998E-2</v>
      </c>
    </row>
    <row r="273" spans="1:23" x14ac:dyDescent="0.35">
      <c r="A273" t="s">
        <v>2</v>
      </c>
      <c r="B273">
        <v>6750</v>
      </c>
      <c r="C273">
        <v>216</v>
      </c>
      <c r="D273">
        <v>678</v>
      </c>
      <c r="E273">
        <v>0</v>
      </c>
      <c r="F273">
        <v>3477807328</v>
      </c>
      <c r="G273">
        <v>14830231.07</v>
      </c>
      <c r="H273">
        <v>3434517300</v>
      </c>
      <c r="I273">
        <v>3453126533.5300002</v>
      </c>
      <c r="J273">
        <v>9.3897999999999995E-2</v>
      </c>
      <c r="K273">
        <v>3.3464000000000001E-2</v>
      </c>
      <c r="M273" t="s">
        <v>1</v>
      </c>
      <c r="N273">
        <v>4250</v>
      </c>
      <c r="O273">
        <v>192</v>
      </c>
      <c r="P273">
        <v>7654</v>
      </c>
      <c r="Q273">
        <v>0</v>
      </c>
      <c r="R273">
        <v>81794885738</v>
      </c>
      <c r="S273">
        <v>315349318.94</v>
      </c>
      <c r="T273">
        <v>81078446481.490005</v>
      </c>
      <c r="U273">
        <v>81479536419.059998</v>
      </c>
      <c r="V273">
        <v>5.7282E-2</v>
      </c>
      <c r="W273">
        <v>0</v>
      </c>
    </row>
    <row r="274" spans="1:23" x14ac:dyDescent="0.35">
      <c r="A274" t="s">
        <v>1</v>
      </c>
      <c r="B274">
        <v>4250</v>
      </c>
      <c r="C274">
        <v>192</v>
      </c>
      <c r="D274">
        <v>8293</v>
      </c>
      <c r="E274">
        <v>0</v>
      </c>
      <c r="F274">
        <v>87922766406</v>
      </c>
      <c r="G274">
        <v>340128693.25999999</v>
      </c>
      <c r="H274">
        <v>86887467119</v>
      </c>
      <c r="I274">
        <v>87331314260.229996</v>
      </c>
      <c r="J274">
        <v>9.0859999999999996E-2</v>
      </c>
      <c r="K274">
        <v>3.3766999999999998E-2</v>
      </c>
      <c r="M274" t="s">
        <v>2</v>
      </c>
      <c r="N274">
        <v>4750</v>
      </c>
      <c r="O274">
        <v>192</v>
      </c>
      <c r="P274">
        <v>6148</v>
      </c>
      <c r="Q274">
        <v>0</v>
      </c>
      <c r="R274">
        <v>45821263673</v>
      </c>
      <c r="S274">
        <v>173320428.22</v>
      </c>
      <c r="T274">
        <v>45414451589.480003</v>
      </c>
      <c r="U274">
        <v>45647943244.779999</v>
      </c>
      <c r="V274">
        <v>5.9463000000000002E-2</v>
      </c>
      <c r="W274">
        <v>0</v>
      </c>
    </row>
    <row r="275" spans="1:23" x14ac:dyDescent="0.35">
      <c r="A275" t="s">
        <v>2</v>
      </c>
      <c r="B275">
        <v>4750</v>
      </c>
      <c r="C275">
        <v>192</v>
      </c>
      <c r="D275">
        <v>6085</v>
      </c>
      <c r="E275">
        <v>0</v>
      </c>
      <c r="F275">
        <v>45145481659</v>
      </c>
      <c r="G275">
        <v>171967974.97</v>
      </c>
      <c r="H275">
        <v>44650991315</v>
      </c>
      <c r="I275">
        <v>44879521920.269997</v>
      </c>
      <c r="J275">
        <v>8.2438999999999998E-2</v>
      </c>
      <c r="K275">
        <v>2.47E-2</v>
      </c>
      <c r="M275" t="s">
        <v>0</v>
      </c>
      <c r="N275">
        <v>2750</v>
      </c>
      <c r="O275">
        <v>240</v>
      </c>
      <c r="P275">
        <v>7</v>
      </c>
      <c r="Q275">
        <v>0</v>
      </c>
      <c r="R275">
        <v>18220781</v>
      </c>
      <c r="S275">
        <v>122946.05</v>
      </c>
      <c r="T275">
        <v>18097834.949999999</v>
      </c>
      <c r="U275">
        <v>18097834.949999999</v>
      </c>
      <c r="V275">
        <v>0</v>
      </c>
      <c r="W275">
        <v>0</v>
      </c>
    </row>
    <row r="276" spans="1:23" x14ac:dyDescent="0.35">
      <c r="A276" t="s">
        <v>0</v>
      </c>
      <c r="B276">
        <v>2750</v>
      </c>
      <c r="C276">
        <v>240</v>
      </c>
      <c r="D276">
        <v>7</v>
      </c>
      <c r="E276">
        <v>0</v>
      </c>
      <c r="F276">
        <v>18051930</v>
      </c>
      <c r="G276">
        <v>122903.16</v>
      </c>
      <c r="H276">
        <v>17882003</v>
      </c>
      <c r="I276">
        <v>17882003</v>
      </c>
      <c r="J276">
        <v>3.0814999999999999E-2</v>
      </c>
      <c r="K276">
        <v>3.0814999999999999E-2</v>
      </c>
      <c r="M276" t="s">
        <v>2</v>
      </c>
      <c r="N276">
        <v>2750</v>
      </c>
      <c r="O276">
        <v>240</v>
      </c>
      <c r="P276">
        <v>8</v>
      </c>
      <c r="Q276">
        <v>0</v>
      </c>
      <c r="R276">
        <v>19445313</v>
      </c>
      <c r="S276">
        <v>133606.56</v>
      </c>
      <c r="T276">
        <v>19311706.440000001</v>
      </c>
      <c r="U276">
        <v>19311706.440000001</v>
      </c>
      <c r="V276">
        <v>0</v>
      </c>
      <c r="W276">
        <v>0</v>
      </c>
    </row>
    <row r="277" spans="1:23" x14ac:dyDescent="0.35">
      <c r="A277" t="s">
        <v>2</v>
      </c>
      <c r="B277">
        <v>2750</v>
      </c>
      <c r="C277">
        <v>240</v>
      </c>
      <c r="D277">
        <v>8</v>
      </c>
      <c r="E277">
        <v>0</v>
      </c>
      <c r="F277">
        <v>19247774</v>
      </c>
      <c r="G277">
        <v>133457.32</v>
      </c>
      <c r="H277">
        <v>19039794</v>
      </c>
      <c r="I277">
        <v>19039794</v>
      </c>
      <c r="J277">
        <v>4.5483999999999997E-2</v>
      </c>
      <c r="K277">
        <v>4.5483999999999997E-2</v>
      </c>
      <c r="M277" t="s">
        <v>0</v>
      </c>
      <c r="N277">
        <v>3750</v>
      </c>
      <c r="O277">
        <v>240</v>
      </c>
      <c r="P277">
        <v>3</v>
      </c>
      <c r="Q277">
        <v>0</v>
      </c>
      <c r="R277">
        <v>10015579</v>
      </c>
      <c r="S277">
        <v>65896.929999999993</v>
      </c>
      <c r="T277">
        <v>9949682.0700000003</v>
      </c>
      <c r="U277">
        <v>9949682.0700000003</v>
      </c>
      <c r="V277">
        <v>0</v>
      </c>
      <c r="W277">
        <v>0</v>
      </c>
    </row>
    <row r="278" spans="1:23" x14ac:dyDescent="0.35">
      <c r="A278" t="s">
        <v>0</v>
      </c>
      <c r="B278">
        <v>3750</v>
      </c>
      <c r="C278">
        <v>240</v>
      </c>
      <c r="D278">
        <v>3</v>
      </c>
      <c r="E278">
        <v>0</v>
      </c>
      <c r="F278">
        <v>9938461</v>
      </c>
      <c r="G278">
        <v>66024.61</v>
      </c>
      <c r="H278">
        <v>9839075</v>
      </c>
      <c r="I278">
        <v>9839075</v>
      </c>
      <c r="J278">
        <v>3.9545999999999998E-2</v>
      </c>
      <c r="K278">
        <v>3.9545999999999998E-2</v>
      </c>
      <c r="M278" t="s">
        <v>3</v>
      </c>
      <c r="N278">
        <v>6250</v>
      </c>
      <c r="O278">
        <v>240</v>
      </c>
      <c r="P278">
        <v>28</v>
      </c>
      <c r="Q278">
        <v>0</v>
      </c>
      <c r="R278">
        <v>171691752</v>
      </c>
      <c r="S278">
        <v>931684.58</v>
      </c>
      <c r="T278">
        <v>170760067.41999999</v>
      </c>
      <c r="U278">
        <v>170760067.41999999</v>
      </c>
      <c r="V278">
        <v>0</v>
      </c>
      <c r="W278">
        <v>0</v>
      </c>
    </row>
    <row r="279" spans="1:23" x14ac:dyDescent="0.35">
      <c r="A279" t="s">
        <v>3</v>
      </c>
      <c r="B279">
        <v>6250</v>
      </c>
      <c r="C279">
        <v>240</v>
      </c>
      <c r="D279">
        <v>29</v>
      </c>
      <c r="E279">
        <v>0</v>
      </c>
      <c r="F279">
        <v>157982892</v>
      </c>
      <c r="G279">
        <v>827589.5</v>
      </c>
      <c r="H279">
        <v>156934862</v>
      </c>
      <c r="I279">
        <v>156934862</v>
      </c>
      <c r="J279">
        <v>1.6615999999999999E-2</v>
      </c>
      <c r="K279">
        <v>1.6615999999999999E-2</v>
      </c>
      <c r="M279" t="s">
        <v>1</v>
      </c>
      <c r="N279">
        <v>5750</v>
      </c>
      <c r="O279">
        <v>240</v>
      </c>
      <c r="P279">
        <v>172</v>
      </c>
      <c r="Q279">
        <v>0</v>
      </c>
      <c r="R279">
        <v>1272175484</v>
      </c>
      <c r="S279">
        <v>7183579.1200000001</v>
      </c>
      <c r="T279">
        <v>1249159177.0999999</v>
      </c>
      <c r="U279">
        <v>1264991904.8800001</v>
      </c>
      <c r="V279">
        <v>0.13953499999999999</v>
      </c>
      <c r="W279">
        <v>0</v>
      </c>
    </row>
    <row r="280" spans="1:23" x14ac:dyDescent="0.35">
      <c r="A280" t="s">
        <v>1</v>
      </c>
      <c r="B280">
        <v>5750</v>
      </c>
      <c r="C280">
        <v>240</v>
      </c>
      <c r="D280">
        <v>164</v>
      </c>
      <c r="E280">
        <v>0</v>
      </c>
      <c r="F280">
        <v>1240257502</v>
      </c>
      <c r="G280">
        <v>6945940.4500000002</v>
      </c>
      <c r="H280">
        <v>1229798773</v>
      </c>
      <c r="I280">
        <v>1231090506.04</v>
      </c>
      <c r="J280">
        <v>3.3463E-2</v>
      </c>
      <c r="K280">
        <v>2.1278999999999999E-2</v>
      </c>
      <c r="M280" t="s">
        <v>1</v>
      </c>
      <c r="N280">
        <v>4000</v>
      </c>
      <c r="O280">
        <v>240</v>
      </c>
      <c r="P280">
        <v>2</v>
      </c>
      <c r="Q280">
        <v>0</v>
      </c>
      <c r="R280">
        <v>8325928</v>
      </c>
      <c r="S280">
        <v>54361.21</v>
      </c>
      <c r="T280">
        <v>8271566.79</v>
      </c>
      <c r="U280">
        <v>8271566.79</v>
      </c>
      <c r="V280">
        <v>0</v>
      </c>
      <c r="W280">
        <v>0</v>
      </c>
    </row>
    <row r="281" spans="1:23" x14ac:dyDescent="0.35">
      <c r="A281" t="s">
        <v>1</v>
      </c>
      <c r="B281">
        <v>4000</v>
      </c>
      <c r="C281">
        <v>240</v>
      </c>
      <c r="D281">
        <v>2</v>
      </c>
      <c r="E281">
        <v>0</v>
      </c>
      <c r="F281">
        <v>8259627</v>
      </c>
      <c r="G281">
        <v>54463.23</v>
      </c>
      <c r="H281">
        <v>8193105</v>
      </c>
      <c r="I281">
        <v>8193105</v>
      </c>
      <c r="J281">
        <v>1.738E-2</v>
      </c>
      <c r="K281">
        <v>1.738E-2</v>
      </c>
      <c r="M281" t="s">
        <v>2</v>
      </c>
      <c r="N281">
        <v>3750</v>
      </c>
      <c r="O281">
        <v>240</v>
      </c>
      <c r="P281">
        <v>7</v>
      </c>
      <c r="Q281">
        <v>0</v>
      </c>
      <c r="R281">
        <v>27884495</v>
      </c>
      <c r="S281">
        <v>172487.67999999999</v>
      </c>
      <c r="T281">
        <v>27712007.32</v>
      </c>
      <c r="U281">
        <v>27712007.32</v>
      </c>
      <c r="V281">
        <v>0</v>
      </c>
      <c r="W281">
        <v>0</v>
      </c>
    </row>
    <row r="282" spans="1:23" x14ac:dyDescent="0.35">
      <c r="A282" t="s">
        <v>2</v>
      </c>
      <c r="B282">
        <v>3750</v>
      </c>
      <c r="C282">
        <v>240</v>
      </c>
      <c r="D282">
        <v>7</v>
      </c>
      <c r="E282">
        <v>0</v>
      </c>
      <c r="F282">
        <v>27699493</v>
      </c>
      <c r="G282">
        <v>172935.94</v>
      </c>
      <c r="H282">
        <v>27388926</v>
      </c>
      <c r="I282">
        <v>27388926</v>
      </c>
      <c r="J282">
        <v>5.8021999999999997E-2</v>
      </c>
      <c r="K282">
        <v>5.8021999999999997E-2</v>
      </c>
      <c r="M282" t="s">
        <v>3</v>
      </c>
      <c r="N282">
        <v>5250</v>
      </c>
      <c r="O282">
        <v>240</v>
      </c>
      <c r="P282">
        <v>1</v>
      </c>
      <c r="Q282">
        <v>0</v>
      </c>
      <c r="R282">
        <v>1654031</v>
      </c>
      <c r="S282">
        <v>9172.17</v>
      </c>
      <c r="T282">
        <v>1644858.83</v>
      </c>
      <c r="U282">
        <v>1644858.83</v>
      </c>
      <c r="V282">
        <v>0</v>
      </c>
      <c r="W282">
        <v>0</v>
      </c>
    </row>
    <row r="283" spans="1:23" x14ac:dyDescent="0.35">
      <c r="A283" t="s">
        <v>3</v>
      </c>
      <c r="B283">
        <v>5250</v>
      </c>
      <c r="C283">
        <v>240</v>
      </c>
      <c r="D283">
        <v>1</v>
      </c>
      <c r="E283">
        <v>0</v>
      </c>
      <c r="F283">
        <v>1577344</v>
      </c>
      <c r="G283">
        <v>8833.26</v>
      </c>
      <c r="H283">
        <v>1500330</v>
      </c>
      <c r="I283">
        <v>1500330</v>
      </c>
      <c r="J283">
        <v>0.41153899999999999</v>
      </c>
      <c r="K283">
        <v>0.41153899999999999</v>
      </c>
      <c r="M283" t="s">
        <v>3</v>
      </c>
      <c r="N283">
        <v>7000</v>
      </c>
      <c r="O283">
        <v>240</v>
      </c>
      <c r="P283">
        <v>16</v>
      </c>
      <c r="Q283">
        <v>0</v>
      </c>
      <c r="R283">
        <v>142824293</v>
      </c>
      <c r="S283">
        <v>710908.97</v>
      </c>
      <c r="T283">
        <v>142113384.03</v>
      </c>
      <c r="U283">
        <v>142113384.03</v>
      </c>
      <c r="V283">
        <v>0</v>
      </c>
      <c r="W283">
        <v>0</v>
      </c>
    </row>
    <row r="284" spans="1:23" x14ac:dyDescent="0.35">
      <c r="A284" t="s">
        <v>3</v>
      </c>
      <c r="B284">
        <v>7000</v>
      </c>
      <c r="C284">
        <v>240</v>
      </c>
      <c r="D284">
        <v>16</v>
      </c>
      <c r="E284">
        <v>0</v>
      </c>
      <c r="F284">
        <v>141841132</v>
      </c>
      <c r="G284">
        <v>713702.47</v>
      </c>
      <c r="H284">
        <v>140916304</v>
      </c>
      <c r="I284">
        <v>140916304</v>
      </c>
      <c r="J284">
        <v>1.7715999999999999E-2</v>
      </c>
      <c r="K284">
        <v>1.7715999999999999E-2</v>
      </c>
      <c r="M284" t="s">
        <v>2</v>
      </c>
      <c r="N284">
        <v>6750</v>
      </c>
      <c r="O284">
        <v>240</v>
      </c>
      <c r="P284">
        <v>844</v>
      </c>
      <c r="Q284">
        <v>0</v>
      </c>
      <c r="R284">
        <v>3731151328</v>
      </c>
      <c r="S284">
        <v>18861295.57</v>
      </c>
      <c r="T284">
        <v>3683155557.4899998</v>
      </c>
      <c r="U284">
        <v>3709767509.8400002</v>
      </c>
      <c r="V284">
        <v>8.9779999999999999E-2</v>
      </c>
      <c r="W284">
        <v>8.0829999999999999E-3</v>
      </c>
    </row>
    <row r="285" spans="1:23" x14ac:dyDescent="0.35">
      <c r="A285" t="s">
        <v>2</v>
      </c>
      <c r="B285">
        <v>6750</v>
      </c>
      <c r="C285">
        <v>240</v>
      </c>
      <c r="D285">
        <v>837</v>
      </c>
      <c r="E285">
        <v>0</v>
      </c>
      <c r="F285">
        <v>3710144005</v>
      </c>
      <c r="G285">
        <v>18865859.120000001</v>
      </c>
      <c r="H285">
        <v>3669166299</v>
      </c>
      <c r="I285">
        <v>3684391824.8099999</v>
      </c>
      <c r="J285">
        <v>6.9220000000000004E-2</v>
      </c>
      <c r="K285">
        <v>2.2047000000000001E-2</v>
      </c>
      <c r="M285" t="s">
        <v>0</v>
      </c>
      <c r="N285">
        <v>3000</v>
      </c>
      <c r="O285">
        <v>240</v>
      </c>
      <c r="P285">
        <v>3</v>
      </c>
      <c r="Q285">
        <v>0</v>
      </c>
      <c r="R285">
        <v>8762924</v>
      </c>
      <c r="S285">
        <v>60574.78</v>
      </c>
      <c r="T285">
        <v>8702349.2200000007</v>
      </c>
      <c r="U285">
        <v>8702349.2200000007</v>
      </c>
      <c r="V285">
        <v>0</v>
      </c>
      <c r="W285">
        <v>0</v>
      </c>
    </row>
    <row r="286" spans="1:23" x14ac:dyDescent="0.35">
      <c r="A286" t="s">
        <v>0</v>
      </c>
      <c r="B286">
        <v>3000</v>
      </c>
      <c r="C286">
        <v>240</v>
      </c>
      <c r="D286">
        <v>3</v>
      </c>
      <c r="E286">
        <v>0</v>
      </c>
      <c r="F286">
        <v>8569373</v>
      </c>
      <c r="G286">
        <v>59794.54</v>
      </c>
      <c r="H286">
        <v>8323485</v>
      </c>
      <c r="I286">
        <v>8323485</v>
      </c>
      <c r="J286">
        <v>0.23161499999999999</v>
      </c>
      <c r="K286">
        <v>0.23161499999999999</v>
      </c>
      <c r="M286" t="s">
        <v>1</v>
      </c>
      <c r="N286">
        <v>6750</v>
      </c>
      <c r="O286">
        <v>240</v>
      </c>
      <c r="P286">
        <v>358</v>
      </c>
      <c r="Q286">
        <v>0</v>
      </c>
      <c r="R286">
        <v>2460070063</v>
      </c>
      <c r="S286">
        <v>12526263.720000001</v>
      </c>
      <c r="T286">
        <v>2436660723.9099998</v>
      </c>
      <c r="U286">
        <v>2447543799.2800002</v>
      </c>
      <c r="V286">
        <v>5.1813999999999999E-2</v>
      </c>
      <c r="W286">
        <v>0</v>
      </c>
    </row>
    <row r="287" spans="1:23" x14ac:dyDescent="0.35">
      <c r="A287" t="s">
        <v>1</v>
      </c>
      <c r="B287">
        <v>6750</v>
      </c>
      <c r="C287">
        <v>240</v>
      </c>
      <c r="D287">
        <v>363</v>
      </c>
      <c r="E287">
        <v>0</v>
      </c>
      <c r="F287">
        <v>2474137233</v>
      </c>
      <c r="G287">
        <v>12692256.810000001</v>
      </c>
      <c r="H287">
        <v>2443193773</v>
      </c>
      <c r="I287">
        <v>2456944721.9699998</v>
      </c>
      <c r="J287">
        <v>8.5016999999999995E-2</v>
      </c>
      <c r="K287">
        <v>2.1610000000000001E-2</v>
      </c>
      <c r="M287" t="s">
        <v>2</v>
      </c>
      <c r="N287">
        <v>4000</v>
      </c>
      <c r="O287">
        <v>240</v>
      </c>
      <c r="P287">
        <v>2</v>
      </c>
      <c r="Q287">
        <v>0</v>
      </c>
      <c r="R287">
        <v>5581619</v>
      </c>
      <c r="S287">
        <v>35889.879999999997</v>
      </c>
      <c r="T287">
        <v>5545729.1200000001</v>
      </c>
      <c r="U287">
        <v>5545729.1200000001</v>
      </c>
      <c r="V287">
        <v>0</v>
      </c>
      <c r="W287">
        <v>0</v>
      </c>
    </row>
    <row r="288" spans="1:23" x14ac:dyDescent="0.35">
      <c r="A288" t="s">
        <v>2</v>
      </c>
      <c r="B288">
        <v>4000</v>
      </c>
      <c r="C288">
        <v>240</v>
      </c>
      <c r="D288">
        <v>2</v>
      </c>
      <c r="E288">
        <v>0</v>
      </c>
      <c r="F288">
        <v>5512998</v>
      </c>
      <c r="G288">
        <v>35788.39</v>
      </c>
      <c r="H288">
        <v>5444154</v>
      </c>
      <c r="I288">
        <v>5444154</v>
      </c>
      <c r="J288">
        <v>6.9625000000000006E-2</v>
      </c>
      <c r="K288">
        <v>6.9625000000000006E-2</v>
      </c>
      <c r="M288" t="s">
        <v>1</v>
      </c>
      <c r="N288">
        <v>2750</v>
      </c>
      <c r="O288">
        <v>240</v>
      </c>
      <c r="P288">
        <v>1</v>
      </c>
      <c r="Q288">
        <v>0</v>
      </c>
      <c r="R288">
        <v>4808442</v>
      </c>
      <c r="S288">
        <v>33408.300000000003</v>
      </c>
      <c r="T288">
        <v>4775033.7</v>
      </c>
      <c r="U288">
        <v>4775033.7</v>
      </c>
      <c r="V288">
        <v>0</v>
      </c>
      <c r="W288">
        <v>0</v>
      </c>
    </row>
    <row r="289" spans="1:23" x14ac:dyDescent="0.35">
      <c r="A289" t="s">
        <v>1</v>
      </c>
      <c r="B289">
        <v>2750</v>
      </c>
      <c r="C289">
        <v>240</v>
      </c>
      <c r="D289">
        <v>1</v>
      </c>
      <c r="E289">
        <v>0</v>
      </c>
      <c r="F289">
        <v>4773750</v>
      </c>
      <c r="G289">
        <v>33473.629999999997</v>
      </c>
      <c r="H289">
        <v>4738981</v>
      </c>
      <c r="I289">
        <v>4738981</v>
      </c>
      <c r="J289">
        <v>3.251E-3</v>
      </c>
      <c r="K289">
        <v>3.251E-3</v>
      </c>
      <c r="M289" t="s">
        <v>2</v>
      </c>
      <c r="N289">
        <v>7000</v>
      </c>
      <c r="O289">
        <v>216</v>
      </c>
      <c r="P289">
        <v>372</v>
      </c>
      <c r="Q289">
        <v>0</v>
      </c>
      <c r="R289">
        <v>1706587351</v>
      </c>
      <c r="S289">
        <v>7114009.6699999999</v>
      </c>
      <c r="T289">
        <v>1695345992.99</v>
      </c>
      <c r="U289">
        <v>1699473341.3299999</v>
      </c>
      <c r="V289">
        <v>2.8639000000000001E-2</v>
      </c>
      <c r="W289">
        <v>0</v>
      </c>
    </row>
    <row r="290" spans="1:23" x14ac:dyDescent="0.35">
      <c r="A290" t="s">
        <v>2</v>
      </c>
      <c r="B290">
        <v>7000</v>
      </c>
      <c r="C290">
        <v>216</v>
      </c>
      <c r="D290">
        <v>358</v>
      </c>
      <c r="E290">
        <v>0</v>
      </c>
      <c r="F290">
        <v>1650091707</v>
      </c>
      <c r="G290">
        <v>6935356.3899999997</v>
      </c>
      <c r="H290">
        <v>1627228465</v>
      </c>
      <c r="I290">
        <v>1633125200.0599999</v>
      </c>
      <c r="J290">
        <v>0.109877</v>
      </c>
      <c r="K290">
        <v>7.0558999999999997E-2</v>
      </c>
      <c r="M290" t="s">
        <v>2</v>
      </c>
      <c r="N290">
        <v>7500</v>
      </c>
      <c r="O290">
        <v>216</v>
      </c>
      <c r="P290">
        <v>5</v>
      </c>
      <c r="Q290">
        <v>0</v>
      </c>
      <c r="R290">
        <v>15821673</v>
      </c>
      <c r="S290">
        <v>64625.67</v>
      </c>
      <c r="T290">
        <v>15757047.33</v>
      </c>
      <c r="U290">
        <v>15757047.33</v>
      </c>
      <c r="V290">
        <v>0</v>
      </c>
      <c r="W290">
        <v>0</v>
      </c>
    </row>
    <row r="291" spans="1:23" x14ac:dyDescent="0.35">
      <c r="A291" t="s">
        <v>0</v>
      </c>
      <c r="B291">
        <v>6000</v>
      </c>
      <c r="C291">
        <v>192</v>
      </c>
      <c r="D291">
        <v>754</v>
      </c>
      <c r="E291">
        <v>0</v>
      </c>
      <c r="F291">
        <v>4475277841</v>
      </c>
      <c r="G291">
        <v>16319931.77</v>
      </c>
      <c r="H291">
        <v>4421989691</v>
      </c>
      <c r="I291">
        <v>4448070334.3500004</v>
      </c>
      <c r="J291">
        <v>9.4744999999999996E-2</v>
      </c>
      <c r="K291">
        <v>2.8805999999999998E-2</v>
      </c>
      <c r="M291" t="s">
        <v>0</v>
      </c>
      <c r="N291">
        <v>6000</v>
      </c>
      <c r="O291">
        <v>192</v>
      </c>
      <c r="P291">
        <v>875</v>
      </c>
      <c r="Q291">
        <v>0</v>
      </c>
      <c r="R291">
        <v>5222711876</v>
      </c>
      <c r="S291">
        <v>19029133.739999998</v>
      </c>
      <c r="T291">
        <v>5176232759.9499998</v>
      </c>
      <c r="U291">
        <v>5203682742.2600002</v>
      </c>
      <c r="V291">
        <v>6.1279E-2</v>
      </c>
      <c r="W291">
        <v>0</v>
      </c>
    </row>
    <row r="292" spans="1:23" x14ac:dyDescent="0.35">
      <c r="A292" t="s">
        <v>3</v>
      </c>
      <c r="B292">
        <v>5000</v>
      </c>
      <c r="C292">
        <v>192</v>
      </c>
      <c r="D292">
        <v>158</v>
      </c>
      <c r="E292">
        <v>0</v>
      </c>
      <c r="F292">
        <v>1386011490</v>
      </c>
      <c r="G292">
        <v>5351436.4000000004</v>
      </c>
      <c r="H292">
        <v>1379146704</v>
      </c>
      <c r="I292">
        <v>1379146704</v>
      </c>
      <c r="J292">
        <v>1.3024000000000001E-2</v>
      </c>
      <c r="K292">
        <v>1.3024000000000001E-2</v>
      </c>
      <c r="M292" t="s">
        <v>3</v>
      </c>
      <c r="N292">
        <v>5000</v>
      </c>
      <c r="O292">
        <v>192</v>
      </c>
      <c r="P292">
        <v>170</v>
      </c>
      <c r="Q292">
        <v>0</v>
      </c>
      <c r="R292">
        <v>1533122500</v>
      </c>
      <c r="S292">
        <v>5903161.9900000002</v>
      </c>
      <c r="T292">
        <v>1509235785.1500001</v>
      </c>
      <c r="U292">
        <v>1527219338.01</v>
      </c>
      <c r="V292">
        <v>0.132025</v>
      </c>
      <c r="W292">
        <v>0</v>
      </c>
    </row>
    <row r="293" spans="1:23" x14ac:dyDescent="0.35">
      <c r="A293" t="s">
        <v>3</v>
      </c>
      <c r="B293">
        <v>7500</v>
      </c>
      <c r="C293">
        <v>216</v>
      </c>
      <c r="D293">
        <v>4</v>
      </c>
      <c r="E293">
        <v>0</v>
      </c>
      <c r="F293">
        <v>27170714</v>
      </c>
      <c r="G293">
        <v>109583.57</v>
      </c>
      <c r="H293">
        <v>26958926</v>
      </c>
      <c r="I293">
        <v>26958926</v>
      </c>
      <c r="J293">
        <v>4.4216999999999999E-2</v>
      </c>
      <c r="K293">
        <v>4.4216999999999999E-2</v>
      </c>
      <c r="M293" t="s">
        <v>3</v>
      </c>
      <c r="N293">
        <v>7500</v>
      </c>
      <c r="O293">
        <v>216</v>
      </c>
      <c r="P293">
        <v>4</v>
      </c>
      <c r="Q293">
        <v>0</v>
      </c>
      <c r="R293">
        <v>27362317</v>
      </c>
      <c r="S293">
        <v>109233.43</v>
      </c>
      <c r="T293">
        <v>27253083.57</v>
      </c>
      <c r="U293">
        <v>27253083.57</v>
      </c>
      <c r="V293">
        <v>0</v>
      </c>
      <c r="W293">
        <v>0</v>
      </c>
    </row>
    <row r="294" spans="1:23" x14ac:dyDescent="0.35">
      <c r="A294" t="s">
        <v>2</v>
      </c>
      <c r="B294">
        <v>5000</v>
      </c>
      <c r="C294">
        <v>240</v>
      </c>
      <c r="D294">
        <v>8</v>
      </c>
      <c r="E294">
        <v>0</v>
      </c>
      <c r="F294">
        <v>49541002</v>
      </c>
      <c r="G294">
        <v>277292.69</v>
      </c>
      <c r="H294">
        <v>49276737</v>
      </c>
      <c r="I294">
        <v>49276737</v>
      </c>
      <c r="J294">
        <v>-3.16E-3</v>
      </c>
      <c r="K294">
        <v>-3.16E-3</v>
      </c>
      <c r="M294" t="s">
        <v>0</v>
      </c>
      <c r="N294">
        <v>6500</v>
      </c>
      <c r="O294">
        <v>192</v>
      </c>
      <c r="P294">
        <v>132</v>
      </c>
      <c r="Q294">
        <v>0</v>
      </c>
      <c r="R294">
        <v>883937513</v>
      </c>
      <c r="S294">
        <v>3042327.67</v>
      </c>
      <c r="T294">
        <v>875202244.60000002</v>
      </c>
      <c r="U294">
        <v>880895185.33000004</v>
      </c>
      <c r="V294">
        <v>7.4606000000000006E-2</v>
      </c>
      <c r="W294">
        <v>0</v>
      </c>
    </row>
    <row r="295" spans="1:23" x14ac:dyDescent="0.35">
      <c r="A295" t="s">
        <v>0</v>
      </c>
      <c r="B295">
        <v>6500</v>
      </c>
      <c r="C295">
        <v>192</v>
      </c>
      <c r="D295">
        <v>122</v>
      </c>
      <c r="E295">
        <v>0</v>
      </c>
      <c r="F295">
        <v>825395320</v>
      </c>
      <c r="G295">
        <v>2804483.72</v>
      </c>
      <c r="H295">
        <v>821994806</v>
      </c>
      <c r="I295">
        <v>821994806</v>
      </c>
      <c r="J295">
        <v>8.6309999999999998E-3</v>
      </c>
      <c r="K295">
        <v>8.6309999999999998E-3</v>
      </c>
      <c r="M295" t="s">
        <v>0</v>
      </c>
      <c r="N295">
        <v>7000</v>
      </c>
      <c r="O295">
        <v>192</v>
      </c>
      <c r="P295">
        <v>5</v>
      </c>
      <c r="Q295">
        <v>0</v>
      </c>
      <c r="R295">
        <v>30023762</v>
      </c>
      <c r="S295">
        <v>104386.23</v>
      </c>
      <c r="T295">
        <v>29919375.77</v>
      </c>
      <c r="U295">
        <v>29919375.77</v>
      </c>
      <c r="V295">
        <v>0</v>
      </c>
      <c r="W295">
        <v>0</v>
      </c>
    </row>
    <row r="296" spans="1:23" x14ac:dyDescent="0.35">
      <c r="A296" t="s">
        <v>0</v>
      </c>
      <c r="B296">
        <v>7000</v>
      </c>
      <c r="C296">
        <v>192</v>
      </c>
      <c r="D296">
        <v>4</v>
      </c>
      <c r="E296">
        <v>0</v>
      </c>
      <c r="F296">
        <v>25249493</v>
      </c>
      <c r="G296">
        <v>88399.87</v>
      </c>
      <c r="H296">
        <v>25154466</v>
      </c>
      <c r="I296">
        <v>25154466</v>
      </c>
      <c r="J296">
        <v>3.1449999999999998E-3</v>
      </c>
      <c r="K296">
        <v>3.1449999999999998E-3</v>
      </c>
      <c r="M296" t="s">
        <v>1</v>
      </c>
      <c r="N296">
        <v>4500</v>
      </c>
      <c r="O296">
        <v>84</v>
      </c>
      <c r="P296">
        <v>5512</v>
      </c>
      <c r="Q296">
        <v>0</v>
      </c>
      <c r="R296">
        <v>95621569027</v>
      </c>
      <c r="S296">
        <v>195938867.63999999</v>
      </c>
      <c r="T296">
        <v>94671625053.869995</v>
      </c>
      <c r="U296">
        <v>95318867152.660004</v>
      </c>
      <c r="V296">
        <v>9.0625999999999998E-2</v>
      </c>
      <c r="W296">
        <v>1.3316E-2</v>
      </c>
    </row>
    <row r="297" spans="1:23" x14ac:dyDescent="0.35">
      <c r="A297" t="s">
        <v>1</v>
      </c>
      <c r="B297">
        <v>4500</v>
      </c>
      <c r="C297">
        <v>84</v>
      </c>
      <c r="D297">
        <v>5088</v>
      </c>
      <c r="E297">
        <v>0</v>
      </c>
      <c r="F297">
        <v>87761540614</v>
      </c>
      <c r="G297">
        <v>180373627.34999999</v>
      </c>
      <c r="H297">
        <v>86818390465</v>
      </c>
      <c r="I297">
        <v>87429170931.660004</v>
      </c>
      <c r="J297">
        <v>9.9454000000000001E-2</v>
      </c>
      <c r="K297">
        <v>2.0586E-2</v>
      </c>
      <c r="M297" t="s">
        <v>0</v>
      </c>
      <c r="N297">
        <v>5250</v>
      </c>
      <c r="O297">
        <v>216</v>
      </c>
      <c r="P297">
        <v>18954</v>
      </c>
      <c r="Q297">
        <v>0</v>
      </c>
      <c r="R297">
        <v>156391216662</v>
      </c>
      <c r="S297">
        <v>657647744.95000005</v>
      </c>
      <c r="T297">
        <v>154854921760.76999</v>
      </c>
      <c r="U297">
        <v>155630444456.98999</v>
      </c>
      <c r="V297">
        <v>6.5374000000000002E-2</v>
      </c>
      <c r="W297">
        <v>7.8840000000000004E-3</v>
      </c>
    </row>
    <row r="298" spans="1:23" x14ac:dyDescent="0.35">
      <c r="A298" t="s">
        <v>0</v>
      </c>
      <c r="B298">
        <v>5250</v>
      </c>
      <c r="C298">
        <v>216</v>
      </c>
      <c r="D298">
        <v>21289</v>
      </c>
      <c r="E298">
        <v>0</v>
      </c>
      <c r="F298">
        <v>174427254580</v>
      </c>
      <c r="G298">
        <v>736602468.64999998</v>
      </c>
      <c r="H298">
        <v>172467327676</v>
      </c>
      <c r="I298">
        <v>173253361594.48999</v>
      </c>
      <c r="J298">
        <v>8.0989000000000005E-2</v>
      </c>
      <c r="K298">
        <v>2.9673000000000001E-2</v>
      </c>
      <c r="M298" t="s">
        <v>3</v>
      </c>
      <c r="N298">
        <v>4500</v>
      </c>
      <c r="O298">
        <v>192</v>
      </c>
      <c r="P298">
        <v>163</v>
      </c>
      <c r="Q298">
        <v>0</v>
      </c>
      <c r="R298">
        <v>1716683149</v>
      </c>
      <c r="S298">
        <v>6617458.3200000003</v>
      </c>
      <c r="T298">
        <v>1699731096.6400001</v>
      </c>
      <c r="U298">
        <v>1710065690.6800001</v>
      </c>
      <c r="V298">
        <v>6.9897000000000001E-2</v>
      </c>
      <c r="W298">
        <v>0</v>
      </c>
    </row>
    <row r="299" spans="1:23" x14ac:dyDescent="0.35">
      <c r="A299" t="s">
        <v>3</v>
      </c>
      <c r="B299">
        <v>4500</v>
      </c>
      <c r="C299">
        <v>192</v>
      </c>
      <c r="D299">
        <v>166</v>
      </c>
      <c r="E299">
        <v>0</v>
      </c>
      <c r="F299">
        <v>1747022749</v>
      </c>
      <c r="G299">
        <v>6771836.5499999998</v>
      </c>
      <c r="H299">
        <v>1738728223</v>
      </c>
      <c r="I299">
        <v>1738728223</v>
      </c>
      <c r="J299">
        <v>1.0409E-2</v>
      </c>
      <c r="K299">
        <v>1.0409E-2</v>
      </c>
      <c r="M299" t="s">
        <v>3</v>
      </c>
      <c r="N299">
        <v>7000</v>
      </c>
      <c r="O299">
        <v>216</v>
      </c>
      <c r="P299">
        <v>8</v>
      </c>
      <c r="Q299">
        <v>0</v>
      </c>
      <c r="R299">
        <v>47708592</v>
      </c>
      <c r="S299">
        <v>198260.12</v>
      </c>
      <c r="T299">
        <v>33086348.960000001</v>
      </c>
      <c r="U299">
        <v>47510331.880000003</v>
      </c>
      <c r="V299">
        <v>0.986703</v>
      </c>
      <c r="W299">
        <v>0</v>
      </c>
    </row>
    <row r="300" spans="1:23" x14ac:dyDescent="0.35">
      <c r="A300" t="s">
        <v>3</v>
      </c>
      <c r="B300">
        <v>7000</v>
      </c>
      <c r="C300">
        <v>216</v>
      </c>
      <c r="D300">
        <v>7</v>
      </c>
      <c r="E300">
        <v>0</v>
      </c>
      <c r="F300">
        <v>33016761</v>
      </c>
      <c r="G300">
        <v>138759.59</v>
      </c>
      <c r="H300">
        <v>32807720</v>
      </c>
      <c r="I300">
        <v>32807720</v>
      </c>
      <c r="J300">
        <v>2.5246999999999999E-2</v>
      </c>
      <c r="K300">
        <v>2.5246999999999999E-2</v>
      </c>
      <c r="M300" t="s">
        <v>1</v>
      </c>
      <c r="N300">
        <v>7500</v>
      </c>
      <c r="O300">
        <v>216</v>
      </c>
      <c r="P300">
        <v>8</v>
      </c>
      <c r="Q300">
        <v>0</v>
      </c>
      <c r="R300">
        <v>36818442</v>
      </c>
      <c r="S300">
        <v>145999.47</v>
      </c>
      <c r="T300">
        <v>36672442.530000001</v>
      </c>
      <c r="U300">
        <v>36672442.530000001</v>
      </c>
      <c r="V300">
        <v>0</v>
      </c>
      <c r="W300">
        <v>0</v>
      </c>
    </row>
    <row r="301" spans="1:23" x14ac:dyDescent="0.35">
      <c r="A301" t="s">
        <v>1</v>
      </c>
      <c r="B301">
        <v>7500</v>
      </c>
      <c r="C301">
        <v>216</v>
      </c>
      <c r="D301">
        <v>8</v>
      </c>
      <c r="E301">
        <v>0</v>
      </c>
      <c r="F301">
        <v>36626176</v>
      </c>
      <c r="G301">
        <v>146730.97</v>
      </c>
      <c r="H301">
        <v>36406625</v>
      </c>
      <c r="I301">
        <v>36406625</v>
      </c>
      <c r="J301">
        <v>2.3598999999999998E-2</v>
      </c>
      <c r="K301">
        <v>2.3598999999999998E-2</v>
      </c>
      <c r="M301" t="s">
        <v>1</v>
      </c>
      <c r="N301">
        <v>4000</v>
      </c>
      <c r="O301">
        <v>84</v>
      </c>
      <c r="P301">
        <v>13563</v>
      </c>
      <c r="Q301">
        <v>0</v>
      </c>
      <c r="R301">
        <v>261676707495</v>
      </c>
      <c r="S301">
        <v>566046970.99000001</v>
      </c>
      <c r="T301">
        <v>259548911718.01999</v>
      </c>
      <c r="U301">
        <v>260948961741.13</v>
      </c>
      <c r="V301">
        <v>6.9314000000000001E-2</v>
      </c>
      <c r="W301">
        <v>7.3899999999999999E-3</v>
      </c>
    </row>
    <row r="302" spans="1:23" x14ac:dyDescent="0.35">
      <c r="A302" t="s">
        <v>1</v>
      </c>
      <c r="B302">
        <v>4000</v>
      </c>
      <c r="C302">
        <v>84</v>
      </c>
      <c r="D302">
        <v>14096</v>
      </c>
      <c r="E302">
        <v>0</v>
      </c>
      <c r="F302">
        <v>269753310767</v>
      </c>
      <c r="G302">
        <v>585757994.02999997</v>
      </c>
      <c r="H302">
        <v>266852032754</v>
      </c>
      <c r="I302">
        <v>268790171295.37</v>
      </c>
      <c r="J302">
        <v>9.8280000000000006E-2</v>
      </c>
      <c r="K302">
        <v>1.6659E-2</v>
      </c>
      <c r="M302" t="s">
        <v>0</v>
      </c>
      <c r="N302">
        <v>5750</v>
      </c>
      <c r="O302">
        <v>216</v>
      </c>
      <c r="P302">
        <v>8334</v>
      </c>
      <c r="Q302">
        <v>0</v>
      </c>
      <c r="R302">
        <v>58416768415</v>
      </c>
      <c r="S302">
        <v>248679774.71000001</v>
      </c>
      <c r="T302">
        <v>57798776845.669998</v>
      </c>
      <c r="U302">
        <v>58129719307.059998</v>
      </c>
      <c r="V302">
        <v>7.3280999999999999E-2</v>
      </c>
      <c r="W302">
        <v>7.8530000000000006E-3</v>
      </c>
    </row>
    <row r="303" spans="1:23" x14ac:dyDescent="0.35">
      <c r="A303" t="s">
        <v>2</v>
      </c>
      <c r="B303">
        <v>5250</v>
      </c>
      <c r="C303">
        <v>216</v>
      </c>
      <c r="D303">
        <v>3623</v>
      </c>
      <c r="E303">
        <v>0</v>
      </c>
      <c r="F303">
        <v>23601922812</v>
      </c>
      <c r="G303">
        <v>100623869.29000001</v>
      </c>
      <c r="H303">
        <v>23332877197</v>
      </c>
      <c r="I303">
        <v>23458667052.709999</v>
      </c>
      <c r="J303">
        <v>8.2349000000000006E-2</v>
      </c>
      <c r="K303">
        <v>2.1461000000000001E-2</v>
      </c>
      <c r="M303" t="s">
        <v>2</v>
      </c>
      <c r="N303">
        <v>5250</v>
      </c>
      <c r="O303">
        <v>216</v>
      </c>
      <c r="P303">
        <v>3339</v>
      </c>
      <c r="Q303">
        <v>0</v>
      </c>
      <c r="R303">
        <v>21807301601</v>
      </c>
      <c r="S303">
        <v>92557057.450000003</v>
      </c>
      <c r="T303">
        <v>21603263323.209999</v>
      </c>
      <c r="U303">
        <v>21698500234.470001</v>
      </c>
      <c r="V303">
        <v>5.9649000000000001E-2</v>
      </c>
      <c r="W303">
        <v>8.9020000000000002E-3</v>
      </c>
    </row>
    <row r="304" spans="1:23" x14ac:dyDescent="0.35">
      <c r="A304" t="s">
        <v>0</v>
      </c>
      <c r="B304">
        <v>5750</v>
      </c>
      <c r="C304">
        <v>216</v>
      </c>
      <c r="D304">
        <v>8424</v>
      </c>
      <c r="E304">
        <v>0</v>
      </c>
      <c r="F304">
        <v>58534288795</v>
      </c>
      <c r="G304">
        <v>250403894.52000001</v>
      </c>
      <c r="H304">
        <v>57875491801</v>
      </c>
      <c r="I304">
        <v>58146265239.830002</v>
      </c>
      <c r="J304">
        <v>8.0585000000000004E-2</v>
      </c>
      <c r="K304">
        <v>2.7851000000000001E-2</v>
      </c>
      <c r="M304" t="s">
        <v>1</v>
      </c>
      <c r="N304">
        <v>6250</v>
      </c>
      <c r="O304">
        <v>216</v>
      </c>
      <c r="P304">
        <v>197</v>
      </c>
      <c r="Q304">
        <v>0</v>
      </c>
      <c r="R304">
        <v>1387069673</v>
      </c>
      <c r="S304">
        <v>6112960.3600000003</v>
      </c>
      <c r="T304">
        <v>1330348273.97</v>
      </c>
      <c r="U304">
        <v>1364678607.6300001</v>
      </c>
      <c r="V304">
        <v>0.35982700000000001</v>
      </c>
      <c r="W304">
        <v>0.13208400000000001</v>
      </c>
    </row>
    <row r="305" spans="1:23" x14ac:dyDescent="0.35">
      <c r="A305" t="s">
        <v>1</v>
      </c>
      <c r="B305">
        <v>6250</v>
      </c>
      <c r="C305">
        <v>216</v>
      </c>
      <c r="D305">
        <v>184</v>
      </c>
      <c r="E305">
        <v>0</v>
      </c>
      <c r="F305">
        <v>1278221018</v>
      </c>
      <c r="G305">
        <v>5670074.1699999999</v>
      </c>
      <c r="H305">
        <v>1270736263</v>
      </c>
      <c r="I305">
        <v>1270779729.49</v>
      </c>
      <c r="J305">
        <v>1.6903999999999999E-2</v>
      </c>
      <c r="K305">
        <v>1.6501999999999999E-2</v>
      </c>
      <c r="M305" t="s">
        <v>1</v>
      </c>
      <c r="N305">
        <v>5750</v>
      </c>
      <c r="O305">
        <v>216</v>
      </c>
      <c r="P305">
        <v>419</v>
      </c>
      <c r="Q305">
        <v>0</v>
      </c>
      <c r="R305">
        <v>3290134862</v>
      </c>
      <c r="S305">
        <v>14397436.82</v>
      </c>
      <c r="T305">
        <v>3256032974.4400001</v>
      </c>
      <c r="U305">
        <v>3275737425.1799998</v>
      </c>
      <c r="V305">
        <v>6.9546999999999998E-2</v>
      </c>
      <c r="W305">
        <v>0</v>
      </c>
    </row>
    <row r="306" spans="1:23" x14ac:dyDescent="0.35">
      <c r="A306" t="s">
        <v>1</v>
      </c>
      <c r="B306">
        <v>5750</v>
      </c>
      <c r="C306">
        <v>216</v>
      </c>
      <c r="D306">
        <v>412</v>
      </c>
      <c r="E306">
        <v>0</v>
      </c>
      <c r="F306">
        <v>3208534650</v>
      </c>
      <c r="G306">
        <v>14104566.609999999</v>
      </c>
      <c r="H306">
        <v>3149630890</v>
      </c>
      <c r="I306">
        <v>3173394856.3699999</v>
      </c>
      <c r="J306">
        <v>0.15526400000000001</v>
      </c>
      <c r="K306">
        <v>7.5897000000000006E-2</v>
      </c>
      <c r="M306" t="s">
        <v>0</v>
      </c>
      <c r="N306">
        <v>4750</v>
      </c>
      <c r="O306">
        <v>216</v>
      </c>
      <c r="P306">
        <v>5595</v>
      </c>
      <c r="Q306">
        <v>0</v>
      </c>
      <c r="R306">
        <v>51756215172</v>
      </c>
      <c r="S306">
        <v>228081809.69999999</v>
      </c>
      <c r="T306">
        <v>51326855926.709999</v>
      </c>
      <c r="U306">
        <v>51507756072.550003</v>
      </c>
      <c r="V306">
        <v>4.5682E-2</v>
      </c>
      <c r="W306">
        <v>4.7140000000000003E-3</v>
      </c>
    </row>
    <row r="307" spans="1:23" x14ac:dyDescent="0.35">
      <c r="A307" t="s">
        <v>0</v>
      </c>
      <c r="B307">
        <v>4750</v>
      </c>
      <c r="C307">
        <v>216</v>
      </c>
      <c r="D307">
        <v>5997</v>
      </c>
      <c r="E307">
        <v>0</v>
      </c>
      <c r="F307">
        <v>55409394523</v>
      </c>
      <c r="G307">
        <v>245362914.56999999</v>
      </c>
      <c r="H307">
        <v>54833132205</v>
      </c>
      <c r="I307">
        <v>55071251804.709999</v>
      </c>
      <c r="J307">
        <v>6.9355E-2</v>
      </c>
      <c r="K307">
        <v>1.9909E-2</v>
      </c>
      <c r="M307" t="s">
        <v>2</v>
      </c>
      <c r="N307">
        <v>5750</v>
      </c>
      <c r="O307">
        <v>216</v>
      </c>
      <c r="P307">
        <v>1705</v>
      </c>
      <c r="Q307">
        <v>0</v>
      </c>
      <c r="R307">
        <v>9761235136</v>
      </c>
      <c r="S307">
        <v>40508862.189999998</v>
      </c>
      <c r="T307">
        <v>9682797223.9300003</v>
      </c>
      <c r="U307">
        <v>9718971666.7700005</v>
      </c>
      <c r="V307">
        <v>4.5643999999999997E-2</v>
      </c>
      <c r="W307">
        <v>2.1549999999999998E-3</v>
      </c>
    </row>
    <row r="308" spans="1:23" x14ac:dyDescent="0.35">
      <c r="A308" t="s">
        <v>2</v>
      </c>
      <c r="B308">
        <v>5750</v>
      </c>
      <c r="C308">
        <v>216</v>
      </c>
      <c r="D308">
        <v>1717</v>
      </c>
      <c r="E308">
        <v>0</v>
      </c>
      <c r="F308">
        <v>9787261987</v>
      </c>
      <c r="G308">
        <v>40914656.579999998</v>
      </c>
      <c r="H308">
        <v>9687634942</v>
      </c>
      <c r="I308">
        <v>9730811976.8299999</v>
      </c>
      <c r="J308">
        <v>6.9657999999999998E-2</v>
      </c>
      <c r="K308">
        <v>1.8881999999999999E-2</v>
      </c>
      <c r="M308" t="s">
        <v>1</v>
      </c>
      <c r="N308">
        <v>5250</v>
      </c>
      <c r="O308">
        <v>216</v>
      </c>
      <c r="P308">
        <v>1140</v>
      </c>
      <c r="Q308">
        <v>0</v>
      </c>
      <c r="R308">
        <v>10274543300</v>
      </c>
      <c r="S308">
        <v>43443787.93</v>
      </c>
      <c r="T308">
        <v>10161823277.969999</v>
      </c>
      <c r="U308">
        <v>10217493977.74</v>
      </c>
      <c r="V308">
        <v>7.7976000000000004E-2</v>
      </c>
      <c r="W308">
        <v>1.5775000000000001E-2</v>
      </c>
    </row>
    <row r="309" spans="1:23" x14ac:dyDescent="0.35">
      <c r="A309" t="s">
        <v>1</v>
      </c>
      <c r="B309">
        <v>5250</v>
      </c>
      <c r="C309">
        <v>216</v>
      </c>
      <c r="D309">
        <v>1254</v>
      </c>
      <c r="E309">
        <v>0</v>
      </c>
      <c r="F309">
        <v>11272887859</v>
      </c>
      <c r="G309">
        <v>47875378.810000002</v>
      </c>
      <c r="H309">
        <v>11155752575</v>
      </c>
      <c r="I309">
        <v>11208441282.959999</v>
      </c>
      <c r="J309">
        <v>7.1286000000000002E-2</v>
      </c>
      <c r="K309">
        <v>1.7498E-2</v>
      </c>
      <c r="M309" t="s">
        <v>2</v>
      </c>
      <c r="N309">
        <v>6250</v>
      </c>
      <c r="O309">
        <v>216</v>
      </c>
      <c r="P309">
        <v>571</v>
      </c>
      <c r="Q309">
        <v>0</v>
      </c>
      <c r="R309">
        <v>3186760514</v>
      </c>
      <c r="S309">
        <v>14100294.279999999</v>
      </c>
      <c r="T309">
        <v>3172252198.7399998</v>
      </c>
      <c r="U309">
        <v>3172660219.7199998</v>
      </c>
      <c r="V309">
        <v>1.5349999999999999E-3</v>
      </c>
      <c r="W309">
        <v>0</v>
      </c>
    </row>
    <row r="310" spans="1:23" x14ac:dyDescent="0.35">
      <c r="A310" t="s">
        <v>2</v>
      </c>
      <c r="B310">
        <v>6250</v>
      </c>
      <c r="C310">
        <v>216</v>
      </c>
      <c r="D310">
        <v>546</v>
      </c>
      <c r="E310">
        <v>0</v>
      </c>
      <c r="F310">
        <v>3035897258</v>
      </c>
      <c r="G310">
        <v>13527355.449999999</v>
      </c>
      <c r="H310">
        <v>3014271536</v>
      </c>
      <c r="I310">
        <v>3018509531.5599999</v>
      </c>
      <c r="J310">
        <v>3.1544999999999997E-2</v>
      </c>
      <c r="K310">
        <v>1.5153E-2</v>
      </c>
      <c r="M310" t="s">
        <v>0</v>
      </c>
      <c r="N310">
        <v>3000</v>
      </c>
      <c r="O310">
        <v>108</v>
      </c>
      <c r="P310">
        <v>201</v>
      </c>
      <c r="Q310">
        <v>0</v>
      </c>
      <c r="R310">
        <v>2445061888</v>
      </c>
      <c r="S310">
        <v>6827492.5199999996</v>
      </c>
      <c r="T310">
        <v>2438234395.48</v>
      </c>
      <c r="U310">
        <v>2438234395.48</v>
      </c>
      <c r="V310">
        <v>0</v>
      </c>
      <c r="W310">
        <v>0</v>
      </c>
    </row>
    <row r="311" spans="1:23" x14ac:dyDescent="0.35">
      <c r="A311" t="s">
        <v>0</v>
      </c>
      <c r="B311">
        <v>3000</v>
      </c>
      <c r="C311">
        <v>108</v>
      </c>
      <c r="D311">
        <v>171</v>
      </c>
      <c r="E311">
        <v>0</v>
      </c>
      <c r="F311">
        <v>2067017802</v>
      </c>
      <c r="G311">
        <v>5752185.71</v>
      </c>
      <c r="H311">
        <v>2060668027</v>
      </c>
      <c r="I311">
        <v>2060668027</v>
      </c>
      <c r="J311">
        <v>3.4640000000000001E-3</v>
      </c>
      <c r="K311">
        <v>3.4640000000000001E-3</v>
      </c>
      <c r="M311" t="s">
        <v>1</v>
      </c>
      <c r="N311">
        <v>3000</v>
      </c>
      <c r="O311">
        <v>108</v>
      </c>
      <c r="P311">
        <v>216</v>
      </c>
      <c r="Q311">
        <v>0</v>
      </c>
      <c r="R311">
        <v>3902937824</v>
      </c>
      <c r="S311">
        <v>11009025.58</v>
      </c>
      <c r="T311">
        <v>3891928798.4200001</v>
      </c>
      <c r="U311">
        <v>3891928798.4200001</v>
      </c>
      <c r="V311">
        <v>0</v>
      </c>
      <c r="W311">
        <v>0</v>
      </c>
    </row>
    <row r="312" spans="1:23" x14ac:dyDescent="0.35">
      <c r="A312" t="s">
        <v>1</v>
      </c>
      <c r="B312">
        <v>3000</v>
      </c>
      <c r="C312">
        <v>108</v>
      </c>
      <c r="D312">
        <v>138</v>
      </c>
      <c r="E312">
        <v>0</v>
      </c>
      <c r="F312">
        <v>2573560781</v>
      </c>
      <c r="G312">
        <v>7186780.4900000002</v>
      </c>
      <c r="H312">
        <v>2563699611</v>
      </c>
      <c r="I312">
        <v>2563699611</v>
      </c>
      <c r="J312">
        <v>1.2399E-2</v>
      </c>
      <c r="K312">
        <v>1.2399E-2</v>
      </c>
      <c r="M312" t="s">
        <v>2</v>
      </c>
      <c r="N312">
        <v>3000</v>
      </c>
      <c r="O312">
        <v>108</v>
      </c>
      <c r="P312">
        <v>30</v>
      </c>
      <c r="Q312">
        <v>0</v>
      </c>
      <c r="R312">
        <v>328700410</v>
      </c>
      <c r="S312">
        <v>911009.09</v>
      </c>
      <c r="T312">
        <v>327789400.91000003</v>
      </c>
      <c r="U312">
        <v>327789400.91000003</v>
      </c>
      <c r="V312">
        <v>0</v>
      </c>
      <c r="W312">
        <v>0</v>
      </c>
    </row>
    <row r="313" spans="1:23" x14ac:dyDescent="0.35">
      <c r="A313" t="s">
        <v>2</v>
      </c>
      <c r="B313">
        <v>3000</v>
      </c>
      <c r="C313">
        <v>108</v>
      </c>
      <c r="D313">
        <v>25</v>
      </c>
      <c r="E313">
        <v>0</v>
      </c>
      <c r="F313">
        <v>272147442</v>
      </c>
      <c r="G313">
        <v>745881.7</v>
      </c>
      <c r="H313">
        <v>271362885</v>
      </c>
      <c r="I313">
        <v>271362885</v>
      </c>
      <c r="J313">
        <v>1.704E-3</v>
      </c>
      <c r="K313">
        <v>1.704E-3</v>
      </c>
      <c r="M313" t="s">
        <v>1</v>
      </c>
      <c r="N313">
        <v>4000</v>
      </c>
      <c r="O313">
        <v>216</v>
      </c>
      <c r="P313">
        <v>18</v>
      </c>
      <c r="Q313">
        <v>0</v>
      </c>
      <c r="R313">
        <v>165005307</v>
      </c>
      <c r="S313">
        <v>795424.37</v>
      </c>
      <c r="T313">
        <v>164209882.63</v>
      </c>
      <c r="U313">
        <v>164209882.63</v>
      </c>
      <c r="V313">
        <v>0</v>
      </c>
      <c r="W313">
        <v>0</v>
      </c>
    </row>
    <row r="314" spans="1:23" x14ac:dyDescent="0.35">
      <c r="A314" t="s">
        <v>1</v>
      </c>
      <c r="B314">
        <v>4000</v>
      </c>
      <c r="C314">
        <v>216</v>
      </c>
      <c r="D314">
        <v>19</v>
      </c>
      <c r="E314">
        <v>0</v>
      </c>
      <c r="F314">
        <v>171904655</v>
      </c>
      <c r="G314">
        <v>832377.11</v>
      </c>
      <c r="H314">
        <v>170542822</v>
      </c>
      <c r="I314">
        <v>170542822</v>
      </c>
      <c r="J314">
        <v>3.6339999999999997E-2</v>
      </c>
      <c r="K314">
        <v>3.6339999999999997E-2</v>
      </c>
      <c r="M314" t="s">
        <v>0</v>
      </c>
      <c r="N314">
        <v>7250</v>
      </c>
      <c r="O314">
        <v>216</v>
      </c>
      <c r="P314">
        <v>766</v>
      </c>
      <c r="Q314">
        <v>0</v>
      </c>
      <c r="R314">
        <v>4198300116</v>
      </c>
      <c r="S314">
        <v>17184446.010000002</v>
      </c>
      <c r="T314">
        <v>4159319103.0900002</v>
      </c>
      <c r="U314">
        <v>4180012663.2800002</v>
      </c>
      <c r="V314">
        <v>6.0553000000000003E-2</v>
      </c>
      <c r="W314">
        <v>3.1480000000000002E-3</v>
      </c>
    </row>
    <row r="315" spans="1:23" x14ac:dyDescent="0.35">
      <c r="A315" t="s">
        <v>2</v>
      </c>
      <c r="B315">
        <v>7500</v>
      </c>
      <c r="C315">
        <v>216</v>
      </c>
      <c r="D315">
        <v>2</v>
      </c>
      <c r="E315">
        <v>0</v>
      </c>
      <c r="F315">
        <v>8514275</v>
      </c>
      <c r="G315">
        <v>33536.79</v>
      </c>
      <c r="H315">
        <v>8460325</v>
      </c>
      <c r="I315">
        <v>8460325</v>
      </c>
      <c r="J315">
        <v>2.8393999999999999E-2</v>
      </c>
      <c r="K315">
        <v>2.8393999999999999E-2</v>
      </c>
      <c r="M315" t="s">
        <v>0</v>
      </c>
      <c r="N315">
        <v>6000</v>
      </c>
      <c r="O315">
        <v>168</v>
      </c>
      <c r="P315">
        <v>23</v>
      </c>
      <c r="Q315">
        <v>0</v>
      </c>
      <c r="R315">
        <v>140519174</v>
      </c>
      <c r="S315">
        <v>398656.81</v>
      </c>
      <c r="T315">
        <v>135075956.96000001</v>
      </c>
      <c r="U315">
        <v>140120517.19</v>
      </c>
      <c r="V315">
        <v>0.35513600000000001</v>
      </c>
      <c r="W315">
        <v>0</v>
      </c>
    </row>
    <row r="316" spans="1:23" x14ac:dyDescent="0.35">
      <c r="A316" t="s">
        <v>0</v>
      </c>
      <c r="B316">
        <v>7250</v>
      </c>
      <c r="C316">
        <v>216</v>
      </c>
      <c r="D316">
        <v>721</v>
      </c>
      <c r="E316">
        <v>0</v>
      </c>
      <c r="F316">
        <v>3932055259</v>
      </c>
      <c r="G316">
        <v>16193661.76</v>
      </c>
      <c r="H316">
        <v>3894910706</v>
      </c>
      <c r="I316">
        <v>3909989403.4699998</v>
      </c>
      <c r="J316">
        <v>6.2098E-2</v>
      </c>
      <c r="K316">
        <v>1.7774999999999999E-2</v>
      </c>
      <c r="M316" t="s">
        <v>2</v>
      </c>
      <c r="N316">
        <v>6500</v>
      </c>
      <c r="O316">
        <v>192</v>
      </c>
      <c r="P316">
        <v>2</v>
      </c>
      <c r="Q316">
        <v>0</v>
      </c>
      <c r="R316">
        <v>11445467</v>
      </c>
      <c r="S316">
        <v>41562.129999999997</v>
      </c>
      <c r="T316">
        <v>11403904.869999999</v>
      </c>
      <c r="U316">
        <v>11403904.869999999</v>
      </c>
      <c r="V316">
        <v>0</v>
      </c>
      <c r="W316">
        <v>0</v>
      </c>
    </row>
    <row r="317" spans="1:23" x14ac:dyDescent="0.35">
      <c r="A317" t="s">
        <v>0</v>
      </c>
      <c r="B317">
        <v>6000</v>
      </c>
      <c r="C317">
        <v>168</v>
      </c>
      <c r="D317">
        <v>22</v>
      </c>
      <c r="E317">
        <v>0</v>
      </c>
      <c r="F317">
        <v>134959859</v>
      </c>
      <c r="G317">
        <v>386690.22</v>
      </c>
      <c r="H317">
        <v>134476154</v>
      </c>
      <c r="I317">
        <v>134476154</v>
      </c>
      <c r="J317">
        <v>8.5920000000000007E-3</v>
      </c>
      <c r="K317">
        <v>8.5920000000000007E-3</v>
      </c>
      <c r="M317" t="s">
        <v>2</v>
      </c>
      <c r="N317">
        <v>6000</v>
      </c>
      <c r="O317">
        <v>192</v>
      </c>
      <c r="P317">
        <v>16</v>
      </c>
      <c r="Q317">
        <v>0</v>
      </c>
      <c r="R317">
        <v>84356294</v>
      </c>
      <c r="S317">
        <v>319593.96999999997</v>
      </c>
      <c r="T317">
        <v>84036700.030000001</v>
      </c>
      <c r="U317">
        <v>84036700.030000001</v>
      </c>
      <c r="V317">
        <v>0</v>
      </c>
      <c r="W317">
        <v>0</v>
      </c>
    </row>
    <row r="318" spans="1:23" x14ac:dyDescent="0.35">
      <c r="A318" t="s">
        <v>2</v>
      </c>
      <c r="B318">
        <v>6500</v>
      </c>
      <c r="C318">
        <v>192</v>
      </c>
      <c r="D318">
        <v>2</v>
      </c>
      <c r="E318">
        <v>0</v>
      </c>
      <c r="F318">
        <v>11403892</v>
      </c>
      <c r="G318">
        <v>41787.21</v>
      </c>
      <c r="H318">
        <v>11362092</v>
      </c>
      <c r="I318">
        <v>11362092</v>
      </c>
      <c r="J318">
        <v>1.2999999999999999E-5</v>
      </c>
      <c r="K318">
        <v>1.2999999999999999E-5</v>
      </c>
      <c r="M318" t="s">
        <v>3</v>
      </c>
      <c r="N318">
        <v>6750</v>
      </c>
      <c r="O318">
        <v>216</v>
      </c>
      <c r="P318">
        <v>12</v>
      </c>
      <c r="Q318">
        <v>0</v>
      </c>
      <c r="R318">
        <v>72210393</v>
      </c>
      <c r="S318">
        <v>308577.37</v>
      </c>
      <c r="T318">
        <v>71901815.629999995</v>
      </c>
      <c r="U318">
        <v>71901815.629999995</v>
      </c>
      <c r="V318">
        <v>0</v>
      </c>
      <c r="W318">
        <v>0</v>
      </c>
    </row>
    <row r="319" spans="1:23" x14ac:dyDescent="0.35">
      <c r="A319" t="s">
        <v>2</v>
      </c>
      <c r="B319">
        <v>6000</v>
      </c>
      <c r="C319">
        <v>192</v>
      </c>
      <c r="D319">
        <v>15</v>
      </c>
      <c r="E319">
        <v>0</v>
      </c>
      <c r="F319">
        <v>79637934</v>
      </c>
      <c r="G319">
        <v>304274.42</v>
      </c>
      <c r="H319">
        <v>79387392</v>
      </c>
      <c r="I319">
        <v>79387392</v>
      </c>
      <c r="J319">
        <v>-8.1270000000000005E-3</v>
      </c>
      <c r="K319">
        <v>-8.1270000000000005E-3</v>
      </c>
      <c r="M319" t="s">
        <v>2</v>
      </c>
      <c r="N319">
        <v>7250</v>
      </c>
      <c r="O319">
        <v>216</v>
      </c>
      <c r="P319">
        <v>110</v>
      </c>
      <c r="Q319">
        <v>0</v>
      </c>
      <c r="R319">
        <v>452732573</v>
      </c>
      <c r="S319">
        <v>1839180.48</v>
      </c>
      <c r="T319">
        <v>450893392.51999998</v>
      </c>
      <c r="U319">
        <v>450893392.51999998</v>
      </c>
      <c r="V319">
        <v>0</v>
      </c>
      <c r="W319">
        <v>0</v>
      </c>
    </row>
    <row r="320" spans="1:23" x14ac:dyDescent="0.35">
      <c r="A320" t="s">
        <v>3</v>
      </c>
      <c r="B320">
        <v>6750</v>
      </c>
      <c r="C320">
        <v>216</v>
      </c>
      <c r="D320">
        <v>12</v>
      </c>
      <c r="E320">
        <v>0</v>
      </c>
      <c r="F320">
        <v>71883499</v>
      </c>
      <c r="G320">
        <v>310219.45</v>
      </c>
      <c r="H320">
        <v>71497002</v>
      </c>
      <c r="I320">
        <v>71497002</v>
      </c>
      <c r="J320">
        <v>1.2659E-2</v>
      </c>
      <c r="K320">
        <v>1.2659E-2</v>
      </c>
      <c r="M320" t="s">
        <v>3</v>
      </c>
      <c r="N320">
        <v>5500</v>
      </c>
      <c r="O320">
        <v>192</v>
      </c>
      <c r="P320">
        <v>73</v>
      </c>
      <c r="Q320">
        <v>0</v>
      </c>
      <c r="R320">
        <v>547776045</v>
      </c>
      <c r="S320">
        <v>2102861.08</v>
      </c>
      <c r="T320">
        <v>545673183.91999996</v>
      </c>
      <c r="U320">
        <v>545673183.91999996</v>
      </c>
      <c r="V320">
        <v>0</v>
      </c>
      <c r="W320">
        <v>0</v>
      </c>
    </row>
    <row r="321" spans="1:23" x14ac:dyDescent="0.35">
      <c r="A321" t="s">
        <v>2</v>
      </c>
      <c r="B321">
        <v>7250</v>
      </c>
      <c r="C321">
        <v>216</v>
      </c>
      <c r="D321">
        <v>110</v>
      </c>
      <c r="E321">
        <v>0</v>
      </c>
      <c r="F321">
        <v>448317582</v>
      </c>
      <c r="G321">
        <v>1838462.37</v>
      </c>
      <c r="H321">
        <v>446044919</v>
      </c>
      <c r="I321">
        <v>446044919</v>
      </c>
      <c r="J321">
        <v>1.1560000000000001E-2</v>
      </c>
      <c r="K321">
        <v>1.1560000000000001E-2</v>
      </c>
      <c r="M321" t="s">
        <v>1</v>
      </c>
      <c r="N321">
        <v>5000</v>
      </c>
      <c r="O321">
        <v>168</v>
      </c>
      <c r="P321">
        <v>456</v>
      </c>
      <c r="Q321">
        <v>0</v>
      </c>
      <c r="R321">
        <v>4339109245</v>
      </c>
      <c r="S321">
        <v>13170003.939999999</v>
      </c>
      <c r="T321">
        <v>4304430660.8500004</v>
      </c>
      <c r="U321">
        <v>4325939241.0600004</v>
      </c>
      <c r="V321">
        <v>5.7888000000000002E-2</v>
      </c>
      <c r="W321">
        <v>0</v>
      </c>
    </row>
    <row r="322" spans="1:23" x14ac:dyDescent="0.35">
      <c r="A322" t="s">
        <v>2</v>
      </c>
      <c r="B322">
        <v>4000</v>
      </c>
      <c r="C322">
        <v>216</v>
      </c>
      <c r="D322">
        <v>3</v>
      </c>
      <c r="E322">
        <v>0</v>
      </c>
      <c r="F322">
        <v>18575911</v>
      </c>
      <c r="G322">
        <v>86651.26</v>
      </c>
      <c r="H322">
        <v>18486781</v>
      </c>
      <c r="I322">
        <v>18486781</v>
      </c>
      <c r="J322">
        <v>1.6000000000000001E-3</v>
      </c>
      <c r="K322">
        <v>1.6000000000000001E-3</v>
      </c>
      <c r="M322" t="s">
        <v>1</v>
      </c>
      <c r="N322">
        <v>7250</v>
      </c>
      <c r="O322">
        <v>216</v>
      </c>
      <c r="P322">
        <v>14</v>
      </c>
      <c r="Q322">
        <v>0</v>
      </c>
      <c r="R322">
        <v>74491405</v>
      </c>
      <c r="S322">
        <v>304194.40999999997</v>
      </c>
      <c r="T322">
        <v>74187210.590000004</v>
      </c>
      <c r="U322">
        <v>74187210.590000004</v>
      </c>
      <c r="V322">
        <v>0</v>
      </c>
      <c r="W322">
        <v>0</v>
      </c>
    </row>
    <row r="323" spans="1:23" x14ac:dyDescent="0.35">
      <c r="A323" t="s">
        <v>1</v>
      </c>
      <c r="B323">
        <v>7250</v>
      </c>
      <c r="C323">
        <v>216</v>
      </c>
      <c r="D323">
        <v>13</v>
      </c>
      <c r="E323">
        <v>0</v>
      </c>
      <c r="F323">
        <v>71091907</v>
      </c>
      <c r="G323">
        <v>292225.49</v>
      </c>
      <c r="H323">
        <v>70710342</v>
      </c>
      <c r="I323">
        <v>70710342</v>
      </c>
      <c r="J323">
        <v>1.4976E-2</v>
      </c>
      <c r="K323">
        <v>1.4976E-2</v>
      </c>
      <c r="M323" t="s">
        <v>2</v>
      </c>
      <c r="N323">
        <v>4750</v>
      </c>
      <c r="O323">
        <v>240</v>
      </c>
      <c r="P323">
        <v>6</v>
      </c>
      <c r="Q323">
        <v>0</v>
      </c>
      <c r="R323">
        <v>33264091</v>
      </c>
      <c r="S323">
        <v>195744.89</v>
      </c>
      <c r="T323">
        <v>33068346.109999999</v>
      </c>
      <c r="U323">
        <v>33068346.109999999</v>
      </c>
      <c r="V323">
        <v>0</v>
      </c>
      <c r="W323">
        <v>0</v>
      </c>
    </row>
    <row r="324" spans="1:23" x14ac:dyDescent="0.35">
      <c r="A324" t="s">
        <v>2</v>
      </c>
      <c r="B324">
        <v>4750</v>
      </c>
      <c r="C324">
        <v>240</v>
      </c>
      <c r="D324">
        <v>6</v>
      </c>
      <c r="E324">
        <v>0</v>
      </c>
      <c r="F324">
        <v>33043471</v>
      </c>
      <c r="G324">
        <v>196355.5</v>
      </c>
      <c r="H324">
        <v>32821996</v>
      </c>
      <c r="I324">
        <v>32821996</v>
      </c>
      <c r="J324">
        <v>9.0840000000000001E-3</v>
      </c>
      <c r="K324">
        <v>9.0840000000000001E-3</v>
      </c>
      <c r="M324" t="s">
        <v>2</v>
      </c>
      <c r="N324">
        <v>5000</v>
      </c>
      <c r="O324">
        <v>360</v>
      </c>
      <c r="P324">
        <v>2</v>
      </c>
      <c r="Q324">
        <v>0</v>
      </c>
      <c r="R324">
        <v>2215431</v>
      </c>
      <c r="S324">
        <v>66486.19</v>
      </c>
      <c r="T324">
        <v>2148944.81</v>
      </c>
      <c r="U324">
        <v>2148944.81</v>
      </c>
      <c r="V324">
        <v>0</v>
      </c>
      <c r="W324">
        <v>0</v>
      </c>
    </row>
    <row r="325" spans="1:23" x14ac:dyDescent="0.35">
      <c r="A325" t="s">
        <v>2</v>
      </c>
      <c r="B325">
        <v>5000</v>
      </c>
      <c r="C325">
        <v>360</v>
      </c>
      <c r="D325">
        <v>2</v>
      </c>
      <c r="E325">
        <v>0</v>
      </c>
      <c r="F325">
        <v>2134206</v>
      </c>
      <c r="G325">
        <v>66353.98</v>
      </c>
      <c r="H325">
        <v>2052642</v>
      </c>
      <c r="I325">
        <v>2052642</v>
      </c>
      <c r="J325">
        <v>8.2248000000000002E-2</v>
      </c>
      <c r="K325">
        <v>8.2248000000000002E-2</v>
      </c>
      <c r="M325" t="s">
        <v>3</v>
      </c>
      <c r="N325">
        <v>4000</v>
      </c>
      <c r="O325">
        <v>192</v>
      </c>
      <c r="P325">
        <v>56</v>
      </c>
      <c r="Q325">
        <v>0</v>
      </c>
      <c r="R325">
        <v>551228804</v>
      </c>
      <c r="S325">
        <v>2111281.96</v>
      </c>
      <c r="T325">
        <v>549117522.03999996</v>
      </c>
      <c r="U325">
        <v>549117522.03999996</v>
      </c>
      <c r="V325">
        <v>0</v>
      </c>
      <c r="W325">
        <v>0</v>
      </c>
    </row>
    <row r="326" spans="1:23" x14ac:dyDescent="0.35">
      <c r="A326" t="s">
        <v>3</v>
      </c>
      <c r="B326">
        <v>5500</v>
      </c>
      <c r="C326">
        <v>192</v>
      </c>
      <c r="D326">
        <v>64</v>
      </c>
      <c r="E326">
        <v>0</v>
      </c>
      <c r="F326">
        <v>451834621</v>
      </c>
      <c r="G326">
        <v>1735457.69</v>
      </c>
      <c r="H326">
        <v>449239833</v>
      </c>
      <c r="I326">
        <v>449239833</v>
      </c>
      <c r="J326">
        <v>2.2585000000000001E-2</v>
      </c>
      <c r="K326">
        <v>2.2585000000000001E-2</v>
      </c>
      <c r="M326" t="s">
        <v>3</v>
      </c>
      <c r="N326">
        <v>4000</v>
      </c>
      <c r="O326">
        <v>168</v>
      </c>
      <c r="P326">
        <v>324</v>
      </c>
      <c r="Q326">
        <v>0</v>
      </c>
      <c r="R326">
        <v>3151046059</v>
      </c>
      <c r="S326">
        <v>11180503.130000001</v>
      </c>
      <c r="T326">
        <v>3139865555.8699999</v>
      </c>
      <c r="U326">
        <v>3139865555.8699999</v>
      </c>
      <c r="V326">
        <v>0</v>
      </c>
      <c r="W326">
        <v>0</v>
      </c>
    </row>
    <row r="327" spans="1:23" x14ac:dyDescent="0.35">
      <c r="A327" t="s">
        <v>3</v>
      </c>
      <c r="B327">
        <v>4000</v>
      </c>
      <c r="C327">
        <v>192</v>
      </c>
      <c r="D327">
        <v>84</v>
      </c>
      <c r="E327">
        <v>0</v>
      </c>
      <c r="F327">
        <v>833593476</v>
      </c>
      <c r="G327">
        <v>3191268.16</v>
      </c>
      <c r="H327">
        <v>829620601</v>
      </c>
      <c r="I327">
        <v>829620601</v>
      </c>
      <c r="J327">
        <v>1.1194000000000001E-2</v>
      </c>
      <c r="K327">
        <v>1.1194000000000001E-2</v>
      </c>
      <c r="M327" t="s">
        <v>3</v>
      </c>
      <c r="N327">
        <v>3500</v>
      </c>
      <c r="O327">
        <v>168</v>
      </c>
      <c r="P327">
        <v>292</v>
      </c>
      <c r="Q327">
        <v>0</v>
      </c>
      <c r="R327">
        <v>3186368077</v>
      </c>
      <c r="S327">
        <v>11562054.800000001</v>
      </c>
      <c r="T327">
        <v>3174806022.1999998</v>
      </c>
      <c r="U327">
        <v>3174806022.1999998</v>
      </c>
      <c r="V327">
        <v>0</v>
      </c>
      <c r="W327">
        <v>0</v>
      </c>
    </row>
    <row r="328" spans="1:23" x14ac:dyDescent="0.35">
      <c r="A328" t="s">
        <v>1</v>
      </c>
      <c r="B328">
        <v>3500</v>
      </c>
      <c r="C328">
        <v>192</v>
      </c>
      <c r="D328">
        <v>98</v>
      </c>
      <c r="E328">
        <v>0</v>
      </c>
      <c r="F328">
        <v>1116149601</v>
      </c>
      <c r="G328">
        <v>4583693.45</v>
      </c>
      <c r="H328">
        <v>1109323894</v>
      </c>
      <c r="I328">
        <v>1109323894</v>
      </c>
      <c r="J328">
        <v>2.384E-2</v>
      </c>
      <c r="K328">
        <v>2.384E-2</v>
      </c>
      <c r="M328" t="s">
        <v>1</v>
      </c>
      <c r="N328">
        <v>6500</v>
      </c>
      <c r="O328">
        <v>192</v>
      </c>
      <c r="P328">
        <v>5</v>
      </c>
      <c r="Q328">
        <v>0</v>
      </c>
      <c r="R328">
        <v>46243493</v>
      </c>
      <c r="S328">
        <v>163950.78</v>
      </c>
      <c r="T328">
        <v>46079542.219999999</v>
      </c>
      <c r="U328">
        <v>46079542.219999999</v>
      </c>
      <c r="V328">
        <v>0</v>
      </c>
      <c r="W328">
        <v>0</v>
      </c>
    </row>
    <row r="329" spans="1:23" x14ac:dyDescent="0.35">
      <c r="A329" t="s">
        <v>3</v>
      </c>
      <c r="B329">
        <v>4000</v>
      </c>
      <c r="C329">
        <v>168</v>
      </c>
      <c r="D329">
        <v>298</v>
      </c>
      <c r="E329">
        <v>0</v>
      </c>
      <c r="F329">
        <v>2869867218</v>
      </c>
      <c r="G329">
        <v>10188451.640000001</v>
      </c>
      <c r="H329">
        <v>2849068014</v>
      </c>
      <c r="I329">
        <v>2851361011.1500001</v>
      </c>
      <c r="J329">
        <v>4.3476000000000001E-2</v>
      </c>
      <c r="K329">
        <v>3.4230999999999998E-2</v>
      </c>
      <c r="M329" t="s">
        <v>1</v>
      </c>
      <c r="N329">
        <v>6000</v>
      </c>
      <c r="O329">
        <v>192</v>
      </c>
      <c r="P329">
        <v>37</v>
      </c>
      <c r="Q329">
        <v>0</v>
      </c>
      <c r="R329">
        <v>232091025</v>
      </c>
      <c r="S329">
        <v>834411.22</v>
      </c>
      <c r="T329">
        <v>231256613.78</v>
      </c>
      <c r="U329">
        <v>231256613.78</v>
      </c>
      <c r="V329">
        <v>0</v>
      </c>
      <c r="W329">
        <v>0</v>
      </c>
    </row>
    <row r="330" spans="1:23" x14ac:dyDescent="0.35">
      <c r="A330" t="s">
        <v>3</v>
      </c>
      <c r="B330">
        <v>3500</v>
      </c>
      <c r="C330">
        <v>168</v>
      </c>
      <c r="D330">
        <v>292</v>
      </c>
      <c r="E330">
        <v>0</v>
      </c>
      <c r="F330">
        <v>3164385488</v>
      </c>
      <c r="G330">
        <v>11555964.35</v>
      </c>
      <c r="H330">
        <v>3134311939</v>
      </c>
      <c r="I330">
        <v>3150285572.3600001</v>
      </c>
      <c r="J330">
        <v>6.8005999999999997E-2</v>
      </c>
      <c r="K330">
        <v>9.6050000000000007E-3</v>
      </c>
      <c r="M330" t="s">
        <v>1</v>
      </c>
      <c r="N330">
        <v>5250</v>
      </c>
      <c r="O330">
        <v>192</v>
      </c>
      <c r="P330">
        <v>1714</v>
      </c>
      <c r="Q330">
        <v>0</v>
      </c>
      <c r="R330">
        <v>14296780149</v>
      </c>
      <c r="S330">
        <v>55290516.539999999</v>
      </c>
      <c r="T330">
        <v>14129320394.02</v>
      </c>
      <c r="U330">
        <v>14217952187.77</v>
      </c>
      <c r="V330">
        <v>9.0190999999999993E-2</v>
      </c>
      <c r="W330">
        <v>1.9578000000000002E-2</v>
      </c>
    </row>
    <row r="331" spans="1:23" x14ac:dyDescent="0.35">
      <c r="A331" t="s">
        <v>1</v>
      </c>
      <c r="B331">
        <v>6500</v>
      </c>
      <c r="C331">
        <v>192</v>
      </c>
      <c r="D331">
        <v>4</v>
      </c>
      <c r="E331">
        <v>0</v>
      </c>
      <c r="F331">
        <v>40773593</v>
      </c>
      <c r="G331">
        <v>145219.84</v>
      </c>
      <c r="H331">
        <v>40594538</v>
      </c>
      <c r="I331">
        <v>40594538</v>
      </c>
      <c r="J331">
        <v>9.9129999999999999E-3</v>
      </c>
      <c r="K331">
        <v>9.9129999999999999E-3</v>
      </c>
      <c r="M331" t="s">
        <v>0</v>
      </c>
      <c r="N331">
        <v>4250</v>
      </c>
      <c r="O331">
        <v>216</v>
      </c>
      <c r="P331">
        <v>425</v>
      </c>
      <c r="Q331">
        <v>0</v>
      </c>
      <c r="R331">
        <v>4105732112</v>
      </c>
      <c r="S331">
        <v>18832732.059999999</v>
      </c>
      <c r="T331">
        <v>4064186666.8499999</v>
      </c>
      <c r="U331">
        <v>4074831922.3400002</v>
      </c>
      <c r="V331">
        <v>6.4399999999999999E-2</v>
      </c>
      <c r="W331">
        <v>3.4705E-2</v>
      </c>
    </row>
    <row r="332" spans="1:23" x14ac:dyDescent="0.35">
      <c r="A332" t="s">
        <v>1</v>
      </c>
      <c r="B332">
        <v>6000</v>
      </c>
      <c r="C332">
        <v>192</v>
      </c>
      <c r="D332">
        <v>30</v>
      </c>
      <c r="E332">
        <v>0</v>
      </c>
      <c r="F332">
        <v>193383573</v>
      </c>
      <c r="G332">
        <v>692647.67</v>
      </c>
      <c r="H332">
        <v>192268880</v>
      </c>
      <c r="I332">
        <v>192268880</v>
      </c>
      <c r="J332">
        <v>2.5877000000000001E-2</v>
      </c>
      <c r="K332">
        <v>2.5877000000000001E-2</v>
      </c>
      <c r="M332" t="s">
        <v>0</v>
      </c>
      <c r="N332">
        <v>6250</v>
      </c>
      <c r="O332">
        <v>192</v>
      </c>
      <c r="P332">
        <v>140</v>
      </c>
      <c r="Q332">
        <v>0</v>
      </c>
      <c r="R332">
        <v>940185654</v>
      </c>
      <c r="S332">
        <v>3321607.87</v>
      </c>
      <c r="T332">
        <v>936864046.13</v>
      </c>
      <c r="U332">
        <v>936864046.13</v>
      </c>
      <c r="V332">
        <v>0</v>
      </c>
      <c r="W332">
        <v>0</v>
      </c>
    </row>
    <row r="333" spans="1:23" x14ac:dyDescent="0.35">
      <c r="A333" t="s">
        <v>1</v>
      </c>
      <c r="B333">
        <v>5250</v>
      </c>
      <c r="C333">
        <v>192</v>
      </c>
      <c r="D333">
        <v>1575</v>
      </c>
      <c r="E333">
        <v>0</v>
      </c>
      <c r="F333">
        <v>12996284227</v>
      </c>
      <c r="G333">
        <v>50460727.5</v>
      </c>
      <c r="H333">
        <v>12890691413</v>
      </c>
      <c r="I333">
        <v>12925612975.01</v>
      </c>
      <c r="J333">
        <v>4.9735000000000001E-2</v>
      </c>
      <c r="K333">
        <v>1.8502000000000001E-2</v>
      </c>
      <c r="M333" t="s">
        <v>0</v>
      </c>
      <c r="N333">
        <v>2500</v>
      </c>
      <c r="O333">
        <v>60</v>
      </c>
      <c r="P333">
        <v>53109</v>
      </c>
      <c r="Q333">
        <v>0</v>
      </c>
      <c r="R333">
        <v>1262586255248</v>
      </c>
      <c r="S333">
        <v>3059430767.8299999</v>
      </c>
      <c r="T333">
        <v>1254234882050.01</v>
      </c>
      <c r="U333">
        <v>1259391209641.95</v>
      </c>
      <c r="V333">
        <v>4.9153000000000002E-2</v>
      </c>
      <c r="W333">
        <v>1.2880000000000001E-3</v>
      </c>
    </row>
    <row r="334" spans="1:23" x14ac:dyDescent="0.35">
      <c r="A334" t="s">
        <v>0</v>
      </c>
      <c r="B334">
        <v>4250</v>
      </c>
      <c r="C334">
        <v>216</v>
      </c>
      <c r="D334">
        <v>451</v>
      </c>
      <c r="E334">
        <v>0</v>
      </c>
      <c r="F334">
        <v>4325208551</v>
      </c>
      <c r="G334">
        <v>19936224.579999998</v>
      </c>
      <c r="H334">
        <v>4270083368</v>
      </c>
      <c r="I334">
        <v>4291920548.1599998</v>
      </c>
      <c r="J334">
        <v>9.3377000000000002E-2</v>
      </c>
      <c r="K334">
        <v>3.6421000000000002E-2</v>
      </c>
      <c r="M334" t="s">
        <v>2</v>
      </c>
      <c r="N334">
        <v>2500</v>
      </c>
      <c r="O334">
        <v>60</v>
      </c>
      <c r="P334">
        <v>5982</v>
      </c>
      <c r="Q334">
        <v>0</v>
      </c>
      <c r="R334">
        <v>102935302523</v>
      </c>
      <c r="S334">
        <v>247004949.16</v>
      </c>
      <c r="T334">
        <v>102290291393.7</v>
      </c>
      <c r="U334">
        <v>102614242249.27</v>
      </c>
      <c r="V334">
        <v>4.5425E-2</v>
      </c>
      <c r="W334">
        <v>8.5990000000000007E-3</v>
      </c>
    </row>
    <row r="335" spans="1:23" x14ac:dyDescent="0.35">
      <c r="A335" t="s">
        <v>0</v>
      </c>
      <c r="B335">
        <v>2500</v>
      </c>
      <c r="C335">
        <v>60</v>
      </c>
      <c r="D335">
        <v>44026</v>
      </c>
      <c r="E335">
        <v>0</v>
      </c>
      <c r="F335">
        <v>1068260247925</v>
      </c>
      <c r="G335">
        <v>2587395635.02</v>
      </c>
      <c r="H335">
        <v>1061170060616</v>
      </c>
      <c r="I335">
        <v>1065411841305.8</v>
      </c>
      <c r="J335">
        <v>4.9424999999999997E-2</v>
      </c>
      <c r="K335">
        <v>2.928E-3</v>
      </c>
      <c r="M335" t="s">
        <v>2</v>
      </c>
      <c r="N335">
        <v>5250</v>
      </c>
      <c r="O335">
        <v>192</v>
      </c>
      <c r="P335">
        <v>4124</v>
      </c>
      <c r="Q335">
        <v>0</v>
      </c>
      <c r="R335">
        <v>28269255063</v>
      </c>
      <c r="S335">
        <v>107833262.42</v>
      </c>
      <c r="T335">
        <v>28046172388.529999</v>
      </c>
      <c r="U335">
        <v>28142773700.290001</v>
      </c>
      <c r="V335">
        <v>4.7840000000000001E-2</v>
      </c>
      <c r="W335">
        <v>7.8869999999999999E-3</v>
      </c>
    </row>
    <row r="336" spans="1:23" x14ac:dyDescent="0.35">
      <c r="A336" t="s">
        <v>2</v>
      </c>
      <c r="B336">
        <v>2500</v>
      </c>
      <c r="C336">
        <v>60</v>
      </c>
      <c r="D336">
        <v>4842</v>
      </c>
      <c r="E336">
        <v>0</v>
      </c>
      <c r="F336">
        <v>83494069920</v>
      </c>
      <c r="G336">
        <v>200424845.56</v>
      </c>
      <c r="H336">
        <v>82918831681</v>
      </c>
      <c r="I336">
        <v>83267229166.850006</v>
      </c>
      <c r="J336">
        <v>5.2559000000000002E-2</v>
      </c>
      <c r="K336">
        <v>3.79E-3</v>
      </c>
      <c r="M336" t="s">
        <v>2</v>
      </c>
      <c r="N336">
        <v>5750</v>
      </c>
      <c r="O336">
        <v>192</v>
      </c>
      <c r="P336">
        <v>127</v>
      </c>
      <c r="Q336">
        <v>0</v>
      </c>
      <c r="R336">
        <v>689561210</v>
      </c>
      <c r="S336">
        <v>2636914</v>
      </c>
      <c r="T336">
        <v>686924296</v>
      </c>
      <c r="U336">
        <v>686924296</v>
      </c>
      <c r="V336">
        <v>0</v>
      </c>
      <c r="W336">
        <v>0</v>
      </c>
    </row>
    <row r="337" spans="1:23" x14ac:dyDescent="0.35">
      <c r="A337" t="s">
        <v>2</v>
      </c>
      <c r="B337">
        <v>5250</v>
      </c>
      <c r="C337">
        <v>192</v>
      </c>
      <c r="D337">
        <v>3802</v>
      </c>
      <c r="E337">
        <v>0</v>
      </c>
      <c r="F337">
        <v>25973982244</v>
      </c>
      <c r="G337">
        <v>99398326.609999999</v>
      </c>
      <c r="H337">
        <v>25701844498</v>
      </c>
      <c r="I337">
        <v>25809983348.669998</v>
      </c>
      <c r="J337">
        <v>7.6950000000000005E-2</v>
      </c>
      <c r="K337">
        <v>2.9440999999999998E-2</v>
      </c>
      <c r="M337" t="s">
        <v>1</v>
      </c>
      <c r="N337">
        <v>3500</v>
      </c>
      <c r="O337">
        <v>192</v>
      </c>
      <c r="P337">
        <v>79</v>
      </c>
      <c r="Q337">
        <v>0</v>
      </c>
      <c r="R337">
        <v>914436846</v>
      </c>
      <c r="S337">
        <v>3767740.36</v>
      </c>
      <c r="T337">
        <v>910669105.63999999</v>
      </c>
      <c r="U337">
        <v>910669105.63999999</v>
      </c>
      <c r="V337">
        <v>0</v>
      </c>
      <c r="W337">
        <v>0</v>
      </c>
    </row>
    <row r="338" spans="1:23" x14ac:dyDescent="0.35">
      <c r="A338" t="s">
        <v>2</v>
      </c>
      <c r="B338">
        <v>5750</v>
      </c>
      <c r="C338">
        <v>192</v>
      </c>
      <c r="D338">
        <v>98</v>
      </c>
      <c r="E338">
        <v>0</v>
      </c>
      <c r="F338">
        <v>527483524</v>
      </c>
      <c r="G338">
        <v>2020744.23</v>
      </c>
      <c r="H338">
        <v>524998007</v>
      </c>
      <c r="I338">
        <v>524998007</v>
      </c>
      <c r="J338">
        <v>1.0522E-2</v>
      </c>
      <c r="K338">
        <v>1.0522E-2</v>
      </c>
      <c r="M338" t="s">
        <v>1</v>
      </c>
      <c r="N338">
        <v>3750</v>
      </c>
      <c r="O338">
        <v>192</v>
      </c>
      <c r="P338">
        <v>3126</v>
      </c>
      <c r="Q338">
        <v>0</v>
      </c>
      <c r="R338">
        <v>39142539838</v>
      </c>
      <c r="S338">
        <v>151668879.65000001</v>
      </c>
      <c r="T338">
        <v>38710640773.410004</v>
      </c>
      <c r="U338">
        <v>38976890737.800003</v>
      </c>
      <c r="V338">
        <v>8.2607E-2</v>
      </c>
      <c r="W338">
        <v>4.2779999999999997E-3</v>
      </c>
    </row>
    <row r="339" spans="1:23" x14ac:dyDescent="0.35">
      <c r="A339" t="s">
        <v>1</v>
      </c>
      <c r="B339">
        <v>3750</v>
      </c>
      <c r="C339">
        <v>192</v>
      </c>
      <c r="D339">
        <v>4122</v>
      </c>
      <c r="E339">
        <v>0</v>
      </c>
      <c r="F339">
        <v>51347108915</v>
      </c>
      <c r="G339">
        <v>199511734.96000001</v>
      </c>
      <c r="H339">
        <v>50785953271</v>
      </c>
      <c r="I339">
        <v>51013935944.300003</v>
      </c>
      <c r="J339">
        <v>8.1319000000000002E-2</v>
      </c>
      <c r="K339">
        <v>3.0793999999999998E-2</v>
      </c>
      <c r="M339" t="s">
        <v>2</v>
      </c>
      <c r="N339">
        <v>3750</v>
      </c>
      <c r="O339">
        <v>192</v>
      </c>
      <c r="P339">
        <v>1041</v>
      </c>
      <c r="Q339">
        <v>0</v>
      </c>
      <c r="R339">
        <v>8833246111</v>
      </c>
      <c r="S339">
        <v>34282284.329999998</v>
      </c>
      <c r="T339">
        <v>8744578129.8600006</v>
      </c>
      <c r="U339">
        <v>8781870789.1399994</v>
      </c>
      <c r="V339">
        <v>7.1431999999999995E-2</v>
      </c>
      <c r="W339">
        <v>2.2974999999999999E-2</v>
      </c>
    </row>
    <row r="340" spans="1:23" x14ac:dyDescent="0.35">
      <c r="A340" t="s">
        <v>2</v>
      </c>
      <c r="B340">
        <v>3750</v>
      </c>
      <c r="C340">
        <v>192</v>
      </c>
      <c r="D340">
        <v>1341</v>
      </c>
      <c r="E340">
        <v>0</v>
      </c>
      <c r="F340">
        <v>11300721411</v>
      </c>
      <c r="G340">
        <v>43982369.439999998</v>
      </c>
      <c r="H340">
        <v>11188094946</v>
      </c>
      <c r="I340">
        <v>11243878880.34</v>
      </c>
      <c r="J340">
        <v>7.0504999999999998E-2</v>
      </c>
      <c r="K340">
        <v>1.3571E-2</v>
      </c>
      <c r="M340" t="s">
        <v>1</v>
      </c>
      <c r="N340">
        <v>3000</v>
      </c>
      <c r="O340">
        <v>192</v>
      </c>
      <c r="P340">
        <v>5</v>
      </c>
      <c r="Q340">
        <v>0</v>
      </c>
      <c r="R340">
        <v>44884954</v>
      </c>
      <c r="S340">
        <v>198528.49</v>
      </c>
      <c r="T340">
        <v>44686425.509999998</v>
      </c>
      <c r="U340">
        <v>44686425.509999998</v>
      </c>
      <c r="V340">
        <v>0</v>
      </c>
      <c r="W340">
        <v>0</v>
      </c>
    </row>
    <row r="341" spans="1:23" x14ac:dyDescent="0.35">
      <c r="A341" t="s">
        <v>1</v>
      </c>
      <c r="B341">
        <v>3000</v>
      </c>
      <c r="C341">
        <v>192</v>
      </c>
      <c r="D341">
        <v>6</v>
      </c>
      <c r="E341">
        <v>0</v>
      </c>
      <c r="F341">
        <v>49226684</v>
      </c>
      <c r="G341">
        <v>217592.86</v>
      </c>
      <c r="H341">
        <v>48828911</v>
      </c>
      <c r="I341">
        <v>48828911</v>
      </c>
      <c r="J341">
        <v>4.3048999999999997E-2</v>
      </c>
      <c r="K341">
        <v>4.3048999999999997E-2</v>
      </c>
      <c r="M341" t="s">
        <v>2</v>
      </c>
      <c r="N341">
        <v>3250</v>
      </c>
      <c r="O341">
        <v>192</v>
      </c>
      <c r="P341">
        <v>18</v>
      </c>
      <c r="Q341">
        <v>0</v>
      </c>
      <c r="R341">
        <v>118302064</v>
      </c>
      <c r="S341">
        <v>488031.17</v>
      </c>
      <c r="T341">
        <v>117814032.83</v>
      </c>
      <c r="U341">
        <v>117814032.83</v>
      </c>
      <c r="V341">
        <v>0</v>
      </c>
      <c r="W341">
        <v>0</v>
      </c>
    </row>
    <row r="342" spans="1:23" x14ac:dyDescent="0.35">
      <c r="A342" t="s">
        <v>2</v>
      </c>
      <c r="B342">
        <v>3250</v>
      </c>
      <c r="C342">
        <v>192</v>
      </c>
      <c r="D342">
        <v>18</v>
      </c>
      <c r="E342">
        <v>0</v>
      </c>
      <c r="F342">
        <v>117792518</v>
      </c>
      <c r="G342">
        <v>489266.85</v>
      </c>
      <c r="H342">
        <v>117269782</v>
      </c>
      <c r="I342">
        <v>117269782</v>
      </c>
      <c r="J342">
        <v>3.4039999999999999E-3</v>
      </c>
      <c r="K342">
        <v>3.4039999999999999E-3</v>
      </c>
      <c r="M342" t="s">
        <v>3</v>
      </c>
      <c r="N342">
        <v>4750</v>
      </c>
      <c r="O342">
        <v>192</v>
      </c>
      <c r="P342">
        <v>186</v>
      </c>
      <c r="Q342">
        <v>0</v>
      </c>
      <c r="R342">
        <v>1746178801</v>
      </c>
      <c r="S342">
        <v>6631228.6100000003</v>
      </c>
      <c r="T342">
        <v>1721314644.75</v>
      </c>
      <c r="U342">
        <v>1739547572.3900001</v>
      </c>
      <c r="V342">
        <v>0.11834799999999999</v>
      </c>
      <c r="W342">
        <v>0</v>
      </c>
    </row>
    <row r="343" spans="1:23" x14ac:dyDescent="0.35">
      <c r="A343" t="s">
        <v>3</v>
      </c>
      <c r="B343">
        <v>4750</v>
      </c>
      <c r="C343">
        <v>192</v>
      </c>
      <c r="D343">
        <v>184</v>
      </c>
      <c r="E343">
        <v>0</v>
      </c>
      <c r="F343">
        <v>1719321854</v>
      </c>
      <c r="G343">
        <v>6584628.8600000003</v>
      </c>
      <c r="H343">
        <v>1709645289</v>
      </c>
      <c r="I343">
        <v>1709645289</v>
      </c>
      <c r="J343">
        <v>2.1368000000000002E-2</v>
      </c>
      <c r="K343">
        <v>2.1368000000000002E-2</v>
      </c>
      <c r="M343" t="s">
        <v>2</v>
      </c>
      <c r="N343">
        <v>3000</v>
      </c>
      <c r="O343">
        <v>60</v>
      </c>
      <c r="P343">
        <v>10172</v>
      </c>
      <c r="Q343">
        <v>0</v>
      </c>
      <c r="R343">
        <v>162185814579</v>
      </c>
      <c r="S343">
        <v>362618917.99000001</v>
      </c>
      <c r="T343">
        <v>161051430995.94</v>
      </c>
      <c r="U343">
        <v>161729271728.60001</v>
      </c>
      <c r="V343">
        <v>5.5631E-2</v>
      </c>
      <c r="W343">
        <v>6.927E-3</v>
      </c>
    </row>
    <row r="344" spans="1:23" x14ac:dyDescent="0.35">
      <c r="A344" t="s">
        <v>2</v>
      </c>
      <c r="B344">
        <v>3000</v>
      </c>
      <c r="C344">
        <v>60</v>
      </c>
      <c r="D344">
        <v>10840</v>
      </c>
      <c r="E344">
        <v>0</v>
      </c>
      <c r="F344">
        <v>176535651403</v>
      </c>
      <c r="G344">
        <v>394728214.79000002</v>
      </c>
      <c r="H344">
        <v>174879077226</v>
      </c>
      <c r="I344">
        <v>175866864879.07999</v>
      </c>
      <c r="J344">
        <v>8.2480999999999999E-2</v>
      </c>
      <c r="K344">
        <v>1.8471000000000001E-2</v>
      </c>
      <c r="M344" t="s">
        <v>0</v>
      </c>
      <c r="N344">
        <v>3000</v>
      </c>
      <c r="O344">
        <v>60</v>
      </c>
      <c r="P344">
        <v>116511</v>
      </c>
      <c r="Q344">
        <v>0</v>
      </c>
      <c r="R344">
        <v>2450444268566</v>
      </c>
      <c r="S344">
        <v>5498742724.5500002</v>
      </c>
      <c r="T344">
        <v>2434148596358.3501</v>
      </c>
      <c r="U344">
        <v>2444096381922.48</v>
      </c>
      <c r="V344">
        <v>5.1610999999999997E-2</v>
      </c>
      <c r="W344">
        <v>4.15E-3</v>
      </c>
    </row>
    <row r="345" spans="1:23" x14ac:dyDescent="0.35">
      <c r="A345" t="s">
        <v>0</v>
      </c>
      <c r="B345">
        <v>3000</v>
      </c>
      <c r="C345">
        <v>60</v>
      </c>
      <c r="D345">
        <v>124589</v>
      </c>
      <c r="E345">
        <v>0</v>
      </c>
      <c r="F345">
        <v>2669869887397</v>
      </c>
      <c r="G345">
        <v>5988084148.6599998</v>
      </c>
      <c r="H345">
        <v>2650840389565</v>
      </c>
      <c r="I345">
        <v>2662432874901.8999</v>
      </c>
      <c r="J345">
        <v>5.7067E-2</v>
      </c>
      <c r="K345">
        <v>6.4929999999999996E-3</v>
      </c>
      <c r="M345" t="s">
        <v>2</v>
      </c>
      <c r="N345">
        <v>3500</v>
      </c>
      <c r="O345">
        <v>96</v>
      </c>
      <c r="P345">
        <v>360</v>
      </c>
      <c r="Q345">
        <v>0</v>
      </c>
      <c r="R345">
        <v>4037231277</v>
      </c>
      <c r="S345">
        <v>10214897.609999999</v>
      </c>
      <c r="T345">
        <v>3973228329.2600002</v>
      </c>
      <c r="U345">
        <v>4027016379.3899999</v>
      </c>
      <c r="V345">
        <v>0.14866599999999999</v>
      </c>
      <c r="W345">
        <v>0</v>
      </c>
    </row>
    <row r="346" spans="1:23" x14ac:dyDescent="0.35">
      <c r="A346" t="s">
        <v>0</v>
      </c>
      <c r="B346">
        <v>3500</v>
      </c>
      <c r="C346">
        <v>96</v>
      </c>
      <c r="D346">
        <v>1267</v>
      </c>
      <c r="E346">
        <v>0</v>
      </c>
      <c r="F346">
        <v>17035112904</v>
      </c>
      <c r="G346">
        <v>42393603.530000001</v>
      </c>
      <c r="H346">
        <v>16877344494</v>
      </c>
      <c r="I346">
        <v>16977370013.549999</v>
      </c>
      <c r="J346">
        <v>7.8312999999999994E-2</v>
      </c>
      <c r="K346">
        <v>1.0758999999999999E-2</v>
      </c>
      <c r="M346" t="s">
        <v>0</v>
      </c>
      <c r="N346">
        <v>3500</v>
      </c>
      <c r="O346">
        <v>96</v>
      </c>
      <c r="P346">
        <v>1633</v>
      </c>
      <c r="Q346">
        <v>0</v>
      </c>
      <c r="R346">
        <v>22612389689</v>
      </c>
      <c r="S346">
        <v>56378475.689999998</v>
      </c>
      <c r="T346">
        <v>22470725306.959999</v>
      </c>
      <c r="U346">
        <v>22542667588.549999</v>
      </c>
      <c r="V346">
        <v>4.4332999999999997E-2</v>
      </c>
      <c r="W346">
        <v>7.058E-3</v>
      </c>
    </row>
    <row r="347" spans="1:23" x14ac:dyDescent="0.35">
      <c r="A347" t="s">
        <v>2</v>
      </c>
      <c r="B347">
        <v>3500</v>
      </c>
      <c r="C347">
        <v>96</v>
      </c>
      <c r="D347">
        <v>222</v>
      </c>
      <c r="E347">
        <v>0</v>
      </c>
      <c r="F347">
        <v>2395650377</v>
      </c>
      <c r="G347">
        <v>6074795.1500000004</v>
      </c>
      <c r="H347">
        <v>2355866224</v>
      </c>
      <c r="I347">
        <v>2384894581.71</v>
      </c>
      <c r="J347">
        <v>0.15637899999999999</v>
      </c>
      <c r="K347">
        <v>2.3196999999999999E-2</v>
      </c>
      <c r="M347" t="s">
        <v>1</v>
      </c>
      <c r="N347">
        <v>3500</v>
      </c>
      <c r="O347">
        <v>96</v>
      </c>
      <c r="P347">
        <v>1136</v>
      </c>
      <c r="Q347">
        <v>0</v>
      </c>
      <c r="R347">
        <v>22209850411</v>
      </c>
      <c r="S347">
        <v>55958027.479999997</v>
      </c>
      <c r="T347">
        <v>21981382015.169998</v>
      </c>
      <c r="U347">
        <v>22124841245.380001</v>
      </c>
      <c r="V347">
        <v>8.9327000000000004E-2</v>
      </c>
      <c r="W347">
        <v>1.5584000000000001E-2</v>
      </c>
    </row>
    <row r="348" spans="1:23" x14ac:dyDescent="0.35">
      <c r="A348" t="s">
        <v>1</v>
      </c>
      <c r="B348">
        <v>3500</v>
      </c>
      <c r="C348">
        <v>96</v>
      </c>
      <c r="D348">
        <v>685</v>
      </c>
      <c r="E348">
        <v>0</v>
      </c>
      <c r="F348">
        <v>13195231205</v>
      </c>
      <c r="G348">
        <v>33183410.809999999</v>
      </c>
      <c r="H348">
        <v>13064181595</v>
      </c>
      <c r="I348">
        <v>13155227028.74</v>
      </c>
      <c r="J348">
        <v>8.5458999999999993E-2</v>
      </c>
      <c r="K348">
        <v>6.1850000000000004E-3</v>
      </c>
      <c r="M348" t="s">
        <v>2</v>
      </c>
      <c r="N348">
        <v>4000</v>
      </c>
      <c r="O348">
        <v>96</v>
      </c>
      <c r="P348">
        <v>2895</v>
      </c>
      <c r="Q348">
        <v>0</v>
      </c>
      <c r="R348">
        <v>32914535328</v>
      </c>
      <c r="S348">
        <v>78320249.599999994</v>
      </c>
      <c r="T348">
        <v>32680217135.150002</v>
      </c>
      <c r="U348">
        <v>32812578276.049999</v>
      </c>
      <c r="V348">
        <v>5.5413999999999998E-2</v>
      </c>
      <c r="W348">
        <v>8.5839999999999996E-3</v>
      </c>
    </row>
    <row r="349" spans="1:23" x14ac:dyDescent="0.35">
      <c r="A349" t="s">
        <v>2</v>
      </c>
      <c r="B349">
        <v>4000</v>
      </c>
      <c r="C349">
        <v>96</v>
      </c>
      <c r="D349">
        <v>1865</v>
      </c>
      <c r="E349">
        <v>0</v>
      </c>
      <c r="F349">
        <v>21533240527</v>
      </c>
      <c r="G349">
        <v>51093362.539999999</v>
      </c>
      <c r="H349">
        <v>21365088375</v>
      </c>
      <c r="I349">
        <v>21474664492.09</v>
      </c>
      <c r="J349">
        <v>6.3319E-2</v>
      </c>
      <c r="K349">
        <v>4.1619999999999999E-3</v>
      </c>
      <c r="M349" t="s">
        <v>0</v>
      </c>
      <c r="N349">
        <v>4000</v>
      </c>
      <c r="O349">
        <v>96</v>
      </c>
      <c r="P349">
        <v>13350</v>
      </c>
      <c r="Q349">
        <v>0</v>
      </c>
      <c r="R349">
        <v>196072383509</v>
      </c>
      <c r="S349">
        <v>462869255.98000002</v>
      </c>
      <c r="T349">
        <v>194741554404.59</v>
      </c>
      <c r="U349">
        <v>195573451533.44</v>
      </c>
      <c r="V349">
        <v>5.1846000000000003E-2</v>
      </c>
      <c r="W349">
        <v>2.2049999999999999E-3</v>
      </c>
    </row>
    <row r="350" spans="1:23" x14ac:dyDescent="0.35">
      <c r="A350" t="s">
        <v>0</v>
      </c>
      <c r="B350">
        <v>4000</v>
      </c>
      <c r="C350">
        <v>96</v>
      </c>
      <c r="D350">
        <v>8833</v>
      </c>
      <c r="E350">
        <v>0</v>
      </c>
      <c r="F350">
        <v>130062552990</v>
      </c>
      <c r="G350">
        <v>306360233.29000002</v>
      </c>
      <c r="H350">
        <v>128877178206</v>
      </c>
      <c r="I350">
        <v>129680596938.62</v>
      </c>
      <c r="J350">
        <v>7.8153E-2</v>
      </c>
      <c r="K350">
        <v>6.9519999999999998E-3</v>
      </c>
      <c r="M350" t="s">
        <v>1</v>
      </c>
      <c r="N350">
        <v>4000</v>
      </c>
      <c r="O350">
        <v>96</v>
      </c>
      <c r="P350">
        <v>6135</v>
      </c>
      <c r="Q350">
        <v>0</v>
      </c>
      <c r="R350">
        <v>111524576066</v>
      </c>
      <c r="S350">
        <v>262710586.83000001</v>
      </c>
      <c r="T350">
        <v>110457183034.24001</v>
      </c>
      <c r="U350">
        <v>111215416938.99001</v>
      </c>
      <c r="V350">
        <v>8.3228999999999997E-2</v>
      </c>
      <c r="W350">
        <v>4.986E-3</v>
      </c>
    </row>
    <row r="351" spans="1:23" x14ac:dyDescent="0.35">
      <c r="A351" t="s">
        <v>1</v>
      </c>
      <c r="B351">
        <v>4000</v>
      </c>
      <c r="C351">
        <v>96</v>
      </c>
      <c r="D351">
        <v>4580</v>
      </c>
      <c r="E351">
        <v>0</v>
      </c>
      <c r="F351">
        <v>85276373397</v>
      </c>
      <c r="G351">
        <v>200609782.78</v>
      </c>
      <c r="H351">
        <v>84530591303</v>
      </c>
      <c r="I351">
        <v>84969627667.610001</v>
      </c>
      <c r="J351">
        <v>7.4075000000000002E-2</v>
      </c>
      <c r="K351">
        <v>1.4834E-2</v>
      </c>
      <c r="M351" t="s">
        <v>1</v>
      </c>
      <c r="N351">
        <v>3250</v>
      </c>
      <c r="O351">
        <v>192</v>
      </c>
      <c r="P351">
        <v>11</v>
      </c>
      <c r="Q351">
        <v>0</v>
      </c>
      <c r="R351">
        <v>94919123</v>
      </c>
      <c r="S351">
        <v>387168.53</v>
      </c>
      <c r="T351">
        <v>94531954.469999999</v>
      </c>
      <c r="U351">
        <v>94531954.469999999</v>
      </c>
      <c r="V351">
        <v>0</v>
      </c>
      <c r="W351">
        <v>0</v>
      </c>
    </row>
    <row r="352" spans="1:23" x14ac:dyDescent="0.35">
      <c r="A352" t="s">
        <v>1</v>
      </c>
      <c r="B352">
        <v>3250</v>
      </c>
      <c r="C352">
        <v>192</v>
      </c>
      <c r="D352">
        <v>16</v>
      </c>
      <c r="E352">
        <v>0</v>
      </c>
      <c r="F352">
        <v>144771335</v>
      </c>
      <c r="G352">
        <v>590316.81999999995</v>
      </c>
      <c r="H352">
        <v>143870369</v>
      </c>
      <c r="I352">
        <v>143870369</v>
      </c>
      <c r="J352">
        <v>2.5447999999999998E-2</v>
      </c>
      <c r="K352">
        <v>2.5447999999999998E-2</v>
      </c>
      <c r="M352" t="s">
        <v>3</v>
      </c>
      <c r="N352">
        <v>4250</v>
      </c>
      <c r="O352">
        <v>192</v>
      </c>
      <c r="P352">
        <v>187</v>
      </c>
      <c r="Q352">
        <v>0</v>
      </c>
      <c r="R352">
        <v>2071346205</v>
      </c>
      <c r="S352">
        <v>7920107.7800000003</v>
      </c>
      <c r="T352">
        <v>2063426097.22</v>
      </c>
      <c r="U352">
        <v>2063426097.22</v>
      </c>
      <c r="V352">
        <v>0</v>
      </c>
      <c r="W352">
        <v>0</v>
      </c>
    </row>
    <row r="353" spans="1:23" x14ac:dyDescent="0.35">
      <c r="A353" t="s">
        <v>3</v>
      </c>
      <c r="B353">
        <v>4250</v>
      </c>
      <c r="C353">
        <v>192</v>
      </c>
      <c r="D353">
        <v>202</v>
      </c>
      <c r="E353">
        <v>0</v>
      </c>
      <c r="F353">
        <v>2178257405</v>
      </c>
      <c r="G353">
        <v>8370046.0700000003</v>
      </c>
      <c r="H353">
        <v>2161105663</v>
      </c>
      <c r="I353">
        <v>2167034359.5900002</v>
      </c>
      <c r="J353">
        <v>4.7320000000000001E-2</v>
      </c>
      <c r="K353">
        <v>1.5604E-2</v>
      </c>
      <c r="M353" t="s">
        <v>0</v>
      </c>
      <c r="N353">
        <v>4250</v>
      </c>
      <c r="O353">
        <v>168</v>
      </c>
      <c r="P353">
        <v>45311</v>
      </c>
      <c r="Q353">
        <v>0</v>
      </c>
      <c r="R353">
        <v>401168677872</v>
      </c>
      <c r="S353">
        <v>1359538409.01</v>
      </c>
      <c r="T353">
        <v>397796753393.70001</v>
      </c>
      <c r="U353">
        <v>399542558298.83002</v>
      </c>
      <c r="V353">
        <v>5.8562000000000003E-2</v>
      </c>
      <c r="W353">
        <v>7.9450000000000007E-3</v>
      </c>
    </row>
    <row r="354" spans="1:23" x14ac:dyDescent="0.35">
      <c r="A354" t="s">
        <v>0</v>
      </c>
      <c r="B354">
        <v>4250</v>
      </c>
      <c r="C354">
        <v>168</v>
      </c>
      <c r="D354">
        <v>44386</v>
      </c>
      <c r="E354">
        <v>0</v>
      </c>
      <c r="F354">
        <v>393033326509</v>
      </c>
      <c r="G354">
        <v>1328030616.5</v>
      </c>
      <c r="H354">
        <v>388894659692</v>
      </c>
      <c r="I354">
        <v>390952716475.09998</v>
      </c>
      <c r="J354">
        <v>8.2517999999999994E-2</v>
      </c>
      <c r="K354">
        <v>2.2737E-2</v>
      </c>
      <c r="M354" t="s">
        <v>0</v>
      </c>
      <c r="N354">
        <v>3750</v>
      </c>
      <c r="O354">
        <v>168</v>
      </c>
      <c r="P354">
        <v>123141</v>
      </c>
      <c r="Q354">
        <v>0</v>
      </c>
      <c r="R354">
        <v>1271555119763</v>
      </c>
      <c r="S354">
        <v>4556977037.3800001</v>
      </c>
      <c r="T354">
        <v>1262047661844.1899</v>
      </c>
      <c r="U354">
        <v>1266593109285.0801</v>
      </c>
      <c r="V354">
        <v>4.5731000000000001E-2</v>
      </c>
      <c r="W354">
        <v>3.8159999999999999E-3</v>
      </c>
    </row>
    <row r="355" spans="1:23" x14ac:dyDescent="0.35">
      <c r="A355" t="s">
        <v>2</v>
      </c>
      <c r="B355">
        <v>3750</v>
      </c>
      <c r="C355">
        <v>168</v>
      </c>
      <c r="D355">
        <v>17293</v>
      </c>
      <c r="E355">
        <v>0</v>
      </c>
      <c r="F355">
        <v>143787441254</v>
      </c>
      <c r="G355">
        <v>517650683.08999997</v>
      </c>
      <c r="H355">
        <v>142469299009</v>
      </c>
      <c r="I355">
        <v>143093839466.41</v>
      </c>
      <c r="J355">
        <v>6.4797999999999994E-2</v>
      </c>
      <c r="K355">
        <v>1.4586E-2</v>
      </c>
      <c r="M355" t="s">
        <v>2</v>
      </c>
      <c r="N355">
        <v>3750</v>
      </c>
      <c r="O355">
        <v>168</v>
      </c>
      <c r="P355">
        <v>17592</v>
      </c>
      <c r="Q355">
        <v>0</v>
      </c>
      <c r="R355">
        <v>146804785704</v>
      </c>
      <c r="S355">
        <v>525884784.05000001</v>
      </c>
      <c r="T355">
        <v>145620448810.42999</v>
      </c>
      <c r="U355">
        <v>146218446929.26001</v>
      </c>
      <c r="V355">
        <v>5.2514999999999999E-2</v>
      </c>
      <c r="W355">
        <v>4.9300000000000004E-3</v>
      </c>
    </row>
    <row r="356" spans="1:23" x14ac:dyDescent="0.35">
      <c r="A356" t="s">
        <v>1</v>
      </c>
      <c r="B356">
        <v>4250</v>
      </c>
      <c r="C356">
        <v>168</v>
      </c>
      <c r="D356">
        <v>8557</v>
      </c>
      <c r="E356">
        <v>0</v>
      </c>
      <c r="F356">
        <v>94097874156</v>
      </c>
      <c r="G356">
        <v>309939267.31</v>
      </c>
      <c r="H356">
        <v>93200059244</v>
      </c>
      <c r="I356">
        <v>93646592883.270004</v>
      </c>
      <c r="J356">
        <v>7.2446999999999998E-2</v>
      </c>
      <c r="K356">
        <v>1.7877000000000001E-2</v>
      </c>
      <c r="M356" t="s">
        <v>2</v>
      </c>
      <c r="N356">
        <v>4250</v>
      </c>
      <c r="O356">
        <v>168</v>
      </c>
      <c r="P356">
        <v>6883</v>
      </c>
      <c r="Q356">
        <v>0</v>
      </c>
      <c r="R356">
        <v>55912798031</v>
      </c>
      <c r="S356">
        <v>185975965.56999999</v>
      </c>
      <c r="T356">
        <v>55411515938.290001</v>
      </c>
      <c r="U356">
        <v>55724230039.93</v>
      </c>
      <c r="V356">
        <v>6.5611000000000003E-2</v>
      </c>
      <c r="W356">
        <v>5.5599999999999996E-4</v>
      </c>
    </row>
    <row r="357" spans="1:23" x14ac:dyDescent="0.35">
      <c r="A357" t="s">
        <v>0</v>
      </c>
      <c r="B357">
        <v>3750</v>
      </c>
      <c r="C357">
        <v>168</v>
      </c>
      <c r="D357">
        <v>120419</v>
      </c>
      <c r="E357">
        <v>0</v>
      </c>
      <c r="F357">
        <v>1237737304946</v>
      </c>
      <c r="G357">
        <v>4458614262.6400003</v>
      </c>
      <c r="H357">
        <v>1226191743133</v>
      </c>
      <c r="I357">
        <v>1231228746150.5801</v>
      </c>
      <c r="J357">
        <v>6.6586000000000006E-2</v>
      </c>
      <c r="K357">
        <v>1.9694E-2</v>
      </c>
      <c r="M357" t="s">
        <v>1</v>
      </c>
      <c r="N357">
        <v>4250</v>
      </c>
      <c r="O357">
        <v>168</v>
      </c>
      <c r="P357">
        <v>8389</v>
      </c>
      <c r="Q357">
        <v>0</v>
      </c>
      <c r="R357">
        <v>91425081888</v>
      </c>
      <c r="S357">
        <v>303812875.36000001</v>
      </c>
      <c r="T357">
        <v>90662993827.639999</v>
      </c>
      <c r="U357">
        <v>91080317070.449997</v>
      </c>
      <c r="V357">
        <v>5.8520000000000003E-2</v>
      </c>
      <c r="W357">
        <v>5.3619999999999996E-3</v>
      </c>
    </row>
    <row r="358" spans="1:23" x14ac:dyDescent="0.35">
      <c r="A358" t="s">
        <v>1</v>
      </c>
      <c r="B358">
        <v>3250</v>
      </c>
      <c r="C358">
        <v>144</v>
      </c>
      <c r="D358">
        <v>9272</v>
      </c>
      <c r="E358">
        <v>0</v>
      </c>
      <c r="F358">
        <v>156610012317</v>
      </c>
      <c r="G358">
        <v>489668520.43000001</v>
      </c>
      <c r="H358">
        <v>155301312222</v>
      </c>
      <c r="I358">
        <v>155806974116.79001</v>
      </c>
      <c r="J358">
        <v>6.0983000000000002E-2</v>
      </c>
      <c r="K358">
        <v>2.3748999999999999E-2</v>
      </c>
      <c r="M358" t="s">
        <v>0</v>
      </c>
      <c r="N358">
        <v>4750</v>
      </c>
      <c r="O358">
        <v>168</v>
      </c>
      <c r="P358">
        <v>12215</v>
      </c>
      <c r="Q358">
        <v>0</v>
      </c>
      <c r="R358">
        <v>102302545543</v>
      </c>
      <c r="S358">
        <v>313087550.14999998</v>
      </c>
      <c r="T358">
        <v>101401524988.36</v>
      </c>
      <c r="U358">
        <v>101903827267.10001</v>
      </c>
      <c r="V358">
        <v>6.6824999999999996E-2</v>
      </c>
      <c r="W358">
        <v>9.9979999999999999E-3</v>
      </c>
    </row>
    <row r="359" spans="1:23" x14ac:dyDescent="0.35">
      <c r="A359" t="s">
        <v>0</v>
      </c>
      <c r="B359">
        <v>3750</v>
      </c>
      <c r="C359">
        <v>144</v>
      </c>
      <c r="D359">
        <v>77725</v>
      </c>
      <c r="E359">
        <v>0</v>
      </c>
      <c r="F359">
        <v>949835414089</v>
      </c>
      <c r="G359">
        <v>2809978704.9400001</v>
      </c>
      <c r="H359">
        <v>941629517582</v>
      </c>
      <c r="I359">
        <v>945974881379.81006</v>
      </c>
      <c r="J359">
        <v>6.6081000000000001E-2</v>
      </c>
      <c r="K359">
        <v>1.3192000000000001E-2</v>
      </c>
      <c r="M359" t="s">
        <v>1</v>
      </c>
      <c r="N359">
        <v>3250</v>
      </c>
      <c r="O359">
        <v>144</v>
      </c>
      <c r="P359">
        <v>8958</v>
      </c>
      <c r="Q359">
        <v>0</v>
      </c>
      <c r="R359">
        <v>151692937916</v>
      </c>
      <c r="S359">
        <v>472424992.75999999</v>
      </c>
      <c r="T359">
        <v>150615213615.97</v>
      </c>
      <c r="U359">
        <v>151150081973.39001</v>
      </c>
      <c r="V359">
        <v>4.6845999999999999E-2</v>
      </c>
      <c r="W359">
        <v>5.5570000000000003E-3</v>
      </c>
    </row>
    <row r="360" spans="1:23" x14ac:dyDescent="0.35">
      <c r="A360" t="s">
        <v>2</v>
      </c>
      <c r="B360">
        <v>3750</v>
      </c>
      <c r="C360">
        <v>144</v>
      </c>
      <c r="D360">
        <v>14187</v>
      </c>
      <c r="E360">
        <v>0</v>
      </c>
      <c r="F360">
        <v>144266387277</v>
      </c>
      <c r="G360">
        <v>432424510.44</v>
      </c>
      <c r="H360">
        <v>143046510420</v>
      </c>
      <c r="I360">
        <v>143682442574.89999</v>
      </c>
      <c r="J360">
        <v>6.3569000000000001E-2</v>
      </c>
      <c r="K360">
        <v>1.2531E-2</v>
      </c>
      <c r="M360" t="s">
        <v>0</v>
      </c>
      <c r="N360">
        <v>3750</v>
      </c>
      <c r="O360">
        <v>144</v>
      </c>
      <c r="P360">
        <v>74275</v>
      </c>
      <c r="Q360">
        <v>0</v>
      </c>
      <c r="R360">
        <v>907685926566</v>
      </c>
      <c r="S360">
        <v>2676992872.8499999</v>
      </c>
      <c r="T360">
        <v>900668766029.48999</v>
      </c>
      <c r="U360">
        <v>904662012383.10999</v>
      </c>
      <c r="V360">
        <v>5.5893999999999999E-2</v>
      </c>
      <c r="W360">
        <v>4.5770000000000003E-3</v>
      </c>
    </row>
    <row r="361" spans="1:23" x14ac:dyDescent="0.35">
      <c r="A361" t="s">
        <v>1</v>
      </c>
      <c r="B361">
        <v>3750</v>
      </c>
      <c r="C361">
        <v>144</v>
      </c>
      <c r="D361">
        <v>39452</v>
      </c>
      <c r="E361">
        <v>0</v>
      </c>
      <c r="F361">
        <v>602571093621</v>
      </c>
      <c r="G361">
        <v>1801875444.4000001</v>
      </c>
      <c r="H361">
        <v>596650925532</v>
      </c>
      <c r="I361">
        <v>599848965195.03003</v>
      </c>
      <c r="J361">
        <v>7.9001000000000002E-2</v>
      </c>
      <c r="K361">
        <v>1.8173000000000002E-2</v>
      </c>
      <c r="M361" t="s">
        <v>2</v>
      </c>
      <c r="N361">
        <v>3750</v>
      </c>
      <c r="O361">
        <v>144</v>
      </c>
      <c r="P361">
        <v>13833</v>
      </c>
      <c r="Q361">
        <v>0</v>
      </c>
      <c r="R361">
        <v>140524415364</v>
      </c>
      <c r="S361">
        <v>419835307.26999998</v>
      </c>
      <c r="T361">
        <v>139423750039.19</v>
      </c>
      <c r="U361">
        <v>140052655506.12</v>
      </c>
      <c r="V361">
        <v>5.6614999999999999E-2</v>
      </c>
      <c r="W361">
        <v>4.4250000000000001E-3</v>
      </c>
    </row>
    <row r="362" spans="1:23" x14ac:dyDescent="0.35">
      <c r="A362" t="s">
        <v>0</v>
      </c>
      <c r="B362">
        <v>3250</v>
      </c>
      <c r="C362">
        <v>168</v>
      </c>
      <c r="D362">
        <v>79395</v>
      </c>
      <c r="E362">
        <v>0</v>
      </c>
      <c r="F362">
        <v>893084627071</v>
      </c>
      <c r="G362">
        <v>3301662670.46</v>
      </c>
      <c r="H362">
        <v>885118294923</v>
      </c>
      <c r="I362">
        <v>888407914632.52002</v>
      </c>
      <c r="J362">
        <v>6.0907999999999997E-2</v>
      </c>
      <c r="K362">
        <v>1.8319999999999999E-2</v>
      </c>
      <c r="M362" t="s">
        <v>1</v>
      </c>
      <c r="N362">
        <v>3750</v>
      </c>
      <c r="O362">
        <v>144</v>
      </c>
      <c r="P362">
        <v>37780</v>
      </c>
      <c r="Q362">
        <v>0</v>
      </c>
      <c r="R362">
        <v>577805740737</v>
      </c>
      <c r="S362">
        <v>1723479724.25</v>
      </c>
      <c r="T362">
        <v>573029400308.82996</v>
      </c>
      <c r="U362">
        <v>575877122852.83997</v>
      </c>
      <c r="V362">
        <v>6.1592000000000001E-2</v>
      </c>
      <c r="W362">
        <v>4.2519999999999997E-3</v>
      </c>
    </row>
    <row r="363" spans="1:23" x14ac:dyDescent="0.35">
      <c r="A363" t="s">
        <v>0</v>
      </c>
      <c r="B363">
        <v>2500</v>
      </c>
      <c r="C363">
        <v>168</v>
      </c>
      <c r="D363">
        <v>243</v>
      </c>
      <c r="E363">
        <v>0</v>
      </c>
      <c r="F363">
        <v>1823564816</v>
      </c>
      <c r="G363">
        <v>7104009.4100000001</v>
      </c>
      <c r="H363">
        <v>1807037196</v>
      </c>
      <c r="I363">
        <v>1815125848.0899999</v>
      </c>
      <c r="J363">
        <v>6.028E-2</v>
      </c>
      <c r="K363">
        <v>8.7489999999999998E-3</v>
      </c>
      <c r="M363" t="s">
        <v>0</v>
      </c>
      <c r="N363">
        <v>3250</v>
      </c>
      <c r="O363">
        <v>168</v>
      </c>
      <c r="P363">
        <v>79709</v>
      </c>
      <c r="Q363">
        <v>0</v>
      </c>
      <c r="R363">
        <v>900486068515</v>
      </c>
      <c r="S363">
        <v>3308008498.5999999</v>
      </c>
      <c r="T363">
        <v>893775031147.02002</v>
      </c>
      <c r="U363">
        <v>897029394794.81006</v>
      </c>
      <c r="V363">
        <v>4.4417999999999999E-2</v>
      </c>
      <c r="W363">
        <v>1.9789999999999999E-3</v>
      </c>
    </row>
    <row r="364" spans="1:23" x14ac:dyDescent="0.35">
      <c r="A364" t="s">
        <v>0</v>
      </c>
      <c r="B364">
        <v>2750</v>
      </c>
      <c r="C364">
        <v>192</v>
      </c>
      <c r="D364">
        <v>2</v>
      </c>
      <c r="E364">
        <v>0</v>
      </c>
      <c r="F364">
        <v>8374592</v>
      </c>
      <c r="G364">
        <v>35156.39</v>
      </c>
      <c r="H364">
        <v>8321334</v>
      </c>
      <c r="I364">
        <v>8321334</v>
      </c>
      <c r="J364">
        <v>2.5631999999999999E-2</v>
      </c>
      <c r="K364">
        <v>2.5631999999999999E-2</v>
      </c>
      <c r="M364" t="s">
        <v>0</v>
      </c>
      <c r="N364">
        <v>2500</v>
      </c>
      <c r="O364">
        <v>168</v>
      </c>
      <c r="P364">
        <v>243</v>
      </c>
      <c r="Q364">
        <v>0</v>
      </c>
      <c r="R364">
        <v>1832880583</v>
      </c>
      <c r="S364">
        <v>7097910.0700000003</v>
      </c>
      <c r="T364">
        <v>1825782672.9300001</v>
      </c>
      <c r="U364">
        <v>1825782672.9300001</v>
      </c>
      <c r="V364">
        <v>0</v>
      </c>
      <c r="W364">
        <v>0</v>
      </c>
    </row>
    <row r="365" spans="1:23" x14ac:dyDescent="0.35">
      <c r="A365" t="s">
        <v>1</v>
      </c>
      <c r="B365">
        <v>3750</v>
      </c>
      <c r="C365">
        <v>168</v>
      </c>
      <c r="D365">
        <v>35968</v>
      </c>
      <c r="E365">
        <v>0</v>
      </c>
      <c r="F365">
        <v>451472542244</v>
      </c>
      <c r="G365">
        <v>1628193786.6300001</v>
      </c>
      <c r="H365">
        <v>446720712225</v>
      </c>
      <c r="I365">
        <v>448898784791.28003</v>
      </c>
      <c r="J365">
        <v>7.9937999999999995E-2</v>
      </c>
      <c r="K365">
        <v>2.4844999999999999E-2</v>
      </c>
      <c r="M365" t="s">
        <v>1</v>
      </c>
      <c r="N365">
        <v>3750</v>
      </c>
      <c r="O365">
        <v>168</v>
      </c>
      <c r="P365">
        <v>36969</v>
      </c>
      <c r="Q365">
        <v>0</v>
      </c>
      <c r="R365">
        <v>465176495097</v>
      </c>
      <c r="S365">
        <v>1670288756.3900001</v>
      </c>
      <c r="T365">
        <v>461949624240.76001</v>
      </c>
      <c r="U365">
        <v>463410008413.20001</v>
      </c>
      <c r="V365">
        <v>3.9424000000000001E-2</v>
      </c>
      <c r="W365">
        <v>2.4789999999999999E-3</v>
      </c>
    </row>
    <row r="366" spans="1:23" x14ac:dyDescent="0.35">
      <c r="A366" t="s">
        <v>0</v>
      </c>
      <c r="B366">
        <v>4750</v>
      </c>
      <c r="C366">
        <v>168</v>
      </c>
      <c r="D366">
        <v>14029</v>
      </c>
      <c r="E366">
        <v>0</v>
      </c>
      <c r="F366">
        <v>118443605073</v>
      </c>
      <c r="G366">
        <v>362173662.98000002</v>
      </c>
      <c r="H366">
        <v>117260013007</v>
      </c>
      <c r="I366">
        <v>117836993101.71001</v>
      </c>
      <c r="J366">
        <v>8.0118999999999996E-2</v>
      </c>
      <c r="K366">
        <v>2.4486000000000001E-2</v>
      </c>
      <c r="M366" t="s">
        <v>0</v>
      </c>
      <c r="N366">
        <v>2750</v>
      </c>
      <c r="O366">
        <v>168</v>
      </c>
      <c r="P366">
        <v>501</v>
      </c>
      <c r="Q366">
        <v>0</v>
      </c>
      <c r="R366">
        <v>5330473583</v>
      </c>
      <c r="S366">
        <v>20562974.32</v>
      </c>
      <c r="T366">
        <v>5309910608.6800003</v>
      </c>
      <c r="U366">
        <v>5309910608.6800003</v>
      </c>
      <c r="V366">
        <v>0</v>
      </c>
      <c r="W366">
        <v>0</v>
      </c>
    </row>
    <row r="367" spans="1:23" x14ac:dyDescent="0.35">
      <c r="A367" t="s">
        <v>2</v>
      </c>
      <c r="B367">
        <v>4250</v>
      </c>
      <c r="C367">
        <v>168</v>
      </c>
      <c r="D367">
        <v>7031</v>
      </c>
      <c r="E367">
        <v>0</v>
      </c>
      <c r="F367">
        <v>58220271503</v>
      </c>
      <c r="G367">
        <v>192119756.05000001</v>
      </c>
      <c r="H367">
        <v>57616075181</v>
      </c>
      <c r="I367">
        <v>57937851520.120003</v>
      </c>
      <c r="J367">
        <v>8.1705E-2</v>
      </c>
      <c r="K367">
        <v>1.8454000000000002E-2</v>
      </c>
      <c r="M367" t="s">
        <v>1</v>
      </c>
      <c r="N367">
        <v>3250</v>
      </c>
      <c r="O367">
        <v>168</v>
      </c>
      <c r="P367">
        <v>38845</v>
      </c>
      <c r="Q367">
        <v>0</v>
      </c>
      <c r="R367">
        <v>548226883098</v>
      </c>
      <c r="S367">
        <v>2011512305.96</v>
      </c>
      <c r="T367">
        <v>543733530689.48999</v>
      </c>
      <c r="U367">
        <v>546063137330.87</v>
      </c>
      <c r="V367">
        <v>5.2991999999999997E-2</v>
      </c>
      <c r="W367">
        <v>3.3270000000000001E-3</v>
      </c>
    </row>
    <row r="368" spans="1:23" x14ac:dyDescent="0.35">
      <c r="A368" t="s">
        <v>1</v>
      </c>
      <c r="B368">
        <v>3250</v>
      </c>
      <c r="C368">
        <v>168</v>
      </c>
      <c r="D368">
        <v>38617</v>
      </c>
      <c r="E368">
        <v>0</v>
      </c>
      <c r="F368">
        <v>542967778393</v>
      </c>
      <c r="G368">
        <v>2004912194.98</v>
      </c>
      <c r="H368">
        <v>537093455807</v>
      </c>
      <c r="I368">
        <v>539939789879.59003</v>
      </c>
      <c r="J368">
        <v>8.2242999999999997E-2</v>
      </c>
      <c r="K368">
        <v>2.2377999999999999E-2</v>
      </c>
      <c r="M368" t="s">
        <v>2</v>
      </c>
      <c r="N368">
        <v>3250</v>
      </c>
      <c r="O368">
        <v>168</v>
      </c>
      <c r="P368">
        <v>12755</v>
      </c>
      <c r="Q368">
        <v>0</v>
      </c>
      <c r="R368">
        <v>115923020793</v>
      </c>
      <c r="S368">
        <v>424665092.55000001</v>
      </c>
      <c r="T368">
        <v>115057538798.8</v>
      </c>
      <c r="U368">
        <v>115485937773.28999</v>
      </c>
      <c r="V368">
        <v>4.4690000000000001E-2</v>
      </c>
      <c r="W368">
        <v>1.2849999999999999E-3</v>
      </c>
    </row>
    <row r="369" spans="1:23" x14ac:dyDescent="0.35">
      <c r="A369" t="s">
        <v>2</v>
      </c>
      <c r="B369">
        <v>3250</v>
      </c>
      <c r="C369">
        <v>168</v>
      </c>
      <c r="D369">
        <v>12705</v>
      </c>
      <c r="E369">
        <v>0</v>
      </c>
      <c r="F369">
        <v>115012466889</v>
      </c>
      <c r="G369">
        <v>424012655.11000001</v>
      </c>
      <c r="H369">
        <v>113997052111</v>
      </c>
      <c r="I369">
        <v>114457339710.14</v>
      </c>
      <c r="J369">
        <v>5.9989000000000001E-2</v>
      </c>
      <c r="K369">
        <v>1.3594999999999999E-2</v>
      </c>
      <c r="M369" t="s">
        <v>0</v>
      </c>
      <c r="N369">
        <v>2000</v>
      </c>
      <c r="O369">
        <v>168</v>
      </c>
      <c r="P369">
        <v>23</v>
      </c>
      <c r="Q369">
        <v>0</v>
      </c>
      <c r="R369">
        <v>182341127</v>
      </c>
      <c r="S369">
        <v>785210.53</v>
      </c>
      <c r="T369">
        <v>171393926.33000001</v>
      </c>
      <c r="U369">
        <v>181555916.47</v>
      </c>
      <c r="V369">
        <v>0.49748300000000001</v>
      </c>
      <c r="W369">
        <v>0</v>
      </c>
    </row>
    <row r="370" spans="1:23" x14ac:dyDescent="0.35">
      <c r="A370" t="s">
        <v>0</v>
      </c>
      <c r="B370">
        <v>2000</v>
      </c>
      <c r="C370">
        <v>168</v>
      </c>
      <c r="D370">
        <v>22</v>
      </c>
      <c r="E370">
        <v>0</v>
      </c>
      <c r="F370">
        <v>171305247</v>
      </c>
      <c r="G370">
        <v>745472.42</v>
      </c>
      <c r="H370">
        <v>170517391</v>
      </c>
      <c r="I370">
        <v>170517391</v>
      </c>
      <c r="J370">
        <v>2.9650000000000002E-3</v>
      </c>
      <c r="K370">
        <v>2.9650000000000002E-3</v>
      </c>
      <c r="M370" t="s">
        <v>3</v>
      </c>
      <c r="N370">
        <v>5000</v>
      </c>
      <c r="O370">
        <v>168</v>
      </c>
      <c r="P370">
        <v>26</v>
      </c>
      <c r="Q370">
        <v>0</v>
      </c>
      <c r="R370">
        <v>243516649</v>
      </c>
      <c r="S370">
        <v>728965.54</v>
      </c>
      <c r="T370">
        <v>242787683.46000001</v>
      </c>
      <c r="U370">
        <v>242787683.46000001</v>
      </c>
      <c r="V370">
        <v>0</v>
      </c>
      <c r="W370">
        <v>0</v>
      </c>
    </row>
    <row r="371" spans="1:23" x14ac:dyDescent="0.35">
      <c r="A371" t="s">
        <v>3</v>
      </c>
      <c r="B371">
        <v>5000</v>
      </c>
      <c r="C371">
        <v>168</v>
      </c>
      <c r="D371">
        <v>26</v>
      </c>
      <c r="E371">
        <v>0</v>
      </c>
      <c r="F371">
        <v>242632312</v>
      </c>
      <c r="G371">
        <v>731466.05</v>
      </c>
      <c r="H371">
        <v>241819963</v>
      </c>
      <c r="I371">
        <v>241819963</v>
      </c>
      <c r="J371">
        <v>3.993E-3</v>
      </c>
      <c r="K371">
        <v>3.993E-3</v>
      </c>
      <c r="M371" t="s">
        <v>3</v>
      </c>
      <c r="N371">
        <v>4500</v>
      </c>
      <c r="O371">
        <v>168</v>
      </c>
      <c r="P371">
        <v>122</v>
      </c>
      <c r="Q371">
        <v>0</v>
      </c>
      <c r="R371">
        <v>1284978635</v>
      </c>
      <c r="S371">
        <v>4071126.86</v>
      </c>
      <c r="T371">
        <v>1280907508.1400001</v>
      </c>
      <c r="U371">
        <v>1280907508.1400001</v>
      </c>
      <c r="V371">
        <v>0</v>
      </c>
      <c r="W371">
        <v>0</v>
      </c>
    </row>
    <row r="372" spans="1:23" x14ac:dyDescent="0.35">
      <c r="A372" t="s">
        <v>3</v>
      </c>
      <c r="B372">
        <v>4500</v>
      </c>
      <c r="C372">
        <v>168</v>
      </c>
      <c r="D372">
        <v>126</v>
      </c>
      <c r="E372">
        <v>0</v>
      </c>
      <c r="F372">
        <v>1312070223</v>
      </c>
      <c r="G372">
        <v>4152017.35</v>
      </c>
      <c r="H372">
        <v>1295200428</v>
      </c>
      <c r="I372">
        <v>1306105105.9000001</v>
      </c>
      <c r="J372">
        <v>0.11031000000000001</v>
      </c>
      <c r="K372">
        <v>1.6456999999999999E-2</v>
      </c>
      <c r="M372" t="s">
        <v>3</v>
      </c>
      <c r="N372">
        <v>3750</v>
      </c>
      <c r="O372">
        <v>168</v>
      </c>
      <c r="P372">
        <v>674</v>
      </c>
      <c r="Q372">
        <v>0</v>
      </c>
      <c r="R372">
        <v>7857007372</v>
      </c>
      <c r="S372">
        <v>28416526.969999999</v>
      </c>
      <c r="T372">
        <v>7756689295.1899996</v>
      </c>
      <c r="U372">
        <v>7828590845.0299997</v>
      </c>
      <c r="V372">
        <v>0.104453</v>
      </c>
      <c r="W372">
        <v>0</v>
      </c>
    </row>
    <row r="373" spans="1:23" x14ac:dyDescent="0.35">
      <c r="A373" t="s">
        <v>3</v>
      </c>
      <c r="B373">
        <v>3750</v>
      </c>
      <c r="C373">
        <v>168</v>
      </c>
      <c r="D373">
        <v>659</v>
      </c>
      <c r="E373">
        <v>0</v>
      </c>
      <c r="F373">
        <v>7649096115</v>
      </c>
      <c r="G373">
        <v>27804176.530000001</v>
      </c>
      <c r="H373">
        <v>7599629229</v>
      </c>
      <c r="I373">
        <v>7613676756.3000002</v>
      </c>
      <c r="J373">
        <v>3.3459999999999997E-2</v>
      </c>
      <c r="K373">
        <v>1.1882E-2</v>
      </c>
      <c r="M373" t="s">
        <v>2</v>
      </c>
      <c r="N373">
        <v>2000</v>
      </c>
      <c r="O373">
        <v>168</v>
      </c>
      <c r="P373">
        <v>4</v>
      </c>
      <c r="Q373">
        <v>0</v>
      </c>
      <c r="R373">
        <v>44534393</v>
      </c>
      <c r="S373">
        <v>203876.48000000001</v>
      </c>
      <c r="T373">
        <v>44330516.520000003</v>
      </c>
      <c r="U373">
        <v>44330516.520000003</v>
      </c>
      <c r="V373">
        <v>0</v>
      </c>
      <c r="W373">
        <v>0</v>
      </c>
    </row>
    <row r="374" spans="1:23" x14ac:dyDescent="0.35">
      <c r="A374" t="s">
        <v>2</v>
      </c>
      <c r="B374">
        <v>2000</v>
      </c>
      <c r="C374">
        <v>168</v>
      </c>
      <c r="D374">
        <v>4</v>
      </c>
      <c r="E374">
        <v>0</v>
      </c>
      <c r="F374">
        <v>44355638</v>
      </c>
      <c r="G374">
        <v>204160.54</v>
      </c>
      <c r="H374">
        <v>44191377</v>
      </c>
      <c r="I374">
        <v>44191377</v>
      </c>
      <c r="J374">
        <v>-1.0848E-2</v>
      </c>
      <c r="K374">
        <v>-1.0848E-2</v>
      </c>
      <c r="M374" t="s">
        <v>1</v>
      </c>
      <c r="N374">
        <v>2750</v>
      </c>
      <c r="O374">
        <v>168</v>
      </c>
      <c r="P374">
        <v>770</v>
      </c>
      <c r="Q374">
        <v>0</v>
      </c>
      <c r="R374">
        <v>10438650499</v>
      </c>
      <c r="S374">
        <v>40064413.590000004</v>
      </c>
      <c r="T374">
        <v>10335315895.450001</v>
      </c>
      <c r="U374">
        <v>10398586085.41</v>
      </c>
      <c r="V374">
        <v>7.0357000000000003E-2</v>
      </c>
      <c r="W374">
        <v>0</v>
      </c>
    </row>
    <row r="375" spans="1:23" x14ac:dyDescent="0.35">
      <c r="A375" t="s">
        <v>0</v>
      </c>
      <c r="B375">
        <v>2750</v>
      </c>
      <c r="C375">
        <v>168</v>
      </c>
      <c r="D375">
        <v>501</v>
      </c>
      <c r="E375">
        <v>0</v>
      </c>
      <c r="F375">
        <v>5306875591</v>
      </c>
      <c r="G375">
        <v>20596037.219999999</v>
      </c>
      <c r="H375">
        <v>5272405908</v>
      </c>
      <c r="I375">
        <v>5281073481.3599997</v>
      </c>
      <c r="J375">
        <v>3.0924E-2</v>
      </c>
      <c r="K375">
        <v>1.1709000000000001E-2</v>
      </c>
      <c r="M375" t="s">
        <v>3</v>
      </c>
      <c r="N375">
        <v>3000</v>
      </c>
      <c r="O375">
        <v>168</v>
      </c>
      <c r="P375">
        <v>7</v>
      </c>
      <c r="Q375">
        <v>0</v>
      </c>
      <c r="R375">
        <v>79502887</v>
      </c>
      <c r="S375">
        <v>300783.8</v>
      </c>
      <c r="T375">
        <v>79202103.200000003</v>
      </c>
      <c r="U375">
        <v>79202103.200000003</v>
      </c>
      <c r="V375">
        <v>0</v>
      </c>
      <c r="W375">
        <v>0</v>
      </c>
    </row>
    <row r="376" spans="1:23" x14ac:dyDescent="0.35">
      <c r="A376" t="s">
        <v>1</v>
      </c>
      <c r="B376">
        <v>2750</v>
      </c>
      <c r="C376">
        <v>168</v>
      </c>
      <c r="D376">
        <v>764</v>
      </c>
      <c r="E376">
        <v>0</v>
      </c>
      <c r="F376">
        <v>10319596535</v>
      </c>
      <c r="G376">
        <v>39854146.890000001</v>
      </c>
      <c r="H376">
        <v>10232584124</v>
      </c>
      <c r="I376">
        <v>10258335787.6</v>
      </c>
      <c r="J376">
        <v>5.348E-2</v>
      </c>
      <c r="K376">
        <v>2.461E-2</v>
      </c>
      <c r="M376" t="s">
        <v>3</v>
      </c>
      <c r="N376">
        <v>4000</v>
      </c>
      <c r="O376">
        <v>144</v>
      </c>
      <c r="P376">
        <v>635</v>
      </c>
      <c r="Q376">
        <v>0</v>
      </c>
      <c r="R376">
        <v>7620265563</v>
      </c>
      <c r="S376">
        <v>22351639.010000002</v>
      </c>
      <c r="T376">
        <v>7561779493</v>
      </c>
      <c r="U376">
        <v>7597913923.9899998</v>
      </c>
      <c r="V376">
        <v>5.5441999999999998E-2</v>
      </c>
      <c r="W376">
        <v>0</v>
      </c>
    </row>
    <row r="377" spans="1:23" x14ac:dyDescent="0.35">
      <c r="A377" t="s">
        <v>3</v>
      </c>
      <c r="B377">
        <v>3000</v>
      </c>
      <c r="C377">
        <v>168</v>
      </c>
      <c r="D377">
        <v>7</v>
      </c>
      <c r="E377">
        <v>0</v>
      </c>
      <c r="F377">
        <v>79148072</v>
      </c>
      <c r="G377">
        <v>301327.28000000003</v>
      </c>
      <c r="H377">
        <v>78749128</v>
      </c>
      <c r="I377">
        <v>78749128</v>
      </c>
      <c r="J377">
        <v>1.47E-2</v>
      </c>
      <c r="K377">
        <v>1.47E-2</v>
      </c>
      <c r="M377" t="s">
        <v>3</v>
      </c>
      <c r="N377">
        <v>4250</v>
      </c>
      <c r="O377">
        <v>168</v>
      </c>
      <c r="P377">
        <v>266</v>
      </c>
      <c r="Q377">
        <v>0</v>
      </c>
      <c r="R377">
        <v>2997655278</v>
      </c>
      <c r="S377">
        <v>9893741.0800000001</v>
      </c>
      <c r="T377">
        <v>2987761536.9200001</v>
      </c>
      <c r="U377">
        <v>2987761536.9200001</v>
      </c>
      <c r="V377">
        <v>0</v>
      </c>
      <c r="W377">
        <v>0</v>
      </c>
    </row>
    <row r="378" spans="1:23" x14ac:dyDescent="0.35">
      <c r="A378" t="s">
        <v>3</v>
      </c>
      <c r="B378">
        <v>4000</v>
      </c>
      <c r="C378">
        <v>144</v>
      </c>
      <c r="D378">
        <v>651</v>
      </c>
      <c r="E378">
        <v>0</v>
      </c>
      <c r="F378">
        <v>7790478950</v>
      </c>
      <c r="G378">
        <v>22937368.800000001</v>
      </c>
      <c r="H378">
        <v>7719388824</v>
      </c>
      <c r="I378">
        <v>7747837653.5299997</v>
      </c>
      <c r="J378">
        <v>7.1701000000000001E-2</v>
      </c>
      <c r="K378">
        <v>2.9932E-2</v>
      </c>
      <c r="M378" t="s">
        <v>1</v>
      </c>
      <c r="N378">
        <v>2500</v>
      </c>
      <c r="O378">
        <v>168</v>
      </c>
      <c r="P378">
        <v>15</v>
      </c>
      <c r="Q378">
        <v>0</v>
      </c>
      <c r="R378">
        <v>155883191</v>
      </c>
      <c r="S378">
        <v>607638.47</v>
      </c>
      <c r="T378">
        <v>155275552.53</v>
      </c>
      <c r="U378">
        <v>155275552.53</v>
      </c>
      <c r="V378">
        <v>0</v>
      </c>
      <c r="W378">
        <v>0</v>
      </c>
    </row>
    <row r="379" spans="1:23" x14ac:dyDescent="0.35">
      <c r="A379" t="s">
        <v>3</v>
      </c>
      <c r="B379">
        <v>4250</v>
      </c>
      <c r="C379">
        <v>168</v>
      </c>
      <c r="D379">
        <v>285</v>
      </c>
      <c r="E379">
        <v>0</v>
      </c>
      <c r="F379">
        <v>3250734269</v>
      </c>
      <c r="G379">
        <v>10681583.75</v>
      </c>
      <c r="H379">
        <v>3198452779</v>
      </c>
      <c r="I379">
        <v>3223150876.0100002</v>
      </c>
      <c r="J379">
        <v>0.143205</v>
      </c>
      <c r="K379">
        <v>6.0638999999999998E-2</v>
      </c>
      <c r="M379" t="s">
        <v>2</v>
      </c>
      <c r="N379">
        <v>2750</v>
      </c>
      <c r="O379">
        <v>168</v>
      </c>
      <c r="P379">
        <v>99</v>
      </c>
      <c r="Q379">
        <v>0</v>
      </c>
      <c r="R379">
        <v>844279549</v>
      </c>
      <c r="S379">
        <v>3252297.16</v>
      </c>
      <c r="T379">
        <v>841027251.84000003</v>
      </c>
      <c r="U379">
        <v>841027251.84000003</v>
      </c>
      <c r="V379">
        <v>0</v>
      </c>
      <c r="W379">
        <v>0</v>
      </c>
    </row>
    <row r="380" spans="1:23" x14ac:dyDescent="0.35">
      <c r="A380" t="s">
        <v>1</v>
      </c>
      <c r="B380">
        <v>2500</v>
      </c>
      <c r="C380">
        <v>168</v>
      </c>
      <c r="D380">
        <v>15</v>
      </c>
      <c r="E380">
        <v>0</v>
      </c>
      <c r="F380">
        <v>167938703</v>
      </c>
      <c r="G380">
        <v>652625.02</v>
      </c>
      <c r="H380">
        <v>167227692</v>
      </c>
      <c r="I380">
        <v>167227692</v>
      </c>
      <c r="J380">
        <v>4.1640000000000002E-3</v>
      </c>
      <c r="K380">
        <v>4.1640000000000002E-3</v>
      </c>
      <c r="M380" t="s">
        <v>2</v>
      </c>
      <c r="N380">
        <v>2500</v>
      </c>
      <c r="O380">
        <v>168</v>
      </c>
      <c r="P380">
        <v>93</v>
      </c>
      <c r="Q380">
        <v>0</v>
      </c>
      <c r="R380">
        <v>574408699</v>
      </c>
      <c r="S380">
        <v>2192486.9300000002</v>
      </c>
      <c r="T380">
        <v>572216212.07000005</v>
      </c>
      <c r="U380">
        <v>572216212.07000005</v>
      </c>
      <c r="V380">
        <v>0</v>
      </c>
      <c r="W380">
        <v>0</v>
      </c>
    </row>
    <row r="381" spans="1:23" x14ac:dyDescent="0.35">
      <c r="A381" t="s">
        <v>2</v>
      </c>
      <c r="B381">
        <v>2750</v>
      </c>
      <c r="C381">
        <v>168</v>
      </c>
      <c r="D381">
        <v>99</v>
      </c>
      <c r="E381">
        <v>0</v>
      </c>
      <c r="F381">
        <v>840167034</v>
      </c>
      <c r="G381">
        <v>3256395.45</v>
      </c>
      <c r="H381">
        <v>817352500</v>
      </c>
      <c r="I381">
        <v>836350156.49000001</v>
      </c>
      <c r="J381">
        <v>0.24621599999999999</v>
      </c>
      <c r="K381">
        <v>7.9760000000000005E-3</v>
      </c>
      <c r="M381" t="s">
        <v>1</v>
      </c>
      <c r="N381">
        <v>4000</v>
      </c>
      <c r="O381">
        <v>72</v>
      </c>
      <c r="P381">
        <v>3761</v>
      </c>
      <c r="Q381">
        <v>0</v>
      </c>
      <c r="R381">
        <v>67697243139</v>
      </c>
      <c r="S381">
        <v>140376538.72</v>
      </c>
      <c r="T381">
        <v>66526026813.629997</v>
      </c>
      <c r="U381">
        <v>67235658843.559998</v>
      </c>
      <c r="V381">
        <v>0.16817399999999999</v>
      </c>
      <c r="W381">
        <v>5.5474999999999997E-2</v>
      </c>
    </row>
    <row r="382" spans="1:23" x14ac:dyDescent="0.35">
      <c r="A382" t="s">
        <v>2</v>
      </c>
      <c r="B382">
        <v>2500</v>
      </c>
      <c r="C382">
        <v>168</v>
      </c>
      <c r="D382">
        <v>93</v>
      </c>
      <c r="E382">
        <v>0</v>
      </c>
      <c r="F382">
        <v>570771937</v>
      </c>
      <c r="G382">
        <v>2191563.0099999998</v>
      </c>
      <c r="H382">
        <v>568101416</v>
      </c>
      <c r="I382">
        <v>568101416</v>
      </c>
      <c r="J382">
        <v>1.0023000000000001E-2</v>
      </c>
      <c r="K382">
        <v>1.0023000000000001E-2</v>
      </c>
      <c r="M382" t="s">
        <v>0</v>
      </c>
      <c r="N382">
        <v>3000</v>
      </c>
      <c r="O382">
        <v>96</v>
      </c>
      <c r="P382">
        <v>45</v>
      </c>
      <c r="Q382">
        <v>0</v>
      </c>
      <c r="R382">
        <v>512640260</v>
      </c>
      <c r="S382">
        <v>1357409.25</v>
      </c>
      <c r="T382">
        <v>504028557.88999999</v>
      </c>
      <c r="U382">
        <v>511282850.75</v>
      </c>
      <c r="V382">
        <v>0.157198</v>
      </c>
      <c r="W382">
        <v>0</v>
      </c>
    </row>
    <row r="383" spans="1:23" x14ac:dyDescent="0.35">
      <c r="A383" t="s">
        <v>2</v>
      </c>
      <c r="B383">
        <v>4500</v>
      </c>
      <c r="C383">
        <v>96</v>
      </c>
      <c r="D383">
        <v>6242</v>
      </c>
      <c r="E383">
        <v>0</v>
      </c>
      <c r="F383">
        <v>72708655334</v>
      </c>
      <c r="G383">
        <v>158880232.09999999</v>
      </c>
      <c r="H383">
        <v>71998812570</v>
      </c>
      <c r="I383">
        <v>72466928515.070007</v>
      </c>
      <c r="J383">
        <v>8.7235999999999994E-2</v>
      </c>
      <c r="K383">
        <v>1.3587999999999999E-2</v>
      </c>
      <c r="M383" t="s">
        <v>2</v>
      </c>
      <c r="N383">
        <v>3000</v>
      </c>
      <c r="O383">
        <v>96</v>
      </c>
      <c r="P383">
        <v>8</v>
      </c>
      <c r="Q383">
        <v>0</v>
      </c>
      <c r="R383">
        <v>72172909</v>
      </c>
      <c r="S383">
        <v>193715.14</v>
      </c>
      <c r="T383">
        <v>71979193.859999999</v>
      </c>
      <c r="U383">
        <v>71979193.859999999</v>
      </c>
      <c r="V383">
        <v>0</v>
      </c>
      <c r="W383">
        <v>0</v>
      </c>
    </row>
    <row r="384" spans="1:23" x14ac:dyDescent="0.35">
      <c r="A384" t="s">
        <v>0</v>
      </c>
      <c r="B384">
        <v>4500</v>
      </c>
      <c r="C384">
        <v>96</v>
      </c>
      <c r="D384">
        <v>30678</v>
      </c>
      <c r="E384">
        <v>0</v>
      </c>
      <c r="F384">
        <v>468113470618</v>
      </c>
      <c r="G384">
        <v>1021513285.5700001</v>
      </c>
      <c r="H384">
        <v>463825338068</v>
      </c>
      <c r="I384">
        <v>466651440827.89001</v>
      </c>
      <c r="J384">
        <v>8.0599000000000004E-2</v>
      </c>
      <c r="K384">
        <v>1.1233999999999999E-2</v>
      </c>
      <c r="M384" t="s">
        <v>1</v>
      </c>
      <c r="N384">
        <v>3000</v>
      </c>
      <c r="O384">
        <v>96</v>
      </c>
      <c r="P384">
        <v>14</v>
      </c>
      <c r="Q384">
        <v>0</v>
      </c>
      <c r="R384">
        <v>256948982</v>
      </c>
      <c r="S384">
        <v>685650.53</v>
      </c>
      <c r="T384">
        <v>256263331.47</v>
      </c>
      <c r="U384">
        <v>256263331.47</v>
      </c>
      <c r="V384">
        <v>0</v>
      </c>
      <c r="W384">
        <v>0</v>
      </c>
    </row>
    <row r="385" spans="1:23" x14ac:dyDescent="0.35">
      <c r="A385" t="s">
        <v>1</v>
      </c>
      <c r="B385">
        <v>4500</v>
      </c>
      <c r="C385">
        <v>96</v>
      </c>
      <c r="D385">
        <v>9313</v>
      </c>
      <c r="E385">
        <v>0</v>
      </c>
      <c r="F385">
        <v>163027411091</v>
      </c>
      <c r="G385">
        <v>354714880.22000003</v>
      </c>
      <c r="H385">
        <v>161404081272</v>
      </c>
      <c r="I385">
        <v>162454982808.81</v>
      </c>
      <c r="J385">
        <v>8.9484999999999995E-2</v>
      </c>
      <c r="K385">
        <v>1.5907999999999999E-2</v>
      </c>
      <c r="M385" t="s">
        <v>0</v>
      </c>
      <c r="N385">
        <v>4500</v>
      </c>
      <c r="O385">
        <v>96</v>
      </c>
      <c r="P385">
        <v>31611</v>
      </c>
      <c r="Q385">
        <v>0</v>
      </c>
      <c r="R385">
        <v>479620925832</v>
      </c>
      <c r="S385">
        <v>1043931455.22</v>
      </c>
      <c r="T385">
        <v>475731996501.09003</v>
      </c>
      <c r="U385">
        <v>478280230565.78998</v>
      </c>
      <c r="V385">
        <v>6.8904000000000007E-2</v>
      </c>
      <c r="W385">
        <v>7.4000000000000003E-3</v>
      </c>
    </row>
    <row r="386" spans="1:23" x14ac:dyDescent="0.35">
      <c r="A386" t="s">
        <v>0</v>
      </c>
      <c r="B386">
        <v>5000</v>
      </c>
      <c r="C386">
        <v>96</v>
      </c>
      <c r="D386">
        <v>38516</v>
      </c>
      <c r="E386">
        <v>0</v>
      </c>
      <c r="F386">
        <v>537212432476</v>
      </c>
      <c r="G386">
        <v>1090528538.78</v>
      </c>
      <c r="H386">
        <v>532184720573</v>
      </c>
      <c r="I386">
        <v>535160909608.31</v>
      </c>
      <c r="J386">
        <v>8.4487000000000007E-2</v>
      </c>
      <c r="K386">
        <v>2.1256000000000001E-2</v>
      </c>
      <c r="M386" t="s">
        <v>2</v>
      </c>
      <c r="N386">
        <v>4500</v>
      </c>
      <c r="O386">
        <v>96</v>
      </c>
      <c r="P386">
        <v>6724</v>
      </c>
      <c r="Q386">
        <v>0</v>
      </c>
      <c r="R386">
        <v>77441832297</v>
      </c>
      <c r="S386">
        <v>168578111.90000001</v>
      </c>
      <c r="T386">
        <v>77020118891.669998</v>
      </c>
      <c r="U386">
        <v>77234527598.199997</v>
      </c>
      <c r="V386">
        <v>3.8526999999999999E-2</v>
      </c>
      <c r="W386">
        <v>5.9839999999999997E-3</v>
      </c>
    </row>
    <row r="387" spans="1:23" x14ac:dyDescent="0.35">
      <c r="A387" t="s">
        <v>2</v>
      </c>
      <c r="B387">
        <v>5000</v>
      </c>
      <c r="C387">
        <v>96</v>
      </c>
      <c r="D387">
        <v>6532</v>
      </c>
      <c r="E387">
        <v>0</v>
      </c>
      <c r="F387">
        <v>69844765699</v>
      </c>
      <c r="G387">
        <v>141939747.75</v>
      </c>
      <c r="H387">
        <v>69147398731</v>
      </c>
      <c r="I387">
        <v>69610777036.880005</v>
      </c>
      <c r="J387">
        <v>9.1363E-2</v>
      </c>
      <c r="K387">
        <v>1.5701E-2</v>
      </c>
      <c r="M387" t="s">
        <v>1</v>
      </c>
      <c r="N387">
        <v>4500</v>
      </c>
      <c r="O387">
        <v>96</v>
      </c>
      <c r="P387">
        <v>9232</v>
      </c>
      <c r="Q387">
        <v>0</v>
      </c>
      <c r="R387">
        <v>160357230294</v>
      </c>
      <c r="S387">
        <v>347881529.13999999</v>
      </c>
      <c r="T387">
        <v>159106174016.67001</v>
      </c>
      <c r="U387">
        <v>159887473322.38</v>
      </c>
      <c r="V387">
        <v>6.5532000000000007E-2</v>
      </c>
      <c r="W387">
        <v>9.0819999999999998E-3</v>
      </c>
    </row>
    <row r="388" spans="1:23" x14ac:dyDescent="0.35">
      <c r="A388" t="s">
        <v>1</v>
      </c>
      <c r="B388">
        <v>5000</v>
      </c>
      <c r="C388">
        <v>96</v>
      </c>
      <c r="D388">
        <v>6144</v>
      </c>
      <c r="E388">
        <v>0</v>
      </c>
      <c r="F388">
        <v>93234934535</v>
      </c>
      <c r="G388">
        <v>188929737.55000001</v>
      </c>
      <c r="H388">
        <v>91936571425</v>
      </c>
      <c r="I388">
        <v>92771042610.779999</v>
      </c>
      <c r="J388">
        <v>0.13380800000000001</v>
      </c>
      <c r="K388">
        <v>3.4820999999999998E-2</v>
      </c>
      <c r="M388" t="s">
        <v>0</v>
      </c>
      <c r="N388">
        <v>5000</v>
      </c>
      <c r="O388">
        <v>96</v>
      </c>
      <c r="P388">
        <v>36805</v>
      </c>
      <c r="Q388">
        <v>0</v>
      </c>
      <c r="R388">
        <v>514809420983</v>
      </c>
      <c r="S388">
        <v>1041633739.38</v>
      </c>
      <c r="T388">
        <v>511041177200.13</v>
      </c>
      <c r="U388">
        <v>513363530632.72998</v>
      </c>
      <c r="V388">
        <v>6.1737E-2</v>
      </c>
      <c r="W388">
        <v>9.3819999999999997E-3</v>
      </c>
    </row>
    <row r="389" spans="1:23" x14ac:dyDescent="0.35">
      <c r="A389" t="s">
        <v>0</v>
      </c>
      <c r="B389">
        <v>5500</v>
      </c>
      <c r="C389">
        <v>96</v>
      </c>
      <c r="D389">
        <v>15161</v>
      </c>
      <c r="E389">
        <v>0</v>
      </c>
      <c r="F389">
        <v>199076762193</v>
      </c>
      <c r="G389">
        <v>376034258.33999997</v>
      </c>
      <c r="H389">
        <v>197501620510</v>
      </c>
      <c r="I389">
        <v>198359121813.04999</v>
      </c>
      <c r="J389">
        <v>6.9932999999999995E-2</v>
      </c>
      <c r="K389">
        <v>2.0397999999999999E-2</v>
      </c>
      <c r="M389" t="s">
        <v>2</v>
      </c>
      <c r="N389">
        <v>5000</v>
      </c>
      <c r="O389">
        <v>96</v>
      </c>
      <c r="P389">
        <v>6479</v>
      </c>
      <c r="Q389">
        <v>0</v>
      </c>
      <c r="R389">
        <v>69423465018</v>
      </c>
      <c r="S389">
        <v>140280010.08000001</v>
      </c>
      <c r="T389">
        <v>68835982530.610001</v>
      </c>
      <c r="U389">
        <v>69263123717</v>
      </c>
      <c r="V389">
        <v>7.4619000000000005E-2</v>
      </c>
      <c r="W389">
        <v>3.4619999999999998E-3</v>
      </c>
    </row>
    <row r="390" spans="1:23" x14ac:dyDescent="0.35">
      <c r="A390" t="s">
        <v>1</v>
      </c>
      <c r="B390">
        <v>2250</v>
      </c>
      <c r="C390">
        <v>168</v>
      </c>
      <c r="D390">
        <v>14</v>
      </c>
      <c r="E390">
        <v>0</v>
      </c>
      <c r="F390">
        <v>117081589</v>
      </c>
      <c r="G390">
        <v>465517.12</v>
      </c>
      <c r="H390">
        <v>116628871</v>
      </c>
      <c r="I390">
        <v>116628871</v>
      </c>
      <c r="J390">
        <v>-1.3129999999999999E-3</v>
      </c>
      <c r="K390">
        <v>-1.3129999999999999E-3</v>
      </c>
      <c r="M390" t="s">
        <v>1</v>
      </c>
      <c r="N390">
        <v>5000</v>
      </c>
      <c r="O390">
        <v>96</v>
      </c>
      <c r="P390">
        <v>5786</v>
      </c>
      <c r="Q390">
        <v>0</v>
      </c>
      <c r="R390">
        <v>87360797364</v>
      </c>
      <c r="S390">
        <v>176397047.21000001</v>
      </c>
      <c r="T390">
        <v>86445693315.210007</v>
      </c>
      <c r="U390">
        <v>87084224250.220001</v>
      </c>
      <c r="V390">
        <v>9.6880999999999995E-2</v>
      </c>
      <c r="W390">
        <v>1.3674E-2</v>
      </c>
    </row>
    <row r="391" spans="1:23" x14ac:dyDescent="0.35">
      <c r="A391" t="s">
        <v>2</v>
      </c>
      <c r="B391">
        <v>3000</v>
      </c>
      <c r="C391">
        <v>72</v>
      </c>
      <c r="D391">
        <v>18057</v>
      </c>
      <c r="E391">
        <v>0</v>
      </c>
      <c r="F391">
        <v>280721408510</v>
      </c>
      <c r="G391">
        <v>651790389.11000001</v>
      </c>
      <c r="H391">
        <v>278183322405</v>
      </c>
      <c r="I391">
        <v>279924013808.42999</v>
      </c>
      <c r="J391">
        <v>7.7718999999999996E-2</v>
      </c>
      <c r="K391">
        <v>6.2059999999999997E-3</v>
      </c>
      <c r="M391" t="s">
        <v>0</v>
      </c>
      <c r="N391">
        <v>5500</v>
      </c>
      <c r="O391">
        <v>96</v>
      </c>
      <c r="P391">
        <v>14566</v>
      </c>
      <c r="Q391">
        <v>0</v>
      </c>
      <c r="R391">
        <v>191747885026</v>
      </c>
      <c r="S391">
        <v>360815841.87</v>
      </c>
      <c r="T391">
        <v>190097901767.73001</v>
      </c>
      <c r="U391">
        <v>191077194425.25</v>
      </c>
      <c r="V391">
        <v>7.7760999999999997E-2</v>
      </c>
      <c r="W391">
        <v>1.9220999999999999E-2</v>
      </c>
    </row>
    <row r="392" spans="1:23" x14ac:dyDescent="0.35">
      <c r="A392" t="s">
        <v>0</v>
      </c>
      <c r="B392">
        <v>3000</v>
      </c>
      <c r="C392">
        <v>72</v>
      </c>
      <c r="D392">
        <v>143184</v>
      </c>
      <c r="E392">
        <v>0</v>
      </c>
      <c r="F392">
        <v>2957005384983</v>
      </c>
      <c r="G392">
        <v>6890340210.6899996</v>
      </c>
      <c r="H392">
        <v>2936151236083</v>
      </c>
      <c r="I392">
        <v>2948662203658.5698</v>
      </c>
      <c r="J392">
        <v>5.5218000000000003E-2</v>
      </c>
      <c r="K392">
        <v>5.8799999999999998E-3</v>
      </c>
      <c r="M392" t="s">
        <v>1</v>
      </c>
      <c r="N392">
        <v>2250</v>
      </c>
      <c r="O392">
        <v>168</v>
      </c>
      <c r="P392">
        <v>14</v>
      </c>
      <c r="Q392">
        <v>0</v>
      </c>
      <c r="R392">
        <v>117720801</v>
      </c>
      <c r="S392">
        <v>465344.01</v>
      </c>
      <c r="T392">
        <v>117255456.98999999</v>
      </c>
      <c r="U392">
        <v>117255456.98999999</v>
      </c>
      <c r="V392">
        <v>0</v>
      </c>
      <c r="W392">
        <v>0</v>
      </c>
    </row>
    <row r="393" spans="1:23" x14ac:dyDescent="0.35">
      <c r="A393" t="s">
        <v>1</v>
      </c>
      <c r="B393">
        <v>3000</v>
      </c>
      <c r="C393">
        <v>72</v>
      </c>
      <c r="D393">
        <v>96339</v>
      </c>
      <c r="E393">
        <v>0</v>
      </c>
      <c r="F393">
        <v>2383873713642</v>
      </c>
      <c r="G393">
        <v>5599179733.4399996</v>
      </c>
      <c r="H393">
        <v>2363520405133</v>
      </c>
      <c r="I393">
        <v>2376093624152.0098</v>
      </c>
      <c r="J393">
        <v>7.1792999999999996E-2</v>
      </c>
      <c r="K393">
        <v>1.0923E-2</v>
      </c>
      <c r="M393" t="s">
        <v>2</v>
      </c>
      <c r="N393">
        <v>3000</v>
      </c>
      <c r="O393">
        <v>72</v>
      </c>
      <c r="P393">
        <v>16947</v>
      </c>
      <c r="Q393">
        <v>0</v>
      </c>
      <c r="R393">
        <v>265106638937</v>
      </c>
      <c r="S393">
        <v>613636346.02999997</v>
      </c>
      <c r="T393">
        <v>263304906380.54999</v>
      </c>
      <c r="U393">
        <v>264391245917.81</v>
      </c>
      <c r="V393">
        <v>5.2472999999999999E-2</v>
      </c>
      <c r="W393">
        <v>4.5960000000000003E-3</v>
      </c>
    </row>
    <row r="394" spans="1:23" x14ac:dyDescent="0.35">
      <c r="A394" t="s">
        <v>2</v>
      </c>
      <c r="B394">
        <v>2250</v>
      </c>
      <c r="C394">
        <v>168</v>
      </c>
      <c r="D394">
        <v>1</v>
      </c>
      <c r="E394">
        <v>0</v>
      </c>
      <c r="F394">
        <v>4390105</v>
      </c>
      <c r="G394">
        <v>17377.71</v>
      </c>
      <c r="H394">
        <v>4371462</v>
      </c>
      <c r="I394">
        <v>4371462</v>
      </c>
      <c r="J394">
        <v>3.4529999999999999E-3</v>
      </c>
      <c r="K394">
        <v>3.4529999999999999E-3</v>
      </c>
      <c r="M394" t="s">
        <v>0</v>
      </c>
      <c r="N394">
        <v>3000</v>
      </c>
      <c r="O394">
        <v>72</v>
      </c>
      <c r="P394">
        <v>130145</v>
      </c>
      <c r="Q394">
        <v>0</v>
      </c>
      <c r="R394">
        <v>2706900393574</v>
      </c>
      <c r="S394">
        <v>6290253618.3100004</v>
      </c>
      <c r="T394">
        <v>2689630432734.4102</v>
      </c>
      <c r="U394">
        <v>2700038354945.3501</v>
      </c>
      <c r="V394">
        <v>4.7602999999999999E-2</v>
      </c>
      <c r="W394">
        <v>2.532E-3</v>
      </c>
    </row>
    <row r="395" spans="1:23" x14ac:dyDescent="0.35">
      <c r="A395" t="s">
        <v>0</v>
      </c>
      <c r="B395">
        <v>3500</v>
      </c>
      <c r="C395">
        <v>84</v>
      </c>
      <c r="D395">
        <v>44253</v>
      </c>
      <c r="E395">
        <v>0</v>
      </c>
      <c r="F395">
        <v>860948729789</v>
      </c>
      <c r="G395">
        <v>1963298765.6800001</v>
      </c>
      <c r="H395">
        <v>854353949547</v>
      </c>
      <c r="I395">
        <v>858383620048.12</v>
      </c>
      <c r="J395">
        <v>6.2677999999999998E-2</v>
      </c>
      <c r="K395">
        <v>8.3560000000000006E-3</v>
      </c>
      <c r="M395" t="s">
        <v>1</v>
      </c>
      <c r="N395">
        <v>3000</v>
      </c>
      <c r="O395">
        <v>72</v>
      </c>
      <c r="P395">
        <v>94030</v>
      </c>
      <c r="Q395">
        <v>0</v>
      </c>
      <c r="R395">
        <v>2337992010021</v>
      </c>
      <c r="S395">
        <v>5472694421.0100002</v>
      </c>
      <c r="T395">
        <v>2319469684054.8799</v>
      </c>
      <c r="U395">
        <v>2331623835166.1899</v>
      </c>
      <c r="V395">
        <v>6.4960000000000004E-2</v>
      </c>
      <c r="W395">
        <v>4.5859999999999998E-3</v>
      </c>
    </row>
    <row r="396" spans="1:23" x14ac:dyDescent="0.35">
      <c r="A396" t="s">
        <v>2</v>
      </c>
      <c r="B396">
        <v>3500</v>
      </c>
      <c r="C396">
        <v>84</v>
      </c>
      <c r="D396">
        <v>7240</v>
      </c>
      <c r="E396">
        <v>0</v>
      </c>
      <c r="F396">
        <v>105184567203</v>
      </c>
      <c r="G396">
        <v>239578079.96000001</v>
      </c>
      <c r="H396">
        <v>104261867973</v>
      </c>
      <c r="I396">
        <v>104881800207.02</v>
      </c>
      <c r="J396">
        <v>7.5209999999999999E-2</v>
      </c>
      <c r="K396">
        <v>7.1850000000000004E-3</v>
      </c>
      <c r="M396" t="s">
        <v>2</v>
      </c>
      <c r="N396">
        <v>2250</v>
      </c>
      <c r="O396">
        <v>168</v>
      </c>
      <c r="P396">
        <v>1</v>
      </c>
      <c r="Q396">
        <v>0</v>
      </c>
      <c r="R396">
        <v>4390105</v>
      </c>
      <c r="S396">
        <v>17276.93</v>
      </c>
      <c r="T396">
        <v>4372828.07</v>
      </c>
      <c r="U396">
        <v>4372828.07</v>
      </c>
      <c r="V396">
        <v>0</v>
      </c>
      <c r="W396">
        <v>0</v>
      </c>
    </row>
    <row r="397" spans="1:23" x14ac:dyDescent="0.35">
      <c r="A397" t="s">
        <v>1</v>
      </c>
      <c r="B397">
        <v>3500</v>
      </c>
      <c r="C397">
        <v>84</v>
      </c>
      <c r="D397">
        <v>34952</v>
      </c>
      <c r="E397">
        <v>0</v>
      </c>
      <c r="F397">
        <v>771714853582</v>
      </c>
      <c r="G397">
        <v>1764652574.8299999</v>
      </c>
      <c r="H397">
        <v>764080631655</v>
      </c>
      <c r="I397">
        <v>769118738863.64001</v>
      </c>
      <c r="J397">
        <v>8.7548000000000001E-2</v>
      </c>
      <c r="K397">
        <v>1.2853E-2</v>
      </c>
      <c r="M397" t="s">
        <v>0</v>
      </c>
      <c r="N397">
        <v>4500</v>
      </c>
      <c r="O397">
        <v>84</v>
      </c>
      <c r="P397">
        <v>30960</v>
      </c>
      <c r="Q397">
        <v>0</v>
      </c>
      <c r="R397">
        <v>477526325238</v>
      </c>
      <c r="S397">
        <v>967437620.40999997</v>
      </c>
      <c r="T397">
        <v>473534322638.19</v>
      </c>
      <c r="U397">
        <v>475919020935.88</v>
      </c>
      <c r="V397">
        <v>7.3413000000000006E-2</v>
      </c>
      <c r="W397">
        <v>1.5962E-2</v>
      </c>
    </row>
    <row r="398" spans="1:23" x14ac:dyDescent="0.35">
      <c r="A398" t="s">
        <v>2</v>
      </c>
      <c r="B398">
        <v>4000</v>
      </c>
      <c r="C398">
        <v>84</v>
      </c>
      <c r="D398">
        <v>8547</v>
      </c>
      <c r="E398">
        <v>0</v>
      </c>
      <c r="F398">
        <v>108852824147</v>
      </c>
      <c r="G398">
        <v>234319601.36000001</v>
      </c>
      <c r="H398">
        <v>107957840370</v>
      </c>
      <c r="I398">
        <v>108503978531.74001</v>
      </c>
      <c r="J398">
        <v>7.0448999999999998E-2</v>
      </c>
      <c r="K398">
        <v>1.2553E-2</v>
      </c>
      <c r="M398" t="s">
        <v>0</v>
      </c>
      <c r="N398">
        <v>3500</v>
      </c>
      <c r="O398">
        <v>84</v>
      </c>
      <c r="P398">
        <v>37735</v>
      </c>
      <c r="Q398">
        <v>0</v>
      </c>
      <c r="R398">
        <v>735491387006</v>
      </c>
      <c r="S398">
        <v>1672323160.2</v>
      </c>
      <c r="T398">
        <v>730469461110.65002</v>
      </c>
      <c r="U398">
        <v>733671660695.60999</v>
      </c>
      <c r="V398">
        <v>5.3303000000000003E-2</v>
      </c>
      <c r="W398">
        <v>2.4020000000000001E-3</v>
      </c>
    </row>
    <row r="399" spans="1:23" x14ac:dyDescent="0.35">
      <c r="A399" t="s">
        <v>0</v>
      </c>
      <c r="B399">
        <v>4000</v>
      </c>
      <c r="C399">
        <v>84</v>
      </c>
      <c r="D399">
        <v>49935</v>
      </c>
      <c r="E399">
        <v>0</v>
      </c>
      <c r="F399">
        <v>840663357332</v>
      </c>
      <c r="G399">
        <v>1810760368.98</v>
      </c>
      <c r="H399">
        <v>833558519779</v>
      </c>
      <c r="I399">
        <v>837953605505.27002</v>
      </c>
      <c r="J399">
        <v>7.3007000000000002E-2</v>
      </c>
      <c r="K399">
        <v>1.2756999999999999E-2</v>
      </c>
      <c r="M399" t="s">
        <v>2</v>
      </c>
      <c r="N399">
        <v>3500</v>
      </c>
      <c r="O399">
        <v>84</v>
      </c>
      <c r="P399">
        <v>6014</v>
      </c>
      <c r="Q399">
        <v>0</v>
      </c>
      <c r="R399">
        <v>87418348682</v>
      </c>
      <c r="S399">
        <v>198642644.16</v>
      </c>
      <c r="T399">
        <v>86789254494.119995</v>
      </c>
      <c r="U399">
        <v>87175705000.460007</v>
      </c>
      <c r="V399">
        <v>5.7514000000000003E-2</v>
      </c>
      <c r="W399">
        <v>6.0229999999999997E-3</v>
      </c>
    </row>
    <row r="400" spans="1:23" x14ac:dyDescent="0.35">
      <c r="A400" t="s">
        <v>0</v>
      </c>
      <c r="B400">
        <v>4500</v>
      </c>
      <c r="C400">
        <v>84</v>
      </c>
      <c r="D400">
        <v>30875</v>
      </c>
      <c r="E400">
        <v>0</v>
      </c>
      <c r="F400">
        <v>475019142288</v>
      </c>
      <c r="G400">
        <v>965097152.26999998</v>
      </c>
      <c r="H400">
        <v>470996566711</v>
      </c>
      <c r="I400">
        <v>473417982735.27002</v>
      </c>
      <c r="J400">
        <v>7.4562000000000003E-2</v>
      </c>
      <c r="K400">
        <v>1.5949999999999999E-2</v>
      </c>
      <c r="M400" t="s">
        <v>1</v>
      </c>
      <c r="N400">
        <v>3500</v>
      </c>
      <c r="O400">
        <v>84</v>
      </c>
      <c r="P400">
        <v>30143</v>
      </c>
      <c r="Q400">
        <v>0</v>
      </c>
      <c r="R400">
        <v>669148825194</v>
      </c>
      <c r="S400">
        <v>1525546028.1099999</v>
      </c>
      <c r="T400">
        <v>663989904354.60999</v>
      </c>
      <c r="U400">
        <v>667229005904.68005</v>
      </c>
      <c r="V400">
        <v>6.3246999999999998E-2</v>
      </c>
      <c r="W400">
        <v>7.0479999999999996E-3</v>
      </c>
    </row>
    <row r="401" spans="1:23" x14ac:dyDescent="0.35">
      <c r="A401" t="s">
        <v>2</v>
      </c>
      <c r="B401">
        <v>4500</v>
      </c>
      <c r="C401">
        <v>84</v>
      </c>
      <c r="D401">
        <v>5131</v>
      </c>
      <c r="E401">
        <v>0</v>
      </c>
      <c r="F401">
        <v>58206580937</v>
      </c>
      <c r="G401">
        <v>118772489.33</v>
      </c>
      <c r="H401">
        <v>57687052169</v>
      </c>
      <c r="I401">
        <v>58009912395.910004</v>
      </c>
      <c r="J401">
        <v>7.9562999999999995E-2</v>
      </c>
      <c r="K401">
        <v>1.5942000000000001E-2</v>
      </c>
      <c r="M401" t="s">
        <v>2</v>
      </c>
      <c r="N401">
        <v>4000</v>
      </c>
      <c r="O401">
        <v>84</v>
      </c>
      <c r="P401">
        <v>7907</v>
      </c>
      <c r="Q401">
        <v>0</v>
      </c>
      <c r="R401">
        <v>100966373495</v>
      </c>
      <c r="S401">
        <v>216618821.97</v>
      </c>
      <c r="T401">
        <v>100196865408.11</v>
      </c>
      <c r="U401">
        <v>100618424089.46001</v>
      </c>
      <c r="V401">
        <v>6.3768000000000005E-2</v>
      </c>
      <c r="W401">
        <v>1.5498E-2</v>
      </c>
    </row>
    <row r="402" spans="1:23" x14ac:dyDescent="0.35">
      <c r="A402" t="s">
        <v>0</v>
      </c>
      <c r="B402">
        <v>2250</v>
      </c>
      <c r="C402">
        <v>168</v>
      </c>
      <c r="D402">
        <v>12</v>
      </c>
      <c r="E402">
        <v>0</v>
      </c>
      <c r="F402">
        <v>113306018</v>
      </c>
      <c r="G402">
        <v>439999.35</v>
      </c>
      <c r="H402">
        <v>112731842</v>
      </c>
      <c r="I402">
        <v>112731842</v>
      </c>
      <c r="J402">
        <v>1.4118E-2</v>
      </c>
      <c r="K402">
        <v>1.4118E-2</v>
      </c>
      <c r="M402" t="s">
        <v>0</v>
      </c>
      <c r="N402">
        <v>4000</v>
      </c>
      <c r="O402">
        <v>84</v>
      </c>
      <c r="P402">
        <v>46060</v>
      </c>
      <c r="Q402">
        <v>0</v>
      </c>
      <c r="R402">
        <v>784282570476</v>
      </c>
      <c r="S402">
        <v>1683402149.04</v>
      </c>
      <c r="T402">
        <v>777971380485</v>
      </c>
      <c r="U402">
        <v>781992037740</v>
      </c>
      <c r="V402">
        <v>6.8555000000000005E-2</v>
      </c>
      <c r="W402">
        <v>9.2499999999999995E-3</v>
      </c>
    </row>
    <row r="403" spans="1:23" x14ac:dyDescent="0.35">
      <c r="A403" t="s">
        <v>2</v>
      </c>
      <c r="B403">
        <v>4750</v>
      </c>
      <c r="C403">
        <v>168</v>
      </c>
      <c r="D403">
        <v>3201</v>
      </c>
      <c r="E403">
        <v>0</v>
      </c>
      <c r="F403">
        <v>25710477381</v>
      </c>
      <c r="G403">
        <v>78065069.670000002</v>
      </c>
      <c r="H403">
        <v>25446056067</v>
      </c>
      <c r="I403">
        <v>25611445714.48</v>
      </c>
      <c r="J403">
        <v>8.3594000000000002E-2</v>
      </c>
      <c r="K403">
        <v>9.7420000000000007E-3</v>
      </c>
      <c r="M403" t="s">
        <v>2</v>
      </c>
      <c r="N403">
        <v>4500</v>
      </c>
      <c r="O403">
        <v>84</v>
      </c>
      <c r="P403">
        <v>5065</v>
      </c>
      <c r="Q403">
        <v>0</v>
      </c>
      <c r="R403">
        <v>57630704455</v>
      </c>
      <c r="S403">
        <v>117121639.17</v>
      </c>
      <c r="T403">
        <v>57163683634.650002</v>
      </c>
      <c r="U403">
        <v>57445189535.110001</v>
      </c>
      <c r="V403">
        <v>7.0472999999999994E-2</v>
      </c>
      <c r="W403">
        <v>1.4148000000000001E-2</v>
      </c>
    </row>
    <row r="404" spans="1:23" x14ac:dyDescent="0.35">
      <c r="A404" t="s">
        <v>0</v>
      </c>
      <c r="B404">
        <v>3250</v>
      </c>
      <c r="C404">
        <v>144</v>
      </c>
      <c r="D404">
        <v>6873</v>
      </c>
      <c r="E404">
        <v>0</v>
      </c>
      <c r="F404">
        <v>85735996789</v>
      </c>
      <c r="G404">
        <v>268524893.36000001</v>
      </c>
      <c r="H404">
        <v>84955565013</v>
      </c>
      <c r="I404">
        <v>85281520547.009995</v>
      </c>
      <c r="J404">
        <v>6.9342000000000001E-2</v>
      </c>
      <c r="K404">
        <v>2.5718000000000001E-2</v>
      </c>
      <c r="M404" t="s">
        <v>0</v>
      </c>
      <c r="N404">
        <v>2250</v>
      </c>
      <c r="O404">
        <v>168</v>
      </c>
      <c r="P404">
        <v>12</v>
      </c>
      <c r="Q404">
        <v>0</v>
      </c>
      <c r="R404">
        <v>113765386</v>
      </c>
      <c r="S404">
        <v>439260.32</v>
      </c>
      <c r="T404">
        <v>113326125.68000001</v>
      </c>
      <c r="U404">
        <v>113326125.68000001</v>
      </c>
      <c r="V404">
        <v>0</v>
      </c>
      <c r="W404">
        <v>0</v>
      </c>
    </row>
    <row r="405" spans="1:23" x14ac:dyDescent="0.35">
      <c r="A405" t="s">
        <v>0</v>
      </c>
      <c r="B405">
        <v>4750</v>
      </c>
      <c r="C405">
        <v>144</v>
      </c>
      <c r="D405">
        <v>27537</v>
      </c>
      <c r="E405">
        <v>0</v>
      </c>
      <c r="F405">
        <v>242122361250</v>
      </c>
      <c r="G405">
        <v>674847901.07000005</v>
      </c>
      <c r="H405">
        <v>239805883069</v>
      </c>
      <c r="I405">
        <v>241020166105.44</v>
      </c>
      <c r="J405">
        <v>7.8395000000000006E-2</v>
      </c>
      <c r="K405">
        <v>2.0976000000000002E-2</v>
      </c>
      <c r="M405" t="s">
        <v>2</v>
      </c>
      <c r="N405">
        <v>4750</v>
      </c>
      <c r="O405">
        <v>168</v>
      </c>
      <c r="P405">
        <v>2805</v>
      </c>
      <c r="Q405">
        <v>0</v>
      </c>
      <c r="R405">
        <v>22631944596</v>
      </c>
      <c r="S405">
        <v>68461104.840000004</v>
      </c>
      <c r="T405">
        <v>22375088815.950001</v>
      </c>
      <c r="U405">
        <v>22530395858.93</v>
      </c>
      <c r="V405">
        <v>9.5443E-2</v>
      </c>
      <c r="W405">
        <v>1.7402999999999998E-2</v>
      </c>
    </row>
    <row r="406" spans="1:23" x14ac:dyDescent="0.35">
      <c r="A406" t="s">
        <v>0</v>
      </c>
      <c r="B406">
        <v>4250</v>
      </c>
      <c r="C406">
        <v>144</v>
      </c>
      <c r="D406">
        <v>82733</v>
      </c>
      <c r="E406">
        <v>0</v>
      </c>
      <c r="F406">
        <v>867640208721</v>
      </c>
      <c r="G406">
        <v>2487049090.27</v>
      </c>
      <c r="H406">
        <v>859555614485</v>
      </c>
      <c r="I406">
        <v>863801188662.35999</v>
      </c>
      <c r="J406">
        <v>7.4729000000000004E-2</v>
      </c>
      <c r="K406">
        <v>1.8539E-2</v>
      </c>
      <c r="M406" t="s">
        <v>0</v>
      </c>
      <c r="N406">
        <v>4250</v>
      </c>
      <c r="O406">
        <v>144</v>
      </c>
      <c r="P406">
        <v>82144</v>
      </c>
      <c r="Q406">
        <v>0</v>
      </c>
      <c r="R406">
        <v>859930748404</v>
      </c>
      <c r="S406">
        <v>2461220420.1300001</v>
      </c>
      <c r="T406">
        <v>852869553472.53003</v>
      </c>
      <c r="U406">
        <v>856978986543.71997</v>
      </c>
      <c r="V406">
        <v>6.2336000000000003E-2</v>
      </c>
      <c r="W406">
        <v>6.8240000000000002E-3</v>
      </c>
    </row>
    <row r="407" spans="1:23" x14ac:dyDescent="0.35">
      <c r="A407" t="s">
        <v>0</v>
      </c>
      <c r="B407">
        <v>2000</v>
      </c>
      <c r="C407">
        <v>144</v>
      </c>
      <c r="D407">
        <v>8</v>
      </c>
      <c r="E407">
        <v>0</v>
      </c>
      <c r="F407">
        <v>70437042</v>
      </c>
      <c r="G407">
        <v>260971.76</v>
      </c>
      <c r="H407">
        <v>70166690</v>
      </c>
      <c r="I407">
        <v>70166690</v>
      </c>
      <c r="J407">
        <v>1.5969999999999999E-3</v>
      </c>
      <c r="K407">
        <v>1.5969999999999999E-3</v>
      </c>
      <c r="M407" t="s">
        <v>0</v>
      </c>
      <c r="N407">
        <v>3250</v>
      </c>
      <c r="O407">
        <v>144</v>
      </c>
      <c r="P407">
        <v>6806</v>
      </c>
      <c r="Q407">
        <v>0</v>
      </c>
      <c r="R407">
        <v>85064282836</v>
      </c>
      <c r="S407">
        <v>265340526.06999999</v>
      </c>
      <c r="T407">
        <v>84332724612.020004</v>
      </c>
      <c r="U407">
        <v>84789422906.869995</v>
      </c>
      <c r="V407">
        <v>6.3822000000000004E-2</v>
      </c>
      <c r="W407">
        <v>1.3420000000000001E-3</v>
      </c>
    </row>
    <row r="408" spans="1:23" x14ac:dyDescent="0.35">
      <c r="A408" t="s">
        <v>2</v>
      </c>
      <c r="B408">
        <v>4250</v>
      </c>
      <c r="C408">
        <v>144</v>
      </c>
      <c r="D408">
        <v>16951</v>
      </c>
      <c r="E408">
        <v>0</v>
      </c>
      <c r="F408">
        <v>151397269893</v>
      </c>
      <c r="G408">
        <v>441788603.17000002</v>
      </c>
      <c r="H408">
        <v>149970835758</v>
      </c>
      <c r="I408">
        <v>150797820063</v>
      </c>
      <c r="J408">
        <v>7.5313000000000005E-2</v>
      </c>
      <c r="K408">
        <v>1.2425E-2</v>
      </c>
      <c r="M408" t="s">
        <v>0</v>
      </c>
      <c r="N408">
        <v>4750</v>
      </c>
      <c r="O408">
        <v>144</v>
      </c>
      <c r="P408">
        <v>29266</v>
      </c>
      <c r="Q408">
        <v>0</v>
      </c>
      <c r="R408">
        <v>257491343452</v>
      </c>
      <c r="S408">
        <v>717785889.92999995</v>
      </c>
      <c r="T408">
        <v>255416940823.87</v>
      </c>
      <c r="U408">
        <v>256559929038.38</v>
      </c>
      <c r="V408">
        <v>6.1422999999999998E-2</v>
      </c>
      <c r="W408">
        <v>9.9109999999999997E-3</v>
      </c>
    </row>
    <row r="409" spans="1:23" x14ac:dyDescent="0.35">
      <c r="A409" t="s">
        <v>1</v>
      </c>
      <c r="B409">
        <v>2750</v>
      </c>
      <c r="C409">
        <v>144</v>
      </c>
      <c r="D409">
        <v>422</v>
      </c>
      <c r="E409">
        <v>0</v>
      </c>
      <c r="F409">
        <v>6165150560</v>
      </c>
      <c r="G409">
        <v>20423849.170000002</v>
      </c>
      <c r="H409">
        <v>6131851465</v>
      </c>
      <c r="I409">
        <v>6131851465</v>
      </c>
      <c r="J409">
        <v>2.4774999999999998E-2</v>
      </c>
      <c r="K409">
        <v>2.4774999999999998E-2</v>
      </c>
      <c r="M409" t="s">
        <v>0</v>
      </c>
      <c r="N409">
        <v>2000</v>
      </c>
      <c r="O409">
        <v>144</v>
      </c>
      <c r="P409">
        <v>8</v>
      </c>
      <c r="Q409">
        <v>0</v>
      </c>
      <c r="R409">
        <v>64333563</v>
      </c>
      <c r="S409">
        <v>240190.94</v>
      </c>
      <c r="T409">
        <v>60623841.909999996</v>
      </c>
      <c r="U409">
        <v>64093372.060000002</v>
      </c>
      <c r="V409">
        <v>0.48586499999999999</v>
      </c>
      <c r="W409">
        <v>0</v>
      </c>
    </row>
    <row r="410" spans="1:23" x14ac:dyDescent="0.35">
      <c r="A410" t="s">
        <v>3</v>
      </c>
      <c r="B410">
        <v>4500</v>
      </c>
      <c r="C410">
        <v>144</v>
      </c>
      <c r="D410">
        <v>297</v>
      </c>
      <c r="E410">
        <v>0</v>
      </c>
      <c r="F410">
        <v>2761282733</v>
      </c>
      <c r="G410">
        <v>7837864.3499999996</v>
      </c>
      <c r="H410">
        <v>2727235234</v>
      </c>
      <c r="I410">
        <v>2752204379.5599999</v>
      </c>
      <c r="J410">
        <v>0.10814</v>
      </c>
      <c r="K410">
        <v>5.378E-3</v>
      </c>
      <c r="M410" t="s">
        <v>2</v>
      </c>
      <c r="N410">
        <v>4250</v>
      </c>
      <c r="O410">
        <v>144</v>
      </c>
      <c r="P410">
        <v>17361</v>
      </c>
      <c r="Q410">
        <v>0</v>
      </c>
      <c r="R410">
        <v>155487541774</v>
      </c>
      <c r="S410">
        <v>453160811.76999998</v>
      </c>
      <c r="T410">
        <v>154212826573.57999</v>
      </c>
      <c r="U410">
        <v>155007326630.92999</v>
      </c>
      <c r="V410">
        <v>6.1594000000000003E-2</v>
      </c>
      <c r="W410">
        <v>2.0860000000000002E-3</v>
      </c>
    </row>
    <row r="411" spans="1:23" x14ac:dyDescent="0.35">
      <c r="A411" t="s">
        <v>2</v>
      </c>
      <c r="B411">
        <v>3250</v>
      </c>
      <c r="C411">
        <v>144</v>
      </c>
      <c r="D411">
        <v>1498</v>
      </c>
      <c r="E411">
        <v>0</v>
      </c>
      <c r="F411">
        <v>15751042411</v>
      </c>
      <c r="G411">
        <v>49395204</v>
      </c>
      <c r="H411">
        <v>15620813868</v>
      </c>
      <c r="I411">
        <v>15690402836.98</v>
      </c>
      <c r="J411">
        <v>5.9873999999999997E-2</v>
      </c>
      <c r="K411">
        <v>8.5330000000000007E-3</v>
      </c>
      <c r="M411" t="s">
        <v>1</v>
      </c>
      <c r="N411">
        <v>2750</v>
      </c>
      <c r="O411">
        <v>144</v>
      </c>
      <c r="P411">
        <v>424</v>
      </c>
      <c r="Q411">
        <v>0</v>
      </c>
      <c r="R411">
        <v>6204915303</v>
      </c>
      <c r="S411">
        <v>20442514.34</v>
      </c>
      <c r="T411">
        <v>6167828085.7299995</v>
      </c>
      <c r="U411">
        <v>6184472788.6599998</v>
      </c>
      <c r="V411">
        <v>3.1718999999999997E-2</v>
      </c>
      <c r="W411">
        <v>0</v>
      </c>
    </row>
    <row r="412" spans="1:23" x14ac:dyDescent="0.35">
      <c r="A412" t="s">
        <v>1</v>
      </c>
      <c r="B412">
        <v>5500</v>
      </c>
      <c r="C412">
        <v>108</v>
      </c>
      <c r="D412">
        <v>91</v>
      </c>
      <c r="E412">
        <v>0</v>
      </c>
      <c r="F412">
        <v>960685249</v>
      </c>
      <c r="G412">
        <v>1939635.53</v>
      </c>
      <c r="H412">
        <v>958794500</v>
      </c>
      <c r="I412">
        <v>958794500</v>
      </c>
      <c r="J412">
        <v>-6.11E-4</v>
      </c>
      <c r="K412">
        <v>-6.11E-4</v>
      </c>
      <c r="M412" t="s">
        <v>3</v>
      </c>
      <c r="N412">
        <v>4500</v>
      </c>
      <c r="O412">
        <v>144</v>
      </c>
      <c r="P412">
        <v>292</v>
      </c>
      <c r="Q412">
        <v>0</v>
      </c>
      <c r="R412">
        <v>2765097695</v>
      </c>
      <c r="S412">
        <v>7834927.2300000004</v>
      </c>
      <c r="T412">
        <v>2749013552.8400002</v>
      </c>
      <c r="U412">
        <v>2757262767.77</v>
      </c>
      <c r="V412">
        <v>3.5217999999999999E-2</v>
      </c>
      <c r="W412">
        <v>0</v>
      </c>
    </row>
    <row r="413" spans="1:23" x14ac:dyDescent="0.35">
      <c r="A413" t="s">
        <v>0</v>
      </c>
      <c r="B413">
        <v>5500</v>
      </c>
      <c r="C413">
        <v>108</v>
      </c>
      <c r="D413">
        <v>1789</v>
      </c>
      <c r="E413">
        <v>0</v>
      </c>
      <c r="F413">
        <v>19890682876</v>
      </c>
      <c r="G413">
        <v>40418251.399999999</v>
      </c>
      <c r="H413">
        <v>19739198967</v>
      </c>
      <c r="I413">
        <v>19822284035.549999</v>
      </c>
      <c r="J413">
        <v>6.4986000000000002E-2</v>
      </c>
      <c r="K413">
        <v>1.6750999999999999E-2</v>
      </c>
      <c r="M413" t="s">
        <v>2</v>
      </c>
      <c r="N413">
        <v>3250</v>
      </c>
      <c r="O413">
        <v>144</v>
      </c>
      <c r="P413">
        <v>1482</v>
      </c>
      <c r="Q413">
        <v>0</v>
      </c>
      <c r="R413">
        <v>15608667642</v>
      </c>
      <c r="S413">
        <v>48724198.799999997</v>
      </c>
      <c r="T413">
        <v>15514732102.309999</v>
      </c>
      <c r="U413">
        <v>15559943443.200001</v>
      </c>
      <c r="V413">
        <v>3.4209999999999997E-2</v>
      </c>
      <c r="W413">
        <v>0</v>
      </c>
    </row>
    <row r="414" spans="1:23" x14ac:dyDescent="0.35">
      <c r="A414" t="s">
        <v>0</v>
      </c>
      <c r="B414">
        <v>2750</v>
      </c>
      <c r="C414">
        <v>144</v>
      </c>
      <c r="D414">
        <v>67</v>
      </c>
      <c r="E414">
        <v>0</v>
      </c>
      <c r="F414">
        <v>722938993</v>
      </c>
      <c r="G414">
        <v>2378601.11</v>
      </c>
      <c r="H414">
        <v>720554892</v>
      </c>
      <c r="I414">
        <v>720554892</v>
      </c>
      <c r="J414">
        <v>9.1000000000000003E-5</v>
      </c>
      <c r="K414">
        <v>9.1000000000000003E-5</v>
      </c>
      <c r="M414" t="s">
        <v>1</v>
      </c>
      <c r="N414">
        <v>5500</v>
      </c>
      <c r="O414">
        <v>108</v>
      </c>
      <c r="P414">
        <v>80</v>
      </c>
      <c r="Q414">
        <v>0</v>
      </c>
      <c r="R414">
        <v>833778293</v>
      </c>
      <c r="S414">
        <v>1680147.7</v>
      </c>
      <c r="T414">
        <v>832098145.29999995</v>
      </c>
      <c r="U414">
        <v>832098145.29999995</v>
      </c>
      <c r="V414">
        <v>0</v>
      </c>
      <c r="W414">
        <v>0</v>
      </c>
    </row>
    <row r="415" spans="1:23" x14ac:dyDescent="0.35">
      <c r="A415" t="s">
        <v>3</v>
      </c>
      <c r="B415">
        <v>3500</v>
      </c>
      <c r="C415">
        <v>144</v>
      </c>
      <c r="D415">
        <v>160</v>
      </c>
      <c r="E415">
        <v>0</v>
      </c>
      <c r="F415">
        <v>2401508335</v>
      </c>
      <c r="G415">
        <v>7363666.1200000001</v>
      </c>
      <c r="H415">
        <v>2392501578</v>
      </c>
      <c r="I415">
        <v>2392501578</v>
      </c>
      <c r="J415">
        <v>8.1790000000000005E-3</v>
      </c>
      <c r="K415">
        <v>8.1790000000000005E-3</v>
      </c>
      <c r="M415" t="s">
        <v>0</v>
      </c>
      <c r="N415">
        <v>5500</v>
      </c>
      <c r="O415">
        <v>108</v>
      </c>
      <c r="P415">
        <v>1565</v>
      </c>
      <c r="Q415">
        <v>0</v>
      </c>
      <c r="R415">
        <v>17267660946</v>
      </c>
      <c r="S415">
        <v>35062149.329999998</v>
      </c>
      <c r="T415">
        <v>17106749744.299999</v>
      </c>
      <c r="U415">
        <v>17202244977.860001</v>
      </c>
      <c r="V415">
        <v>8.4036E-2</v>
      </c>
      <c r="W415">
        <v>2.0891E-2</v>
      </c>
    </row>
    <row r="416" spans="1:23" x14ac:dyDescent="0.35">
      <c r="A416" t="s">
        <v>1</v>
      </c>
      <c r="B416">
        <v>5500</v>
      </c>
      <c r="C416">
        <v>144</v>
      </c>
      <c r="D416">
        <v>17</v>
      </c>
      <c r="E416">
        <v>0</v>
      </c>
      <c r="F416">
        <v>146757363</v>
      </c>
      <c r="G416">
        <v>367188.1</v>
      </c>
      <c r="H416">
        <v>146363150</v>
      </c>
      <c r="I416">
        <v>146363150</v>
      </c>
      <c r="J416">
        <v>2.2079999999999999E-3</v>
      </c>
      <c r="K416">
        <v>2.2079999999999999E-3</v>
      </c>
      <c r="M416" t="s">
        <v>0</v>
      </c>
      <c r="N416">
        <v>2750</v>
      </c>
      <c r="O416">
        <v>144</v>
      </c>
      <c r="P416">
        <v>62</v>
      </c>
      <c r="Q416">
        <v>0</v>
      </c>
      <c r="R416">
        <v>670876485</v>
      </c>
      <c r="S416">
        <v>2202845.35</v>
      </c>
      <c r="T416">
        <v>668673639.64999998</v>
      </c>
      <c r="U416">
        <v>668673639.64999998</v>
      </c>
      <c r="V416">
        <v>0</v>
      </c>
      <c r="W416">
        <v>0</v>
      </c>
    </row>
    <row r="417" spans="1:23" x14ac:dyDescent="0.35">
      <c r="A417" t="s">
        <v>0</v>
      </c>
      <c r="B417">
        <v>6000</v>
      </c>
      <c r="C417">
        <v>144</v>
      </c>
      <c r="D417">
        <v>24</v>
      </c>
      <c r="E417">
        <v>0</v>
      </c>
      <c r="F417">
        <v>158998930</v>
      </c>
      <c r="G417">
        <v>381179</v>
      </c>
      <c r="H417">
        <v>158575826</v>
      </c>
      <c r="I417">
        <v>158575826</v>
      </c>
      <c r="J417">
        <v>3.16E-3</v>
      </c>
      <c r="K417">
        <v>3.16E-3</v>
      </c>
      <c r="M417" t="s">
        <v>3</v>
      </c>
      <c r="N417">
        <v>3500</v>
      </c>
      <c r="O417">
        <v>144</v>
      </c>
      <c r="P417">
        <v>161</v>
      </c>
      <c r="Q417">
        <v>0</v>
      </c>
      <c r="R417">
        <v>2446806413</v>
      </c>
      <c r="S417">
        <v>7462019.8600000003</v>
      </c>
      <c r="T417">
        <v>2403155145.4099998</v>
      </c>
      <c r="U417">
        <v>2439344393.1399999</v>
      </c>
      <c r="V417">
        <v>0.16373599999999999</v>
      </c>
      <c r="W417">
        <v>0</v>
      </c>
    </row>
    <row r="418" spans="1:23" x14ac:dyDescent="0.35">
      <c r="A418" t="s">
        <v>2</v>
      </c>
      <c r="B418">
        <v>2750</v>
      </c>
      <c r="C418">
        <v>144</v>
      </c>
      <c r="D418">
        <v>1</v>
      </c>
      <c r="E418">
        <v>0</v>
      </c>
      <c r="F418">
        <v>19757655</v>
      </c>
      <c r="G418">
        <v>64257.88</v>
      </c>
      <c r="H418">
        <v>19693375</v>
      </c>
      <c r="I418">
        <v>19693375</v>
      </c>
      <c r="J418">
        <v>1.2999999999999999E-5</v>
      </c>
      <c r="K418">
        <v>1.2999999999999999E-5</v>
      </c>
      <c r="M418" t="s">
        <v>1</v>
      </c>
      <c r="N418">
        <v>5500</v>
      </c>
      <c r="O418">
        <v>144</v>
      </c>
      <c r="P418">
        <v>17</v>
      </c>
      <c r="Q418">
        <v>0</v>
      </c>
      <c r="R418">
        <v>147035555</v>
      </c>
      <c r="S418">
        <v>365332.87</v>
      </c>
      <c r="T418">
        <v>146670222.13</v>
      </c>
      <c r="U418">
        <v>146670222.13</v>
      </c>
      <c r="V418">
        <v>0</v>
      </c>
      <c r="W418">
        <v>0</v>
      </c>
    </row>
    <row r="419" spans="1:23" x14ac:dyDescent="0.35">
      <c r="A419" t="s">
        <v>2</v>
      </c>
      <c r="B419">
        <v>4750</v>
      </c>
      <c r="C419">
        <v>144</v>
      </c>
      <c r="D419">
        <v>2818</v>
      </c>
      <c r="E419">
        <v>0</v>
      </c>
      <c r="F419">
        <v>20692972900</v>
      </c>
      <c r="G419">
        <v>58234109.140000001</v>
      </c>
      <c r="H419">
        <v>20477526831</v>
      </c>
      <c r="I419">
        <v>20618284684.689999</v>
      </c>
      <c r="J419">
        <v>8.7454000000000004E-2</v>
      </c>
      <c r="K419">
        <v>9.4999999999999998E-3</v>
      </c>
      <c r="M419" t="s">
        <v>0</v>
      </c>
      <c r="N419">
        <v>6000</v>
      </c>
      <c r="O419">
        <v>144</v>
      </c>
      <c r="P419">
        <v>24</v>
      </c>
      <c r="Q419">
        <v>0</v>
      </c>
      <c r="R419">
        <v>159252278</v>
      </c>
      <c r="S419">
        <v>379011.55</v>
      </c>
      <c r="T419">
        <v>158873266.44999999</v>
      </c>
      <c r="U419">
        <v>158873266.44999999</v>
      </c>
      <c r="V419">
        <v>0</v>
      </c>
      <c r="W419">
        <v>0</v>
      </c>
    </row>
    <row r="420" spans="1:23" x14ac:dyDescent="0.35">
      <c r="A420" t="s">
        <v>0</v>
      </c>
      <c r="B420">
        <v>3750</v>
      </c>
      <c r="C420">
        <v>120</v>
      </c>
      <c r="D420">
        <v>81372</v>
      </c>
      <c r="E420">
        <v>0</v>
      </c>
      <c r="F420">
        <v>1067226096150</v>
      </c>
      <c r="G420">
        <v>2914972770.4499998</v>
      </c>
      <c r="H420">
        <v>1058239010356</v>
      </c>
      <c r="I420">
        <v>1063040344578.35</v>
      </c>
      <c r="J420">
        <v>6.6179000000000002E-2</v>
      </c>
      <c r="K420">
        <v>1.4196E-2</v>
      </c>
      <c r="M420" t="s">
        <v>2</v>
      </c>
      <c r="N420">
        <v>2750</v>
      </c>
      <c r="O420">
        <v>144</v>
      </c>
      <c r="P420">
        <v>1</v>
      </c>
      <c r="Q420">
        <v>0</v>
      </c>
      <c r="R420">
        <v>19821788</v>
      </c>
      <c r="S420">
        <v>64111.03</v>
      </c>
      <c r="T420">
        <v>19757676.969999999</v>
      </c>
      <c r="U420">
        <v>19757676.969999999</v>
      </c>
      <c r="V420">
        <v>0</v>
      </c>
      <c r="W420">
        <v>0</v>
      </c>
    </row>
    <row r="421" spans="1:23" x14ac:dyDescent="0.35">
      <c r="A421" t="s">
        <v>0</v>
      </c>
      <c r="B421">
        <v>4750</v>
      </c>
      <c r="C421">
        <v>120</v>
      </c>
      <c r="D421">
        <v>7167</v>
      </c>
      <c r="E421">
        <v>0</v>
      </c>
      <c r="F421">
        <v>74846731372</v>
      </c>
      <c r="G421">
        <v>182179750.40000001</v>
      </c>
      <c r="H421">
        <v>74254452370</v>
      </c>
      <c r="I421">
        <v>74611267759.789993</v>
      </c>
      <c r="J421">
        <v>6.3805000000000001E-2</v>
      </c>
      <c r="K421">
        <v>8.5100000000000002E-3</v>
      </c>
      <c r="M421" t="s">
        <v>2</v>
      </c>
      <c r="N421">
        <v>4750</v>
      </c>
      <c r="O421">
        <v>144</v>
      </c>
      <c r="P421">
        <v>3154</v>
      </c>
      <c r="Q421">
        <v>0</v>
      </c>
      <c r="R421">
        <v>23508371619</v>
      </c>
      <c r="S421">
        <v>66449266.990000002</v>
      </c>
      <c r="T421">
        <v>23326582138.290001</v>
      </c>
      <c r="U421">
        <v>23430724140.16</v>
      </c>
      <c r="V421">
        <v>5.7313000000000003E-2</v>
      </c>
      <c r="W421">
        <v>5.7010000000000003E-3</v>
      </c>
    </row>
    <row r="422" spans="1:23" x14ac:dyDescent="0.35">
      <c r="A422" t="s">
        <v>0</v>
      </c>
      <c r="B422">
        <v>3250</v>
      </c>
      <c r="C422">
        <v>120</v>
      </c>
      <c r="D422">
        <v>40509</v>
      </c>
      <c r="E422">
        <v>0</v>
      </c>
      <c r="F422">
        <v>594647403341</v>
      </c>
      <c r="G422">
        <v>1705568872.52</v>
      </c>
      <c r="H422">
        <v>589603574801</v>
      </c>
      <c r="I422">
        <v>592431765490.55005</v>
      </c>
      <c r="J422">
        <v>6.5324999999999994E-2</v>
      </c>
      <c r="K422">
        <v>1.0245000000000001E-2</v>
      </c>
      <c r="M422" t="s">
        <v>0</v>
      </c>
      <c r="N422">
        <v>4750</v>
      </c>
      <c r="O422">
        <v>120</v>
      </c>
      <c r="P422">
        <v>6758</v>
      </c>
      <c r="Q422">
        <v>0</v>
      </c>
      <c r="R422">
        <v>68989563124</v>
      </c>
      <c r="S422">
        <v>168487299.93000001</v>
      </c>
      <c r="T422">
        <v>68338292366.43</v>
      </c>
      <c r="U422">
        <v>68796098839.899994</v>
      </c>
      <c r="V422">
        <v>8.0817E-2</v>
      </c>
      <c r="W422">
        <v>4.3359999999999996E-3</v>
      </c>
    </row>
    <row r="423" spans="1:23" x14ac:dyDescent="0.35">
      <c r="A423" t="s">
        <v>2</v>
      </c>
      <c r="B423">
        <v>3250</v>
      </c>
      <c r="C423">
        <v>120</v>
      </c>
      <c r="D423">
        <v>7035</v>
      </c>
      <c r="E423">
        <v>0</v>
      </c>
      <c r="F423">
        <v>82044846741</v>
      </c>
      <c r="G423">
        <v>234507590.53</v>
      </c>
      <c r="H423">
        <v>81284614425</v>
      </c>
      <c r="I423">
        <v>81745354771.660004</v>
      </c>
      <c r="J423">
        <v>7.424E-2</v>
      </c>
      <c r="K423">
        <v>9.4629999999999992E-3</v>
      </c>
      <c r="M423" t="s">
        <v>2</v>
      </c>
      <c r="N423">
        <v>3250</v>
      </c>
      <c r="O423">
        <v>120</v>
      </c>
      <c r="P423">
        <v>6946</v>
      </c>
      <c r="Q423">
        <v>0</v>
      </c>
      <c r="R423">
        <v>81268376191</v>
      </c>
      <c r="S423">
        <v>231150652.63</v>
      </c>
      <c r="T423">
        <v>80654943571.330002</v>
      </c>
      <c r="U423">
        <v>81023122004.770004</v>
      </c>
      <c r="V423">
        <v>5.5010000000000003E-2</v>
      </c>
      <c r="W423">
        <v>2.081E-3</v>
      </c>
    </row>
    <row r="424" spans="1:23" x14ac:dyDescent="0.35">
      <c r="A424" t="s">
        <v>1</v>
      </c>
      <c r="B424">
        <v>4250</v>
      </c>
      <c r="C424">
        <v>120</v>
      </c>
      <c r="D424">
        <v>3447</v>
      </c>
      <c r="E424">
        <v>0</v>
      </c>
      <c r="F424">
        <v>45564264714</v>
      </c>
      <c r="G424">
        <v>117386678.31999999</v>
      </c>
      <c r="H424">
        <v>44848716275</v>
      </c>
      <c r="I424">
        <v>45305754855.75</v>
      </c>
      <c r="J424">
        <v>0.146643</v>
      </c>
      <c r="K424">
        <v>3.6540000000000003E-2</v>
      </c>
      <c r="M424" t="s">
        <v>0</v>
      </c>
      <c r="N424">
        <v>3750</v>
      </c>
      <c r="O424">
        <v>120</v>
      </c>
      <c r="P424">
        <v>80926</v>
      </c>
      <c r="Q424">
        <v>0</v>
      </c>
      <c r="R424">
        <v>1062566713105</v>
      </c>
      <c r="S424">
        <v>2896169868.75</v>
      </c>
      <c r="T424">
        <v>1054646989230.72</v>
      </c>
      <c r="U424">
        <v>1059153886779.04</v>
      </c>
      <c r="V424">
        <v>5.5280999999999997E-2</v>
      </c>
      <c r="W424">
        <v>5.8190000000000004E-3</v>
      </c>
    </row>
    <row r="425" spans="1:23" x14ac:dyDescent="0.35">
      <c r="A425" t="s">
        <v>0</v>
      </c>
      <c r="B425">
        <v>4250</v>
      </c>
      <c r="C425">
        <v>120</v>
      </c>
      <c r="D425">
        <v>29179</v>
      </c>
      <c r="E425">
        <v>0</v>
      </c>
      <c r="F425">
        <v>350973536590</v>
      </c>
      <c r="G425">
        <v>906745356.26999998</v>
      </c>
      <c r="H425">
        <v>347714870943</v>
      </c>
      <c r="I425">
        <v>349760578459.82001</v>
      </c>
      <c r="J425">
        <v>7.7515000000000001E-2</v>
      </c>
      <c r="K425">
        <v>1.042E-2</v>
      </c>
      <c r="M425" t="s">
        <v>0</v>
      </c>
      <c r="N425">
        <v>3250</v>
      </c>
      <c r="O425">
        <v>120</v>
      </c>
      <c r="P425">
        <v>40287</v>
      </c>
      <c r="Q425">
        <v>0</v>
      </c>
      <c r="R425">
        <v>593062166910</v>
      </c>
      <c r="S425">
        <v>1692323985.3099999</v>
      </c>
      <c r="T425">
        <v>588920130358.16003</v>
      </c>
      <c r="U425">
        <v>591280092175.90002</v>
      </c>
      <c r="V425">
        <v>4.8457E-2</v>
      </c>
      <c r="W425">
        <v>1.815E-3</v>
      </c>
    </row>
    <row r="426" spans="1:23" x14ac:dyDescent="0.35">
      <c r="A426" t="s">
        <v>0</v>
      </c>
      <c r="B426">
        <v>5500</v>
      </c>
      <c r="C426">
        <v>120</v>
      </c>
      <c r="D426">
        <v>131</v>
      </c>
      <c r="E426">
        <v>0</v>
      </c>
      <c r="F426">
        <v>1253903720</v>
      </c>
      <c r="G426">
        <v>2797388.51</v>
      </c>
      <c r="H426">
        <v>1233046965</v>
      </c>
      <c r="I426">
        <v>1246166780.25</v>
      </c>
      <c r="J426">
        <v>0.159776</v>
      </c>
      <c r="K426">
        <v>4.6260999999999997E-2</v>
      </c>
      <c r="M426" t="s">
        <v>1</v>
      </c>
      <c r="N426">
        <v>4250</v>
      </c>
      <c r="O426">
        <v>120</v>
      </c>
      <c r="P426">
        <v>3156</v>
      </c>
      <c r="Q426">
        <v>0</v>
      </c>
      <c r="R426">
        <v>40521487572</v>
      </c>
      <c r="S426">
        <v>105028443.64</v>
      </c>
      <c r="T426">
        <v>40240270336.879997</v>
      </c>
      <c r="U426">
        <v>40403852440.019997</v>
      </c>
      <c r="V426">
        <v>5.0946999999999999E-2</v>
      </c>
      <c r="W426">
        <v>3.7269999999999998E-3</v>
      </c>
    </row>
    <row r="427" spans="1:23" x14ac:dyDescent="0.35">
      <c r="A427" t="s">
        <v>2</v>
      </c>
      <c r="B427">
        <v>3750</v>
      </c>
      <c r="C427">
        <v>120</v>
      </c>
      <c r="D427">
        <v>10305</v>
      </c>
      <c r="E427">
        <v>0</v>
      </c>
      <c r="F427">
        <v>107884536909</v>
      </c>
      <c r="G427">
        <v>295242110.73000002</v>
      </c>
      <c r="H427">
        <v>106909918747</v>
      </c>
      <c r="I427">
        <v>107467888236.10001</v>
      </c>
      <c r="J427">
        <v>7.3003999999999999E-2</v>
      </c>
      <c r="K427">
        <v>1.3421000000000001E-2</v>
      </c>
      <c r="M427" t="s">
        <v>0</v>
      </c>
      <c r="N427">
        <v>4250</v>
      </c>
      <c r="O427">
        <v>120</v>
      </c>
      <c r="P427">
        <v>29110</v>
      </c>
      <c r="Q427">
        <v>0</v>
      </c>
      <c r="R427">
        <v>342951394892</v>
      </c>
      <c r="S427">
        <v>888752865.11000001</v>
      </c>
      <c r="T427">
        <v>340514246181.06</v>
      </c>
      <c r="U427">
        <v>341892989370.71002</v>
      </c>
      <c r="V427">
        <v>5.2853999999999998E-2</v>
      </c>
      <c r="W427">
        <v>5.9199999999999999E-3</v>
      </c>
    </row>
    <row r="428" spans="1:23" x14ac:dyDescent="0.35">
      <c r="A428" t="s">
        <v>1</v>
      </c>
      <c r="B428">
        <v>3250</v>
      </c>
      <c r="C428">
        <v>120</v>
      </c>
      <c r="D428">
        <v>36619</v>
      </c>
      <c r="E428">
        <v>0</v>
      </c>
      <c r="F428">
        <v>675716895048</v>
      </c>
      <c r="G428">
        <v>1939333551</v>
      </c>
      <c r="H428">
        <v>669390613207</v>
      </c>
      <c r="I428">
        <v>672990471705.01001</v>
      </c>
      <c r="J428">
        <v>7.5185000000000002E-2</v>
      </c>
      <c r="K428">
        <v>1.3889E-2</v>
      </c>
      <c r="M428" t="s">
        <v>3</v>
      </c>
      <c r="N428">
        <v>4000</v>
      </c>
      <c r="O428">
        <v>120</v>
      </c>
      <c r="P428">
        <v>230</v>
      </c>
      <c r="Q428">
        <v>0</v>
      </c>
      <c r="R428">
        <v>2729092069</v>
      </c>
      <c r="S428">
        <v>7290787.1799999997</v>
      </c>
      <c r="T428">
        <v>2693651293.3499999</v>
      </c>
      <c r="U428">
        <v>2721801281.8200002</v>
      </c>
      <c r="V428">
        <v>0.116991</v>
      </c>
      <c r="W428">
        <v>0</v>
      </c>
    </row>
    <row r="429" spans="1:23" x14ac:dyDescent="0.35">
      <c r="A429" t="s">
        <v>1</v>
      </c>
      <c r="B429">
        <v>2750</v>
      </c>
      <c r="C429">
        <v>120</v>
      </c>
      <c r="D429">
        <v>2507</v>
      </c>
      <c r="E429">
        <v>0</v>
      </c>
      <c r="F429">
        <v>44076175313</v>
      </c>
      <c r="G429">
        <v>133119209.76000001</v>
      </c>
      <c r="H429">
        <v>43689028311</v>
      </c>
      <c r="I429">
        <v>43894906069.540001</v>
      </c>
      <c r="J429">
        <v>6.701E-2</v>
      </c>
      <c r="K429">
        <v>1.3030999999999999E-2</v>
      </c>
      <c r="M429" t="s">
        <v>1</v>
      </c>
      <c r="N429">
        <v>3750</v>
      </c>
      <c r="O429">
        <v>120</v>
      </c>
      <c r="P429">
        <v>22030</v>
      </c>
      <c r="Q429">
        <v>0</v>
      </c>
      <c r="R429">
        <v>342992576473</v>
      </c>
      <c r="S429">
        <v>941701389.90999997</v>
      </c>
      <c r="T429">
        <v>339917805921.23999</v>
      </c>
      <c r="U429">
        <v>341717403277.73999</v>
      </c>
      <c r="V429">
        <v>7.2127999999999998E-2</v>
      </c>
      <c r="W429">
        <v>1.1605000000000001E-2</v>
      </c>
    </row>
    <row r="430" spans="1:23" x14ac:dyDescent="0.35">
      <c r="A430" t="s">
        <v>0</v>
      </c>
      <c r="B430">
        <v>2500</v>
      </c>
      <c r="C430">
        <v>120</v>
      </c>
      <c r="D430">
        <v>106</v>
      </c>
      <c r="E430">
        <v>0</v>
      </c>
      <c r="F430">
        <v>950135179</v>
      </c>
      <c r="G430">
        <v>2962382.91</v>
      </c>
      <c r="H430">
        <v>945590829</v>
      </c>
      <c r="I430">
        <v>946694581.23000002</v>
      </c>
      <c r="J430">
        <v>1.9798E-2</v>
      </c>
      <c r="K430">
        <v>6.0229999999999997E-3</v>
      </c>
      <c r="M430" t="s">
        <v>0</v>
      </c>
      <c r="N430">
        <v>5500</v>
      </c>
      <c r="O430">
        <v>120</v>
      </c>
      <c r="P430">
        <v>124</v>
      </c>
      <c r="Q430">
        <v>0</v>
      </c>
      <c r="R430">
        <v>1123983046</v>
      </c>
      <c r="S430">
        <v>2525283.92</v>
      </c>
      <c r="T430">
        <v>1106591726.1700001</v>
      </c>
      <c r="U430">
        <v>1121457762.0799999</v>
      </c>
      <c r="V430">
        <v>0.14766299999999999</v>
      </c>
      <c r="W430">
        <v>0</v>
      </c>
    </row>
    <row r="431" spans="1:23" x14ac:dyDescent="0.35">
      <c r="A431" t="s">
        <v>3</v>
      </c>
      <c r="B431">
        <v>5000</v>
      </c>
      <c r="C431">
        <v>120</v>
      </c>
      <c r="D431">
        <v>4</v>
      </c>
      <c r="E431">
        <v>0</v>
      </c>
      <c r="F431">
        <v>37376755</v>
      </c>
      <c r="G431">
        <v>87309.84</v>
      </c>
      <c r="H431">
        <v>37283772</v>
      </c>
      <c r="I431">
        <v>37283772</v>
      </c>
      <c r="J431">
        <v>1.82E-3</v>
      </c>
      <c r="K431">
        <v>1.82E-3</v>
      </c>
      <c r="M431" t="s">
        <v>2</v>
      </c>
      <c r="N431">
        <v>3750</v>
      </c>
      <c r="O431">
        <v>120</v>
      </c>
      <c r="P431">
        <v>10230</v>
      </c>
      <c r="Q431">
        <v>0</v>
      </c>
      <c r="R431">
        <v>107039489845</v>
      </c>
      <c r="S431">
        <v>292551925.31</v>
      </c>
      <c r="T431">
        <v>106207915970.85001</v>
      </c>
      <c r="U431">
        <v>106667972768.14999</v>
      </c>
      <c r="V431">
        <v>5.8783000000000002E-2</v>
      </c>
      <c r="W431">
        <v>8.8170000000000002E-3</v>
      </c>
    </row>
    <row r="432" spans="1:23" x14ac:dyDescent="0.35">
      <c r="A432" t="s">
        <v>2</v>
      </c>
      <c r="B432">
        <v>2750</v>
      </c>
      <c r="C432">
        <v>120</v>
      </c>
      <c r="D432">
        <v>170</v>
      </c>
      <c r="E432">
        <v>0</v>
      </c>
      <c r="F432">
        <v>1644681826</v>
      </c>
      <c r="G432">
        <v>5018482.1500000004</v>
      </c>
      <c r="H432">
        <v>1632932286</v>
      </c>
      <c r="I432">
        <v>1639107489.3</v>
      </c>
      <c r="J432">
        <v>4.8021000000000001E-2</v>
      </c>
      <c r="K432">
        <v>4.0480000000000004E-3</v>
      </c>
      <c r="M432" t="s">
        <v>1</v>
      </c>
      <c r="N432">
        <v>3250</v>
      </c>
      <c r="O432">
        <v>120</v>
      </c>
      <c r="P432">
        <v>36521</v>
      </c>
      <c r="Q432">
        <v>0</v>
      </c>
      <c r="R432">
        <v>675038097623</v>
      </c>
      <c r="S432">
        <v>1928247299.8199999</v>
      </c>
      <c r="T432">
        <v>670241967710.73999</v>
      </c>
      <c r="U432">
        <v>672963413347.25</v>
      </c>
      <c r="V432">
        <v>4.9806999999999997E-2</v>
      </c>
      <c r="W432">
        <v>2.5999999999999999E-3</v>
      </c>
    </row>
    <row r="433" spans="1:23" x14ac:dyDescent="0.35">
      <c r="A433" t="s">
        <v>2</v>
      </c>
      <c r="B433">
        <v>2500</v>
      </c>
      <c r="C433">
        <v>120</v>
      </c>
      <c r="D433">
        <v>12</v>
      </c>
      <c r="E433">
        <v>0</v>
      </c>
      <c r="F433">
        <v>110887406</v>
      </c>
      <c r="G433">
        <v>342755.04</v>
      </c>
      <c r="H433">
        <v>110503756</v>
      </c>
      <c r="I433">
        <v>110503756</v>
      </c>
      <c r="J433">
        <v>4.4169999999999999E-3</v>
      </c>
      <c r="K433">
        <v>4.4169999999999999E-3</v>
      </c>
      <c r="M433" t="s">
        <v>1</v>
      </c>
      <c r="N433">
        <v>2750</v>
      </c>
      <c r="O433">
        <v>120</v>
      </c>
      <c r="P433">
        <v>2491</v>
      </c>
      <c r="Q433">
        <v>0</v>
      </c>
      <c r="R433">
        <v>43817757633</v>
      </c>
      <c r="S433">
        <v>131681141.08</v>
      </c>
      <c r="T433">
        <v>43435449479.849998</v>
      </c>
      <c r="U433">
        <v>43686076491.919998</v>
      </c>
      <c r="V433">
        <v>6.6518999999999995E-2</v>
      </c>
      <c r="W433">
        <v>0</v>
      </c>
    </row>
    <row r="434" spans="1:23" x14ac:dyDescent="0.35">
      <c r="A434" t="s">
        <v>1</v>
      </c>
      <c r="B434">
        <v>5500</v>
      </c>
      <c r="C434">
        <v>120</v>
      </c>
      <c r="D434">
        <v>10</v>
      </c>
      <c r="E434">
        <v>0</v>
      </c>
      <c r="F434">
        <v>100443404</v>
      </c>
      <c r="G434">
        <v>225341.39</v>
      </c>
      <c r="H434">
        <v>100154154</v>
      </c>
      <c r="I434">
        <v>100154154</v>
      </c>
      <c r="J434">
        <v>7.6090000000000003E-3</v>
      </c>
      <c r="K434">
        <v>7.6090000000000003E-3</v>
      </c>
      <c r="M434" t="s">
        <v>0</v>
      </c>
      <c r="N434">
        <v>2500</v>
      </c>
      <c r="O434">
        <v>120</v>
      </c>
      <c r="P434">
        <v>101</v>
      </c>
      <c r="Q434">
        <v>0</v>
      </c>
      <c r="R434">
        <v>915168213</v>
      </c>
      <c r="S434">
        <v>2842349.46</v>
      </c>
      <c r="T434">
        <v>912325863.53999996</v>
      </c>
      <c r="U434">
        <v>912325863.53999996</v>
      </c>
      <c r="V434">
        <v>0</v>
      </c>
      <c r="W434">
        <v>0</v>
      </c>
    </row>
    <row r="435" spans="1:23" x14ac:dyDescent="0.35">
      <c r="A435" t="s">
        <v>3</v>
      </c>
      <c r="B435">
        <v>4000</v>
      </c>
      <c r="C435">
        <v>120</v>
      </c>
      <c r="D435">
        <v>223</v>
      </c>
      <c r="E435">
        <v>0</v>
      </c>
      <c r="F435">
        <v>2667375440</v>
      </c>
      <c r="G435">
        <v>7124326.3399999999</v>
      </c>
      <c r="H435">
        <v>2648880976</v>
      </c>
      <c r="I435">
        <v>2648880976</v>
      </c>
      <c r="J435">
        <v>4.9970000000000001E-2</v>
      </c>
      <c r="K435">
        <v>4.9970000000000001E-2</v>
      </c>
      <c r="M435" t="s">
        <v>3</v>
      </c>
      <c r="N435">
        <v>5000</v>
      </c>
      <c r="O435">
        <v>120</v>
      </c>
      <c r="P435">
        <v>3</v>
      </c>
      <c r="Q435">
        <v>0</v>
      </c>
      <c r="R435">
        <v>22623329</v>
      </c>
      <c r="S435">
        <v>53549.54</v>
      </c>
      <c r="T435">
        <v>22569779.460000001</v>
      </c>
      <c r="U435">
        <v>22569779.460000001</v>
      </c>
      <c r="V435">
        <v>0</v>
      </c>
      <c r="W435">
        <v>0</v>
      </c>
    </row>
    <row r="436" spans="1:23" x14ac:dyDescent="0.35">
      <c r="A436" t="s">
        <v>2</v>
      </c>
      <c r="B436">
        <v>5000</v>
      </c>
      <c r="C436">
        <v>108</v>
      </c>
      <c r="D436">
        <v>195</v>
      </c>
      <c r="E436">
        <v>0</v>
      </c>
      <c r="F436">
        <v>1681034463</v>
      </c>
      <c r="G436">
        <v>3755414.82</v>
      </c>
      <c r="H436">
        <v>1676920266</v>
      </c>
      <c r="I436">
        <v>1676920266</v>
      </c>
      <c r="J436">
        <v>2.5579999999999999E-3</v>
      </c>
      <c r="K436">
        <v>2.5579999999999999E-3</v>
      </c>
      <c r="M436" t="s">
        <v>2</v>
      </c>
      <c r="N436">
        <v>2750</v>
      </c>
      <c r="O436">
        <v>120</v>
      </c>
      <c r="P436">
        <v>171</v>
      </c>
      <c r="Q436">
        <v>0</v>
      </c>
      <c r="R436">
        <v>1661146472</v>
      </c>
      <c r="S436">
        <v>5041984.29</v>
      </c>
      <c r="T436">
        <v>1645375144.45</v>
      </c>
      <c r="U436">
        <v>1656104487.71</v>
      </c>
      <c r="V436">
        <v>7.4813000000000004E-2</v>
      </c>
      <c r="W436">
        <v>0</v>
      </c>
    </row>
    <row r="437" spans="1:23" x14ac:dyDescent="0.35">
      <c r="A437" t="s">
        <v>1</v>
      </c>
      <c r="B437">
        <v>3250</v>
      </c>
      <c r="C437">
        <v>108</v>
      </c>
      <c r="D437">
        <v>5501</v>
      </c>
      <c r="E437">
        <v>0</v>
      </c>
      <c r="F437">
        <v>102279523304</v>
      </c>
      <c r="G437">
        <v>275262799.68000001</v>
      </c>
      <c r="H437">
        <v>101413186705</v>
      </c>
      <c r="I437">
        <v>101818552631.25</v>
      </c>
      <c r="J437">
        <v>6.7185999999999996E-2</v>
      </c>
      <c r="K437">
        <v>2.1572000000000001E-2</v>
      </c>
      <c r="M437" t="s">
        <v>2</v>
      </c>
      <c r="N437">
        <v>2500</v>
      </c>
      <c r="O437">
        <v>120</v>
      </c>
      <c r="P437">
        <v>12</v>
      </c>
      <c r="Q437">
        <v>0</v>
      </c>
      <c r="R437">
        <v>111331325</v>
      </c>
      <c r="S437">
        <v>342357.85</v>
      </c>
      <c r="T437">
        <v>110988967.15000001</v>
      </c>
      <c r="U437">
        <v>110988967.15000001</v>
      </c>
      <c r="V437">
        <v>0</v>
      </c>
      <c r="W437">
        <v>0</v>
      </c>
    </row>
    <row r="438" spans="1:23" x14ac:dyDescent="0.35">
      <c r="A438" t="s">
        <v>0</v>
      </c>
      <c r="B438">
        <v>4250</v>
      </c>
      <c r="C438">
        <v>108</v>
      </c>
      <c r="D438">
        <v>58894</v>
      </c>
      <c r="E438">
        <v>0</v>
      </c>
      <c r="F438">
        <v>789353476683</v>
      </c>
      <c r="G438">
        <v>1897876712.01</v>
      </c>
      <c r="H438">
        <v>782983935463</v>
      </c>
      <c r="I438">
        <v>786641544523.26001</v>
      </c>
      <c r="J438">
        <v>6.5901000000000001E-2</v>
      </c>
      <c r="K438">
        <v>1.2305999999999999E-2</v>
      </c>
      <c r="M438" t="s">
        <v>1</v>
      </c>
      <c r="N438">
        <v>5500</v>
      </c>
      <c r="O438">
        <v>120</v>
      </c>
      <c r="P438">
        <v>10</v>
      </c>
      <c r="Q438">
        <v>0</v>
      </c>
      <c r="R438">
        <v>96956025</v>
      </c>
      <c r="S438">
        <v>217161.47</v>
      </c>
      <c r="T438">
        <v>91447913.25</v>
      </c>
      <c r="U438">
        <v>96738863.530000001</v>
      </c>
      <c r="V438">
        <v>0.49002499999999999</v>
      </c>
      <c r="W438">
        <v>0</v>
      </c>
    </row>
    <row r="439" spans="1:23" x14ac:dyDescent="0.35">
      <c r="A439" t="s">
        <v>2</v>
      </c>
      <c r="B439">
        <v>3250</v>
      </c>
      <c r="C439">
        <v>108</v>
      </c>
      <c r="D439">
        <v>729</v>
      </c>
      <c r="E439">
        <v>0</v>
      </c>
      <c r="F439">
        <v>8325770262</v>
      </c>
      <c r="G439">
        <v>22394793.140000001</v>
      </c>
      <c r="H439">
        <v>8244129515</v>
      </c>
      <c r="I439">
        <v>8293713013.0200005</v>
      </c>
      <c r="J439">
        <v>8.2128000000000007E-2</v>
      </c>
      <c r="K439">
        <v>1.3838E-2</v>
      </c>
      <c r="M439" t="s">
        <v>2</v>
      </c>
      <c r="N439">
        <v>5000</v>
      </c>
      <c r="O439">
        <v>108</v>
      </c>
      <c r="P439">
        <v>208</v>
      </c>
      <c r="Q439">
        <v>0</v>
      </c>
      <c r="R439">
        <v>1788677585</v>
      </c>
      <c r="S439">
        <v>3983711.96</v>
      </c>
      <c r="T439">
        <v>1766259995.4400001</v>
      </c>
      <c r="U439">
        <v>1784693873.04</v>
      </c>
      <c r="V439">
        <v>0.116896</v>
      </c>
      <c r="W439">
        <v>0</v>
      </c>
    </row>
    <row r="440" spans="1:23" x14ac:dyDescent="0.35">
      <c r="A440" t="s">
        <v>2</v>
      </c>
      <c r="B440">
        <v>3750</v>
      </c>
      <c r="C440">
        <v>108</v>
      </c>
      <c r="D440">
        <v>9021</v>
      </c>
      <c r="E440">
        <v>0</v>
      </c>
      <c r="F440">
        <v>106357261443</v>
      </c>
      <c r="G440">
        <v>270217785.72000003</v>
      </c>
      <c r="H440">
        <v>105451665009</v>
      </c>
      <c r="I440">
        <v>106005363599.06</v>
      </c>
      <c r="J440">
        <v>6.9378999999999996E-2</v>
      </c>
      <c r="K440">
        <v>9.1769999999999994E-3</v>
      </c>
      <c r="M440" t="s">
        <v>1</v>
      </c>
      <c r="N440">
        <v>4250</v>
      </c>
      <c r="O440">
        <v>108</v>
      </c>
      <c r="P440">
        <v>9492</v>
      </c>
      <c r="Q440">
        <v>0</v>
      </c>
      <c r="R440">
        <v>141765621969</v>
      </c>
      <c r="S440">
        <v>341380835.99000001</v>
      </c>
      <c r="T440">
        <v>140414055834.31</v>
      </c>
      <c r="U440">
        <v>141289864157.78</v>
      </c>
      <c r="V440">
        <v>8.2236000000000004E-2</v>
      </c>
      <c r="W440">
        <v>1.1315E-2</v>
      </c>
    </row>
    <row r="441" spans="1:23" x14ac:dyDescent="0.35">
      <c r="A441" t="s">
        <v>0</v>
      </c>
      <c r="B441">
        <v>3750</v>
      </c>
      <c r="C441">
        <v>108</v>
      </c>
      <c r="D441">
        <v>45964</v>
      </c>
      <c r="E441">
        <v>0</v>
      </c>
      <c r="F441">
        <v>699400171261</v>
      </c>
      <c r="G441">
        <v>1781581375.0799999</v>
      </c>
      <c r="H441">
        <v>693773618938</v>
      </c>
      <c r="I441">
        <v>696939816798.27002</v>
      </c>
      <c r="J441">
        <v>6.4011999999999999E-2</v>
      </c>
      <c r="K441">
        <v>1.1584000000000001E-2</v>
      </c>
      <c r="M441" t="s">
        <v>2</v>
      </c>
      <c r="N441">
        <v>3250</v>
      </c>
      <c r="O441">
        <v>108</v>
      </c>
      <c r="P441">
        <v>831</v>
      </c>
      <c r="Q441">
        <v>0</v>
      </c>
      <c r="R441">
        <v>9596495532</v>
      </c>
      <c r="S441">
        <v>25893541.780000001</v>
      </c>
      <c r="T441">
        <v>9478038970.5300007</v>
      </c>
      <c r="U441">
        <v>9553323296.7900009</v>
      </c>
      <c r="V441">
        <v>0.10979899999999999</v>
      </c>
      <c r="W441">
        <v>2.1394E-2</v>
      </c>
    </row>
    <row r="442" spans="1:23" x14ac:dyDescent="0.35">
      <c r="A442" t="s">
        <v>2</v>
      </c>
      <c r="B442">
        <v>4250</v>
      </c>
      <c r="C442">
        <v>108</v>
      </c>
      <c r="D442">
        <v>8751</v>
      </c>
      <c r="E442">
        <v>0</v>
      </c>
      <c r="F442">
        <v>92170939976</v>
      </c>
      <c r="G442">
        <v>222170351.56</v>
      </c>
      <c r="H442">
        <v>91330081742</v>
      </c>
      <c r="I442">
        <v>91859815507.570007</v>
      </c>
      <c r="J442">
        <v>7.7641000000000002E-2</v>
      </c>
      <c r="K442">
        <v>1.1520000000000001E-2</v>
      </c>
      <c r="M442" t="s">
        <v>1</v>
      </c>
      <c r="N442">
        <v>2750</v>
      </c>
      <c r="O442">
        <v>108</v>
      </c>
      <c r="P442">
        <v>56</v>
      </c>
      <c r="Q442">
        <v>0</v>
      </c>
      <c r="R442">
        <v>1147707415</v>
      </c>
      <c r="S442">
        <v>3337345.68</v>
      </c>
      <c r="T442">
        <v>1144370069.3199999</v>
      </c>
      <c r="U442">
        <v>1144370069.3199999</v>
      </c>
      <c r="V442">
        <v>0</v>
      </c>
      <c r="W442">
        <v>0</v>
      </c>
    </row>
    <row r="443" spans="1:23" x14ac:dyDescent="0.35">
      <c r="A443" t="s">
        <v>1</v>
      </c>
      <c r="B443">
        <v>3750</v>
      </c>
      <c r="C443">
        <v>120</v>
      </c>
      <c r="D443">
        <v>21637</v>
      </c>
      <c r="E443">
        <v>0</v>
      </c>
      <c r="F443">
        <v>337683750457</v>
      </c>
      <c r="G443">
        <v>926588423.45000005</v>
      </c>
      <c r="H443">
        <v>334567011634</v>
      </c>
      <c r="I443">
        <v>336285118340.23999</v>
      </c>
      <c r="J443">
        <v>7.5111999999999998E-2</v>
      </c>
      <c r="K443">
        <v>1.6646000000000001E-2</v>
      </c>
      <c r="M443" t="s">
        <v>1</v>
      </c>
      <c r="N443">
        <v>3250</v>
      </c>
      <c r="O443">
        <v>108</v>
      </c>
      <c r="P443">
        <v>5892</v>
      </c>
      <c r="Q443">
        <v>0</v>
      </c>
      <c r="R443">
        <v>110125097629</v>
      </c>
      <c r="S443">
        <v>296411027.18000001</v>
      </c>
      <c r="T443">
        <v>109169544900.98</v>
      </c>
      <c r="U443">
        <v>109800006837</v>
      </c>
      <c r="V443">
        <v>6.9506999999999999E-2</v>
      </c>
      <c r="W443">
        <v>3.1210000000000001E-3</v>
      </c>
    </row>
    <row r="444" spans="1:23" x14ac:dyDescent="0.35">
      <c r="A444" t="s">
        <v>1</v>
      </c>
      <c r="B444">
        <v>3750</v>
      </c>
      <c r="C444">
        <v>108</v>
      </c>
      <c r="D444">
        <v>24416</v>
      </c>
      <c r="E444">
        <v>0</v>
      </c>
      <c r="F444">
        <v>441621319149</v>
      </c>
      <c r="G444">
        <v>1123935091.7</v>
      </c>
      <c r="H444">
        <v>436946485532</v>
      </c>
      <c r="I444">
        <v>439950524134.34998</v>
      </c>
      <c r="J444">
        <v>9.2331999999999997E-2</v>
      </c>
      <c r="K444">
        <v>1.4759E-2</v>
      </c>
      <c r="M444" t="s">
        <v>0</v>
      </c>
      <c r="N444">
        <v>3250</v>
      </c>
      <c r="O444">
        <v>108</v>
      </c>
      <c r="P444">
        <v>2806</v>
      </c>
      <c r="Q444">
        <v>0</v>
      </c>
      <c r="R444">
        <v>42780978434</v>
      </c>
      <c r="S444">
        <v>115896143.86</v>
      </c>
      <c r="T444">
        <v>42416212855.790001</v>
      </c>
      <c r="U444">
        <v>42656930199.199997</v>
      </c>
      <c r="V444">
        <v>6.7616999999999997E-2</v>
      </c>
      <c r="W444">
        <v>2.284E-3</v>
      </c>
    </row>
    <row r="445" spans="1:23" x14ac:dyDescent="0.35">
      <c r="A445" t="s">
        <v>3</v>
      </c>
      <c r="B445">
        <v>4000</v>
      </c>
      <c r="C445">
        <v>108</v>
      </c>
      <c r="D445">
        <v>416</v>
      </c>
      <c r="E445">
        <v>0</v>
      </c>
      <c r="F445">
        <v>6094123523</v>
      </c>
      <c r="G445">
        <v>15098876.35</v>
      </c>
      <c r="H445">
        <v>6024328953</v>
      </c>
      <c r="I445">
        <v>6076122705.3400002</v>
      </c>
      <c r="J445">
        <v>0.10254099999999999</v>
      </c>
      <c r="K445">
        <v>5.6990000000000001E-3</v>
      </c>
      <c r="M445" t="s">
        <v>0</v>
      </c>
      <c r="N445">
        <v>2500</v>
      </c>
      <c r="O445">
        <v>108</v>
      </c>
      <c r="P445">
        <v>9</v>
      </c>
      <c r="Q445">
        <v>0</v>
      </c>
      <c r="R445">
        <v>48352935</v>
      </c>
      <c r="S445">
        <v>145837.70000000001</v>
      </c>
      <c r="T445">
        <v>48207097.299999997</v>
      </c>
      <c r="U445">
        <v>48207097.299999997</v>
      </c>
      <c r="V445">
        <v>0</v>
      </c>
      <c r="W445">
        <v>0</v>
      </c>
    </row>
    <row r="446" spans="1:23" x14ac:dyDescent="0.35">
      <c r="A446" t="s">
        <v>0</v>
      </c>
      <c r="B446">
        <v>4750</v>
      </c>
      <c r="C446">
        <v>108</v>
      </c>
      <c r="D446">
        <v>21126</v>
      </c>
      <c r="E446">
        <v>0</v>
      </c>
      <c r="F446">
        <v>266683752433</v>
      </c>
      <c r="G446">
        <v>602941705.53999996</v>
      </c>
      <c r="H446">
        <v>264193403888</v>
      </c>
      <c r="I446">
        <v>265687626419.17001</v>
      </c>
      <c r="J446">
        <v>8.1698999999999994E-2</v>
      </c>
      <c r="K446">
        <v>1.7548999999999999E-2</v>
      </c>
      <c r="M446" t="s">
        <v>0</v>
      </c>
      <c r="N446">
        <v>4250</v>
      </c>
      <c r="O446">
        <v>108</v>
      </c>
      <c r="P446">
        <v>59059</v>
      </c>
      <c r="Q446">
        <v>0</v>
      </c>
      <c r="R446">
        <v>794088642976</v>
      </c>
      <c r="S446">
        <v>1905613066.28</v>
      </c>
      <c r="T446">
        <v>788277042505.34998</v>
      </c>
      <c r="U446">
        <v>791770292397.80005</v>
      </c>
      <c r="V446">
        <v>5.7454999999999999E-2</v>
      </c>
      <c r="W446">
        <v>6.2189999999999997E-3</v>
      </c>
    </row>
    <row r="447" spans="1:23" x14ac:dyDescent="0.35">
      <c r="A447" t="s">
        <v>2</v>
      </c>
      <c r="B447">
        <v>4750</v>
      </c>
      <c r="C447">
        <v>108</v>
      </c>
      <c r="D447">
        <v>2526</v>
      </c>
      <c r="E447">
        <v>0</v>
      </c>
      <c r="F447">
        <v>21706667702</v>
      </c>
      <c r="G447">
        <v>49264766.270000003</v>
      </c>
      <c r="H447">
        <v>21512997394</v>
      </c>
      <c r="I447">
        <v>21652239701.5</v>
      </c>
      <c r="J447">
        <v>7.6974000000000001E-2</v>
      </c>
      <c r="K447">
        <v>2.8509999999999998E-3</v>
      </c>
      <c r="M447" t="s">
        <v>2</v>
      </c>
      <c r="N447">
        <v>3750</v>
      </c>
      <c r="O447">
        <v>108</v>
      </c>
      <c r="P447">
        <v>9216</v>
      </c>
      <c r="Q447">
        <v>0</v>
      </c>
      <c r="R447">
        <v>108654533398</v>
      </c>
      <c r="S447">
        <v>275702021.52999997</v>
      </c>
      <c r="T447">
        <v>107717919650.77</v>
      </c>
      <c r="U447">
        <v>108323794232.44</v>
      </c>
      <c r="V447">
        <v>7.0598999999999995E-2</v>
      </c>
      <c r="W447">
        <v>6.0610000000000004E-3</v>
      </c>
    </row>
    <row r="448" spans="1:23" x14ac:dyDescent="0.35">
      <c r="A448" t="s">
        <v>1</v>
      </c>
      <c r="B448">
        <v>4750</v>
      </c>
      <c r="C448">
        <v>108</v>
      </c>
      <c r="D448">
        <v>2392</v>
      </c>
      <c r="E448">
        <v>0</v>
      </c>
      <c r="F448">
        <v>31174004265</v>
      </c>
      <c r="G448">
        <v>70493237.010000005</v>
      </c>
      <c r="H448">
        <v>30742601490</v>
      </c>
      <c r="I448">
        <v>30963005318.34</v>
      </c>
      <c r="J448">
        <v>0.130414</v>
      </c>
      <c r="K448">
        <v>5.2764999999999999E-2</v>
      </c>
      <c r="M448" t="s">
        <v>0</v>
      </c>
      <c r="N448">
        <v>3750</v>
      </c>
      <c r="O448">
        <v>108</v>
      </c>
      <c r="P448">
        <v>48823</v>
      </c>
      <c r="Q448">
        <v>0</v>
      </c>
      <c r="R448">
        <v>732619990206</v>
      </c>
      <c r="S448">
        <v>1865324663.3699999</v>
      </c>
      <c r="T448">
        <v>727506692033.69995</v>
      </c>
      <c r="U448">
        <v>730459188650.62</v>
      </c>
      <c r="V448">
        <v>5.1922000000000003E-2</v>
      </c>
      <c r="W448">
        <v>4.829E-3</v>
      </c>
    </row>
    <row r="449" spans="1:23" x14ac:dyDescent="0.35">
      <c r="A449" t="s">
        <v>1</v>
      </c>
      <c r="B449">
        <v>4250</v>
      </c>
      <c r="C449">
        <v>108</v>
      </c>
      <c r="D449">
        <v>9347</v>
      </c>
      <c r="E449">
        <v>0</v>
      </c>
      <c r="F449">
        <v>139780319808</v>
      </c>
      <c r="G449">
        <v>337057652.68000001</v>
      </c>
      <c r="H449">
        <v>138398446364</v>
      </c>
      <c r="I449">
        <v>139286222016.69</v>
      </c>
      <c r="J449">
        <v>8.6098999999999995E-2</v>
      </c>
      <c r="K449">
        <v>1.3398999999999999E-2</v>
      </c>
      <c r="M449" t="s">
        <v>2</v>
      </c>
      <c r="N449">
        <v>4250</v>
      </c>
      <c r="O449">
        <v>108</v>
      </c>
      <c r="P449">
        <v>8953</v>
      </c>
      <c r="Q449">
        <v>0</v>
      </c>
      <c r="R449">
        <v>93915093606</v>
      </c>
      <c r="S449">
        <v>225977293.5</v>
      </c>
      <c r="T449">
        <v>93151460974.779999</v>
      </c>
      <c r="U449">
        <v>93633983645.229996</v>
      </c>
      <c r="V449">
        <v>6.6576999999999997E-2</v>
      </c>
      <c r="W449">
        <v>7.0219999999999996E-3</v>
      </c>
    </row>
    <row r="450" spans="1:23" x14ac:dyDescent="0.35">
      <c r="A450" t="s">
        <v>1</v>
      </c>
      <c r="B450">
        <v>5500</v>
      </c>
      <c r="C450">
        <v>96</v>
      </c>
      <c r="D450">
        <v>1339</v>
      </c>
      <c r="E450">
        <v>0</v>
      </c>
      <c r="F450">
        <v>17725614622</v>
      </c>
      <c r="G450">
        <v>33409251.530000001</v>
      </c>
      <c r="H450">
        <v>17549460979</v>
      </c>
      <c r="I450">
        <v>17679387245.48</v>
      </c>
      <c r="J450">
        <v>9.2468999999999996E-2</v>
      </c>
      <c r="K450">
        <v>8.6429999999999996E-3</v>
      </c>
      <c r="M450" t="s">
        <v>1</v>
      </c>
      <c r="N450">
        <v>3750</v>
      </c>
      <c r="O450">
        <v>108</v>
      </c>
      <c r="P450">
        <v>24889</v>
      </c>
      <c r="Q450">
        <v>0</v>
      </c>
      <c r="R450">
        <v>448476411119</v>
      </c>
      <c r="S450">
        <v>1139997945.96</v>
      </c>
      <c r="T450">
        <v>445064835588.28998</v>
      </c>
      <c r="U450">
        <v>447181565802.23999</v>
      </c>
      <c r="V450">
        <v>5.9116000000000002E-2</v>
      </c>
      <c r="W450">
        <v>4.1349999999999998E-3</v>
      </c>
    </row>
    <row r="451" spans="1:23" x14ac:dyDescent="0.35">
      <c r="A451" t="s">
        <v>3</v>
      </c>
      <c r="B451">
        <v>5000</v>
      </c>
      <c r="C451">
        <v>108</v>
      </c>
      <c r="D451">
        <v>12</v>
      </c>
      <c r="E451">
        <v>0</v>
      </c>
      <c r="F451">
        <v>126432596</v>
      </c>
      <c r="G451">
        <v>276199.53000000003</v>
      </c>
      <c r="H451">
        <v>126084746</v>
      </c>
      <c r="I451">
        <v>126084746</v>
      </c>
      <c r="J451">
        <v>6.7790000000000003E-3</v>
      </c>
      <c r="K451">
        <v>6.7790000000000003E-3</v>
      </c>
      <c r="M451" t="s">
        <v>3</v>
      </c>
      <c r="N451">
        <v>4000</v>
      </c>
      <c r="O451">
        <v>108</v>
      </c>
      <c r="P451">
        <v>409</v>
      </c>
      <c r="Q451">
        <v>0</v>
      </c>
      <c r="R451">
        <v>5958484592</v>
      </c>
      <c r="S451">
        <v>14734268</v>
      </c>
      <c r="T451">
        <v>5901896538.2200003</v>
      </c>
      <c r="U451">
        <v>5943750324</v>
      </c>
      <c r="V451">
        <v>8.1109000000000001E-2</v>
      </c>
      <c r="W451">
        <v>0</v>
      </c>
    </row>
    <row r="452" spans="1:23" x14ac:dyDescent="0.35">
      <c r="A452" t="s">
        <v>2</v>
      </c>
      <c r="B452">
        <v>5500</v>
      </c>
      <c r="C452">
        <v>96</v>
      </c>
      <c r="D452">
        <v>1529</v>
      </c>
      <c r="E452">
        <v>0</v>
      </c>
      <c r="F452">
        <v>14463595710</v>
      </c>
      <c r="G452">
        <v>27043312.260000002</v>
      </c>
      <c r="H452">
        <v>14349680872</v>
      </c>
      <c r="I452">
        <v>14424478915.379999</v>
      </c>
      <c r="J452">
        <v>6.9740999999999997E-2</v>
      </c>
      <c r="K452">
        <v>9.9710000000000007E-3</v>
      </c>
      <c r="M452" t="s">
        <v>0</v>
      </c>
      <c r="N452">
        <v>4750</v>
      </c>
      <c r="O452">
        <v>108</v>
      </c>
      <c r="P452">
        <v>20729</v>
      </c>
      <c r="Q452">
        <v>0</v>
      </c>
      <c r="R452">
        <v>260379440864</v>
      </c>
      <c r="S452">
        <v>587750343.32000005</v>
      </c>
      <c r="T452">
        <v>258071321145.88</v>
      </c>
      <c r="U452">
        <v>259590266389.81</v>
      </c>
      <c r="V452">
        <v>7.6466999999999993E-2</v>
      </c>
      <c r="W452">
        <v>9.2440000000000005E-3</v>
      </c>
    </row>
    <row r="453" spans="1:23" x14ac:dyDescent="0.35">
      <c r="A453" t="s">
        <v>0</v>
      </c>
      <c r="B453">
        <v>6000</v>
      </c>
      <c r="C453">
        <v>96</v>
      </c>
      <c r="D453">
        <v>2103</v>
      </c>
      <c r="E453">
        <v>0</v>
      </c>
      <c r="F453">
        <v>27638430562</v>
      </c>
      <c r="G453">
        <v>48590140.68</v>
      </c>
      <c r="H453">
        <v>27315946373</v>
      </c>
      <c r="I453">
        <v>27451481466.150002</v>
      </c>
      <c r="J453">
        <v>0.112647</v>
      </c>
      <c r="K453">
        <v>5.8445999999999998E-2</v>
      </c>
      <c r="M453" t="s">
        <v>2</v>
      </c>
      <c r="N453">
        <v>4750</v>
      </c>
      <c r="O453">
        <v>108</v>
      </c>
      <c r="P453">
        <v>2432</v>
      </c>
      <c r="Q453">
        <v>0</v>
      </c>
      <c r="R453">
        <v>20672950592</v>
      </c>
      <c r="S453">
        <v>46965127.479999997</v>
      </c>
      <c r="T453">
        <v>20481556396.540001</v>
      </c>
      <c r="U453">
        <v>20592216025.740002</v>
      </c>
      <c r="V453">
        <v>8.0688999999999997E-2</v>
      </c>
      <c r="W453">
        <v>1.9427E-2</v>
      </c>
    </row>
    <row r="454" spans="1:23" x14ac:dyDescent="0.35">
      <c r="A454" t="s">
        <v>1</v>
      </c>
      <c r="B454">
        <v>3750</v>
      </c>
      <c r="C454">
        <v>96</v>
      </c>
      <c r="D454">
        <v>2933</v>
      </c>
      <c r="E454">
        <v>0</v>
      </c>
      <c r="F454">
        <v>54379917217</v>
      </c>
      <c r="G454">
        <v>132146147.23</v>
      </c>
      <c r="H454">
        <v>53940212337</v>
      </c>
      <c r="I454">
        <v>54206260981.370003</v>
      </c>
      <c r="J454">
        <v>6.5796999999999994E-2</v>
      </c>
      <c r="K454">
        <v>9.1219999999999999E-3</v>
      </c>
      <c r="M454" t="s">
        <v>1</v>
      </c>
      <c r="N454">
        <v>4750</v>
      </c>
      <c r="O454">
        <v>108</v>
      </c>
      <c r="P454">
        <v>2338</v>
      </c>
      <c r="Q454">
        <v>0</v>
      </c>
      <c r="R454">
        <v>30453053092</v>
      </c>
      <c r="S454">
        <v>68740538.989999995</v>
      </c>
      <c r="T454">
        <v>30013364138.139999</v>
      </c>
      <c r="U454">
        <v>30334966870.939999</v>
      </c>
      <c r="V454">
        <v>0.136766</v>
      </c>
      <c r="W454">
        <v>1.9272000000000001E-2</v>
      </c>
    </row>
    <row r="455" spans="1:23" x14ac:dyDescent="0.35">
      <c r="A455" t="s">
        <v>2</v>
      </c>
      <c r="B455">
        <v>3750</v>
      </c>
      <c r="C455">
        <v>96</v>
      </c>
      <c r="D455">
        <v>882</v>
      </c>
      <c r="E455">
        <v>0</v>
      </c>
      <c r="F455">
        <v>10510735143</v>
      </c>
      <c r="G455">
        <v>25608652.93</v>
      </c>
      <c r="H455">
        <v>10462958531</v>
      </c>
      <c r="I455">
        <v>10479385057.85</v>
      </c>
      <c r="J455">
        <v>2.5017000000000001E-2</v>
      </c>
      <c r="K455">
        <v>6.535E-3</v>
      </c>
      <c r="M455" t="s">
        <v>0</v>
      </c>
      <c r="N455">
        <v>4750</v>
      </c>
      <c r="O455">
        <v>96</v>
      </c>
      <c r="P455">
        <v>41110</v>
      </c>
      <c r="Q455">
        <v>0</v>
      </c>
      <c r="R455">
        <v>577365133642</v>
      </c>
      <c r="S455">
        <v>1210009865.0699999</v>
      </c>
      <c r="T455">
        <v>572873591155.47998</v>
      </c>
      <c r="U455">
        <v>575722431657.66003</v>
      </c>
      <c r="V455">
        <v>6.6111000000000003E-2</v>
      </c>
      <c r="W455">
        <v>8.9560000000000004E-3</v>
      </c>
    </row>
    <row r="456" spans="1:23" x14ac:dyDescent="0.35">
      <c r="A456" t="s">
        <v>0</v>
      </c>
      <c r="B456">
        <v>4750</v>
      </c>
      <c r="C456">
        <v>96</v>
      </c>
      <c r="D456">
        <v>41536</v>
      </c>
      <c r="E456">
        <v>0</v>
      </c>
      <c r="F456">
        <v>585552721874</v>
      </c>
      <c r="G456">
        <v>1230277748.5899999</v>
      </c>
      <c r="H456">
        <v>580348001423</v>
      </c>
      <c r="I456">
        <v>583489792809.68005</v>
      </c>
      <c r="J456">
        <v>7.8477000000000005E-2</v>
      </c>
      <c r="K456">
        <v>1.6931000000000002E-2</v>
      </c>
      <c r="M456" t="s">
        <v>1</v>
      </c>
      <c r="N456">
        <v>5500</v>
      </c>
      <c r="O456">
        <v>96</v>
      </c>
      <c r="P456">
        <v>1248</v>
      </c>
      <c r="Q456">
        <v>0</v>
      </c>
      <c r="R456">
        <v>16605145756</v>
      </c>
      <c r="S456">
        <v>31180896.23</v>
      </c>
      <c r="T456">
        <v>16434323102.92</v>
      </c>
      <c r="U456">
        <v>16508509653.969999</v>
      </c>
      <c r="V456">
        <v>9.6375000000000002E-2</v>
      </c>
      <c r="W456">
        <v>4.6289999999999998E-2</v>
      </c>
    </row>
    <row r="457" spans="1:23" x14ac:dyDescent="0.35">
      <c r="A457" t="s">
        <v>0</v>
      </c>
      <c r="B457">
        <v>6000</v>
      </c>
      <c r="C457">
        <v>108</v>
      </c>
      <c r="D457">
        <v>37</v>
      </c>
      <c r="E457">
        <v>0</v>
      </c>
      <c r="F457">
        <v>368104636</v>
      </c>
      <c r="G457">
        <v>697010.25</v>
      </c>
      <c r="H457">
        <v>367068021</v>
      </c>
      <c r="I457">
        <v>367068021</v>
      </c>
      <c r="J457">
        <v>1.1015E-2</v>
      </c>
      <c r="K457">
        <v>1.1015E-2</v>
      </c>
      <c r="M457" t="s">
        <v>3</v>
      </c>
      <c r="N457">
        <v>5000</v>
      </c>
      <c r="O457">
        <v>108</v>
      </c>
      <c r="P457">
        <v>13</v>
      </c>
      <c r="Q457">
        <v>0</v>
      </c>
      <c r="R457">
        <v>141588580</v>
      </c>
      <c r="S457">
        <v>308562.01</v>
      </c>
      <c r="T457">
        <v>141280017.99000001</v>
      </c>
      <c r="U457">
        <v>141280017.99000001</v>
      </c>
      <c r="V457">
        <v>0</v>
      </c>
      <c r="W457">
        <v>0</v>
      </c>
    </row>
    <row r="458" spans="1:23" x14ac:dyDescent="0.35">
      <c r="A458" t="s">
        <v>1</v>
      </c>
      <c r="B458">
        <v>3250</v>
      </c>
      <c r="C458">
        <v>96</v>
      </c>
      <c r="D458">
        <v>299</v>
      </c>
      <c r="E458">
        <v>0</v>
      </c>
      <c r="F458">
        <v>5162298460</v>
      </c>
      <c r="G458">
        <v>13382781.529999999</v>
      </c>
      <c r="H458">
        <v>5131813273</v>
      </c>
      <c r="I458">
        <v>5131813273</v>
      </c>
      <c r="J458">
        <v>3.9038999999999997E-2</v>
      </c>
      <c r="K458">
        <v>3.9038999999999997E-2</v>
      </c>
      <c r="M458" t="s">
        <v>2</v>
      </c>
      <c r="N458">
        <v>5500</v>
      </c>
      <c r="O458">
        <v>96</v>
      </c>
      <c r="P458">
        <v>1501</v>
      </c>
      <c r="Q458">
        <v>0</v>
      </c>
      <c r="R458">
        <v>14246335121</v>
      </c>
      <c r="S458">
        <v>26478468.399999999</v>
      </c>
      <c r="T458">
        <v>14106189696</v>
      </c>
      <c r="U458">
        <v>14219856652.6</v>
      </c>
      <c r="V458">
        <v>9.1651999999999997E-2</v>
      </c>
      <c r="W458">
        <v>0</v>
      </c>
    </row>
    <row r="459" spans="1:23" x14ac:dyDescent="0.35">
      <c r="A459" t="s">
        <v>0</v>
      </c>
      <c r="B459">
        <v>4250</v>
      </c>
      <c r="C459">
        <v>96</v>
      </c>
      <c r="D459">
        <v>20955</v>
      </c>
      <c r="E459">
        <v>0</v>
      </c>
      <c r="F459">
        <v>300310619983</v>
      </c>
      <c r="G459">
        <v>680357906.47000003</v>
      </c>
      <c r="H459">
        <v>297615047128</v>
      </c>
      <c r="I459">
        <v>299216419860.88</v>
      </c>
      <c r="J459">
        <v>7.7618999999999994E-2</v>
      </c>
      <c r="K459">
        <v>1.6412E-2</v>
      </c>
      <c r="M459" t="s">
        <v>0</v>
      </c>
      <c r="N459">
        <v>6000</v>
      </c>
      <c r="O459">
        <v>96</v>
      </c>
      <c r="P459">
        <v>1921</v>
      </c>
      <c r="Q459">
        <v>0</v>
      </c>
      <c r="R459">
        <v>25308501303</v>
      </c>
      <c r="S459">
        <v>44321879.630000003</v>
      </c>
      <c r="T459">
        <v>25123369179.580002</v>
      </c>
      <c r="U459">
        <v>25217594960.59</v>
      </c>
      <c r="V459">
        <v>6.4758999999999997E-2</v>
      </c>
      <c r="W459">
        <v>2.1866E-2</v>
      </c>
    </row>
    <row r="460" spans="1:23" x14ac:dyDescent="0.35">
      <c r="A460" t="s">
        <v>2</v>
      </c>
      <c r="B460">
        <v>4750</v>
      </c>
      <c r="C460">
        <v>96</v>
      </c>
      <c r="D460">
        <v>6485</v>
      </c>
      <c r="E460">
        <v>0</v>
      </c>
      <c r="F460">
        <v>71474890830</v>
      </c>
      <c r="G460">
        <v>150955604.65000001</v>
      </c>
      <c r="H460">
        <v>70813791351</v>
      </c>
      <c r="I460">
        <v>71266955838.429993</v>
      </c>
      <c r="J460">
        <v>8.2364999999999994E-2</v>
      </c>
      <c r="K460">
        <v>9.5250000000000005E-3</v>
      </c>
      <c r="M460" t="s">
        <v>1</v>
      </c>
      <c r="N460">
        <v>3750</v>
      </c>
      <c r="O460">
        <v>96</v>
      </c>
      <c r="P460">
        <v>4431</v>
      </c>
      <c r="Q460">
        <v>0</v>
      </c>
      <c r="R460">
        <v>81808248713</v>
      </c>
      <c r="S460">
        <v>198947496.31</v>
      </c>
      <c r="T460">
        <v>81131811299.199997</v>
      </c>
      <c r="U460">
        <v>81585904661.699997</v>
      </c>
      <c r="V460">
        <v>6.7835000000000006E-2</v>
      </c>
      <c r="W460">
        <v>3.4269999999999999E-3</v>
      </c>
    </row>
    <row r="461" spans="1:23" x14ac:dyDescent="0.35">
      <c r="A461" t="s">
        <v>2</v>
      </c>
      <c r="B461">
        <v>3250</v>
      </c>
      <c r="C461">
        <v>96</v>
      </c>
      <c r="D461">
        <v>96</v>
      </c>
      <c r="E461">
        <v>0</v>
      </c>
      <c r="F461">
        <v>1105199025</v>
      </c>
      <c r="G461">
        <v>2873894.98</v>
      </c>
      <c r="H461">
        <v>1102326934</v>
      </c>
      <c r="I461">
        <v>1102326934</v>
      </c>
      <c r="J461">
        <v>-2.0000000000000002E-5</v>
      </c>
      <c r="K461">
        <v>-2.0000000000000002E-5</v>
      </c>
      <c r="M461" t="s">
        <v>0</v>
      </c>
      <c r="N461">
        <v>4250</v>
      </c>
      <c r="O461">
        <v>96</v>
      </c>
      <c r="P461">
        <v>24157</v>
      </c>
      <c r="Q461">
        <v>0</v>
      </c>
      <c r="R461">
        <v>341543978800</v>
      </c>
      <c r="S461">
        <v>773537286.21000004</v>
      </c>
      <c r="T461">
        <v>338824840227.04999</v>
      </c>
      <c r="U461">
        <v>340639765413.58002</v>
      </c>
      <c r="V461">
        <v>6.6255999999999995E-2</v>
      </c>
      <c r="W461">
        <v>4.5820000000000001E-3</v>
      </c>
    </row>
    <row r="462" spans="1:23" x14ac:dyDescent="0.35">
      <c r="A462" t="s">
        <v>0</v>
      </c>
      <c r="B462">
        <v>3750</v>
      </c>
      <c r="C462">
        <v>96</v>
      </c>
      <c r="D462">
        <v>4457</v>
      </c>
      <c r="E462">
        <v>0</v>
      </c>
      <c r="F462">
        <v>64718578498</v>
      </c>
      <c r="G462">
        <v>156950207.38999999</v>
      </c>
      <c r="H462">
        <v>64242678606</v>
      </c>
      <c r="I462">
        <v>64472762924.360001</v>
      </c>
      <c r="J462">
        <v>5.7562000000000002E-2</v>
      </c>
      <c r="K462">
        <v>1.6352999999999999E-2</v>
      </c>
      <c r="M462" t="s">
        <v>2</v>
      </c>
      <c r="N462">
        <v>3750</v>
      </c>
      <c r="O462">
        <v>96</v>
      </c>
      <c r="P462">
        <v>1390</v>
      </c>
      <c r="Q462">
        <v>0</v>
      </c>
      <c r="R462">
        <v>16656563256</v>
      </c>
      <c r="S462">
        <v>40560441.149999999</v>
      </c>
      <c r="T462">
        <v>16546477824.209999</v>
      </c>
      <c r="U462">
        <v>16616002814.85</v>
      </c>
      <c r="V462">
        <v>4.8953999999999998E-2</v>
      </c>
      <c r="W462">
        <v>0</v>
      </c>
    </row>
    <row r="463" spans="1:23" x14ac:dyDescent="0.35">
      <c r="A463" t="s">
        <v>0</v>
      </c>
      <c r="B463">
        <v>5250</v>
      </c>
      <c r="C463">
        <v>96</v>
      </c>
      <c r="D463">
        <v>24477</v>
      </c>
      <c r="E463">
        <v>0</v>
      </c>
      <c r="F463">
        <v>340998802892</v>
      </c>
      <c r="G463">
        <v>668241820.00999999</v>
      </c>
      <c r="H463">
        <v>337990296674</v>
      </c>
      <c r="I463">
        <v>339740068371.13</v>
      </c>
      <c r="J463">
        <v>7.9316999999999999E-2</v>
      </c>
      <c r="K463">
        <v>2.0583000000000001E-2</v>
      </c>
      <c r="M463" t="s">
        <v>2</v>
      </c>
      <c r="N463">
        <v>4750</v>
      </c>
      <c r="O463">
        <v>96</v>
      </c>
      <c r="P463">
        <v>6742</v>
      </c>
      <c r="Q463">
        <v>0</v>
      </c>
      <c r="R463">
        <v>73930333332</v>
      </c>
      <c r="S463">
        <v>155441716.31999999</v>
      </c>
      <c r="T463">
        <v>73379405150.029999</v>
      </c>
      <c r="U463">
        <v>73740850447.600006</v>
      </c>
      <c r="V463">
        <v>6.2337999999999998E-2</v>
      </c>
      <c r="W463">
        <v>5.5110000000000003E-3</v>
      </c>
    </row>
    <row r="464" spans="1:23" x14ac:dyDescent="0.35">
      <c r="A464" t="s">
        <v>2</v>
      </c>
      <c r="B464">
        <v>4250</v>
      </c>
      <c r="C464">
        <v>96</v>
      </c>
      <c r="D464">
        <v>2885</v>
      </c>
      <c r="E464">
        <v>0</v>
      </c>
      <c r="F464">
        <v>34687856677</v>
      </c>
      <c r="G464">
        <v>78619943.260000005</v>
      </c>
      <c r="H464">
        <v>34391899237</v>
      </c>
      <c r="I464">
        <v>34596739196.639999</v>
      </c>
      <c r="J464">
        <v>7.2649000000000005E-2</v>
      </c>
      <c r="K464">
        <v>4.3150000000000003E-3</v>
      </c>
      <c r="M464" t="s">
        <v>1</v>
      </c>
      <c r="N464">
        <v>3250</v>
      </c>
      <c r="O464">
        <v>96</v>
      </c>
      <c r="P464">
        <v>546</v>
      </c>
      <c r="Q464">
        <v>0</v>
      </c>
      <c r="R464">
        <v>9603004962</v>
      </c>
      <c r="S464">
        <v>24909191.050000001</v>
      </c>
      <c r="T464">
        <v>9491200240</v>
      </c>
      <c r="U464">
        <v>9564685763.5200005</v>
      </c>
      <c r="V464">
        <v>0.103341</v>
      </c>
      <c r="W464">
        <v>1.6629000000000001E-2</v>
      </c>
    </row>
    <row r="465" spans="1:23" x14ac:dyDescent="0.35">
      <c r="A465" t="s">
        <v>1</v>
      </c>
      <c r="B465">
        <v>4250</v>
      </c>
      <c r="C465">
        <v>96</v>
      </c>
      <c r="D465">
        <v>7136</v>
      </c>
      <c r="E465">
        <v>0</v>
      </c>
      <c r="F465">
        <v>130395997988</v>
      </c>
      <c r="G465">
        <v>293804390.32999998</v>
      </c>
      <c r="H465">
        <v>129038945701</v>
      </c>
      <c r="I465">
        <v>129821190428.61</v>
      </c>
      <c r="J465">
        <v>9.3576999999999994E-2</v>
      </c>
      <c r="K465">
        <v>2.5555999999999999E-2</v>
      </c>
      <c r="M465" t="s">
        <v>2</v>
      </c>
      <c r="N465">
        <v>3250</v>
      </c>
      <c r="O465">
        <v>96</v>
      </c>
      <c r="P465">
        <v>145</v>
      </c>
      <c r="Q465">
        <v>0</v>
      </c>
      <c r="R465">
        <v>1661906373</v>
      </c>
      <c r="S465">
        <v>4305454.95</v>
      </c>
      <c r="T465">
        <v>1657600918.05</v>
      </c>
      <c r="U465">
        <v>1657600918.05</v>
      </c>
      <c r="V465">
        <v>0</v>
      </c>
      <c r="W465">
        <v>0</v>
      </c>
    </row>
    <row r="466" spans="1:23" x14ac:dyDescent="0.35">
      <c r="A466" t="s">
        <v>1</v>
      </c>
      <c r="B466">
        <v>4750</v>
      </c>
      <c r="C466">
        <v>96</v>
      </c>
      <c r="D466">
        <v>7329</v>
      </c>
      <c r="E466">
        <v>0</v>
      </c>
      <c r="F466">
        <v>120230150116</v>
      </c>
      <c r="G466">
        <v>252858397.22999999</v>
      </c>
      <c r="H466">
        <v>119006220889</v>
      </c>
      <c r="I466">
        <v>119777139450.71001</v>
      </c>
      <c r="J466">
        <v>9.2730000000000007E-2</v>
      </c>
      <c r="K466">
        <v>1.9795E-2</v>
      </c>
      <c r="M466" t="s">
        <v>0</v>
      </c>
      <c r="N466">
        <v>3750</v>
      </c>
      <c r="O466">
        <v>96</v>
      </c>
      <c r="P466">
        <v>6796</v>
      </c>
      <c r="Q466">
        <v>0</v>
      </c>
      <c r="R466">
        <v>102107579624</v>
      </c>
      <c r="S466">
        <v>247997331.19</v>
      </c>
      <c r="T466">
        <v>101319366596.89</v>
      </c>
      <c r="U466">
        <v>101828321648.23</v>
      </c>
      <c r="V466">
        <v>6.1672999999999999E-2</v>
      </c>
      <c r="W466">
        <v>3.6679999999999998E-3</v>
      </c>
    </row>
    <row r="467" spans="1:23" x14ac:dyDescent="0.35">
      <c r="A467" t="s">
        <v>2</v>
      </c>
      <c r="B467">
        <v>5250</v>
      </c>
      <c r="C467">
        <v>96</v>
      </c>
      <c r="D467">
        <v>4965</v>
      </c>
      <c r="E467">
        <v>0</v>
      </c>
      <c r="F467">
        <v>47852586512</v>
      </c>
      <c r="G467">
        <v>93783662.219999999</v>
      </c>
      <c r="H467">
        <v>47356011837</v>
      </c>
      <c r="I467">
        <v>47655328946.43</v>
      </c>
      <c r="J467">
        <v>9.6461000000000005E-2</v>
      </c>
      <c r="K467">
        <v>2.5642000000000002E-2</v>
      </c>
      <c r="M467" t="s">
        <v>0</v>
      </c>
      <c r="N467">
        <v>5250</v>
      </c>
      <c r="O467">
        <v>96</v>
      </c>
      <c r="P467">
        <v>23246</v>
      </c>
      <c r="Q467">
        <v>0</v>
      </c>
      <c r="R467">
        <v>322792272138</v>
      </c>
      <c r="S467">
        <v>630771055.53999996</v>
      </c>
      <c r="T467">
        <v>319841916857.98999</v>
      </c>
      <c r="U467">
        <v>321646167481.83002</v>
      </c>
      <c r="V467">
        <v>8.2904000000000005E-2</v>
      </c>
      <c r="W467">
        <v>1.8991000000000001E-2</v>
      </c>
    </row>
    <row r="468" spans="1:23" x14ac:dyDescent="0.35">
      <c r="A468" t="s">
        <v>1</v>
      </c>
      <c r="B468">
        <v>5250</v>
      </c>
      <c r="C468">
        <v>96</v>
      </c>
      <c r="D468">
        <v>2816</v>
      </c>
      <c r="E468">
        <v>0</v>
      </c>
      <c r="F468">
        <v>40225104779</v>
      </c>
      <c r="G468">
        <v>78820294.75</v>
      </c>
      <c r="H468">
        <v>39740596779</v>
      </c>
      <c r="I468">
        <v>40071940371.43</v>
      </c>
      <c r="J468">
        <v>0.114533</v>
      </c>
      <c r="K468">
        <v>2.1954000000000001E-2</v>
      </c>
      <c r="M468" t="s">
        <v>2</v>
      </c>
      <c r="N468">
        <v>4250</v>
      </c>
      <c r="O468">
        <v>96</v>
      </c>
      <c r="P468">
        <v>3365</v>
      </c>
      <c r="Q468">
        <v>0</v>
      </c>
      <c r="R468">
        <v>39899104095</v>
      </c>
      <c r="S468">
        <v>90253656.439999998</v>
      </c>
      <c r="T468">
        <v>39597252572.580002</v>
      </c>
      <c r="U468">
        <v>39776014404.5</v>
      </c>
      <c r="V468">
        <v>6.1816000000000003E-2</v>
      </c>
      <c r="W468">
        <v>9.8309999999999995E-3</v>
      </c>
    </row>
    <row r="469" spans="1:23" x14ac:dyDescent="0.35">
      <c r="A469" t="s">
        <v>0</v>
      </c>
      <c r="B469">
        <v>5500</v>
      </c>
      <c r="C469">
        <v>84</v>
      </c>
      <c r="D469">
        <v>4476</v>
      </c>
      <c r="E469">
        <v>0</v>
      </c>
      <c r="F469">
        <v>62339660139</v>
      </c>
      <c r="G469">
        <v>111734411.66</v>
      </c>
      <c r="H469">
        <v>61596549850</v>
      </c>
      <c r="I469">
        <v>62030395440.720001</v>
      </c>
      <c r="J469">
        <v>0.11498899999999999</v>
      </c>
      <c r="K469">
        <v>3.7367999999999998E-2</v>
      </c>
      <c r="M469" t="s">
        <v>1</v>
      </c>
      <c r="N469">
        <v>4250</v>
      </c>
      <c r="O469">
        <v>96</v>
      </c>
      <c r="P469">
        <v>7483</v>
      </c>
      <c r="Q469">
        <v>0</v>
      </c>
      <c r="R469">
        <v>135540759593</v>
      </c>
      <c r="S469">
        <v>304720441.30000001</v>
      </c>
      <c r="T469">
        <v>134394390211.81</v>
      </c>
      <c r="U469">
        <v>135185318002.50999</v>
      </c>
      <c r="V469">
        <v>7.2022000000000003E-2</v>
      </c>
      <c r="W469">
        <v>4.4809999999999997E-3</v>
      </c>
    </row>
    <row r="470" spans="1:23" x14ac:dyDescent="0.35">
      <c r="A470" t="s">
        <v>0</v>
      </c>
      <c r="B470">
        <v>5000</v>
      </c>
      <c r="C470">
        <v>84</v>
      </c>
      <c r="D470">
        <v>14396</v>
      </c>
      <c r="E470">
        <v>0</v>
      </c>
      <c r="F470">
        <v>207534589801</v>
      </c>
      <c r="G470">
        <v>395525223.31</v>
      </c>
      <c r="H470">
        <v>205692520283</v>
      </c>
      <c r="I470">
        <v>206809686590.35999</v>
      </c>
      <c r="J470">
        <v>8.0508999999999997E-2</v>
      </c>
      <c r="K470">
        <v>1.8880000000000001E-2</v>
      </c>
      <c r="M470" t="s">
        <v>0</v>
      </c>
      <c r="N470">
        <v>5000</v>
      </c>
      <c r="O470">
        <v>84</v>
      </c>
      <c r="P470">
        <v>16539</v>
      </c>
      <c r="Q470">
        <v>0</v>
      </c>
      <c r="R470">
        <v>236004264415</v>
      </c>
      <c r="S470">
        <v>449974527.10000002</v>
      </c>
      <c r="T470">
        <v>234115908436.85999</v>
      </c>
      <c r="U470">
        <v>235326348251.31</v>
      </c>
      <c r="V470">
        <v>7.0734000000000005E-2</v>
      </c>
      <c r="W470">
        <v>1.1528999999999999E-2</v>
      </c>
    </row>
    <row r="471" spans="1:23" x14ac:dyDescent="0.35">
      <c r="A471" t="s">
        <v>1</v>
      </c>
      <c r="B471">
        <v>6000</v>
      </c>
      <c r="C471">
        <v>96</v>
      </c>
      <c r="D471">
        <v>67</v>
      </c>
      <c r="E471">
        <v>0</v>
      </c>
      <c r="F471">
        <v>857829536</v>
      </c>
      <c r="G471">
        <v>1501269.3</v>
      </c>
      <c r="H471">
        <v>819688019</v>
      </c>
      <c r="I471">
        <v>828627451.51999998</v>
      </c>
      <c r="J471">
        <v>0.40774700000000003</v>
      </c>
      <c r="K471">
        <v>0.32557599999999998</v>
      </c>
      <c r="M471" t="s">
        <v>1</v>
      </c>
      <c r="N471">
        <v>4750</v>
      </c>
      <c r="O471">
        <v>96</v>
      </c>
      <c r="P471">
        <v>7111</v>
      </c>
      <c r="Q471">
        <v>0</v>
      </c>
      <c r="R471">
        <v>115825078507</v>
      </c>
      <c r="S471">
        <v>242871028.31999999</v>
      </c>
      <c r="T471">
        <v>114941294988.95</v>
      </c>
      <c r="U471">
        <v>115458155083.08</v>
      </c>
      <c r="V471">
        <v>6.4417000000000002E-2</v>
      </c>
      <c r="W471">
        <v>1.2777E-2</v>
      </c>
    </row>
    <row r="472" spans="1:23" x14ac:dyDescent="0.35">
      <c r="A472" t="s">
        <v>2</v>
      </c>
      <c r="B472">
        <v>5000</v>
      </c>
      <c r="C472">
        <v>84</v>
      </c>
      <c r="D472">
        <v>1859</v>
      </c>
      <c r="E472">
        <v>0</v>
      </c>
      <c r="F472">
        <v>18750890379</v>
      </c>
      <c r="G472">
        <v>36200509.07</v>
      </c>
      <c r="H472">
        <v>18626506333</v>
      </c>
      <c r="I472">
        <v>18700396303.91</v>
      </c>
      <c r="J472">
        <v>5.4997999999999998E-2</v>
      </c>
      <c r="K472">
        <v>9.1090000000000008E-3</v>
      </c>
      <c r="M472" t="s">
        <v>0</v>
      </c>
      <c r="N472">
        <v>5500</v>
      </c>
      <c r="O472">
        <v>84</v>
      </c>
      <c r="P472">
        <v>5414</v>
      </c>
      <c r="Q472">
        <v>0</v>
      </c>
      <c r="R472">
        <v>74231710890</v>
      </c>
      <c r="S472">
        <v>132781289.8</v>
      </c>
      <c r="T472">
        <v>73494105426.369995</v>
      </c>
      <c r="U472">
        <v>74038728272.529999</v>
      </c>
      <c r="V472">
        <v>9.3508999999999995E-2</v>
      </c>
      <c r="W472">
        <v>9.6889999999999997E-3</v>
      </c>
    </row>
    <row r="473" spans="1:23" x14ac:dyDescent="0.35">
      <c r="A473" t="s">
        <v>1</v>
      </c>
      <c r="B473">
        <v>5000</v>
      </c>
      <c r="C473">
        <v>84</v>
      </c>
      <c r="D473">
        <v>1237</v>
      </c>
      <c r="E473">
        <v>0</v>
      </c>
      <c r="F473">
        <v>18531465465</v>
      </c>
      <c r="G473">
        <v>35660951.899999999</v>
      </c>
      <c r="H473">
        <v>18247051075</v>
      </c>
      <c r="I473">
        <v>18425338539.93</v>
      </c>
      <c r="J473">
        <v>0.149704</v>
      </c>
      <c r="K473">
        <v>4.4687999999999999E-2</v>
      </c>
      <c r="M473" t="s">
        <v>0</v>
      </c>
      <c r="N473">
        <v>6000</v>
      </c>
      <c r="O473">
        <v>84</v>
      </c>
      <c r="P473">
        <v>1197</v>
      </c>
      <c r="Q473">
        <v>0</v>
      </c>
      <c r="R473">
        <v>15752200915</v>
      </c>
      <c r="S473">
        <v>26303244.280000001</v>
      </c>
      <c r="T473">
        <v>15636543400.43</v>
      </c>
      <c r="U473">
        <v>15720141614.299999</v>
      </c>
      <c r="V473">
        <v>6.5986000000000003E-2</v>
      </c>
      <c r="W473">
        <v>4.3759999999999997E-3</v>
      </c>
    </row>
    <row r="474" spans="1:23" x14ac:dyDescent="0.35">
      <c r="A474" t="s">
        <v>2</v>
      </c>
      <c r="B474">
        <v>5500</v>
      </c>
      <c r="C474">
        <v>84</v>
      </c>
      <c r="D474">
        <v>145</v>
      </c>
      <c r="E474">
        <v>0</v>
      </c>
      <c r="F474">
        <v>1354051965</v>
      </c>
      <c r="G474">
        <v>2472833.65</v>
      </c>
      <c r="H474">
        <v>1344018235</v>
      </c>
      <c r="I474">
        <v>1351039518.6500001</v>
      </c>
      <c r="J474">
        <v>6.4987000000000003E-2</v>
      </c>
      <c r="K474">
        <v>4.7720000000000002E-3</v>
      </c>
      <c r="M474" t="s">
        <v>2</v>
      </c>
      <c r="N474">
        <v>5250</v>
      </c>
      <c r="O474">
        <v>96</v>
      </c>
      <c r="P474">
        <v>4906</v>
      </c>
      <c r="Q474">
        <v>0</v>
      </c>
      <c r="R474">
        <v>47348157189</v>
      </c>
      <c r="S474">
        <v>92265815.670000002</v>
      </c>
      <c r="T474">
        <v>46935134323.470001</v>
      </c>
      <c r="U474">
        <v>47224727022.5</v>
      </c>
      <c r="V474">
        <v>7.8331999999999999E-2</v>
      </c>
      <c r="W474">
        <v>7.8700000000000003E-3</v>
      </c>
    </row>
    <row r="475" spans="1:23" x14ac:dyDescent="0.35">
      <c r="A475" t="s">
        <v>1</v>
      </c>
      <c r="B475">
        <v>5500</v>
      </c>
      <c r="C475">
        <v>84</v>
      </c>
      <c r="D475">
        <v>256</v>
      </c>
      <c r="E475">
        <v>0</v>
      </c>
      <c r="F475">
        <v>3424093076</v>
      </c>
      <c r="G475">
        <v>6141919.8899999997</v>
      </c>
      <c r="H475">
        <v>3378407953</v>
      </c>
      <c r="I475">
        <v>3392938370.27</v>
      </c>
      <c r="J475">
        <v>0.13011</v>
      </c>
      <c r="K475">
        <v>8.4222000000000005E-2</v>
      </c>
      <c r="M475" t="s">
        <v>1</v>
      </c>
      <c r="N475">
        <v>5250</v>
      </c>
      <c r="O475">
        <v>96</v>
      </c>
      <c r="P475">
        <v>2635</v>
      </c>
      <c r="Q475">
        <v>0</v>
      </c>
      <c r="R475">
        <v>37686975239</v>
      </c>
      <c r="S475">
        <v>73615831.030000001</v>
      </c>
      <c r="T475">
        <v>37348344014.519997</v>
      </c>
      <c r="U475">
        <v>37584743187.410004</v>
      </c>
      <c r="V475">
        <v>8.1196000000000004E-2</v>
      </c>
      <c r="W475">
        <v>9.0740000000000005E-3</v>
      </c>
    </row>
    <row r="476" spans="1:23" x14ac:dyDescent="0.35">
      <c r="A476" t="s">
        <v>0</v>
      </c>
      <c r="B476">
        <v>6000</v>
      </c>
      <c r="C476">
        <v>84</v>
      </c>
      <c r="D476">
        <v>992</v>
      </c>
      <c r="E476">
        <v>0</v>
      </c>
      <c r="F476">
        <v>13058378633</v>
      </c>
      <c r="G476">
        <v>21843889.550000001</v>
      </c>
      <c r="H476">
        <v>12961992512</v>
      </c>
      <c r="I476">
        <v>13034451950.85</v>
      </c>
      <c r="J476">
        <v>6.6390000000000005E-2</v>
      </c>
      <c r="K476">
        <v>1.9120000000000001E-3</v>
      </c>
      <c r="M476" t="s">
        <v>1</v>
      </c>
      <c r="N476">
        <v>5250</v>
      </c>
      <c r="O476">
        <v>84</v>
      </c>
      <c r="P476">
        <v>1437</v>
      </c>
      <c r="Q476">
        <v>0</v>
      </c>
      <c r="R476">
        <v>21100803493</v>
      </c>
      <c r="S476">
        <v>39085983.130000003</v>
      </c>
      <c r="T476">
        <v>20825662029.740002</v>
      </c>
      <c r="U476">
        <v>20974682907.830002</v>
      </c>
      <c r="V476">
        <v>0.12628500000000001</v>
      </c>
      <c r="W476">
        <v>4.8389000000000001E-2</v>
      </c>
    </row>
    <row r="477" spans="1:23" x14ac:dyDescent="0.35">
      <c r="A477" t="s">
        <v>1</v>
      </c>
      <c r="B477">
        <v>6000</v>
      </c>
      <c r="C477">
        <v>84</v>
      </c>
      <c r="D477">
        <v>49</v>
      </c>
      <c r="E477">
        <v>0</v>
      </c>
      <c r="F477">
        <v>598072433</v>
      </c>
      <c r="G477">
        <v>991310.84</v>
      </c>
      <c r="H477">
        <v>575935908</v>
      </c>
      <c r="I477">
        <v>597022332.66999996</v>
      </c>
      <c r="J477">
        <v>0.35075800000000001</v>
      </c>
      <c r="K477">
        <v>1.1789999999999999E-3</v>
      </c>
      <c r="M477" t="s">
        <v>1</v>
      </c>
      <c r="N477">
        <v>6000</v>
      </c>
      <c r="O477">
        <v>96</v>
      </c>
      <c r="P477">
        <v>58</v>
      </c>
      <c r="Q477">
        <v>0</v>
      </c>
      <c r="R477">
        <v>774287412</v>
      </c>
      <c r="S477">
        <v>1349355.68</v>
      </c>
      <c r="T477">
        <v>772938056.32000005</v>
      </c>
      <c r="U477">
        <v>772938056.32000005</v>
      </c>
      <c r="V477">
        <v>0</v>
      </c>
      <c r="W477">
        <v>0</v>
      </c>
    </row>
    <row r="478" spans="1:23" x14ac:dyDescent="0.35">
      <c r="A478" t="s">
        <v>2</v>
      </c>
      <c r="B478">
        <v>4750</v>
      </c>
      <c r="C478">
        <v>84</v>
      </c>
      <c r="D478">
        <v>4748</v>
      </c>
      <c r="E478">
        <v>0</v>
      </c>
      <c r="F478">
        <v>52206921714</v>
      </c>
      <c r="G478">
        <v>103991660.51000001</v>
      </c>
      <c r="H478">
        <v>51582734583</v>
      </c>
      <c r="I478">
        <v>52036273332.260002</v>
      </c>
      <c r="J478">
        <v>0.113229</v>
      </c>
      <c r="K478">
        <v>1.5214E-2</v>
      </c>
      <c r="M478" t="s">
        <v>1</v>
      </c>
      <c r="N478">
        <v>5000</v>
      </c>
      <c r="O478">
        <v>84</v>
      </c>
      <c r="P478">
        <v>1678</v>
      </c>
      <c r="Q478">
        <v>0</v>
      </c>
      <c r="R478">
        <v>25608595815</v>
      </c>
      <c r="S478">
        <v>49391583.969999999</v>
      </c>
      <c r="T478">
        <v>25332577788.869999</v>
      </c>
      <c r="U478">
        <v>25535496394.009998</v>
      </c>
      <c r="V478">
        <v>0.101176</v>
      </c>
      <c r="W478">
        <v>1.1053E-2</v>
      </c>
    </row>
    <row r="479" spans="1:23" x14ac:dyDescent="0.35">
      <c r="A479" t="s">
        <v>0</v>
      </c>
      <c r="B479">
        <v>4750</v>
      </c>
      <c r="C479">
        <v>84</v>
      </c>
      <c r="D479">
        <v>38171</v>
      </c>
      <c r="E479">
        <v>0</v>
      </c>
      <c r="F479">
        <v>572589320895</v>
      </c>
      <c r="G479">
        <v>1130830633.9300001</v>
      </c>
      <c r="H479">
        <v>567508035751</v>
      </c>
      <c r="I479">
        <v>570537591258.67004</v>
      </c>
      <c r="J479">
        <v>7.9721E-2</v>
      </c>
      <c r="K479">
        <v>1.9130000000000001E-2</v>
      </c>
      <c r="M479" t="s">
        <v>2</v>
      </c>
      <c r="N479">
        <v>5000</v>
      </c>
      <c r="O479">
        <v>84</v>
      </c>
      <c r="P479">
        <v>1939</v>
      </c>
      <c r="Q479">
        <v>0</v>
      </c>
      <c r="R479">
        <v>19660890684</v>
      </c>
      <c r="S479">
        <v>37820616.979999997</v>
      </c>
      <c r="T479">
        <v>19446178876.799999</v>
      </c>
      <c r="U479">
        <v>19597166407.630001</v>
      </c>
      <c r="V479">
        <v>0.10278</v>
      </c>
      <c r="W479">
        <v>1.5696000000000002E-2</v>
      </c>
    </row>
    <row r="480" spans="1:23" x14ac:dyDescent="0.35">
      <c r="A480" t="s">
        <v>1</v>
      </c>
      <c r="B480">
        <v>4750</v>
      </c>
      <c r="C480">
        <v>84</v>
      </c>
      <c r="D480">
        <v>4040</v>
      </c>
      <c r="E480">
        <v>0</v>
      </c>
      <c r="F480">
        <v>64315965593</v>
      </c>
      <c r="G480">
        <v>127829773.41</v>
      </c>
      <c r="H480">
        <v>63443298772</v>
      </c>
      <c r="I480">
        <v>64076743922.389999</v>
      </c>
      <c r="J480">
        <v>0.13045200000000001</v>
      </c>
      <c r="K480">
        <v>2.0587000000000001E-2</v>
      </c>
      <c r="M480" t="s">
        <v>2</v>
      </c>
      <c r="N480">
        <v>5500</v>
      </c>
      <c r="O480">
        <v>84</v>
      </c>
      <c r="P480">
        <v>183</v>
      </c>
      <c r="Q480">
        <v>0</v>
      </c>
      <c r="R480">
        <v>1706335742</v>
      </c>
      <c r="S480">
        <v>3099566.46</v>
      </c>
      <c r="T480">
        <v>1703236175.54</v>
      </c>
      <c r="U480">
        <v>1703236175.54</v>
      </c>
      <c r="V480">
        <v>0</v>
      </c>
      <c r="W480">
        <v>0</v>
      </c>
    </row>
    <row r="481" spans="1:23" x14ac:dyDescent="0.35">
      <c r="A481" t="s">
        <v>0</v>
      </c>
      <c r="B481">
        <v>3000</v>
      </c>
      <c r="C481">
        <v>84</v>
      </c>
      <c r="D481">
        <v>4552</v>
      </c>
      <c r="E481">
        <v>0</v>
      </c>
      <c r="F481">
        <v>95089935393</v>
      </c>
      <c r="G481">
        <v>230336990.28</v>
      </c>
      <c r="H481">
        <v>94362984666</v>
      </c>
      <c r="I481">
        <v>94782675367.179993</v>
      </c>
      <c r="J481">
        <v>6.0901999999999998E-2</v>
      </c>
      <c r="K481">
        <v>9.6640000000000007E-3</v>
      </c>
      <c r="M481" t="s">
        <v>1</v>
      </c>
      <c r="N481">
        <v>5500</v>
      </c>
      <c r="O481">
        <v>84</v>
      </c>
      <c r="P481">
        <v>365</v>
      </c>
      <c r="Q481">
        <v>0</v>
      </c>
      <c r="R481">
        <v>4795035539</v>
      </c>
      <c r="S481">
        <v>8607529.2799999993</v>
      </c>
      <c r="T481">
        <v>4786428009.7200003</v>
      </c>
      <c r="U481">
        <v>4786428009.7200003</v>
      </c>
      <c r="V481">
        <v>0</v>
      </c>
      <c r="W481">
        <v>0</v>
      </c>
    </row>
    <row r="482" spans="1:23" x14ac:dyDescent="0.35">
      <c r="A482" t="s">
        <v>2</v>
      </c>
      <c r="B482">
        <v>3000</v>
      </c>
      <c r="C482">
        <v>84</v>
      </c>
      <c r="D482">
        <v>765</v>
      </c>
      <c r="E482">
        <v>0</v>
      </c>
      <c r="F482">
        <v>11466941897</v>
      </c>
      <c r="G482">
        <v>27773485</v>
      </c>
      <c r="H482">
        <v>11379487148</v>
      </c>
      <c r="I482">
        <v>11437264264.219999</v>
      </c>
      <c r="J482">
        <v>6.0698000000000002E-2</v>
      </c>
      <c r="K482">
        <v>1.9910000000000001E-3</v>
      </c>
      <c r="M482" t="s">
        <v>1</v>
      </c>
      <c r="N482">
        <v>6000</v>
      </c>
      <c r="O482">
        <v>84</v>
      </c>
      <c r="P482">
        <v>56</v>
      </c>
      <c r="Q482">
        <v>0</v>
      </c>
      <c r="R482">
        <v>652180858</v>
      </c>
      <c r="S482">
        <v>1081021.24</v>
      </c>
      <c r="T482">
        <v>631858059.53999996</v>
      </c>
      <c r="U482">
        <v>651099836.75999999</v>
      </c>
      <c r="V482">
        <v>0.30188599999999999</v>
      </c>
      <c r="W482">
        <v>0</v>
      </c>
    </row>
    <row r="483" spans="1:23" x14ac:dyDescent="0.35">
      <c r="A483" t="s">
        <v>0</v>
      </c>
      <c r="B483">
        <v>4250</v>
      </c>
      <c r="C483">
        <v>84</v>
      </c>
      <c r="D483">
        <v>54015</v>
      </c>
      <c r="E483">
        <v>0</v>
      </c>
      <c r="F483">
        <v>904107054015</v>
      </c>
      <c r="G483">
        <v>1889935825.9300001</v>
      </c>
      <c r="H483">
        <v>896433263581</v>
      </c>
      <c r="I483">
        <v>901430283991.07996</v>
      </c>
      <c r="J483">
        <v>7.4122999999999994E-2</v>
      </c>
      <c r="K483">
        <v>1.0394E-2</v>
      </c>
      <c r="M483" t="s">
        <v>0</v>
      </c>
      <c r="N483">
        <v>4750</v>
      </c>
      <c r="O483">
        <v>84</v>
      </c>
      <c r="P483">
        <v>39374</v>
      </c>
      <c r="Q483">
        <v>0</v>
      </c>
      <c r="R483">
        <v>590423476041</v>
      </c>
      <c r="S483">
        <v>1162769075.02</v>
      </c>
      <c r="T483">
        <v>585508300451.09998</v>
      </c>
      <c r="U483">
        <v>588525506123.89001</v>
      </c>
      <c r="V483">
        <v>7.3654999999999998E-2</v>
      </c>
      <c r="W483">
        <v>1.4841E-2</v>
      </c>
    </row>
    <row r="484" spans="1:23" x14ac:dyDescent="0.35">
      <c r="A484" t="s">
        <v>0</v>
      </c>
      <c r="B484">
        <v>5250</v>
      </c>
      <c r="C484">
        <v>84</v>
      </c>
      <c r="D484">
        <v>15876</v>
      </c>
      <c r="E484">
        <v>0</v>
      </c>
      <c r="F484">
        <v>221640767316</v>
      </c>
      <c r="G484">
        <v>410243377.94</v>
      </c>
      <c r="H484">
        <v>219473736151</v>
      </c>
      <c r="I484">
        <v>220760714335.54999</v>
      </c>
      <c r="J484">
        <v>9.1077000000000005E-2</v>
      </c>
      <c r="K484">
        <v>2.5142000000000001E-2</v>
      </c>
      <c r="M484" t="s">
        <v>2</v>
      </c>
      <c r="N484">
        <v>4750</v>
      </c>
      <c r="O484">
        <v>84</v>
      </c>
      <c r="P484">
        <v>4758</v>
      </c>
      <c r="Q484">
        <v>0</v>
      </c>
      <c r="R484">
        <v>52474725625</v>
      </c>
      <c r="S484">
        <v>104022783.78</v>
      </c>
      <c r="T484">
        <v>52088309190.199997</v>
      </c>
      <c r="U484">
        <v>52300775152.260002</v>
      </c>
      <c r="V484">
        <v>6.2701000000000007E-2</v>
      </c>
      <c r="W484">
        <v>1.5873999999999999E-2</v>
      </c>
    </row>
    <row r="485" spans="1:23" x14ac:dyDescent="0.35">
      <c r="A485" t="s">
        <v>2</v>
      </c>
      <c r="B485">
        <v>4250</v>
      </c>
      <c r="C485">
        <v>84</v>
      </c>
      <c r="D485">
        <v>9535</v>
      </c>
      <c r="E485">
        <v>0</v>
      </c>
      <c r="F485">
        <v>111757339340</v>
      </c>
      <c r="G485">
        <v>234049164.58000001</v>
      </c>
      <c r="H485">
        <v>110680732918</v>
      </c>
      <c r="I485">
        <v>111395120673.05</v>
      </c>
      <c r="J485">
        <v>8.6810999999999999E-2</v>
      </c>
      <c r="K485">
        <v>1.3676000000000001E-2</v>
      </c>
      <c r="M485" t="s">
        <v>1</v>
      </c>
      <c r="N485">
        <v>4750</v>
      </c>
      <c r="O485">
        <v>84</v>
      </c>
      <c r="P485">
        <v>4441</v>
      </c>
      <c r="Q485">
        <v>0</v>
      </c>
      <c r="R485">
        <v>71653659207</v>
      </c>
      <c r="S485">
        <v>142042268.05000001</v>
      </c>
      <c r="T485">
        <v>70851600245.210007</v>
      </c>
      <c r="U485">
        <v>71395054053.679993</v>
      </c>
      <c r="V485">
        <v>0.105103</v>
      </c>
      <c r="W485">
        <v>1.9347E-2</v>
      </c>
    </row>
    <row r="486" spans="1:23" x14ac:dyDescent="0.35">
      <c r="A486" t="s">
        <v>1</v>
      </c>
      <c r="B486">
        <v>3750</v>
      </c>
      <c r="C486">
        <v>84</v>
      </c>
      <c r="D486">
        <v>25092</v>
      </c>
      <c r="E486">
        <v>0</v>
      </c>
      <c r="F486">
        <v>522405518946</v>
      </c>
      <c r="G486">
        <v>1164609838.1099999</v>
      </c>
      <c r="H486">
        <v>516685099450</v>
      </c>
      <c r="I486">
        <v>520639543185.88</v>
      </c>
      <c r="J486">
        <v>9.9774000000000002E-2</v>
      </c>
      <c r="K486">
        <v>1.3727E-2</v>
      </c>
      <c r="M486" t="s">
        <v>0</v>
      </c>
      <c r="N486">
        <v>3000</v>
      </c>
      <c r="O486">
        <v>84</v>
      </c>
      <c r="P486">
        <v>3833</v>
      </c>
      <c r="Q486">
        <v>0</v>
      </c>
      <c r="R486">
        <v>79721105530</v>
      </c>
      <c r="S486">
        <v>192573355.75999999</v>
      </c>
      <c r="T486">
        <v>79210627414.309998</v>
      </c>
      <c r="U486">
        <v>79517205920.410004</v>
      </c>
      <c r="V486">
        <v>4.6816999999999998E-2</v>
      </c>
      <c r="W486">
        <v>1.704E-3</v>
      </c>
    </row>
    <row r="487" spans="1:23" x14ac:dyDescent="0.35">
      <c r="A487" t="s">
        <v>1</v>
      </c>
      <c r="B487">
        <v>5250</v>
      </c>
      <c r="C487">
        <v>84</v>
      </c>
      <c r="D487">
        <v>1220</v>
      </c>
      <c r="E487">
        <v>0</v>
      </c>
      <c r="F487">
        <v>18012180633</v>
      </c>
      <c r="G487">
        <v>33375296.800000001</v>
      </c>
      <c r="H487">
        <v>17742439656</v>
      </c>
      <c r="I487">
        <v>17953219756.279999</v>
      </c>
      <c r="J487">
        <v>0.146588</v>
      </c>
      <c r="K487">
        <v>1.6913000000000001E-2</v>
      </c>
      <c r="M487" t="s">
        <v>2</v>
      </c>
      <c r="N487">
        <v>3000</v>
      </c>
      <c r="O487">
        <v>84</v>
      </c>
      <c r="P487">
        <v>642</v>
      </c>
      <c r="Q487">
        <v>0</v>
      </c>
      <c r="R487">
        <v>9537362047</v>
      </c>
      <c r="S487">
        <v>23040021.420000002</v>
      </c>
      <c r="T487">
        <v>9458286657.0699997</v>
      </c>
      <c r="U487">
        <v>9514322025.5799999</v>
      </c>
      <c r="V487">
        <v>6.8269999999999997E-2</v>
      </c>
      <c r="W487">
        <v>0</v>
      </c>
    </row>
    <row r="488" spans="1:23" x14ac:dyDescent="0.35">
      <c r="A488" t="s">
        <v>2</v>
      </c>
      <c r="B488">
        <v>3750</v>
      </c>
      <c r="C488">
        <v>84</v>
      </c>
      <c r="D488">
        <v>9942</v>
      </c>
      <c r="E488">
        <v>0</v>
      </c>
      <c r="F488">
        <v>135803413421</v>
      </c>
      <c r="G488">
        <v>300718748.45999998</v>
      </c>
      <c r="H488">
        <v>134592126629</v>
      </c>
      <c r="I488">
        <v>135382362569.42999</v>
      </c>
      <c r="J488">
        <v>7.7559000000000003E-2</v>
      </c>
      <c r="K488">
        <v>1.0581E-2</v>
      </c>
      <c r="M488" t="s">
        <v>0</v>
      </c>
      <c r="N488">
        <v>4250</v>
      </c>
      <c r="O488">
        <v>84</v>
      </c>
      <c r="P488">
        <v>51256</v>
      </c>
      <c r="Q488">
        <v>0</v>
      </c>
      <c r="R488">
        <v>859514957165</v>
      </c>
      <c r="S488">
        <v>1790801011.5899999</v>
      </c>
      <c r="T488">
        <v>853203653958.63</v>
      </c>
      <c r="U488">
        <v>857065671232.41003</v>
      </c>
      <c r="V488">
        <v>6.1317999999999998E-2</v>
      </c>
      <c r="W488">
        <v>9.1549999999999999E-3</v>
      </c>
    </row>
    <row r="489" spans="1:23" x14ac:dyDescent="0.35">
      <c r="A489" t="s">
        <v>0</v>
      </c>
      <c r="B489">
        <v>3750</v>
      </c>
      <c r="C489">
        <v>84</v>
      </c>
      <c r="D489">
        <v>61948</v>
      </c>
      <c r="E489">
        <v>0</v>
      </c>
      <c r="F489">
        <v>1147941239920</v>
      </c>
      <c r="G489">
        <v>2543108673.3099999</v>
      </c>
      <c r="H489">
        <v>1139829192583</v>
      </c>
      <c r="I489">
        <v>1144752511892.4399</v>
      </c>
      <c r="J489">
        <v>5.6686E-2</v>
      </c>
      <c r="K489">
        <v>6.7279999999999996E-3</v>
      </c>
      <c r="M489" t="s">
        <v>0</v>
      </c>
      <c r="N489">
        <v>5250</v>
      </c>
      <c r="O489">
        <v>84</v>
      </c>
      <c r="P489">
        <v>17402</v>
      </c>
      <c r="Q489">
        <v>0</v>
      </c>
      <c r="R489">
        <v>244113554522</v>
      </c>
      <c r="S489">
        <v>451095379.54000002</v>
      </c>
      <c r="T489">
        <v>241955424719.07001</v>
      </c>
      <c r="U489">
        <v>243358944821.47</v>
      </c>
      <c r="V489">
        <v>8.0759999999999998E-2</v>
      </c>
      <c r="W489">
        <v>1.4818E-2</v>
      </c>
    </row>
    <row r="490" spans="1:23" x14ac:dyDescent="0.35">
      <c r="A490" t="s">
        <v>2</v>
      </c>
      <c r="B490">
        <v>5250</v>
      </c>
      <c r="C490">
        <v>84</v>
      </c>
      <c r="D490">
        <v>1184</v>
      </c>
      <c r="E490">
        <v>0</v>
      </c>
      <c r="F490">
        <v>11278178513</v>
      </c>
      <c r="G490">
        <v>21217250.07</v>
      </c>
      <c r="H490">
        <v>11186683702</v>
      </c>
      <c r="I490">
        <v>11221734315.16</v>
      </c>
      <c r="J490">
        <v>7.2264999999999996E-2</v>
      </c>
      <c r="K490">
        <v>3.6844000000000002E-2</v>
      </c>
      <c r="M490" t="s">
        <v>2</v>
      </c>
      <c r="N490">
        <v>4250</v>
      </c>
      <c r="O490">
        <v>84</v>
      </c>
      <c r="P490">
        <v>9038</v>
      </c>
      <c r="Q490">
        <v>0</v>
      </c>
      <c r="R490">
        <v>106318098078</v>
      </c>
      <c r="S490">
        <v>221756186.27000001</v>
      </c>
      <c r="T490">
        <v>105328573938.06</v>
      </c>
      <c r="U490">
        <v>105961167113.38</v>
      </c>
      <c r="V490">
        <v>8.3296999999999996E-2</v>
      </c>
      <c r="W490">
        <v>1.5151E-2</v>
      </c>
    </row>
    <row r="491" spans="1:23" x14ac:dyDescent="0.35">
      <c r="A491" t="s">
        <v>1</v>
      </c>
      <c r="B491">
        <v>3250</v>
      </c>
      <c r="C491">
        <v>84</v>
      </c>
      <c r="D491">
        <v>17762</v>
      </c>
      <c r="E491">
        <v>0</v>
      </c>
      <c r="F491">
        <v>416000551223</v>
      </c>
      <c r="G491">
        <v>978808888.92999995</v>
      </c>
      <c r="H491">
        <v>412112482255</v>
      </c>
      <c r="I491">
        <v>414581800795.92999</v>
      </c>
      <c r="J491">
        <v>8.0767000000000005E-2</v>
      </c>
      <c r="K491">
        <v>1.2617E-2</v>
      </c>
      <c r="M491" t="s">
        <v>1</v>
      </c>
      <c r="N491">
        <v>3750</v>
      </c>
      <c r="O491">
        <v>84</v>
      </c>
      <c r="P491">
        <v>22605</v>
      </c>
      <c r="Q491">
        <v>0</v>
      </c>
      <c r="R491">
        <v>473472267104</v>
      </c>
      <c r="S491">
        <v>1052395668.34</v>
      </c>
      <c r="T491">
        <v>469564149788.79999</v>
      </c>
      <c r="U491">
        <v>472027617347.90002</v>
      </c>
      <c r="V491">
        <v>7.0024000000000003E-2</v>
      </c>
      <c r="W491">
        <v>9.8960000000000003E-3</v>
      </c>
    </row>
    <row r="492" spans="1:23" x14ac:dyDescent="0.35">
      <c r="A492" t="s">
        <v>1</v>
      </c>
      <c r="B492">
        <v>3000</v>
      </c>
      <c r="C492">
        <v>84</v>
      </c>
      <c r="D492">
        <v>8244</v>
      </c>
      <c r="E492">
        <v>0</v>
      </c>
      <c r="F492">
        <v>199232732500</v>
      </c>
      <c r="G492">
        <v>483525277.56</v>
      </c>
      <c r="H492">
        <v>197588656489</v>
      </c>
      <c r="I492">
        <v>198506193339.70001</v>
      </c>
      <c r="J492">
        <v>6.7705000000000001E-2</v>
      </c>
      <c r="K492">
        <v>1.4539E-2</v>
      </c>
      <c r="M492" t="s">
        <v>2</v>
      </c>
      <c r="N492">
        <v>3750</v>
      </c>
      <c r="O492">
        <v>84</v>
      </c>
      <c r="P492">
        <v>8635</v>
      </c>
      <c r="Q492">
        <v>0</v>
      </c>
      <c r="R492">
        <v>118417321145</v>
      </c>
      <c r="S492">
        <v>261534620.36000001</v>
      </c>
      <c r="T492">
        <v>117502055186.5</v>
      </c>
      <c r="U492">
        <v>118125808253.45</v>
      </c>
      <c r="V492">
        <v>6.4271999999999996E-2</v>
      </c>
      <c r="W492">
        <v>3.0339999999999998E-3</v>
      </c>
    </row>
    <row r="493" spans="1:23" x14ac:dyDescent="0.35">
      <c r="A493" t="s">
        <v>2</v>
      </c>
      <c r="B493">
        <v>3500</v>
      </c>
      <c r="C493">
        <v>72</v>
      </c>
      <c r="D493">
        <v>11618</v>
      </c>
      <c r="E493">
        <v>0</v>
      </c>
      <c r="F493">
        <v>160437305367</v>
      </c>
      <c r="G493">
        <v>354994647.66000003</v>
      </c>
      <c r="H493">
        <v>159058673923</v>
      </c>
      <c r="I493">
        <v>159947113789.23999</v>
      </c>
      <c r="J493">
        <v>7.3932999999999999E-2</v>
      </c>
      <c r="K493">
        <v>1.0064999999999999E-2</v>
      </c>
      <c r="M493" t="s">
        <v>0</v>
      </c>
      <c r="N493">
        <v>3750</v>
      </c>
      <c r="O493">
        <v>84</v>
      </c>
      <c r="P493">
        <v>53518</v>
      </c>
      <c r="Q493">
        <v>0</v>
      </c>
      <c r="R493">
        <v>996218208613</v>
      </c>
      <c r="S493">
        <v>2200854814.9899998</v>
      </c>
      <c r="T493">
        <v>989182022131.92004</v>
      </c>
      <c r="U493">
        <v>993479377052.84998</v>
      </c>
      <c r="V493">
        <v>5.6714000000000001E-2</v>
      </c>
      <c r="W493">
        <v>6.4609999999999997E-3</v>
      </c>
    </row>
    <row r="494" spans="1:23" x14ac:dyDescent="0.35">
      <c r="A494" t="s">
        <v>0</v>
      </c>
      <c r="B494">
        <v>3500</v>
      </c>
      <c r="C494">
        <v>72</v>
      </c>
      <c r="D494">
        <v>65214</v>
      </c>
      <c r="E494">
        <v>0</v>
      </c>
      <c r="F494">
        <v>1169397889724</v>
      </c>
      <c r="G494">
        <v>2568253964.52</v>
      </c>
      <c r="H494">
        <v>1159857940981</v>
      </c>
      <c r="I494">
        <v>1165966872924.97</v>
      </c>
      <c r="J494">
        <v>6.9241999999999998E-2</v>
      </c>
      <c r="K494">
        <v>8.8179999999999994E-3</v>
      </c>
      <c r="M494" t="s">
        <v>2</v>
      </c>
      <c r="N494">
        <v>5250</v>
      </c>
      <c r="O494">
        <v>84</v>
      </c>
      <c r="P494">
        <v>1270</v>
      </c>
      <c r="Q494">
        <v>0</v>
      </c>
      <c r="R494">
        <v>12135316379</v>
      </c>
      <c r="S494">
        <v>22734888.510000002</v>
      </c>
      <c r="T494">
        <v>12001138725.290001</v>
      </c>
      <c r="U494">
        <v>12100773200.700001</v>
      </c>
      <c r="V494">
        <v>0.10480100000000001</v>
      </c>
      <c r="W494">
        <v>1.1613999999999999E-2</v>
      </c>
    </row>
    <row r="495" spans="1:23" x14ac:dyDescent="0.35">
      <c r="A495" t="s">
        <v>1</v>
      </c>
      <c r="B495">
        <v>3500</v>
      </c>
      <c r="C495">
        <v>72</v>
      </c>
      <c r="D495">
        <v>25446</v>
      </c>
      <c r="E495">
        <v>0</v>
      </c>
      <c r="F495">
        <v>550547675072</v>
      </c>
      <c r="G495">
        <v>1219664069.46</v>
      </c>
      <c r="H495">
        <v>545766615539</v>
      </c>
      <c r="I495">
        <v>548756714788.60999</v>
      </c>
      <c r="J495">
        <v>7.4923000000000003E-2</v>
      </c>
      <c r="K495">
        <v>1.2381E-2</v>
      </c>
      <c r="M495" t="s">
        <v>1</v>
      </c>
      <c r="N495">
        <v>3250</v>
      </c>
      <c r="O495">
        <v>84</v>
      </c>
      <c r="P495">
        <v>14797</v>
      </c>
      <c r="Q495">
        <v>0</v>
      </c>
      <c r="R495">
        <v>347954556521</v>
      </c>
      <c r="S495">
        <v>816688903.16999996</v>
      </c>
      <c r="T495">
        <v>345068667506.62</v>
      </c>
      <c r="U495">
        <v>347005621424.19</v>
      </c>
      <c r="V495">
        <v>6.9072999999999996E-2</v>
      </c>
      <c r="W495">
        <v>4.5510000000000004E-3</v>
      </c>
    </row>
    <row r="496" spans="1:23" x14ac:dyDescent="0.35">
      <c r="A496" t="s">
        <v>0</v>
      </c>
      <c r="B496">
        <v>4000</v>
      </c>
      <c r="C496">
        <v>72</v>
      </c>
      <c r="D496">
        <v>28327</v>
      </c>
      <c r="E496">
        <v>0</v>
      </c>
      <c r="F496">
        <v>451876427345</v>
      </c>
      <c r="G496">
        <v>932069425.54999995</v>
      </c>
      <c r="H496">
        <v>448481625242</v>
      </c>
      <c r="I496">
        <v>450394048761.91998</v>
      </c>
      <c r="J496">
        <v>6.3475000000000004E-2</v>
      </c>
      <c r="K496">
        <v>1.4515999999999999E-2</v>
      </c>
      <c r="M496" t="s">
        <v>1</v>
      </c>
      <c r="N496">
        <v>3000</v>
      </c>
      <c r="O496">
        <v>84</v>
      </c>
      <c r="P496">
        <v>6666</v>
      </c>
      <c r="Q496">
        <v>0</v>
      </c>
      <c r="R496">
        <v>162731263862</v>
      </c>
      <c r="S496">
        <v>393869745.19999999</v>
      </c>
      <c r="T496">
        <v>161542854369.54999</v>
      </c>
      <c r="U496">
        <v>162262714135.67001</v>
      </c>
      <c r="V496">
        <v>5.7042000000000002E-2</v>
      </c>
      <c r="W496">
        <v>5.4929999999999996E-3</v>
      </c>
    </row>
    <row r="497" spans="1:23" x14ac:dyDescent="0.35">
      <c r="A497" t="s">
        <v>2</v>
      </c>
      <c r="B497">
        <v>4000</v>
      </c>
      <c r="C497">
        <v>72</v>
      </c>
      <c r="D497">
        <v>2890</v>
      </c>
      <c r="E497">
        <v>0</v>
      </c>
      <c r="F497">
        <v>35334389860</v>
      </c>
      <c r="G497">
        <v>73363232.709999993</v>
      </c>
      <c r="H497">
        <v>34918970163</v>
      </c>
      <c r="I497">
        <v>35200466447.110001</v>
      </c>
      <c r="J497">
        <v>0.110177</v>
      </c>
      <c r="K497">
        <v>2.0374E-2</v>
      </c>
      <c r="M497" t="s">
        <v>0</v>
      </c>
      <c r="N497">
        <v>3500</v>
      </c>
      <c r="O497">
        <v>72</v>
      </c>
      <c r="P497">
        <v>70737</v>
      </c>
      <c r="Q497">
        <v>0</v>
      </c>
      <c r="R497">
        <v>1284299294961</v>
      </c>
      <c r="S497">
        <v>2815522141.9699998</v>
      </c>
      <c r="T497">
        <v>1275672374853.6699</v>
      </c>
      <c r="U497">
        <v>1281023677229</v>
      </c>
      <c r="V497">
        <v>5.2968000000000001E-2</v>
      </c>
      <c r="W497">
        <v>4.2900000000000004E-3</v>
      </c>
    </row>
    <row r="498" spans="1:23" x14ac:dyDescent="0.35">
      <c r="A498" t="s">
        <v>1</v>
      </c>
      <c r="B498">
        <v>4000</v>
      </c>
      <c r="C498">
        <v>72</v>
      </c>
      <c r="D498">
        <v>3053</v>
      </c>
      <c r="E498">
        <v>0</v>
      </c>
      <c r="F498">
        <v>55435537748</v>
      </c>
      <c r="G498">
        <v>115054911.93000001</v>
      </c>
      <c r="H498">
        <v>54745182966</v>
      </c>
      <c r="I498">
        <v>55091441164.18</v>
      </c>
      <c r="J498">
        <v>0.11766600000000001</v>
      </c>
      <c r="K498">
        <v>4.8468999999999998E-2</v>
      </c>
      <c r="M498" t="s">
        <v>2</v>
      </c>
      <c r="N498">
        <v>3500</v>
      </c>
      <c r="O498">
        <v>72</v>
      </c>
      <c r="P498">
        <v>12565</v>
      </c>
      <c r="Q498">
        <v>0</v>
      </c>
      <c r="R498">
        <v>175507257916</v>
      </c>
      <c r="S498">
        <v>387007929.02999997</v>
      </c>
      <c r="T498">
        <v>173953708971.89999</v>
      </c>
      <c r="U498">
        <v>174992788653.03</v>
      </c>
      <c r="V498">
        <v>7.6908000000000004E-2</v>
      </c>
      <c r="W498">
        <v>8.6800000000000002E-3</v>
      </c>
    </row>
    <row r="499" spans="1:23" x14ac:dyDescent="0.35">
      <c r="A499" t="s">
        <v>0</v>
      </c>
      <c r="B499">
        <v>4500</v>
      </c>
      <c r="C499">
        <v>72</v>
      </c>
      <c r="D499">
        <v>7103</v>
      </c>
      <c r="E499">
        <v>0</v>
      </c>
      <c r="F499">
        <v>118386726845</v>
      </c>
      <c r="G499">
        <v>226906487.68000001</v>
      </c>
      <c r="H499">
        <v>117186826587</v>
      </c>
      <c r="I499">
        <v>118001689843.42999</v>
      </c>
      <c r="J499">
        <v>9.4286999999999996E-2</v>
      </c>
      <c r="K499">
        <v>1.5911000000000002E-2</v>
      </c>
      <c r="M499" t="s">
        <v>1</v>
      </c>
      <c r="N499">
        <v>3500</v>
      </c>
      <c r="O499">
        <v>72</v>
      </c>
      <c r="P499">
        <v>29976</v>
      </c>
      <c r="Q499">
        <v>0</v>
      </c>
      <c r="R499">
        <v>650054369744</v>
      </c>
      <c r="S499">
        <v>1437915926.3199999</v>
      </c>
      <c r="T499">
        <v>644409966661.68005</v>
      </c>
      <c r="U499">
        <v>648212342715.41003</v>
      </c>
      <c r="V499">
        <v>7.4947E-2</v>
      </c>
      <c r="W499">
        <v>7.4339999999999996E-3</v>
      </c>
    </row>
    <row r="500" spans="1:23" x14ac:dyDescent="0.35">
      <c r="A500" t="s">
        <v>2</v>
      </c>
      <c r="B500">
        <v>4500</v>
      </c>
      <c r="C500">
        <v>72</v>
      </c>
      <c r="D500">
        <v>740</v>
      </c>
      <c r="E500">
        <v>0</v>
      </c>
      <c r="F500">
        <v>8163170133</v>
      </c>
      <c r="G500">
        <v>15789700.199999999</v>
      </c>
      <c r="H500">
        <v>8122341501</v>
      </c>
      <c r="I500">
        <v>8137582619.5200005</v>
      </c>
      <c r="J500">
        <v>3.6193000000000003E-2</v>
      </c>
      <c r="K500">
        <v>1.4308E-2</v>
      </c>
      <c r="M500" t="s">
        <v>2</v>
      </c>
      <c r="N500">
        <v>4000</v>
      </c>
      <c r="O500">
        <v>72</v>
      </c>
      <c r="P500">
        <v>3549</v>
      </c>
      <c r="Q500">
        <v>0</v>
      </c>
      <c r="R500">
        <v>43803774336</v>
      </c>
      <c r="S500">
        <v>90778017.950000003</v>
      </c>
      <c r="T500">
        <v>43365165482.830002</v>
      </c>
      <c r="U500">
        <v>43680308564.559998</v>
      </c>
      <c r="V500">
        <v>9.1234999999999997E-2</v>
      </c>
      <c r="W500">
        <v>8.9180000000000006E-3</v>
      </c>
    </row>
    <row r="501" spans="1:23" x14ac:dyDescent="0.35">
      <c r="A501" t="s">
        <v>0</v>
      </c>
      <c r="B501">
        <v>5000</v>
      </c>
      <c r="C501">
        <v>72</v>
      </c>
      <c r="D501">
        <v>2374</v>
      </c>
      <c r="E501">
        <v>0</v>
      </c>
      <c r="F501">
        <v>35706416552</v>
      </c>
      <c r="G501">
        <v>64171869.539999999</v>
      </c>
      <c r="H501">
        <v>35289368228</v>
      </c>
      <c r="I501">
        <v>35558636695.43</v>
      </c>
      <c r="J501">
        <v>0.112354</v>
      </c>
      <c r="K501">
        <v>2.7739E-2</v>
      </c>
      <c r="M501" t="s">
        <v>0</v>
      </c>
      <c r="N501">
        <v>4000</v>
      </c>
      <c r="O501">
        <v>72</v>
      </c>
      <c r="P501">
        <v>32352</v>
      </c>
      <c r="Q501">
        <v>0</v>
      </c>
      <c r="R501">
        <v>512916270380</v>
      </c>
      <c r="S501">
        <v>1056407827.4400001</v>
      </c>
      <c r="T501">
        <v>508698482593.96997</v>
      </c>
      <c r="U501">
        <v>511369884047.37</v>
      </c>
      <c r="V501">
        <v>7.1506E-2</v>
      </c>
      <c r="W501">
        <v>1.1403E-2</v>
      </c>
    </row>
    <row r="502" spans="1:23" x14ac:dyDescent="0.35">
      <c r="A502" t="s">
        <v>2</v>
      </c>
      <c r="B502">
        <v>5000</v>
      </c>
      <c r="C502">
        <v>72</v>
      </c>
      <c r="D502">
        <v>176</v>
      </c>
      <c r="E502">
        <v>0</v>
      </c>
      <c r="F502">
        <v>1896450903</v>
      </c>
      <c r="G502">
        <v>3450048.05</v>
      </c>
      <c r="H502">
        <v>1879134346</v>
      </c>
      <c r="I502">
        <v>1892976049.71</v>
      </c>
      <c r="J502">
        <v>8.4297999999999998E-2</v>
      </c>
      <c r="K502">
        <v>1.5699999999999999E-4</v>
      </c>
      <c r="M502" t="s">
        <v>0</v>
      </c>
      <c r="N502">
        <v>4500</v>
      </c>
      <c r="O502">
        <v>72</v>
      </c>
      <c r="P502">
        <v>8301</v>
      </c>
      <c r="Q502">
        <v>0</v>
      </c>
      <c r="R502">
        <v>137368657030</v>
      </c>
      <c r="S502">
        <v>262956925.81</v>
      </c>
      <c r="T502">
        <v>136282425214.88</v>
      </c>
      <c r="U502">
        <v>137017386020.77</v>
      </c>
      <c r="V502">
        <v>6.9594000000000003E-2</v>
      </c>
      <c r="W502">
        <v>7.6880000000000004E-3</v>
      </c>
    </row>
    <row r="503" spans="1:23" x14ac:dyDescent="0.35">
      <c r="A503" t="s">
        <v>1</v>
      </c>
      <c r="B503">
        <v>4500</v>
      </c>
      <c r="C503">
        <v>72</v>
      </c>
      <c r="D503">
        <v>735</v>
      </c>
      <c r="E503">
        <v>0</v>
      </c>
      <c r="F503">
        <v>12315923835</v>
      </c>
      <c r="G503">
        <v>23616994.100000001</v>
      </c>
      <c r="H503">
        <v>12086721680</v>
      </c>
      <c r="I503">
        <v>12228593738.879999</v>
      </c>
      <c r="J503">
        <v>0.18290699999999999</v>
      </c>
      <c r="K503">
        <v>6.0343000000000001E-2</v>
      </c>
      <c r="M503" t="s">
        <v>1</v>
      </c>
      <c r="N503">
        <v>4500</v>
      </c>
      <c r="O503">
        <v>72</v>
      </c>
      <c r="P503">
        <v>837</v>
      </c>
      <c r="Q503">
        <v>0</v>
      </c>
      <c r="R503">
        <v>14002805585</v>
      </c>
      <c r="S503">
        <v>26800208.719999999</v>
      </c>
      <c r="T503">
        <v>13817005394.84</v>
      </c>
      <c r="U503">
        <v>13943908603.889999</v>
      </c>
      <c r="V503">
        <v>0.12806300000000001</v>
      </c>
      <c r="W503">
        <v>2.7161999999999999E-2</v>
      </c>
    </row>
    <row r="504" spans="1:23" x14ac:dyDescent="0.35">
      <c r="A504" t="s">
        <v>1</v>
      </c>
      <c r="B504">
        <v>5000</v>
      </c>
      <c r="C504">
        <v>72</v>
      </c>
      <c r="D504">
        <v>168</v>
      </c>
      <c r="E504">
        <v>0</v>
      </c>
      <c r="F504">
        <v>2878051194</v>
      </c>
      <c r="G504">
        <v>5176896.5999999996</v>
      </c>
      <c r="H504">
        <v>2854044320</v>
      </c>
      <c r="I504">
        <v>2871672085.46</v>
      </c>
      <c r="J504">
        <v>7.5746999999999995E-2</v>
      </c>
      <c r="K504">
        <v>5.0010000000000002E-3</v>
      </c>
      <c r="M504" t="s">
        <v>2</v>
      </c>
      <c r="N504">
        <v>4500</v>
      </c>
      <c r="O504">
        <v>72</v>
      </c>
      <c r="P504">
        <v>875</v>
      </c>
      <c r="Q504">
        <v>0</v>
      </c>
      <c r="R504">
        <v>9592840969</v>
      </c>
      <c r="S504">
        <v>18494944.620000001</v>
      </c>
      <c r="T504">
        <v>9509835729.25</v>
      </c>
      <c r="U504">
        <v>9574346024.3799992</v>
      </c>
      <c r="V504">
        <v>7.7779000000000001E-2</v>
      </c>
      <c r="W504">
        <v>0</v>
      </c>
    </row>
    <row r="505" spans="1:23" x14ac:dyDescent="0.35">
      <c r="A505" t="s">
        <v>1</v>
      </c>
      <c r="B505">
        <v>4250</v>
      </c>
      <c r="C505">
        <v>84</v>
      </c>
      <c r="D505">
        <v>10220</v>
      </c>
      <c r="E505">
        <v>0</v>
      </c>
      <c r="F505">
        <v>182746844122</v>
      </c>
      <c r="G505">
        <v>385202083.85000002</v>
      </c>
      <c r="H505">
        <v>180892701431</v>
      </c>
      <c r="I505">
        <v>181788702508.38</v>
      </c>
      <c r="J505">
        <v>9.2304999999999998E-2</v>
      </c>
      <c r="K505">
        <v>3.6979999999999999E-2</v>
      </c>
      <c r="M505" t="s">
        <v>2</v>
      </c>
      <c r="N505">
        <v>5000</v>
      </c>
      <c r="O505">
        <v>72</v>
      </c>
      <c r="P505">
        <v>207</v>
      </c>
      <c r="Q505">
        <v>0</v>
      </c>
      <c r="R505">
        <v>2191366106</v>
      </c>
      <c r="S505">
        <v>3965531.32</v>
      </c>
      <c r="T505">
        <v>2171225593.1500001</v>
      </c>
      <c r="U505">
        <v>2187400574.6799998</v>
      </c>
      <c r="V505">
        <v>8.5066000000000003E-2</v>
      </c>
      <c r="W505">
        <v>0</v>
      </c>
    </row>
    <row r="506" spans="1:23" x14ac:dyDescent="0.35">
      <c r="A506" t="s">
        <v>0</v>
      </c>
      <c r="B506">
        <v>3250</v>
      </c>
      <c r="C506">
        <v>84</v>
      </c>
      <c r="D506">
        <v>15586</v>
      </c>
      <c r="E506">
        <v>0</v>
      </c>
      <c r="F506">
        <v>315982199549</v>
      </c>
      <c r="G506">
        <v>742050265.47000003</v>
      </c>
      <c r="H506">
        <v>313610507363</v>
      </c>
      <c r="I506">
        <v>315144600687.20001</v>
      </c>
      <c r="J506">
        <v>6.0163000000000001E-2</v>
      </c>
      <c r="K506">
        <v>3.6229999999999999E-3</v>
      </c>
      <c r="M506" t="s">
        <v>0</v>
      </c>
      <c r="N506">
        <v>5000</v>
      </c>
      <c r="O506">
        <v>72</v>
      </c>
      <c r="P506">
        <v>2963</v>
      </c>
      <c r="Q506">
        <v>0</v>
      </c>
      <c r="R506">
        <v>44741325608</v>
      </c>
      <c r="S506">
        <v>80273845.599999994</v>
      </c>
      <c r="T506">
        <v>44259940430.940002</v>
      </c>
      <c r="U506">
        <v>44638105150.290001</v>
      </c>
      <c r="V506">
        <v>0.102432</v>
      </c>
      <c r="W506">
        <v>6.1370000000000001E-3</v>
      </c>
    </row>
    <row r="507" spans="1:23" x14ac:dyDescent="0.35">
      <c r="A507" t="s">
        <v>2</v>
      </c>
      <c r="B507">
        <v>3250</v>
      </c>
      <c r="C507">
        <v>84</v>
      </c>
      <c r="D507">
        <v>2481</v>
      </c>
      <c r="E507">
        <v>0</v>
      </c>
      <c r="F507">
        <v>37341887173</v>
      </c>
      <c r="G507">
        <v>87637816.329999998</v>
      </c>
      <c r="H507">
        <v>37024037911</v>
      </c>
      <c r="I507">
        <v>37241780541.43</v>
      </c>
      <c r="J507">
        <v>7.1522000000000002E-2</v>
      </c>
      <c r="K507">
        <v>4.0000000000000001E-3</v>
      </c>
      <c r="M507" t="s">
        <v>1</v>
      </c>
      <c r="N507">
        <v>5000</v>
      </c>
      <c r="O507">
        <v>72</v>
      </c>
      <c r="P507">
        <v>204</v>
      </c>
      <c r="Q507">
        <v>0</v>
      </c>
      <c r="R507">
        <v>3384529557</v>
      </c>
      <c r="S507">
        <v>6070362.5700000003</v>
      </c>
      <c r="T507">
        <v>3276771277.1599998</v>
      </c>
      <c r="U507">
        <v>3334707402.6900001</v>
      </c>
      <c r="V507">
        <v>0.30654300000000001</v>
      </c>
      <c r="W507">
        <v>0.14455699999999999</v>
      </c>
    </row>
    <row r="508" spans="1:23" x14ac:dyDescent="0.35">
      <c r="A508" t="s">
        <v>0</v>
      </c>
      <c r="B508">
        <v>4750</v>
      </c>
      <c r="C508">
        <v>72</v>
      </c>
      <c r="D508">
        <v>7215</v>
      </c>
      <c r="E508">
        <v>0</v>
      </c>
      <c r="F508">
        <v>113988854274</v>
      </c>
      <c r="G508">
        <v>210162720.06</v>
      </c>
      <c r="H508">
        <v>113046865957</v>
      </c>
      <c r="I508">
        <v>113635002475.09</v>
      </c>
      <c r="J508">
        <v>7.4379000000000001E-2</v>
      </c>
      <c r="K508">
        <v>1.5022000000000001E-2</v>
      </c>
      <c r="M508" t="s">
        <v>1</v>
      </c>
      <c r="N508">
        <v>4250</v>
      </c>
      <c r="O508">
        <v>84</v>
      </c>
      <c r="P508">
        <v>10091</v>
      </c>
      <c r="Q508">
        <v>0</v>
      </c>
      <c r="R508">
        <v>182093922148</v>
      </c>
      <c r="S508">
        <v>382558358.37</v>
      </c>
      <c r="T508">
        <v>180053510681.01999</v>
      </c>
      <c r="U508">
        <v>181450690473.72</v>
      </c>
      <c r="V508">
        <v>0.103945</v>
      </c>
      <c r="W508">
        <v>1.7044E-2</v>
      </c>
    </row>
    <row r="509" spans="1:23" x14ac:dyDescent="0.35">
      <c r="A509" t="s">
        <v>0</v>
      </c>
      <c r="B509">
        <v>4250</v>
      </c>
      <c r="C509">
        <v>72</v>
      </c>
      <c r="D509">
        <v>17763</v>
      </c>
      <c r="E509">
        <v>0</v>
      </c>
      <c r="F509">
        <v>300303669644</v>
      </c>
      <c r="G509">
        <v>593645537.44000006</v>
      </c>
      <c r="H509">
        <v>297457380550</v>
      </c>
      <c r="I509">
        <v>299268736600.15997</v>
      </c>
      <c r="J509">
        <v>8.6391999999999997E-2</v>
      </c>
      <c r="K509">
        <v>1.7492000000000001E-2</v>
      </c>
      <c r="M509" t="s">
        <v>0</v>
      </c>
      <c r="N509">
        <v>3250</v>
      </c>
      <c r="O509">
        <v>84</v>
      </c>
      <c r="P509">
        <v>12631</v>
      </c>
      <c r="Q509">
        <v>0</v>
      </c>
      <c r="R509">
        <v>256252232265</v>
      </c>
      <c r="S509">
        <v>600348599.87</v>
      </c>
      <c r="T509">
        <v>254568075879.37</v>
      </c>
      <c r="U509">
        <v>255651883665.13</v>
      </c>
      <c r="V509">
        <v>4.9589000000000001E-2</v>
      </c>
      <c r="W509">
        <v>0</v>
      </c>
    </row>
    <row r="510" spans="1:23" x14ac:dyDescent="0.35">
      <c r="A510" t="s">
        <v>0</v>
      </c>
      <c r="B510">
        <v>4500</v>
      </c>
      <c r="C510">
        <v>48</v>
      </c>
      <c r="D510">
        <v>29300</v>
      </c>
      <c r="E510">
        <v>0</v>
      </c>
      <c r="F510">
        <v>749048607310</v>
      </c>
      <c r="G510">
        <v>1261307500.79</v>
      </c>
      <c r="H510">
        <v>743432981673</v>
      </c>
      <c r="I510">
        <v>746604374978.87</v>
      </c>
      <c r="J510">
        <v>6.7570000000000005E-2</v>
      </c>
      <c r="K510">
        <v>1.8787000000000002E-2</v>
      </c>
      <c r="M510" t="s">
        <v>2</v>
      </c>
      <c r="N510">
        <v>3250</v>
      </c>
      <c r="O510">
        <v>84</v>
      </c>
      <c r="P510">
        <v>2002</v>
      </c>
      <c r="Q510">
        <v>0</v>
      </c>
      <c r="R510">
        <v>30099705750</v>
      </c>
      <c r="S510">
        <v>70509673.769999996</v>
      </c>
      <c r="T510">
        <v>29928586497.639999</v>
      </c>
      <c r="U510">
        <v>30029196076.23</v>
      </c>
      <c r="V510">
        <v>3.9380999999999999E-2</v>
      </c>
      <c r="W510">
        <v>0</v>
      </c>
    </row>
    <row r="511" spans="1:23" x14ac:dyDescent="0.35">
      <c r="A511" t="s">
        <v>2</v>
      </c>
      <c r="B511">
        <v>4500</v>
      </c>
      <c r="C511">
        <v>48</v>
      </c>
      <c r="D511">
        <v>1843</v>
      </c>
      <c r="E511">
        <v>0</v>
      </c>
      <c r="F511">
        <v>30718473380</v>
      </c>
      <c r="G511">
        <v>51894251.600000001</v>
      </c>
      <c r="H511">
        <v>30511360130</v>
      </c>
      <c r="I511">
        <v>30603678042.400002</v>
      </c>
      <c r="J511">
        <v>5.8978000000000003E-2</v>
      </c>
      <c r="K511">
        <v>2.4296999999999999E-2</v>
      </c>
      <c r="M511" t="s">
        <v>2</v>
      </c>
      <c r="N511">
        <v>3250</v>
      </c>
      <c r="O511">
        <v>72</v>
      </c>
      <c r="P511">
        <v>19655</v>
      </c>
      <c r="Q511">
        <v>0</v>
      </c>
      <c r="R511">
        <v>290314616568</v>
      </c>
      <c r="S511">
        <v>653135190.58000004</v>
      </c>
      <c r="T511">
        <v>287969318696.73999</v>
      </c>
      <c r="U511">
        <v>289502693853.47998</v>
      </c>
      <c r="V511">
        <v>6.7745E-2</v>
      </c>
      <c r="W511">
        <v>6.5440000000000003E-3</v>
      </c>
    </row>
    <row r="512" spans="1:23" x14ac:dyDescent="0.35">
      <c r="A512" t="s">
        <v>1</v>
      </c>
      <c r="B512">
        <v>4500</v>
      </c>
      <c r="C512">
        <v>48</v>
      </c>
      <c r="D512">
        <v>16274</v>
      </c>
      <c r="E512">
        <v>0</v>
      </c>
      <c r="F512">
        <v>574210321714</v>
      </c>
      <c r="G512">
        <v>963430120.08000004</v>
      </c>
      <c r="H512">
        <v>566645469808</v>
      </c>
      <c r="I512">
        <v>571675048727.68005</v>
      </c>
      <c r="J512">
        <v>0.12956100000000001</v>
      </c>
      <c r="K512">
        <v>3.2358999999999999E-2</v>
      </c>
      <c r="M512" t="s">
        <v>2</v>
      </c>
      <c r="N512">
        <v>3750</v>
      </c>
      <c r="O512">
        <v>72</v>
      </c>
      <c r="P512">
        <v>11542</v>
      </c>
      <c r="Q512">
        <v>0</v>
      </c>
      <c r="R512">
        <v>154380807160</v>
      </c>
      <c r="S512">
        <v>329474485.25999999</v>
      </c>
      <c r="T512">
        <v>153170060528.22</v>
      </c>
      <c r="U512">
        <v>153946366878.84</v>
      </c>
      <c r="V512">
        <v>6.6391000000000006E-2</v>
      </c>
      <c r="W512">
        <v>8.1290000000000008E-3</v>
      </c>
    </row>
    <row r="513" spans="1:23" x14ac:dyDescent="0.35">
      <c r="A513" t="s">
        <v>0</v>
      </c>
      <c r="B513">
        <v>5000</v>
      </c>
      <c r="C513">
        <v>48</v>
      </c>
      <c r="D513">
        <v>29806</v>
      </c>
      <c r="E513">
        <v>0</v>
      </c>
      <c r="F513">
        <v>777573019829</v>
      </c>
      <c r="G513">
        <v>1205214597.24</v>
      </c>
      <c r="H513">
        <v>770814663909</v>
      </c>
      <c r="I513">
        <v>774576078921.07996</v>
      </c>
      <c r="J513">
        <v>8.2411999999999999E-2</v>
      </c>
      <c r="K513">
        <v>2.7303000000000001E-2</v>
      </c>
      <c r="M513" t="s">
        <v>0</v>
      </c>
      <c r="N513">
        <v>3750</v>
      </c>
      <c r="O513">
        <v>72</v>
      </c>
      <c r="P513">
        <v>91053</v>
      </c>
      <c r="Q513">
        <v>0</v>
      </c>
      <c r="R513">
        <v>1606083464127</v>
      </c>
      <c r="S513">
        <v>3406567994.9499998</v>
      </c>
      <c r="T513">
        <v>1594965380765.8501</v>
      </c>
      <c r="U513">
        <v>1601945864691.1799</v>
      </c>
      <c r="V513">
        <v>5.6120000000000003E-2</v>
      </c>
      <c r="W513">
        <v>5.4479999999999997E-3</v>
      </c>
    </row>
    <row r="514" spans="1:23" x14ac:dyDescent="0.35">
      <c r="A514" t="s">
        <v>0</v>
      </c>
      <c r="B514">
        <v>5000</v>
      </c>
      <c r="C514">
        <v>42</v>
      </c>
      <c r="D514">
        <v>14638</v>
      </c>
      <c r="E514">
        <v>0</v>
      </c>
      <c r="F514">
        <v>411298351216</v>
      </c>
      <c r="G514">
        <v>623142477.54999995</v>
      </c>
      <c r="H514">
        <v>408071484396</v>
      </c>
      <c r="I514">
        <v>409974025371.90002</v>
      </c>
      <c r="J514">
        <v>7.3375999999999997E-2</v>
      </c>
      <c r="K514">
        <v>2.0267E-2</v>
      </c>
      <c r="M514" t="s">
        <v>1</v>
      </c>
      <c r="N514">
        <v>3750</v>
      </c>
      <c r="O514">
        <v>72</v>
      </c>
      <c r="P514">
        <v>18828</v>
      </c>
      <c r="Q514">
        <v>0</v>
      </c>
      <c r="R514">
        <v>383300747386</v>
      </c>
      <c r="S514">
        <v>818841580.99000001</v>
      </c>
      <c r="T514">
        <v>379382147371.76001</v>
      </c>
      <c r="U514">
        <v>382078337957.40002</v>
      </c>
      <c r="V514">
        <v>9.2841999999999994E-2</v>
      </c>
      <c r="W514">
        <v>1.2562E-2</v>
      </c>
    </row>
    <row r="515" spans="1:23" x14ac:dyDescent="0.35">
      <c r="A515" t="s">
        <v>1</v>
      </c>
      <c r="B515">
        <v>5000</v>
      </c>
      <c r="C515">
        <v>48</v>
      </c>
      <c r="D515">
        <v>14907</v>
      </c>
      <c r="E515">
        <v>0</v>
      </c>
      <c r="F515">
        <v>521529210188</v>
      </c>
      <c r="G515">
        <v>807751561.50999999</v>
      </c>
      <c r="H515">
        <v>514601086019</v>
      </c>
      <c r="I515">
        <v>518783858380.84003</v>
      </c>
      <c r="J515">
        <v>0.132082</v>
      </c>
      <c r="K515">
        <v>4.3683E-2</v>
      </c>
      <c r="M515" t="s">
        <v>0</v>
      </c>
      <c r="N515">
        <v>4750</v>
      </c>
      <c r="O515">
        <v>72</v>
      </c>
      <c r="P515">
        <v>8386</v>
      </c>
      <c r="Q515">
        <v>0</v>
      </c>
      <c r="R515">
        <v>132674973974</v>
      </c>
      <c r="S515">
        <v>244575626.69999999</v>
      </c>
      <c r="T515">
        <v>131639539339.75999</v>
      </c>
      <c r="U515">
        <v>132294453760.62</v>
      </c>
      <c r="V515">
        <v>6.9231000000000001E-2</v>
      </c>
      <c r="W515">
        <v>1.2227E-2</v>
      </c>
    </row>
    <row r="516" spans="1:23" x14ac:dyDescent="0.35">
      <c r="A516" t="s">
        <v>0</v>
      </c>
      <c r="B516">
        <v>5500</v>
      </c>
      <c r="C516">
        <v>72</v>
      </c>
      <c r="D516">
        <v>240</v>
      </c>
      <c r="E516">
        <v>0</v>
      </c>
      <c r="F516">
        <v>3305455413</v>
      </c>
      <c r="G516">
        <v>5513825.4000000004</v>
      </c>
      <c r="H516">
        <v>3248119174</v>
      </c>
      <c r="I516">
        <v>3299648875.1300001</v>
      </c>
      <c r="J516">
        <v>0.17272999999999999</v>
      </c>
      <c r="K516">
        <v>1.062E-3</v>
      </c>
      <c r="M516" t="s">
        <v>0</v>
      </c>
      <c r="N516">
        <v>4250</v>
      </c>
      <c r="O516">
        <v>72</v>
      </c>
      <c r="P516">
        <v>21017</v>
      </c>
      <c r="Q516">
        <v>0</v>
      </c>
      <c r="R516">
        <v>356093576429</v>
      </c>
      <c r="S516">
        <v>704371035.5</v>
      </c>
      <c r="T516">
        <v>353291729787.88</v>
      </c>
      <c r="U516">
        <v>354939613497.09003</v>
      </c>
      <c r="V516">
        <v>6.8436999999999998E-2</v>
      </c>
      <c r="W516">
        <v>1.5046E-2</v>
      </c>
    </row>
    <row r="517" spans="1:23" x14ac:dyDescent="0.35">
      <c r="A517" t="s">
        <v>2</v>
      </c>
      <c r="B517">
        <v>3750</v>
      </c>
      <c r="C517">
        <v>72</v>
      </c>
      <c r="D517">
        <v>10238</v>
      </c>
      <c r="E517">
        <v>0</v>
      </c>
      <c r="F517">
        <v>136408811093</v>
      </c>
      <c r="G517">
        <v>291848410.82999998</v>
      </c>
      <c r="H517">
        <v>135213500031</v>
      </c>
      <c r="I517">
        <v>135999457102.49001</v>
      </c>
      <c r="J517">
        <v>7.6646000000000006E-2</v>
      </c>
      <c r="K517">
        <v>1.0288E-2</v>
      </c>
      <c r="M517" t="s">
        <v>0</v>
      </c>
      <c r="N517">
        <v>4500</v>
      </c>
      <c r="O517">
        <v>48</v>
      </c>
      <c r="P517">
        <v>28146</v>
      </c>
      <c r="Q517">
        <v>0</v>
      </c>
      <c r="R517">
        <v>709775217237</v>
      </c>
      <c r="S517">
        <v>1191786527.6900001</v>
      </c>
      <c r="T517">
        <v>704181045960.28003</v>
      </c>
      <c r="U517">
        <v>707788598932.06995</v>
      </c>
      <c r="V517">
        <v>7.1943000000000007E-2</v>
      </c>
      <c r="W517">
        <v>1.3356E-2</v>
      </c>
    </row>
    <row r="518" spans="1:23" x14ac:dyDescent="0.35">
      <c r="A518" t="s">
        <v>0</v>
      </c>
      <c r="B518">
        <v>3750</v>
      </c>
      <c r="C518">
        <v>72</v>
      </c>
      <c r="D518">
        <v>83465</v>
      </c>
      <c r="E518">
        <v>0</v>
      </c>
      <c r="F518">
        <v>1464220836888</v>
      </c>
      <c r="G518">
        <v>3111098263.5799999</v>
      </c>
      <c r="H518">
        <v>1452694234316</v>
      </c>
      <c r="I518">
        <v>1459830548475.6499</v>
      </c>
      <c r="J518">
        <v>6.6830000000000001E-2</v>
      </c>
      <c r="K518">
        <v>1.0433E-2</v>
      </c>
      <c r="M518" t="s">
        <v>2</v>
      </c>
      <c r="N518">
        <v>4500</v>
      </c>
      <c r="O518">
        <v>48</v>
      </c>
      <c r="P518">
        <v>1742</v>
      </c>
      <c r="Q518">
        <v>0</v>
      </c>
      <c r="R518">
        <v>28429462923</v>
      </c>
      <c r="S518">
        <v>47891570.18</v>
      </c>
      <c r="T518">
        <v>28207562799.220001</v>
      </c>
      <c r="U518">
        <v>28361232486.029999</v>
      </c>
      <c r="V518">
        <v>7.1026000000000006E-2</v>
      </c>
      <c r="W518">
        <v>8.5509999999999996E-3</v>
      </c>
    </row>
    <row r="519" spans="1:23" x14ac:dyDescent="0.35">
      <c r="A519" t="s">
        <v>2</v>
      </c>
      <c r="B519">
        <v>3250</v>
      </c>
      <c r="C519">
        <v>72</v>
      </c>
      <c r="D519">
        <v>20415</v>
      </c>
      <c r="E519">
        <v>0</v>
      </c>
      <c r="F519">
        <v>298813346018</v>
      </c>
      <c r="G519">
        <v>674979569.51999998</v>
      </c>
      <c r="H519">
        <v>296107200039</v>
      </c>
      <c r="I519">
        <v>297997806495.72998</v>
      </c>
      <c r="J519">
        <v>7.8588000000000005E-2</v>
      </c>
      <c r="K519">
        <v>5.6299999999999996E-3</v>
      </c>
      <c r="M519" t="s">
        <v>1</v>
      </c>
      <c r="N519">
        <v>4500</v>
      </c>
      <c r="O519">
        <v>48</v>
      </c>
      <c r="P519">
        <v>14007</v>
      </c>
      <c r="Q519">
        <v>0</v>
      </c>
      <c r="R519">
        <v>486956725884</v>
      </c>
      <c r="S519">
        <v>814530408.34000003</v>
      </c>
      <c r="T519">
        <v>481164504240.08002</v>
      </c>
      <c r="U519">
        <v>485245835017.06</v>
      </c>
      <c r="V519">
        <v>0.115998</v>
      </c>
      <c r="W519">
        <v>2.1867000000000001E-2</v>
      </c>
    </row>
    <row r="520" spans="1:23" x14ac:dyDescent="0.35">
      <c r="A520" t="s">
        <v>2</v>
      </c>
      <c r="B520">
        <v>2750</v>
      </c>
      <c r="C520">
        <v>72</v>
      </c>
      <c r="D520">
        <v>20252</v>
      </c>
      <c r="E520">
        <v>0</v>
      </c>
      <c r="F520">
        <v>329759135730</v>
      </c>
      <c r="G520">
        <v>784171088.03999996</v>
      </c>
      <c r="H520">
        <v>327126016161</v>
      </c>
      <c r="I520">
        <v>328782971755.65002</v>
      </c>
      <c r="J520">
        <v>6.5246999999999999E-2</v>
      </c>
      <c r="K520">
        <v>6.9639999999999997E-3</v>
      </c>
      <c r="M520" t="s">
        <v>0</v>
      </c>
      <c r="N520">
        <v>5000</v>
      </c>
      <c r="O520">
        <v>42</v>
      </c>
      <c r="P520">
        <v>20367</v>
      </c>
      <c r="Q520">
        <v>0</v>
      </c>
      <c r="R520">
        <v>566302518113</v>
      </c>
      <c r="S520">
        <v>857498098.04999995</v>
      </c>
      <c r="T520">
        <v>561874775669.93994</v>
      </c>
      <c r="U520">
        <v>564795577697.13</v>
      </c>
      <c r="V520">
        <v>7.3084999999999997E-2</v>
      </c>
      <c r="W520">
        <v>1.3675E-2</v>
      </c>
    </row>
    <row r="521" spans="1:23" x14ac:dyDescent="0.35">
      <c r="A521" t="s">
        <v>1</v>
      </c>
      <c r="B521">
        <v>2750</v>
      </c>
      <c r="C521">
        <v>72</v>
      </c>
      <c r="D521">
        <v>171683</v>
      </c>
      <c r="E521">
        <v>0</v>
      </c>
      <c r="F521">
        <v>4613783106039</v>
      </c>
      <c r="G521">
        <v>11057422057.5</v>
      </c>
      <c r="H521">
        <v>4574063389458</v>
      </c>
      <c r="I521">
        <v>4599023820527.6201</v>
      </c>
      <c r="J521">
        <v>7.2053000000000006E-2</v>
      </c>
      <c r="K521">
        <v>9.5860000000000008E-3</v>
      </c>
      <c r="M521" t="s">
        <v>1</v>
      </c>
      <c r="N521">
        <v>5000</v>
      </c>
      <c r="O521">
        <v>42</v>
      </c>
      <c r="P521">
        <v>13475</v>
      </c>
      <c r="Q521">
        <v>0</v>
      </c>
      <c r="R521">
        <v>487667605808</v>
      </c>
      <c r="S521">
        <v>739405401.22000003</v>
      </c>
      <c r="T521">
        <v>482697893883.21997</v>
      </c>
      <c r="U521">
        <v>486063963372.92999</v>
      </c>
      <c r="V521">
        <v>9.9268999999999996E-2</v>
      </c>
      <c r="W521">
        <v>2.1059999999999999E-2</v>
      </c>
    </row>
    <row r="522" spans="1:23" x14ac:dyDescent="0.35">
      <c r="A522" t="s">
        <v>0</v>
      </c>
      <c r="B522">
        <v>3250</v>
      </c>
      <c r="C522">
        <v>72</v>
      </c>
      <c r="D522">
        <v>156558</v>
      </c>
      <c r="E522">
        <v>0</v>
      </c>
      <c r="F522">
        <v>3108872587607</v>
      </c>
      <c r="G522">
        <v>7006575784.1700001</v>
      </c>
      <c r="H522">
        <v>3086454644979</v>
      </c>
      <c r="I522">
        <v>3099885260548.48</v>
      </c>
      <c r="J522">
        <v>5.7890999999999998E-2</v>
      </c>
      <c r="K522">
        <v>7.6189999999999999E-3</v>
      </c>
      <c r="M522" t="s">
        <v>0</v>
      </c>
      <c r="N522">
        <v>5500</v>
      </c>
      <c r="O522">
        <v>72</v>
      </c>
      <c r="P522">
        <v>300</v>
      </c>
      <c r="Q522">
        <v>0</v>
      </c>
      <c r="R522">
        <v>4205598075</v>
      </c>
      <c r="S522">
        <v>7001074.0999999996</v>
      </c>
      <c r="T522">
        <v>4145827491.3600001</v>
      </c>
      <c r="U522">
        <v>4198597000.9000001</v>
      </c>
      <c r="V522">
        <v>0.140601</v>
      </c>
      <c r="W522">
        <v>0</v>
      </c>
    </row>
    <row r="523" spans="1:23" x14ac:dyDescent="0.35">
      <c r="A523" t="s">
        <v>1</v>
      </c>
      <c r="B523">
        <v>3750</v>
      </c>
      <c r="C523">
        <v>72</v>
      </c>
      <c r="D523">
        <v>16185</v>
      </c>
      <c r="E523">
        <v>0</v>
      </c>
      <c r="F523">
        <v>329251197583</v>
      </c>
      <c r="G523">
        <v>704540923.23000002</v>
      </c>
      <c r="H523">
        <v>325949394318</v>
      </c>
      <c r="I523">
        <v>327885823904.78003</v>
      </c>
      <c r="J523">
        <v>9.0660000000000004E-2</v>
      </c>
      <c r="K523">
        <v>2.3820999999999998E-2</v>
      </c>
      <c r="M523" t="s">
        <v>0</v>
      </c>
      <c r="N523">
        <v>3250</v>
      </c>
      <c r="O523">
        <v>72</v>
      </c>
      <c r="P523">
        <v>149930</v>
      </c>
      <c r="Q523">
        <v>0</v>
      </c>
      <c r="R523">
        <v>2993546274926</v>
      </c>
      <c r="S523">
        <v>6728664543.6499996</v>
      </c>
      <c r="T523">
        <v>2973238630769.6602</v>
      </c>
      <c r="U523">
        <v>2985761248011.8799</v>
      </c>
      <c r="V523">
        <v>5.3095000000000003E-2</v>
      </c>
      <c r="W523">
        <v>4.2259999999999997E-3</v>
      </c>
    </row>
    <row r="524" spans="1:23" x14ac:dyDescent="0.35">
      <c r="A524" t="s">
        <v>1</v>
      </c>
      <c r="B524">
        <v>2500</v>
      </c>
      <c r="C524">
        <v>72</v>
      </c>
      <c r="D524">
        <v>101915</v>
      </c>
      <c r="E524">
        <v>0</v>
      </c>
      <c r="F524">
        <v>2825030596414</v>
      </c>
      <c r="G524">
        <v>7002819663.5100002</v>
      </c>
      <c r="H524">
        <v>2803550949164</v>
      </c>
      <c r="I524">
        <v>2816225251363.4902</v>
      </c>
      <c r="J524">
        <v>5.9790000000000003E-2</v>
      </c>
      <c r="K524">
        <v>7.6299999999999996E-3</v>
      </c>
      <c r="M524" t="s">
        <v>2</v>
      </c>
      <c r="N524">
        <v>2750</v>
      </c>
      <c r="O524">
        <v>72</v>
      </c>
      <c r="P524">
        <v>17873</v>
      </c>
      <c r="Q524">
        <v>0</v>
      </c>
      <c r="R524">
        <v>293222558241</v>
      </c>
      <c r="S524">
        <v>695341457.19000006</v>
      </c>
      <c r="T524">
        <v>290881852665.39001</v>
      </c>
      <c r="U524">
        <v>292398298909.63</v>
      </c>
      <c r="V524">
        <v>6.5296000000000007E-2</v>
      </c>
      <c r="W524">
        <v>5.2630000000000003E-3</v>
      </c>
    </row>
    <row r="525" spans="1:23" x14ac:dyDescent="0.35">
      <c r="A525" t="s">
        <v>2</v>
      </c>
      <c r="B525">
        <v>2500</v>
      </c>
      <c r="C525">
        <v>72</v>
      </c>
      <c r="D525">
        <v>6808</v>
      </c>
      <c r="E525">
        <v>0</v>
      </c>
      <c r="F525">
        <v>117053676645</v>
      </c>
      <c r="G525">
        <v>286917557.02999997</v>
      </c>
      <c r="H525">
        <v>116302528477</v>
      </c>
      <c r="I525">
        <v>116718159865.95</v>
      </c>
      <c r="J525">
        <v>4.6566999999999997E-2</v>
      </c>
      <c r="K525">
        <v>4.9709999999999997E-3</v>
      </c>
      <c r="M525" t="s">
        <v>1</v>
      </c>
      <c r="N525">
        <v>2750</v>
      </c>
      <c r="O525">
        <v>72</v>
      </c>
      <c r="P525">
        <v>162905</v>
      </c>
      <c r="Q525">
        <v>0</v>
      </c>
      <c r="R525">
        <v>4406012155409</v>
      </c>
      <c r="S525">
        <v>10521822700.93</v>
      </c>
      <c r="T525">
        <v>4373469347947.0898</v>
      </c>
      <c r="U525">
        <v>4393921045077.5298</v>
      </c>
      <c r="V525">
        <v>5.8354000000000003E-2</v>
      </c>
      <c r="W525">
        <v>4.2659999999999998E-3</v>
      </c>
    </row>
    <row r="526" spans="1:23" x14ac:dyDescent="0.35">
      <c r="A526" t="s">
        <v>0</v>
      </c>
      <c r="B526">
        <v>2750</v>
      </c>
      <c r="C526">
        <v>72</v>
      </c>
      <c r="D526">
        <v>151179</v>
      </c>
      <c r="E526">
        <v>0</v>
      </c>
      <c r="F526">
        <v>3302813834649</v>
      </c>
      <c r="G526">
        <v>7873456416.3599997</v>
      </c>
      <c r="H526">
        <v>3278646436478</v>
      </c>
      <c r="I526">
        <v>3293325831656.3198</v>
      </c>
      <c r="J526">
        <v>5.7619999999999998E-2</v>
      </c>
      <c r="K526">
        <v>5.8500000000000002E-3</v>
      </c>
      <c r="M526" t="s">
        <v>1</v>
      </c>
      <c r="N526">
        <v>2500</v>
      </c>
      <c r="O526">
        <v>72</v>
      </c>
      <c r="P526">
        <v>85628</v>
      </c>
      <c r="Q526">
        <v>0</v>
      </c>
      <c r="R526">
        <v>2385533001293</v>
      </c>
      <c r="S526">
        <v>5900677339.6199999</v>
      </c>
      <c r="T526">
        <v>2368991823803.1499</v>
      </c>
      <c r="U526">
        <v>2379393039114.0801</v>
      </c>
      <c r="V526">
        <v>5.2231E-2</v>
      </c>
      <c r="W526">
        <v>1.2030000000000001E-3</v>
      </c>
    </row>
    <row r="527" spans="1:23" x14ac:dyDescent="0.35">
      <c r="A527" t="s">
        <v>1</v>
      </c>
      <c r="B527">
        <v>5500</v>
      </c>
      <c r="C527">
        <v>72</v>
      </c>
      <c r="D527">
        <v>9</v>
      </c>
      <c r="E527">
        <v>0</v>
      </c>
      <c r="F527">
        <v>119999867</v>
      </c>
      <c r="G527">
        <v>199595.35</v>
      </c>
      <c r="H527">
        <v>119832576</v>
      </c>
      <c r="I527">
        <v>119832576</v>
      </c>
      <c r="J527">
        <v>-3.235E-3</v>
      </c>
      <c r="K527">
        <v>-3.235E-3</v>
      </c>
      <c r="M527" t="s">
        <v>2</v>
      </c>
      <c r="N527">
        <v>2500</v>
      </c>
      <c r="O527">
        <v>72</v>
      </c>
      <c r="P527">
        <v>5297</v>
      </c>
      <c r="Q527">
        <v>0</v>
      </c>
      <c r="R527">
        <v>91343070310</v>
      </c>
      <c r="S527">
        <v>223496115.91</v>
      </c>
      <c r="T527">
        <v>90791623439.630005</v>
      </c>
      <c r="U527">
        <v>91119574194.089996</v>
      </c>
      <c r="V527">
        <v>4.2243000000000003E-2</v>
      </c>
      <c r="W527">
        <v>0</v>
      </c>
    </row>
    <row r="528" spans="1:23" x14ac:dyDescent="0.35">
      <c r="A528" t="s">
        <v>1</v>
      </c>
      <c r="B528">
        <v>3000</v>
      </c>
      <c r="C528">
        <v>60</v>
      </c>
      <c r="D528">
        <v>57154</v>
      </c>
      <c r="E528">
        <v>0</v>
      </c>
      <c r="F528">
        <v>1560425753134</v>
      </c>
      <c r="G528">
        <v>3495644862.8499999</v>
      </c>
      <c r="H528">
        <v>1546840666082</v>
      </c>
      <c r="I528">
        <v>1555126393249.77</v>
      </c>
      <c r="J528">
        <v>7.4888999999999997E-2</v>
      </c>
      <c r="K528">
        <v>1.3783E-2</v>
      </c>
      <c r="M528" t="s">
        <v>0</v>
      </c>
      <c r="N528">
        <v>2750</v>
      </c>
      <c r="O528">
        <v>72</v>
      </c>
      <c r="P528">
        <v>130960</v>
      </c>
      <c r="Q528">
        <v>0</v>
      </c>
      <c r="R528">
        <v>2873301191051</v>
      </c>
      <c r="S528">
        <v>6831324862.1999998</v>
      </c>
      <c r="T528">
        <v>2854061895704.54</v>
      </c>
      <c r="U528">
        <v>2865880806507.04</v>
      </c>
      <c r="V528">
        <v>5.0606999999999999E-2</v>
      </c>
      <c r="W528">
        <v>2.457E-3</v>
      </c>
    </row>
    <row r="529" spans="1:23" x14ac:dyDescent="0.35">
      <c r="A529" t="s">
        <v>1</v>
      </c>
      <c r="B529">
        <v>2500</v>
      </c>
      <c r="C529">
        <v>60</v>
      </c>
      <c r="D529">
        <v>73771</v>
      </c>
      <c r="E529">
        <v>0</v>
      </c>
      <c r="F529">
        <v>2146361577124</v>
      </c>
      <c r="G529">
        <v>5169113158.6599998</v>
      </c>
      <c r="H529">
        <v>2129552454954</v>
      </c>
      <c r="I529">
        <v>2139660338284.04</v>
      </c>
      <c r="J529">
        <v>6.3171000000000005E-2</v>
      </c>
      <c r="K529">
        <v>8.5319999999999997E-3</v>
      </c>
      <c r="M529" t="s">
        <v>1</v>
      </c>
      <c r="N529">
        <v>5500</v>
      </c>
      <c r="O529">
        <v>72</v>
      </c>
      <c r="P529">
        <v>13</v>
      </c>
      <c r="Q529">
        <v>0</v>
      </c>
      <c r="R529">
        <v>182708875</v>
      </c>
      <c r="S529">
        <v>304028.05</v>
      </c>
      <c r="T529">
        <v>182404846.94999999</v>
      </c>
      <c r="U529">
        <v>182404846.94999999</v>
      </c>
      <c r="V529">
        <v>0</v>
      </c>
      <c r="W529">
        <v>0</v>
      </c>
    </row>
    <row r="530" spans="1:23" x14ac:dyDescent="0.35">
      <c r="A530" t="s">
        <v>0</v>
      </c>
      <c r="B530">
        <v>2500</v>
      </c>
      <c r="C530">
        <v>54</v>
      </c>
      <c r="D530">
        <v>31502</v>
      </c>
      <c r="E530">
        <v>0</v>
      </c>
      <c r="F530">
        <v>818998481704</v>
      </c>
      <c r="G530">
        <v>1921697563.71</v>
      </c>
      <c r="H530">
        <v>813677948090</v>
      </c>
      <c r="I530">
        <v>816770749594.29004</v>
      </c>
      <c r="J530">
        <v>4.8679E-2</v>
      </c>
      <c r="K530">
        <v>4.4749999999999998E-3</v>
      </c>
      <c r="M530" t="s">
        <v>1</v>
      </c>
      <c r="N530">
        <v>3000</v>
      </c>
      <c r="O530">
        <v>60</v>
      </c>
      <c r="P530">
        <v>50699</v>
      </c>
      <c r="Q530">
        <v>0</v>
      </c>
      <c r="R530">
        <v>1344014565475</v>
      </c>
      <c r="S530">
        <v>3010662838.9499998</v>
      </c>
      <c r="T530">
        <v>1332539240636.8601</v>
      </c>
      <c r="U530">
        <v>1339929839038.96</v>
      </c>
      <c r="V530">
        <v>7.3012999999999995E-2</v>
      </c>
      <c r="W530">
        <v>9.5479999999999992E-3</v>
      </c>
    </row>
    <row r="531" spans="1:23" x14ac:dyDescent="0.35">
      <c r="A531" t="s">
        <v>2</v>
      </c>
      <c r="B531">
        <v>2500</v>
      </c>
      <c r="C531">
        <v>54</v>
      </c>
      <c r="D531">
        <v>2799</v>
      </c>
      <c r="E531">
        <v>0</v>
      </c>
      <c r="F531">
        <v>52947143906</v>
      </c>
      <c r="G531">
        <v>123652866.39</v>
      </c>
      <c r="H531">
        <v>52611961077</v>
      </c>
      <c r="I531">
        <v>52804207762.190002</v>
      </c>
      <c r="J531">
        <v>4.6901999999999999E-2</v>
      </c>
      <c r="K531">
        <v>4.3620000000000004E-3</v>
      </c>
      <c r="M531" t="s">
        <v>1</v>
      </c>
      <c r="N531">
        <v>2500</v>
      </c>
      <c r="O531">
        <v>60</v>
      </c>
      <c r="P531">
        <v>79428</v>
      </c>
      <c r="Q531">
        <v>0</v>
      </c>
      <c r="R531">
        <v>2268127235894</v>
      </c>
      <c r="S531">
        <v>5469215699.6599998</v>
      </c>
      <c r="T531">
        <v>2250762658939.5</v>
      </c>
      <c r="U531">
        <v>2261714237637.8501</v>
      </c>
      <c r="V531">
        <v>6.1150999999999997E-2</v>
      </c>
      <c r="W531">
        <v>4.9820000000000003E-3</v>
      </c>
    </row>
    <row r="532" spans="1:23" x14ac:dyDescent="0.35">
      <c r="A532" t="s">
        <v>0</v>
      </c>
      <c r="B532">
        <v>3000</v>
      </c>
      <c r="C532">
        <v>54</v>
      </c>
      <c r="D532">
        <v>140427</v>
      </c>
      <c r="E532">
        <v>0</v>
      </c>
      <c r="F532">
        <v>2984084073931</v>
      </c>
      <c r="G532">
        <v>6509725494.9499998</v>
      </c>
      <c r="H532">
        <v>2962785448640</v>
      </c>
      <c r="I532">
        <v>2975106531402.5098</v>
      </c>
      <c r="J532">
        <v>5.7876999999999998E-2</v>
      </c>
      <c r="K532">
        <v>9.8790000000000006E-3</v>
      </c>
      <c r="M532" t="s">
        <v>0</v>
      </c>
      <c r="N532">
        <v>2500</v>
      </c>
      <c r="O532">
        <v>54</v>
      </c>
      <c r="P532">
        <v>33924</v>
      </c>
      <c r="Q532">
        <v>0</v>
      </c>
      <c r="R532">
        <v>883575183145</v>
      </c>
      <c r="S532">
        <v>2070499443.6300001</v>
      </c>
      <c r="T532">
        <v>877946321937.46997</v>
      </c>
      <c r="U532">
        <v>881340491311.77002</v>
      </c>
      <c r="V532">
        <v>4.7271000000000001E-2</v>
      </c>
      <c r="W532">
        <v>2.2279999999999999E-3</v>
      </c>
    </row>
    <row r="533" spans="1:23" x14ac:dyDescent="0.35">
      <c r="A533" t="s">
        <v>2</v>
      </c>
      <c r="B533">
        <v>3000</v>
      </c>
      <c r="C533">
        <v>54</v>
      </c>
      <c r="D533">
        <v>9799</v>
      </c>
      <c r="E533">
        <v>0</v>
      </c>
      <c r="F533">
        <v>170125855774</v>
      </c>
      <c r="G533">
        <v>370435913.69</v>
      </c>
      <c r="H533">
        <v>168292179626</v>
      </c>
      <c r="I533">
        <v>169442399750.04999</v>
      </c>
      <c r="J533">
        <v>9.8465999999999998E-2</v>
      </c>
      <c r="K533">
        <v>2.1857000000000001E-2</v>
      </c>
      <c r="M533" t="s">
        <v>2</v>
      </c>
      <c r="N533">
        <v>2500</v>
      </c>
      <c r="O533">
        <v>54</v>
      </c>
      <c r="P533">
        <v>3045</v>
      </c>
      <c r="Q533">
        <v>0</v>
      </c>
      <c r="R533">
        <v>57489879359</v>
      </c>
      <c r="S533">
        <v>133998445.03</v>
      </c>
      <c r="T533">
        <v>57002046532.529999</v>
      </c>
      <c r="U533">
        <v>57263588948.839996</v>
      </c>
      <c r="V533">
        <v>7.1406999999999998E-2</v>
      </c>
      <c r="W533">
        <v>1.9095000000000001E-2</v>
      </c>
    </row>
    <row r="534" spans="1:23" x14ac:dyDescent="0.35">
      <c r="A534" t="s">
        <v>1</v>
      </c>
      <c r="B534">
        <v>3000</v>
      </c>
      <c r="C534">
        <v>54</v>
      </c>
      <c r="D534">
        <v>58866</v>
      </c>
      <c r="E534">
        <v>0</v>
      </c>
      <c r="F534">
        <v>1773276683386</v>
      </c>
      <c r="G534">
        <v>3865481528.0500002</v>
      </c>
      <c r="H534">
        <v>1755696568385</v>
      </c>
      <c r="I534">
        <v>1767085510878.0801</v>
      </c>
      <c r="J534">
        <v>8.8960999999999998E-2</v>
      </c>
      <c r="K534">
        <v>1.5625E-2</v>
      </c>
      <c r="M534" t="s">
        <v>0</v>
      </c>
      <c r="N534">
        <v>3000</v>
      </c>
      <c r="O534">
        <v>54</v>
      </c>
      <c r="P534">
        <v>153160</v>
      </c>
      <c r="Q534">
        <v>0</v>
      </c>
      <c r="R534">
        <v>3275421658078</v>
      </c>
      <c r="S534">
        <v>7136091106.1599998</v>
      </c>
      <c r="T534">
        <v>3253968919575.8999</v>
      </c>
      <c r="U534">
        <v>3265888621351.2598</v>
      </c>
      <c r="V534">
        <v>5.1207999999999997E-2</v>
      </c>
      <c r="W534">
        <v>8.7460000000000003E-3</v>
      </c>
    </row>
    <row r="535" spans="1:23" x14ac:dyDescent="0.35">
      <c r="A535" t="s">
        <v>1</v>
      </c>
      <c r="B535">
        <v>3250</v>
      </c>
      <c r="C535">
        <v>72</v>
      </c>
      <c r="D535">
        <v>57683</v>
      </c>
      <c r="E535">
        <v>0</v>
      </c>
      <c r="F535">
        <v>1350595817315</v>
      </c>
      <c r="G535">
        <v>3069709171.1199999</v>
      </c>
      <c r="H535">
        <v>1336542057014</v>
      </c>
      <c r="I535">
        <v>1345635932528.3701</v>
      </c>
      <c r="J535">
        <v>9.3343999999999996E-2</v>
      </c>
      <c r="K535">
        <v>1.6664999999999999E-2</v>
      </c>
      <c r="M535" t="s">
        <v>2</v>
      </c>
      <c r="N535">
        <v>3000</v>
      </c>
      <c r="O535">
        <v>54</v>
      </c>
      <c r="P535">
        <v>10830</v>
      </c>
      <c r="Q535">
        <v>0</v>
      </c>
      <c r="R535">
        <v>187939997835</v>
      </c>
      <c r="S535">
        <v>409068813.01999998</v>
      </c>
      <c r="T535">
        <v>186519126646.66</v>
      </c>
      <c r="U535">
        <v>187346315626.79001</v>
      </c>
      <c r="V535">
        <v>6.2725000000000003E-2</v>
      </c>
      <c r="W535">
        <v>1.1724E-2</v>
      </c>
    </row>
    <row r="536" spans="1:23" x14ac:dyDescent="0.35">
      <c r="A536" t="s">
        <v>0</v>
      </c>
      <c r="B536">
        <v>2500</v>
      </c>
      <c r="C536">
        <v>72</v>
      </c>
      <c r="D536">
        <v>52261</v>
      </c>
      <c r="E536">
        <v>0</v>
      </c>
      <c r="F536">
        <v>1201265596507</v>
      </c>
      <c r="G536">
        <v>2965127652.9099998</v>
      </c>
      <c r="H536">
        <v>1193492412266</v>
      </c>
      <c r="I536">
        <v>1197823743844.45</v>
      </c>
      <c r="J536">
        <v>4.6987000000000001E-2</v>
      </c>
      <c r="K536">
        <v>4.7520000000000001E-3</v>
      </c>
      <c r="M536" t="s">
        <v>1</v>
      </c>
      <c r="N536">
        <v>3000</v>
      </c>
      <c r="O536">
        <v>54</v>
      </c>
      <c r="P536">
        <v>62434</v>
      </c>
      <c r="Q536">
        <v>0</v>
      </c>
      <c r="R536">
        <v>1869412358832</v>
      </c>
      <c r="S536">
        <v>4075180774.0999999</v>
      </c>
      <c r="T536">
        <v>1852934325236.3701</v>
      </c>
      <c r="U536">
        <v>1864038582948.6699</v>
      </c>
      <c r="V536">
        <v>7.6773999999999995E-2</v>
      </c>
      <c r="W536">
        <v>8.3040000000000006E-3</v>
      </c>
    </row>
    <row r="537" spans="1:23" x14ac:dyDescent="0.35">
      <c r="A537" t="s">
        <v>0</v>
      </c>
      <c r="B537">
        <v>3500</v>
      </c>
      <c r="C537">
        <v>60</v>
      </c>
      <c r="D537">
        <v>49634</v>
      </c>
      <c r="E537">
        <v>0</v>
      </c>
      <c r="F537">
        <v>986832685256</v>
      </c>
      <c r="G537">
        <v>2057547061.8299999</v>
      </c>
      <c r="H537">
        <v>979566981818</v>
      </c>
      <c r="I537">
        <v>983881743663.04004</v>
      </c>
      <c r="J537">
        <v>6.1525000000000003E-2</v>
      </c>
      <c r="K537">
        <v>1.081E-2</v>
      </c>
      <c r="M537" t="s">
        <v>1</v>
      </c>
      <c r="N537">
        <v>3250</v>
      </c>
      <c r="O537">
        <v>72</v>
      </c>
      <c r="P537">
        <v>58877</v>
      </c>
      <c r="Q537">
        <v>0</v>
      </c>
      <c r="R537">
        <v>1384510883314</v>
      </c>
      <c r="S537">
        <v>3138128039.1300001</v>
      </c>
      <c r="T537">
        <v>1372425258124.99</v>
      </c>
      <c r="U537">
        <v>1380423985972.54</v>
      </c>
      <c r="V537">
        <v>7.4853000000000003E-2</v>
      </c>
      <c r="W537">
        <v>8.1919999999999996E-3</v>
      </c>
    </row>
    <row r="538" spans="1:23" x14ac:dyDescent="0.35">
      <c r="A538" t="s">
        <v>1</v>
      </c>
      <c r="B538">
        <v>3500</v>
      </c>
      <c r="C538">
        <v>60</v>
      </c>
      <c r="D538">
        <v>9800</v>
      </c>
      <c r="E538">
        <v>0</v>
      </c>
      <c r="F538">
        <v>235152076069</v>
      </c>
      <c r="G538">
        <v>490614350.54000002</v>
      </c>
      <c r="H538">
        <v>232107519878</v>
      </c>
      <c r="I538">
        <v>233920215048.64999</v>
      </c>
      <c r="J538">
        <v>0.12282</v>
      </c>
      <c r="K538">
        <v>3.7177000000000002E-2</v>
      </c>
      <c r="M538" t="s">
        <v>0</v>
      </c>
      <c r="N538">
        <v>2500</v>
      </c>
      <c r="O538">
        <v>72</v>
      </c>
      <c r="P538">
        <v>38934</v>
      </c>
      <c r="Q538">
        <v>0</v>
      </c>
      <c r="R538">
        <v>899764933271</v>
      </c>
      <c r="S538">
        <v>2215843682.6799998</v>
      </c>
      <c r="T538">
        <v>893580218368.70996</v>
      </c>
      <c r="U538">
        <v>897343233073.13</v>
      </c>
      <c r="V538">
        <v>5.1666999999999998E-2</v>
      </c>
      <c r="W538">
        <v>2.7420000000000001E-3</v>
      </c>
    </row>
    <row r="539" spans="1:23" x14ac:dyDescent="0.35">
      <c r="A539" t="s">
        <v>2</v>
      </c>
      <c r="B539">
        <v>3500</v>
      </c>
      <c r="C539">
        <v>60</v>
      </c>
      <c r="D539">
        <v>6286</v>
      </c>
      <c r="E539">
        <v>0</v>
      </c>
      <c r="F539">
        <v>90167019020</v>
      </c>
      <c r="G539">
        <v>190217518.77000001</v>
      </c>
      <c r="H539">
        <v>89522302138</v>
      </c>
      <c r="I539">
        <v>89884775611.149994</v>
      </c>
      <c r="J539">
        <v>5.8839000000000002E-2</v>
      </c>
      <c r="K539">
        <v>1.2179000000000001E-2</v>
      </c>
      <c r="M539" t="s">
        <v>0</v>
      </c>
      <c r="N539">
        <v>4000</v>
      </c>
      <c r="O539">
        <v>60</v>
      </c>
      <c r="P539">
        <v>11461</v>
      </c>
      <c r="Q539">
        <v>0</v>
      </c>
      <c r="R539">
        <v>228022437109</v>
      </c>
      <c r="S539">
        <v>440943294.43000001</v>
      </c>
      <c r="T539">
        <v>226192323251.12</v>
      </c>
      <c r="U539">
        <v>227392445193</v>
      </c>
      <c r="V539">
        <v>7.0706000000000005E-2</v>
      </c>
      <c r="W539">
        <v>9.9039999999999996E-3</v>
      </c>
    </row>
    <row r="540" spans="1:23" x14ac:dyDescent="0.35">
      <c r="A540" t="s">
        <v>0</v>
      </c>
      <c r="B540">
        <v>4000</v>
      </c>
      <c r="C540">
        <v>60</v>
      </c>
      <c r="D540">
        <v>14041</v>
      </c>
      <c r="E540">
        <v>0</v>
      </c>
      <c r="F540">
        <v>284906391754</v>
      </c>
      <c r="G540">
        <v>551933452.12</v>
      </c>
      <c r="H540">
        <v>282949987839</v>
      </c>
      <c r="I540">
        <v>284081179592.20001</v>
      </c>
      <c r="J540">
        <v>5.7577000000000003E-2</v>
      </c>
      <c r="K540">
        <v>1.145E-2</v>
      </c>
      <c r="M540" t="s">
        <v>2</v>
      </c>
      <c r="N540">
        <v>4000</v>
      </c>
      <c r="O540">
        <v>60</v>
      </c>
      <c r="P540">
        <v>748</v>
      </c>
      <c r="Q540">
        <v>0</v>
      </c>
      <c r="R540">
        <v>9517506853</v>
      </c>
      <c r="S540">
        <v>18566996</v>
      </c>
      <c r="T540">
        <v>9493506868.4300003</v>
      </c>
      <c r="U540">
        <v>9493506868.4300003</v>
      </c>
      <c r="V540">
        <v>6.829E-3</v>
      </c>
      <c r="W540">
        <v>6.829E-3</v>
      </c>
    </row>
    <row r="541" spans="1:23" x14ac:dyDescent="0.35">
      <c r="A541" t="s">
        <v>3</v>
      </c>
      <c r="B541">
        <v>3000</v>
      </c>
      <c r="C541">
        <v>72</v>
      </c>
      <c r="D541">
        <v>714</v>
      </c>
      <c r="E541">
        <v>0</v>
      </c>
      <c r="F541">
        <v>13701598452</v>
      </c>
      <c r="G541">
        <v>31960383.059999999</v>
      </c>
      <c r="H541">
        <v>13601555007</v>
      </c>
      <c r="I541">
        <v>13664067890.84</v>
      </c>
      <c r="J541">
        <v>5.8025E-2</v>
      </c>
      <c r="K541">
        <v>4.8679999999999999E-3</v>
      </c>
      <c r="M541" t="s">
        <v>0</v>
      </c>
      <c r="N541">
        <v>3500</v>
      </c>
      <c r="O541">
        <v>60</v>
      </c>
      <c r="P541">
        <v>40579</v>
      </c>
      <c r="Q541">
        <v>0</v>
      </c>
      <c r="R541">
        <v>798247620767</v>
      </c>
      <c r="S541">
        <v>1662734642.9200001</v>
      </c>
      <c r="T541">
        <v>793342680126.56995</v>
      </c>
      <c r="U541">
        <v>796238888289.31995</v>
      </c>
      <c r="V541">
        <v>4.7666E-2</v>
      </c>
      <c r="W541">
        <v>5.189E-3</v>
      </c>
    </row>
    <row r="542" spans="1:23" x14ac:dyDescent="0.35">
      <c r="A542" t="s">
        <v>2</v>
      </c>
      <c r="B542">
        <v>2750</v>
      </c>
      <c r="C542">
        <v>60</v>
      </c>
      <c r="D542">
        <v>11697</v>
      </c>
      <c r="E542">
        <v>0</v>
      </c>
      <c r="F542">
        <v>194677242810</v>
      </c>
      <c r="G542">
        <v>449472862.63999999</v>
      </c>
      <c r="H542">
        <v>193446930918</v>
      </c>
      <c r="I542">
        <v>194132896344.59</v>
      </c>
      <c r="J542">
        <v>4.7084000000000001E-2</v>
      </c>
      <c r="K542">
        <v>5.8320000000000004E-3</v>
      </c>
      <c r="M542" t="s">
        <v>2</v>
      </c>
      <c r="N542">
        <v>3500</v>
      </c>
      <c r="O542">
        <v>60</v>
      </c>
      <c r="P542">
        <v>5042</v>
      </c>
      <c r="Q542">
        <v>0</v>
      </c>
      <c r="R542">
        <v>71279082574</v>
      </c>
      <c r="S542">
        <v>150235329.56999999</v>
      </c>
      <c r="T542">
        <v>70801484272.580002</v>
      </c>
      <c r="U542">
        <v>71043728452.570007</v>
      </c>
      <c r="V542">
        <v>5.3740999999999997E-2</v>
      </c>
      <c r="W542">
        <v>1.4236E-2</v>
      </c>
    </row>
    <row r="543" spans="1:23" x14ac:dyDescent="0.35">
      <c r="A543" t="s">
        <v>0</v>
      </c>
      <c r="B543">
        <v>3250</v>
      </c>
      <c r="C543">
        <v>60</v>
      </c>
      <c r="D543">
        <v>133327</v>
      </c>
      <c r="E543">
        <v>0</v>
      </c>
      <c r="F543">
        <v>2768370701805</v>
      </c>
      <c r="G543">
        <v>5960649280.7200003</v>
      </c>
      <c r="H543">
        <v>2747940043489</v>
      </c>
      <c r="I543">
        <v>2760357721847.7998</v>
      </c>
      <c r="J543">
        <v>6.0950999999999998E-2</v>
      </c>
      <c r="K543">
        <v>8.8599999999999998E-3</v>
      </c>
      <c r="M543" t="s">
        <v>1</v>
      </c>
      <c r="N543">
        <v>3500</v>
      </c>
      <c r="O543">
        <v>60</v>
      </c>
      <c r="P543">
        <v>7784</v>
      </c>
      <c r="Q543">
        <v>0</v>
      </c>
      <c r="R543">
        <v>182619842266</v>
      </c>
      <c r="S543">
        <v>381761190.00999999</v>
      </c>
      <c r="T543">
        <v>180643222891.79001</v>
      </c>
      <c r="U543">
        <v>181677852766.31</v>
      </c>
      <c r="V543">
        <v>9.9908999999999998E-2</v>
      </c>
      <c r="W543">
        <v>3.6198000000000001E-2</v>
      </c>
    </row>
    <row r="544" spans="1:23" x14ac:dyDescent="0.35">
      <c r="A544" t="s">
        <v>1</v>
      </c>
      <c r="B544">
        <v>2250</v>
      </c>
      <c r="C544">
        <v>60</v>
      </c>
      <c r="D544">
        <v>137832</v>
      </c>
      <c r="E544">
        <v>0</v>
      </c>
      <c r="F544">
        <v>4040689058266</v>
      </c>
      <c r="G544">
        <v>10008005358.639999</v>
      </c>
      <c r="H544">
        <v>4008679641149</v>
      </c>
      <c r="I544">
        <v>4028363521600.1699</v>
      </c>
      <c r="J544">
        <v>6.3418000000000002E-2</v>
      </c>
      <c r="K544">
        <v>6.8609999999999999E-3</v>
      </c>
      <c r="M544" t="s">
        <v>0</v>
      </c>
      <c r="N544">
        <v>2750</v>
      </c>
      <c r="O544">
        <v>60</v>
      </c>
      <c r="P544">
        <v>121310</v>
      </c>
      <c r="Q544">
        <v>0</v>
      </c>
      <c r="R544">
        <v>2703262339793</v>
      </c>
      <c r="S544">
        <v>6259004598.5100002</v>
      </c>
      <c r="T544">
        <v>2685139937932.1299</v>
      </c>
      <c r="U544">
        <v>2696545683553.71</v>
      </c>
      <c r="V544">
        <v>5.1409999999999997E-2</v>
      </c>
      <c r="W544">
        <v>2.0300000000000001E-3</v>
      </c>
    </row>
    <row r="545" spans="1:23" x14ac:dyDescent="0.35">
      <c r="A545" t="s">
        <v>0</v>
      </c>
      <c r="B545">
        <v>2750</v>
      </c>
      <c r="C545">
        <v>60</v>
      </c>
      <c r="D545">
        <v>115656</v>
      </c>
      <c r="E545">
        <v>0</v>
      </c>
      <c r="F545">
        <v>2605354498300</v>
      </c>
      <c r="G545">
        <v>6032428939.8100004</v>
      </c>
      <c r="H545">
        <v>2586291412938</v>
      </c>
      <c r="I545">
        <v>2598123951577.7202</v>
      </c>
      <c r="J545">
        <v>5.8394000000000001E-2</v>
      </c>
      <c r="K545">
        <v>5.5040000000000002E-3</v>
      </c>
      <c r="M545" t="s">
        <v>3</v>
      </c>
      <c r="N545">
        <v>3000</v>
      </c>
      <c r="O545">
        <v>72</v>
      </c>
      <c r="P545">
        <v>659</v>
      </c>
      <c r="Q545">
        <v>0</v>
      </c>
      <c r="R545">
        <v>12676216658</v>
      </c>
      <c r="S545">
        <v>29488047.050000001</v>
      </c>
      <c r="T545">
        <v>12587135678.35</v>
      </c>
      <c r="U545">
        <v>12646728610.950001</v>
      </c>
      <c r="V545">
        <v>5.4977999999999999E-2</v>
      </c>
      <c r="W545">
        <v>0</v>
      </c>
    </row>
    <row r="546" spans="1:23" x14ac:dyDescent="0.35">
      <c r="A546" t="s">
        <v>0</v>
      </c>
      <c r="B546">
        <v>2250</v>
      </c>
      <c r="C546">
        <v>60</v>
      </c>
      <c r="D546">
        <v>23736</v>
      </c>
      <c r="E546">
        <v>0</v>
      </c>
      <c r="F546">
        <v>579491487312</v>
      </c>
      <c r="G546">
        <v>1437965831.3199999</v>
      </c>
      <c r="H546">
        <v>575912285927</v>
      </c>
      <c r="I546">
        <v>577793415385.55005</v>
      </c>
      <c r="J546">
        <v>4.3450000000000003E-2</v>
      </c>
      <c r="K546">
        <v>5.3730000000000002E-3</v>
      </c>
      <c r="M546" t="s">
        <v>3</v>
      </c>
      <c r="N546">
        <v>3000</v>
      </c>
      <c r="O546">
        <v>60</v>
      </c>
      <c r="P546">
        <v>330</v>
      </c>
      <c r="Q546">
        <v>0</v>
      </c>
      <c r="R546">
        <v>6551983873</v>
      </c>
      <c r="S546">
        <v>14660194.74</v>
      </c>
      <c r="T546">
        <v>6496213119.5900002</v>
      </c>
      <c r="U546">
        <v>6537323678.2600002</v>
      </c>
      <c r="V546">
        <v>7.2748999999999994E-2</v>
      </c>
      <c r="W546">
        <v>0</v>
      </c>
    </row>
    <row r="547" spans="1:23" x14ac:dyDescent="0.35">
      <c r="A547" t="s">
        <v>0</v>
      </c>
      <c r="B547">
        <v>4500</v>
      </c>
      <c r="C547">
        <v>60</v>
      </c>
      <c r="D547">
        <v>1569</v>
      </c>
      <c r="E547">
        <v>0</v>
      </c>
      <c r="F547">
        <v>31168895449</v>
      </c>
      <c r="G547">
        <v>55924045.07</v>
      </c>
      <c r="H547">
        <v>30913890421</v>
      </c>
      <c r="I547">
        <v>31019158168.349998</v>
      </c>
      <c r="J547">
        <v>7.4010000000000006E-2</v>
      </c>
      <c r="K547">
        <v>3.5526000000000002E-2</v>
      </c>
      <c r="M547" t="s">
        <v>2</v>
      </c>
      <c r="N547">
        <v>2750</v>
      </c>
      <c r="O547">
        <v>60</v>
      </c>
      <c r="P547">
        <v>12843</v>
      </c>
      <c r="Q547">
        <v>0</v>
      </c>
      <c r="R547">
        <v>210370524108</v>
      </c>
      <c r="S547">
        <v>485667651.85000002</v>
      </c>
      <c r="T547">
        <v>208696998344.51001</v>
      </c>
      <c r="U547">
        <v>209802188003.42001</v>
      </c>
      <c r="V547">
        <v>6.5693000000000001E-2</v>
      </c>
      <c r="W547">
        <v>4.705E-3</v>
      </c>
    </row>
    <row r="548" spans="1:23" x14ac:dyDescent="0.35">
      <c r="A548" t="s">
        <v>0</v>
      </c>
      <c r="B548">
        <v>4500</v>
      </c>
      <c r="C548">
        <v>54</v>
      </c>
      <c r="D548">
        <v>4771</v>
      </c>
      <c r="E548">
        <v>0</v>
      </c>
      <c r="F548">
        <v>107255710610</v>
      </c>
      <c r="G548">
        <v>185826061.19</v>
      </c>
      <c r="H548">
        <v>106446569931</v>
      </c>
      <c r="I548">
        <v>106881428923.7</v>
      </c>
      <c r="J548">
        <v>6.7551E-2</v>
      </c>
      <c r="K548">
        <v>2.0882000000000001E-2</v>
      </c>
      <c r="M548" t="s">
        <v>0</v>
      </c>
      <c r="N548">
        <v>3250</v>
      </c>
      <c r="O548">
        <v>60</v>
      </c>
      <c r="P548">
        <v>118014</v>
      </c>
      <c r="Q548">
        <v>0</v>
      </c>
      <c r="R548">
        <v>2414520788312</v>
      </c>
      <c r="S548">
        <v>5193897260.8900003</v>
      </c>
      <c r="T548">
        <v>2397487777087.5</v>
      </c>
      <c r="U548">
        <v>2407708901526.5698</v>
      </c>
      <c r="V548">
        <v>5.7278000000000003E-2</v>
      </c>
      <c r="W548">
        <v>8.012E-3</v>
      </c>
    </row>
    <row r="549" spans="1:23" x14ac:dyDescent="0.35">
      <c r="A549" t="s">
        <v>1</v>
      </c>
      <c r="B549">
        <v>4500</v>
      </c>
      <c r="C549">
        <v>54</v>
      </c>
      <c r="D549">
        <v>435</v>
      </c>
      <c r="E549">
        <v>0</v>
      </c>
      <c r="F549">
        <v>10185286683</v>
      </c>
      <c r="G549">
        <v>17711125.710000001</v>
      </c>
      <c r="H549">
        <v>10076182805</v>
      </c>
      <c r="I549">
        <v>10118031723.02</v>
      </c>
      <c r="J549">
        <v>0.102518</v>
      </c>
      <c r="K549">
        <v>5.6834000000000003E-2</v>
      </c>
      <c r="M549" t="s">
        <v>1</v>
      </c>
      <c r="N549">
        <v>2250</v>
      </c>
      <c r="O549">
        <v>60</v>
      </c>
      <c r="P549">
        <v>166347</v>
      </c>
      <c r="Q549">
        <v>0</v>
      </c>
      <c r="R549">
        <v>4842520144219</v>
      </c>
      <c r="S549">
        <v>11987999430.85</v>
      </c>
      <c r="T549">
        <v>4808896734268.4502</v>
      </c>
      <c r="U549">
        <v>4829792840796</v>
      </c>
      <c r="V549">
        <v>5.2316000000000001E-2</v>
      </c>
      <c r="W549">
        <v>1.83E-3</v>
      </c>
    </row>
    <row r="550" spans="1:23" x14ac:dyDescent="0.35">
      <c r="A550" t="s">
        <v>0</v>
      </c>
      <c r="B550">
        <v>2250</v>
      </c>
      <c r="C550">
        <v>72</v>
      </c>
      <c r="D550">
        <v>24491</v>
      </c>
      <c r="E550">
        <v>0</v>
      </c>
      <c r="F550">
        <v>576442658256</v>
      </c>
      <c r="G550">
        <v>1452707907.03</v>
      </c>
      <c r="H550">
        <v>572426489935</v>
      </c>
      <c r="I550">
        <v>574746215034.06995</v>
      </c>
      <c r="J550">
        <v>5.2077999999999999E-2</v>
      </c>
      <c r="K550">
        <v>5.0619999999999997E-3</v>
      </c>
      <c r="M550" t="s">
        <v>0</v>
      </c>
      <c r="N550">
        <v>2250</v>
      </c>
      <c r="O550">
        <v>60</v>
      </c>
      <c r="P550">
        <v>30177</v>
      </c>
      <c r="Q550">
        <v>0</v>
      </c>
      <c r="R550">
        <v>727355133510</v>
      </c>
      <c r="S550">
        <v>1802825686.8199999</v>
      </c>
      <c r="T550">
        <v>722381258834.73999</v>
      </c>
      <c r="U550">
        <v>725488757465.77002</v>
      </c>
      <c r="V550">
        <v>5.108E-2</v>
      </c>
      <c r="W550">
        <v>1.0480000000000001E-3</v>
      </c>
    </row>
    <row r="551" spans="1:23" x14ac:dyDescent="0.35">
      <c r="A551" t="s">
        <v>2</v>
      </c>
      <c r="B551">
        <v>2250</v>
      </c>
      <c r="C551">
        <v>60</v>
      </c>
      <c r="D551">
        <v>2781</v>
      </c>
      <c r="E551">
        <v>0</v>
      </c>
      <c r="F551">
        <v>49627447042</v>
      </c>
      <c r="G551">
        <v>122817867.73</v>
      </c>
      <c r="H551">
        <v>49270943146</v>
      </c>
      <c r="I551">
        <v>49494987707.75</v>
      </c>
      <c r="J551">
        <v>5.5065000000000003E-2</v>
      </c>
      <c r="K551">
        <v>2.3289999999999999E-3</v>
      </c>
      <c r="M551" t="s">
        <v>0</v>
      </c>
      <c r="N551">
        <v>4500</v>
      </c>
      <c r="O551">
        <v>54</v>
      </c>
      <c r="P551">
        <v>3687</v>
      </c>
      <c r="Q551">
        <v>0</v>
      </c>
      <c r="R551">
        <v>81592470941</v>
      </c>
      <c r="S551">
        <v>141353153.66</v>
      </c>
      <c r="T551">
        <v>80962591650.5</v>
      </c>
      <c r="U551">
        <v>81353145183.419998</v>
      </c>
      <c r="V551">
        <v>6.9528999999999994E-2</v>
      </c>
      <c r="W551">
        <v>1.4314E-2</v>
      </c>
    </row>
    <row r="552" spans="1:23" x14ac:dyDescent="0.35">
      <c r="A552" t="s">
        <v>1</v>
      </c>
      <c r="B552">
        <v>2750</v>
      </c>
      <c r="C552">
        <v>60</v>
      </c>
      <c r="D552">
        <v>96827</v>
      </c>
      <c r="E552">
        <v>0</v>
      </c>
      <c r="F552">
        <v>2747245460174</v>
      </c>
      <c r="G552">
        <v>6339774496.6499996</v>
      </c>
      <c r="H552">
        <v>2722569447692</v>
      </c>
      <c r="I552">
        <v>2738563409072.25</v>
      </c>
      <c r="J552">
        <v>7.7216999999999994E-2</v>
      </c>
      <c r="K552">
        <v>1.0182999999999999E-2</v>
      </c>
      <c r="M552" t="s">
        <v>1</v>
      </c>
      <c r="N552">
        <v>4500</v>
      </c>
      <c r="O552">
        <v>54</v>
      </c>
      <c r="P552">
        <v>341</v>
      </c>
      <c r="Q552">
        <v>0</v>
      </c>
      <c r="R552">
        <v>7753245070</v>
      </c>
      <c r="S552">
        <v>13508683.130000001</v>
      </c>
      <c r="T552">
        <v>7630439530.6099997</v>
      </c>
      <c r="U552">
        <v>7664557151.2700005</v>
      </c>
      <c r="V552">
        <v>0.15664400000000001</v>
      </c>
      <c r="W552">
        <v>0.110349</v>
      </c>
    </row>
    <row r="553" spans="1:23" x14ac:dyDescent="0.35">
      <c r="A553" t="s">
        <v>2</v>
      </c>
      <c r="B553">
        <v>4000</v>
      </c>
      <c r="C553">
        <v>60</v>
      </c>
      <c r="D553">
        <v>845</v>
      </c>
      <c r="E553">
        <v>0</v>
      </c>
      <c r="F553">
        <v>11028104290</v>
      </c>
      <c r="G553">
        <v>21509951.68</v>
      </c>
      <c r="H553">
        <v>10935257416</v>
      </c>
      <c r="I553">
        <v>11006298409.1</v>
      </c>
      <c r="J553">
        <v>7.4921000000000001E-2</v>
      </c>
      <c r="K553">
        <v>3.2200000000000002E-4</v>
      </c>
      <c r="M553" t="s">
        <v>2</v>
      </c>
      <c r="N553">
        <v>2250</v>
      </c>
      <c r="O553">
        <v>60</v>
      </c>
      <c r="P553">
        <v>3690</v>
      </c>
      <c r="Q553">
        <v>0</v>
      </c>
      <c r="R553">
        <v>65758688767</v>
      </c>
      <c r="S553">
        <v>162556178.5</v>
      </c>
      <c r="T553">
        <v>65272733572.139999</v>
      </c>
      <c r="U553">
        <v>65540419929.769997</v>
      </c>
      <c r="V553">
        <v>5.7445000000000003E-2</v>
      </c>
      <c r="W553">
        <v>1.0120000000000001E-2</v>
      </c>
    </row>
    <row r="554" spans="1:23" x14ac:dyDescent="0.35">
      <c r="A554" t="s">
        <v>1</v>
      </c>
      <c r="B554">
        <v>4000</v>
      </c>
      <c r="C554">
        <v>60</v>
      </c>
      <c r="D554">
        <v>1244</v>
      </c>
      <c r="E554">
        <v>0</v>
      </c>
      <c r="F554">
        <v>27217759633</v>
      </c>
      <c r="G554">
        <v>52863013.229999997</v>
      </c>
      <c r="H554">
        <v>26990000861</v>
      </c>
      <c r="I554">
        <v>27050673234.400002</v>
      </c>
      <c r="J554">
        <v>7.4441999999999994E-2</v>
      </c>
      <c r="K554">
        <v>4.9214000000000001E-2</v>
      </c>
      <c r="M554" t="s">
        <v>1</v>
      </c>
      <c r="N554">
        <v>2750</v>
      </c>
      <c r="O554">
        <v>60</v>
      </c>
      <c r="P554">
        <v>91697</v>
      </c>
      <c r="Q554">
        <v>0</v>
      </c>
      <c r="R554">
        <v>2549810812122</v>
      </c>
      <c r="S554">
        <v>5880589338.7700005</v>
      </c>
      <c r="T554">
        <v>2529316742302.71</v>
      </c>
      <c r="U554">
        <v>2542674343289.23</v>
      </c>
      <c r="V554">
        <v>6.6646999999999998E-2</v>
      </c>
      <c r="W554">
        <v>5.8939999999999999E-3</v>
      </c>
    </row>
    <row r="555" spans="1:23" x14ac:dyDescent="0.35">
      <c r="A555" t="s">
        <v>2</v>
      </c>
      <c r="B555">
        <v>3500</v>
      </c>
      <c r="C555">
        <v>54</v>
      </c>
      <c r="D555">
        <v>7678</v>
      </c>
      <c r="E555">
        <v>0</v>
      </c>
      <c r="F555">
        <v>115020356310</v>
      </c>
      <c r="G555">
        <v>236791692.43000001</v>
      </c>
      <c r="H555">
        <v>114164313868</v>
      </c>
      <c r="I555">
        <v>114666152522.14999</v>
      </c>
      <c r="J555">
        <v>6.2727000000000005E-2</v>
      </c>
      <c r="K555">
        <v>1.2181000000000001E-2</v>
      </c>
      <c r="M555" t="s">
        <v>1</v>
      </c>
      <c r="N555">
        <v>4000</v>
      </c>
      <c r="O555">
        <v>60</v>
      </c>
      <c r="P555">
        <v>1096</v>
      </c>
      <c r="Q555">
        <v>0</v>
      </c>
      <c r="R555">
        <v>23457553579</v>
      </c>
      <c r="S555">
        <v>45560917.049999997</v>
      </c>
      <c r="T555">
        <v>23062185825.259998</v>
      </c>
      <c r="U555">
        <v>23345447390.07</v>
      </c>
      <c r="V555">
        <v>0.16497700000000001</v>
      </c>
      <c r="W555">
        <v>3.3515999999999997E-2</v>
      </c>
    </row>
    <row r="556" spans="1:23" x14ac:dyDescent="0.35">
      <c r="A556" t="s">
        <v>0</v>
      </c>
      <c r="B556">
        <v>3500</v>
      </c>
      <c r="C556">
        <v>54</v>
      </c>
      <c r="D556">
        <v>54612</v>
      </c>
      <c r="E556">
        <v>0</v>
      </c>
      <c r="F556">
        <v>1158316609299</v>
      </c>
      <c r="G556">
        <v>2341150279.02</v>
      </c>
      <c r="H556">
        <v>1149776869175</v>
      </c>
      <c r="I556">
        <v>1154420349215.9399</v>
      </c>
      <c r="J556">
        <v>6.2359999999999999E-2</v>
      </c>
      <c r="K556">
        <v>1.5991999999999999E-2</v>
      </c>
      <c r="M556" t="s">
        <v>0</v>
      </c>
      <c r="N556">
        <v>3500</v>
      </c>
      <c r="O556">
        <v>54</v>
      </c>
      <c r="P556">
        <v>55352</v>
      </c>
      <c r="Q556">
        <v>0</v>
      </c>
      <c r="R556">
        <v>1170948514959</v>
      </c>
      <c r="S556">
        <v>2369706660.04</v>
      </c>
      <c r="T556">
        <v>1163531967284.4299</v>
      </c>
      <c r="U556">
        <v>1167811125563.78</v>
      </c>
      <c r="V556">
        <v>5.0512000000000001E-2</v>
      </c>
      <c r="W556">
        <v>7.8390000000000005E-3</v>
      </c>
    </row>
    <row r="557" spans="1:23" x14ac:dyDescent="0.35">
      <c r="A557" t="s">
        <v>1</v>
      </c>
      <c r="B557">
        <v>3500</v>
      </c>
      <c r="C557">
        <v>54</v>
      </c>
      <c r="D557">
        <v>19321</v>
      </c>
      <c r="E557">
        <v>0</v>
      </c>
      <c r="F557">
        <v>491790697335</v>
      </c>
      <c r="G557">
        <v>998707638.88999999</v>
      </c>
      <c r="H557">
        <v>485745046357</v>
      </c>
      <c r="I557">
        <v>489333371675.35999</v>
      </c>
      <c r="J557">
        <v>0.11643000000000001</v>
      </c>
      <c r="K557">
        <v>3.5015999999999999E-2</v>
      </c>
      <c r="M557" t="s">
        <v>1</v>
      </c>
      <c r="N557">
        <v>3500</v>
      </c>
      <c r="O557">
        <v>54</v>
      </c>
      <c r="P557">
        <v>18931</v>
      </c>
      <c r="Q557">
        <v>0</v>
      </c>
      <c r="R557">
        <v>480564929423</v>
      </c>
      <c r="S557">
        <v>976079516.11000001</v>
      </c>
      <c r="T557">
        <v>474651179634.40997</v>
      </c>
      <c r="U557">
        <v>478141469875.51001</v>
      </c>
      <c r="V557">
        <v>0.116562</v>
      </c>
      <c r="W557">
        <v>3.5548999999999997E-2</v>
      </c>
    </row>
    <row r="558" spans="1:23" x14ac:dyDescent="0.35">
      <c r="A558" t="s">
        <v>0</v>
      </c>
      <c r="B558">
        <v>4000</v>
      </c>
      <c r="C558">
        <v>54</v>
      </c>
      <c r="D558">
        <v>18051</v>
      </c>
      <c r="E558">
        <v>0</v>
      </c>
      <c r="F558">
        <v>397871114028</v>
      </c>
      <c r="G558">
        <v>748230583.88999999</v>
      </c>
      <c r="H558">
        <v>395250396061</v>
      </c>
      <c r="I558">
        <v>396579455921.65002</v>
      </c>
      <c r="J558">
        <v>5.5036000000000002E-2</v>
      </c>
      <c r="K558">
        <v>1.6267E-2</v>
      </c>
      <c r="M558" t="s">
        <v>2</v>
      </c>
      <c r="N558">
        <v>3500</v>
      </c>
      <c r="O558">
        <v>54</v>
      </c>
      <c r="P558">
        <v>8489</v>
      </c>
      <c r="Q558">
        <v>0</v>
      </c>
      <c r="R558">
        <v>125873752177</v>
      </c>
      <c r="S558">
        <v>259604511.87</v>
      </c>
      <c r="T558">
        <v>124973392835.35001</v>
      </c>
      <c r="U558">
        <v>125483842032.13</v>
      </c>
      <c r="V558">
        <v>5.9403999999999998E-2</v>
      </c>
      <c r="W558">
        <v>1.2352E-2</v>
      </c>
    </row>
    <row r="559" spans="1:23" x14ac:dyDescent="0.35">
      <c r="A559" t="s">
        <v>1</v>
      </c>
      <c r="B559">
        <v>4000</v>
      </c>
      <c r="C559">
        <v>54</v>
      </c>
      <c r="D559">
        <v>2780</v>
      </c>
      <c r="E559">
        <v>0</v>
      </c>
      <c r="F559">
        <v>69433272276</v>
      </c>
      <c r="G559">
        <v>130007658.01000001</v>
      </c>
      <c r="H559">
        <v>68409027436</v>
      </c>
      <c r="I559">
        <v>69074396416.139999</v>
      </c>
      <c r="J559">
        <v>0.14405799999999999</v>
      </c>
      <c r="K559">
        <v>3.8845999999999999E-2</v>
      </c>
      <c r="M559" t="s">
        <v>0</v>
      </c>
      <c r="N559">
        <v>4000</v>
      </c>
      <c r="O559">
        <v>54</v>
      </c>
      <c r="P559">
        <v>17774</v>
      </c>
      <c r="Q559">
        <v>0</v>
      </c>
      <c r="R559">
        <v>390918159792</v>
      </c>
      <c r="S559">
        <v>735967130.99000001</v>
      </c>
      <c r="T559">
        <v>388288137150.90997</v>
      </c>
      <c r="U559">
        <v>389936690123.58002</v>
      </c>
      <c r="V559">
        <v>5.6617000000000001E-2</v>
      </c>
      <c r="W559">
        <v>7.5100000000000002E-3</v>
      </c>
    </row>
    <row r="560" spans="1:23" x14ac:dyDescent="0.35">
      <c r="A560" t="s">
        <v>2</v>
      </c>
      <c r="B560">
        <v>4000</v>
      </c>
      <c r="C560">
        <v>54</v>
      </c>
      <c r="D560">
        <v>998</v>
      </c>
      <c r="E560">
        <v>0</v>
      </c>
      <c r="F560">
        <v>13628194828</v>
      </c>
      <c r="G560">
        <v>25759738.100000001</v>
      </c>
      <c r="H560">
        <v>13465510050</v>
      </c>
      <c r="I560">
        <v>13591024880.23</v>
      </c>
      <c r="J560">
        <v>0.114122</v>
      </c>
      <c r="K560">
        <v>1.0000999999999999E-2</v>
      </c>
      <c r="M560" t="s">
        <v>2</v>
      </c>
      <c r="N560">
        <v>4000</v>
      </c>
      <c r="O560">
        <v>54</v>
      </c>
      <c r="P560">
        <v>894</v>
      </c>
      <c r="Q560">
        <v>0</v>
      </c>
      <c r="R560">
        <v>12081918787</v>
      </c>
      <c r="S560">
        <v>22872881</v>
      </c>
      <c r="T560">
        <v>11995044277.360001</v>
      </c>
      <c r="U560">
        <v>12046229076.65</v>
      </c>
      <c r="V560">
        <v>6.1747999999999997E-2</v>
      </c>
      <c r="W560">
        <v>1.2656000000000001E-2</v>
      </c>
    </row>
    <row r="561" spans="1:23" x14ac:dyDescent="0.35">
      <c r="A561" t="s">
        <v>2</v>
      </c>
      <c r="B561">
        <v>3250</v>
      </c>
      <c r="C561">
        <v>60</v>
      </c>
      <c r="D561">
        <v>11873</v>
      </c>
      <c r="E561">
        <v>0</v>
      </c>
      <c r="F561">
        <v>183154879619</v>
      </c>
      <c r="G561">
        <v>395958295.02999997</v>
      </c>
      <c r="H561">
        <v>181785914670</v>
      </c>
      <c r="I561">
        <v>182565175120.95999</v>
      </c>
      <c r="J561">
        <v>6.1920000000000003E-2</v>
      </c>
      <c r="K561">
        <v>1.2619999999999999E-2</v>
      </c>
      <c r="M561" t="s">
        <v>1</v>
      </c>
      <c r="N561">
        <v>4000</v>
      </c>
      <c r="O561">
        <v>54</v>
      </c>
      <c r="P561">
        <v>2089</v>
      </c>
      <c r="Q561">
        <v>0</v>
      </c>
      <c r="R561">
        <v>51829035729</v>
      </c>
      <c r="S561">
        <v>97235963.060000002</v>
      </c>
      <c r="T561">
        <v>51433529663.040001</v>
      </c>
      <c r="U561">
        <v>51626659896.419998</v>
      </c>
      <c r="V561">
        <v>6.6914000000000001E-2</v>
      </c>
      <c r="W561">
        <v>2.4073000000000001E-2</v>
      </c>
    </row>
    <row r="562" spans="1:23" x14ac:dyDescent="0.35">
      <c r="A562" t="s">
        <v>1</v>
      </c>
      <c r="B562">
        <v>2500</v>
      </c>
      <c r="C562">
        <v>54</v>
      </c>
      <c r="D562">
        <v>64490</v>
      </c>
      <c r="E562">
        <v>0</v>
      </c>
      <c r="F562">
        <v>2010901070723</v>
      </c>
      <c r="G562">
        <v>4708311544.2200003</v>
      </c>
      <c r="H562">
        <v>1994449031970</v>
      </c>
      <c r="I562">
        <v>2004635233861.75</v>
      </c>
      <c r="J562">
        <v>6.7873000000000003E-2</v>
      </c>
      <c r="K562">
        <v>9.2549999999999993E-3</v>
      </c>
      <c r="M562" t="s">
        <v>2</v>
      </c>
      <c r="N562">
        <v>3250</v>
      </c>
      <c r="O562">
        <v>60</v>
      </c>
      <c r="P562">
        <v>11180</v>
      </c>
      <c r="Q562">
        <v>0</v>
      </c>
      <c r="R562">
        <v>168499538835</v>
      </c>
      <c r="S562">
        <v>365063374.52999997</v>
      </c>
      <c r="T562">
        <v>167172825523.97</v>
      </c>
      <c r="U562">
        <v>167962820651.32001</v>
      </c>
      <c r="V562">
        <v>6.6376000000000004E-2</v>
      </c>
      <c r="W562">
        <v>1.2156E-2</v>
      </c>
    </row>
    <row r="563" spans="1:23" x14ac:dyDescent="0.35">
      <c r="A563" t="s">
        <v>1</v>
      </c>
      <c r="B563">
        <v>2250</v>
      </c>
      <c r="C563">
        <v>54</v>
      </c>
      <c r="D563">
        <v>68954</v>
      </c>
      <c r="E563">
        <v>0</v>
      </c>
      <c r="F563">
        <v>2164587116442</v>
      </c>
      <c r="G563">
        <v>5215435202.9399996</v>
      </c>
      <c r="H563">
        <v>2147859214055</v>
      </c>
      <c r="I563">
        <v>2157941381844.1101</v>
      </c>
      <c r="J563">
        <v>6.1988000000000001E-2</v>
      </c>
      <c r="K563">
        <v>7.901E-3</v>
      </c>
      <c r="M563" t="s">
        <v>0</v>
      </c>
      <c r="N563">
        <v>4500</v>
      </c>
      <c r="O563">
        <v>60</v>
      </c>
      <c r="P563">
        <v>1398</v>
      </c>
      <c r="Q563">
        <v>0</v>
      </c>
      <c r="R563">
        <v>27386727764</v>
      </c>
      <c r="S563">
        <v>49153914.799999997</v>
      </c>
      <c r="T563">
        <v>27262668500.299999</v>
      </c>
      <c r="U563">
        <v>27310808618.060001</v>
      </c>
      <c r="V563">
        <v>3.2332E-2</v>
      </c>
      <c r="W563">
        <v>1.1665E-2</v>
      </c>
    </row>
    <row r="564" spans="1:23" x14ac:dyDescent="0.35">
      <c r="A564" t="s">
        <v>0</v>
      </c>
      <c r="B564">
        <v>2250</v>
      </c>
      <c r="C564">
        <v>54</v>
      </c>
      <c r="D564">
        <v>13554</v>
      </c>
      <c r="E564">
        <v>0</v>
      </c>
      <c r="F564">
        <v>348502260004</v>
      </c>
      <c r="G564">
        <v>844382272.21000004</v>
      </c>
      <c r="H564">
        <v>346317589392</v>
      </c>
      <c r="I564">
        <v>347594583365.06</v>
      </c>
      <c r="J564">
        <v>4.5185999999999997E-2</v>
      </c>
      <c r="K564">
        <v>2.1770000000000001E-3</v>
      </c>
      <c r="M564" t="s">
        <v>2</v>
      </c>
      <c r="N564">
        <v>2750</v>
      </c>
      <c r="O564">
        <v>54</v>
      </c>
      <c r="P564">
        <v>8677</v>
      </c>
      <c r="Q564">
        <v>0</v>
      </c>
      <c r="R564">
        <v>155421510098</v>
      </c>
      <c r="S564">
        <v>349248434.13999999</v>
      </c>
      <c r="T564">
        <v>154459106875.67001</v>
      </c>
      <c r="U564">
        <v>154935817532.67001</v>
      </c>
      <c r="V564">
        <v>4.6327E-2</v>
      </c>
      <c r="W564">
        <v>1.0484E-2</v>
      </c>
    </row>
    <row r="565" spans="1:23" x14ac:dyDescent="0.35">
      <c r="A565" t="s">
        <v>2</v>
      </c>
      <c r="B565">
        <v>2750</v>
      </c>
      <c r="C565">
        <v>54</v>
      </c>
      <c r="D565">
        <v>7808</v>
      </c>
      <c r="E565">
        <v>0</v>
      </c>
      <c r="F565">
        <v>140721810351</v>
      </c>
      <c r="G565">
        <v>316663709.27999997</v>
      </c>
      <c r="H565">
        <v>139600282312</v>
      </c>
      <c r="I565">
        <v>140325635748.60999</v>
      </c>
      <c r="J565">
        <v>6.6516000000000006E-2</v>
      </c>
      <c r="K565">
        <v>6.7590000000000003E-3</v>
      </c>
      <c r="M565" t="s">
        <v>0</v>
      </c>
      <c r="N565">
        <v>2750</v>
      </c>
      <c r="O565">
        <v>54</v>
      </c>
      <c r="P565">
        <v>87090</v>
      </c>
      <c r="Q565">
        <v>0</v>
      </c>
      <c r="R565">
        <v>2054997794088</v>
      </c>
      <c r="S565">
        <v>4637072941.8999996</v>
      </c>
      <c r="T565">
        <v>2041954848487.3701</v>
      </c>
      <c r="U565">
        <v>2049732513467.21</v>
      </c>
      <c r="V565">
        <v>4.7995999999999997E-2</v>
      </c>
      <c r="W565">
        <v>3.6619999999999999E-3</v>
      </c>
    </row>
    <row r="566" spans="1:23" x14ac:dyDescent="0.35">
      <c r="A566" t="s">
        <v>0</v>
      </c>
      <c r="B566">
        <v>2750</v>
      </c>
      <c r="C566">
        <v>54</v>
      </c>
      <c r="D566">
        <v>78140</v>
      </c>
      <c r="E566">
        <v>0</v>
      </c>
      <c r="F566">
        <v>1850105719678</v>
      </c>
      <c r="G566">
        <v>4179198650.7399998</v>
      </c>
      <c r="H566">
        <v>1838422984078</v>
      </c>
      <c r="I566">
        <v>1845223020131.96</v>
      </c>
      <c r="J566">
        <v>4.7598000000000001E-2</v>
      </c>
      <c r="K566">
        <v>4.5529999999999998E-3</v>
      </c>
      <c r="M566" t="s">
        <v>0</v>
      </c>
      <c r="N566">
        <v>3250</v>
      </c>
      <c r="O566">
        <v>54</v>
      </c>
      <c r="P566">
        <v>163949</v>
      </c>
      <c r="Q566">
        <v>0</v>
      </c>
      <c r="R566">
        <v>3463922317477</v>
      </c>
      <c r="S566">
        <v>7273715156.1499996</v>
      </c>
      <c r="T566">
        <v>3441074268756.1001</v>
      </c>
      <c r="U566">
        <v>3453576575116.5801</v>
      </c>
      <c r="V566">
        <v>5.2638999999999998E-2</v>
      </c>
      <c r="W566">
        <v>1.0591E-2</v>
      </c>
    </row>
    <row r="567" spans="1:23" x14ac:dyDescent="0.35">
      <c r="A567" t="s">
        <v>0</v>
      </c>
      <c r="B567">
        <v>3250</v>
      </c>
      <c r="C567">
        <v>54</v>
      </c>
      <c r="D567">
        <v>156484</v>
      </c>
      <c r="E567">
        <v>0</v>
      </c>
      <c r="F567">
        <v>3289910551085</v>
      </c>
      <c r="G567">
        <v>6912712734.3900003</v>
      </c>
      <c r="H567">
        <v>3264548118449</v>
      </c>
      <c r="I567">
        <v>3278472644045.27</v>
      </c>
      <c r="J567">
        <v>6.5257999999999997E-2</v>
      </c>
      <c r="K567">
        <v>1.6381E-2</v>
      </c>
      <c r="M567" t="s">
        <v>1</v>
      </c>
      <c r="N567">
        <v>2500</v>
      </c>
      <c r="O567">
        <v>54</v>
      </c>
      <c r="P567">
        <v>69494</v>
      </c>
      <c r="Q567">
        <v>0</v>
      </c>
      <c r="R567">
        <v>2153455818537</v>
      </c>
      <c r="S567">
        <v>5037513978.0299997</v>
      </c>
      <c r="T567">
        <v>2138020967488.4399</v>
      </c>
      <c r="U567">
        <v>2147701345216.22</v>
      </c>
      <c r="V567">
        <v>5.6424000000000002E-2</v>
      </c>
      <c r="W567">
        <v>3.9880000000000002E-3</v>
      </c>
    </row>
    <row r="568" spans="1:23" x14ac:dyDescent="0.35">
      <c r="A568" t="s">
        <v>1</v>
      </c>
      <c r="B568">
        <v>2750</v>
      </c>
      <c r="C568">
        <v>54</v>
      </c>
      <c r="D568">
        <v>81799</v>
      </c>
      <c r="E568">
        <v>0</v>
      </c>
      <c r="F568">
        <v>2493086981561</v>
      </c>
      <c r="G568">
        <v>5614761947.96</v>
      </c>
      <c r="H568">
        <v>2470260298433</v>
      </c>
      <c r="I568">
        <v>2485039045291.77</v>
      </c>
      <c r="J568">
        <v>7.9771999999999996E-2</v>
      </c>
      <c r="K568">
        <v>1.1649E-2</v>
      </c>
      <c r="M568" t="s">
        <v>1</v>
      </c>
      <c r="N568">
        <v>2250</v>
      </c>
      <c r="O568">
        <v>54</v>
      </c>
      <c r="P568">
        <v>76718</v>
      </c>
      <c r="Q568">
        <v>0</v>
      </c>
      <c r="R568">
        <v>2383885850249</v>
      </c>
      <c r="S568">
        <v>5740024926.8199997</v>
      </c>
      <c r="T568">
        <v>2366361139259.75</v>
      </c>
      <c r="U568">
        <v>2377330953273.3398</v>
      </c>
      <c r="V568">
        <v>5.7735000000000002E-2</v>
      </c>
      <c r="W568">
        <v>4.0940000000000004E-3</v>
      </c>
    </row>
    <row r="569" spans="1:23" x14ac:dyDescent="0.35">
      <c r="A569" t="s">
        <v>0</v>
      </c>
      <c r="B569">
        <v>2500</v>
      </c>
      <c r="C569">
        <v>48</v>
      </c>
      <c r="D569">
        <v>1248</v>
      </c>
      <c r="E569">
        <v>0</v>
      </c>
      <c r="F569">
        <v>33554186311</v>
      </c>
      <c r="G569">
        <v>76782403.700000003</v>
      </c>
      <c r="H569">
        <v>33428551088</v>
      </c>
      <c r="I569">
        <v>33475270488.439999</v>
      </c>
      <c r="J569">
        <v>1.7332E-2</v>
      </c>
      <c r="K569">
        <v>7.6300000000000001E-4</v>
      </c>
      <c r="M569" t="s">
        <v>0</v>
      </c>
      <c r="N569">
        <v>2250</v>
      </c>
      <c r="O569">
        <v>54</v>
      </c>
      <c r="P569">
        <v>14538</v>
      </c>
      <c r="Q569">
        <v>0</v>
      </c>
      <c r="R569">
        <v>375346470800</v>
      </c>
      <c r="S569">
        <v>907633606.28999996</v>
      </c>
      <c r="T569">
        <v>372774374562.04999</v>
      </c>
      <c r="U569">
        <v>374355195874.45001</v>
      </c>
      <c r="V569">
        <v>5.1935000000000002E-2</v>
      </c>
      <c r="W569">
        <v>2.6710000000000002E-3</v>
      </c>
    </row>
    <row r="570" spans="1:23" x14ac:dyDescent="0.35">
      <c r="A570" t="s">
        <v>2</v>
      </c>
      <c r="B570">
        <v>2500</v>
      </c>
      <c r="C570">
        <v>48</v>
      </c>
      <c r="D570">
        <v>123</v>
      </c>
      <c r="E570">
        <v>0</v>
      </c>
      <c r="F570">
        <v>2192282635</v>
      </c>
      <c r="G570">
        <v>5035762.33</v>
      </c>
      <c r="H570">
        <v>2186850292</v>
      </c>
      <c r="I570">
        <v>2186850292</v>
      </c>
      <c r="J570">
        <v>2.1689999999999999E-3</v>
      </c>
      <c r="K570">
        <v>2.1689999999999999E-3</v>
      </c>
      <c r="M570" t="s">
        <v>1</v>
      </c>
      <c r="N570">
        <v>2750</v>
      </c>
      <c r="O570">
        <v>54</v>
      </c>
      <c r="P570">
        <v>87200</v>
      </c>
      <c r="Q570">
        <v>0</v>
      </c>
      <c r="R570">
        <v>2644441418111</v>
      </c>
      <c r="S570">
        <v>5953866320.75</v>
      </c>
      <c r="T570">
        <v>2622552937144.4102</v>
      </c>
      <c r="U570">
        <v>2636680298192.2998</v>
      </c>
      <c r="V570">
        <v>6.9959999999999994E-2</v>
      </c>
      <c r="W570">
        <v>8.1700000000000002E-3</v>
      </c>
    </row>
    <row r="571" spans="1:23" x14ac:dyDescent="0.35">
      <c r="A571" t="s">
        <v>2</v>
      </c>
      <c r="B571">
        <v>3000</v>
      </c>
      <c r="C571">
        <v>48</v>
      </c>
      <c r="D571">
        <v>882</v>
      </c>
      <c r="E571">
        <v>0</v>
      </c>
      <c r="F571">
        <v>15989436422</v>
      </c>
      <c r="G571">
        <v>34090151.920000002</v>
      </c>
      <c r="H571">
        <v>15813908269</v>
      </c>
      <c r="I571">
        <v>15953937059.959999</v>
      </c>
      <c r="J571">
        <v>0.101134</v>
      </c>
      <c r="K571">
        <v>1.057E-3</v>
      </c>
      <c r="M571" t="s">
        <v>2</v>
      </c>
      <c r="N571">
        <v>2500</v>
      </c>
      <c r="O571">
        <v>48</v>
      </c>
      <c r="P571">
        <v>311</v>
      </c>
      <c r="Q571">
        <v>0</v>
      </c>
      <c r="R571">
        <v>5641280571</v>
      </c>
      <c r="S571">
        <v>12929028.84</v>
      </c>
      <c r="T571">
        <v>5621155171.9399996</v>
      </c>
      <c r="U571">
        <v>5621155171.9399996</v>
      </c>
      <c r="V571">
        <v>1.5200999999999999E-2</v>
      </c>
      <c r="W571">
        <v>1.5200999999999999E-2</v>
      </c>
    </row>
    <row r="572" spans="1:23" x14ac:dyDescent="0.35">
      <c r="A572" t="s">
        <v>0</v>
      </c>
      <c r="B572">
        <v>3000</v>
      </c>
      <c r="C572">
        <v>48</v>
      </c>
      <c r="D572">
        <v>10503</v>
      </c>
      <c r="E572">
        <v>0</v>
      </c>
      <c r="F572">
        <v>254331269605</v>
      </c>
      <c r="G572">
        <v>541480015.88999999</v>
      </c>
      <c r="H572">
        <v>252743339232</v>
      </c>
      <c r="I572">
        <v>253636963986.31</v>
      </c>
      <c r="J572">
        <v>4.8272000000000002E-2</v>
      </c>
      <c r="K572">
        <v>7.1869999999999998E-3</v>
      </c>
      <c r="M572" t="s">
        <v>0</v>
      </c>
      <c r="N572">
        <v>2500</v>
      </c>
      <c r="O572">
        <v>48</v>
      </c>
      <c r="P572">
        <v>3643</v>
      </c>
      <c r="Q572">
        <v>0</v>
      </c>
      <c r="R572">
        <v>97012337536</v>
      </c>
      <c r="S572">
        <v>222056909.80000001</v>
      </c>
      <c r="T572">
        <v>96448376348.830002</v>
      </c>
      <c r="U572">
        <v>96735603573.210007</v>
      </c>
      <c r="V572">
        <v>4.1481999999999998E-2</v>
      </c>
      <c r="W572">
        <v>6.7419999999999997E-3</v>
      </c>
    </row>
    <row r="573" spans="1:23" x14ac:dyDescent="0.35">
      <c r="A573" t="s">
        <v>2</v>
      </c>
      <c r="B573">
        <v>3500</v>
      </c>
      <c r="C573">
        <v>48</v>
      </c>
      <c r="D573">
        <v>2336</v>
      </c>
      <c r="E573">
        <v>0</v>
      </c>
      <c r="F573">
        <v>40571206503</v>
      </c>
      <c r="G573">
        <v>80490445.849999994</v>
      </c>
      <c r="H573">
        <v>40288155320</v>
      </c>
      <c r="I573">
        <v>40361994395.720001</v>
      </c>
      <c r="J573">
        <v>5.8295E-2</v>
      </c>
      <c r="K573">
        <v>3.7414999999999997E-2</v>
      </c>
      <c r="M573" t="s">
        <v>0</v>
      </c>
      <c r="N573">
        <v>3000</v>
      </c>
      <c r="O573">
        <v>48</v>
      </c>
      <c r="P573">
        <v>20927</v>
      </c>
      <c r="Q573">
        <v>0</v>
      </c>
      <c r="R573">
        <v>497019867707</v>
      </c>
      <c r="S573">
        <v>1058714863.5700001</v>
      </c>
      <c r="T573">
        <v>493921497729.87</v>
      </c>
      <c r="U573">
        <v>495699414396.64001</v>
      </c>
      <c r="V573">
        <v>4.8148999999999997E-2</v>
      </c>
      <c r="W573">
        <v>6.3010000000000002E-3</v>
      </c>
    </row>
    <row r="574" spans="1:23" x14ac:dyDescent="0.35">
      <c r="A574" t="s">
        <v>0</v>
      </c>
      <c r="B574">
        <v>3500</v>
      </c>
      <c r="C574">
        <v>48</v>
      </c>
      <c r="D574">
        <v>25211</v>
      </c>
      <c r="E574">
        <v>0</v>
      </c>
      <c r="F574">
        <v>596587514091</v>
      </c>
      <c r="G574">
        <v>1178221684.96</v>
      </c>
      <c r="H574">
        <v>592020661376</v>
      </c>
      <c r="I574">
        <v>594455684751.64001</v>
      </c>
      <c r="J574">
        <v>6.6071000000000005E-2</v>
      </c>
      <c r="K574">
        <v>1.9014E-2</v>
      </c>
      <c r="M574" t="s">
        <v>2</v>
      </c>
      <c r="N574">
        <v>3000</v>
      </c>
      <c r="O574">
        <v>48</v>
      </c>
      <c r="P574">
        <v>1933</v>
      </c>
      <c r="Q574">
        <v>0</v>
      </c>
      <c r="R574">
        <v>34577571201</v>
      </c>
      <c r="S574">
        <v>73680902.209999993</v>
      </c>
      <c r="T574">
        <v>34405694739.800003</v>
      </c>
      <c r="U574">
        <v>34499104007.529999</v>
      </c>
      <c r="V574">
        <v>3.3550999999999997E-2</v>
      </c>
      <c r="W574">
        <v>1.66E-3</v>
      </c>
    </row>
    <row r="575" spans="1:23" x14ac:dyDescent="0.35">
      <c r="A575" t="s">
        <v>1</v>
      </c>
      <c r="B575">
        <v>3500</v>
      </c>
      <c r="C575">
        <v>48</v>
      </c>
      <c r="D575">
        <v>17312</v>
      </c>
      <c r="E575">
        <v>0</v>
      </c>
      <c r="F575">
        <v>588648543564</v>
      </c>
      <c r="G575">
        <v>1163328142.47</v>
      </c>
      <c r="H575">
        <v>582460556428</v>
      </c>
      <c r="I575">
        <v>586685036405.56995</v>
      </c>
      <c r="J575">
        <v>9.7755999999999996E-2</v>
      </c>
      <c r="K575">
        <v>1.6191000000000001E-2</v>
      </c>
      <c r="M575" t="s">
        <v>2</v>
      </c>
      <c r="N575">
        <v>3500</v>
      </c>
      <c r="O575">
        <v>48</v>
      </c>
      <c r="P575">
        <v>3226</v>
      </c>
      <c r="Q575">
        <v>0</v>
      </c>
      <c r="R575">
        <v>54887148157</v>
      </c>
      <c r="S575">
        <v>108829746.64</v>
      </c>
      <c r="T575">
        <v>54506870703.889999</v>
      </c>
      <c r="U575">
        <v>54749827318.730003</v>
      </c>
      <c r="V575">
        <v>5.7758999999999998E-2</v>
      </c>
      <c r="W575">
        <v>6.2110000000000004E-3</v>
      </c>
    </row>
    <row r="576" spans="1:23" x14ac:dyDescent="0.35">
      <c r="A576" t="s">
        <v>1</v>
      </c>
      <c r="B576">
        <v>3000</v>
      </c>
      <c r="C576">
        <v>48</v>
      </c>
      <c r="D576">
        <v>11887</v>
      </c>
      <c r="E576">
        <v>0</v>
      </c>
      <c r="F576">
        <v>420068838902</v>
      </c>
      <c r="G576">
        <v>894801552.88999999</v>
      </c>
      <c r="H576">
        <v>416562552971</v>
      </c>
      <c r="I576">
        <v>418819216577.71002</v>
      </c>
      <c r="J576">
        <v>7.2103E-2</v>
      </c>
      <c r="K576">
        <v>1.0089000000000001E-2</v>
      </c>
      <c r="M576" t="s">
        <v>0</v>
      </c>
      <c r="N576">
        <v>3500</v>
      </c>
      <c r="O576">
        <v>48</v>
      </c>
      <c r="P576">
        <v>35513</v>
      </c>
      <c r="Q576">
        <v>0</v>
      </c>
      <c r="R576">
        <v>812359008081</v>
      </c>
      <c r="S576">
        <v>1600501774.51</v>
      </c>
      <c r="T576">
        <v>806240867807.38</v>
      </c>
      <c r="U576">
        <v>810074247216.21997</v>
      </c>
      <c r="V576">
        <v>6.4729999999999996E-2</v>
      </c>
      <c r="W576">
        <v>1.0061E-2</v>
      </c>
    </row>
    <row r="577" spans="1:23" x14ac:dyDescent="0.35">
      <c r="A577" t="s">
        <v>0</v>
      </c>
      <c r="B577">
        <v>4000</v>
      </c>
      <c r="C577">
        <v>48</v>
      </c>
      <c r="D577">
        <v>33916</v>
      </c>
      <c r="E577">
        <v>0</v>
      </c>
      <c r="F577">
        <v>807569040534</v>
      </c>
      <c r="G577">
        <v>1479694814.55</v>
      </c>
      <c r="H577">
        <v>801263187165</v>
      </c>
      <c r="I577">
        <v>804955280155.58997</v>
      </c>
      <c r="J577">
        <v>6.9403000000000006E-2</v>
      </c>
      <c r="K577">
        <v>1.6722000000000001E-2</v>
      </c>
      <c r="M577" t="s">
        <v>1</v>
      </c>
      <c r="N577">
        <v>3500</v>
      </c>
      <c r="O577">
        <v>48</v>
      </c>
      <c r="P577">
        <v>20643</v>
      </c>
      <c r="Q577">
        <v>0</v>
      </c>
      <c r="R577">
        <v>674901897211</v>
      </c>
      <c r="S577">
        <v>1329859489.5799999</v>
      </c>
      <c r="T577">
        <v>668592136286.23999</v>
      </c>
      <c r="U577">
        <v>672745220379.04004</v>
      </c>
      <c r="V577">
        <v>8.5038000000000002E-2</v>
      </c>
      <c r="W577">
        <v>1.4602E-2</v>
      </c>
    </row>
    <row r="578" spans="1:23" x14ac:dyDescent="0.35">
      <c r="A578" t="s">
        <v>1</v>
      </c>
      <c r="B578">
        <v>4000</v>
      </c>
      <c r="C578">
        <v>48</v>
      </c>
      <c r="D578">
        <v>17521</v>
      </c>
      <c r="E578">
        <v>0</v>
      </c>
      <c r="F578">
        <v>569401160957</v>
      </c>
      <c r="G578">
        <v>1040464513.21</v>
      </c>
      <c r="H578">
        <v>563229593076</v>
      </c>
      <c r="I578">
        <v>567120281432.91003</v>
      </c>
      <c r="J578">
        <v>0.102935</v>
      </c>
      <c r="K578">
        <v>2.5831E-2</v>
      </c>
      <c r="M578" t="s">
        <v>1</v>
      </c>
      <c r="N578">
        <v>3000</v>
      </c>
      <c r="O578">
        <v>48</v>
      </c>
      <c r="P578">
        <v>20040</v>
      </c>
      <c r="Q578">
        <v>0</v>
      </c>
      <c r="R578">
        <v>673581046419</v>
      </c>
      <c r="S578">
        <v>1433886222.8900001</v>
      </c>
      <c r="T578">
        <v>668172498713.38</v>
      </c>
      <c r="U578">
        <v>671651142124.97998</v>
      </c>
      <c r="V578">
        <v>6.8556000000000006E-2</v>
      </c>
      <c r="W578">
        <v>8.8009999999999998E-3</v>
      </c>
    </row>
    <row r="579" spans="1:23" x14ac:dyDescent="0.35">
      <c r="A579" t="s">
        <v>2</v>
      </c>
      <c r="B579">
        <v>5000</v>
      </c>
      <c r="C579">
        <v>48</v>
      </c>
      <c r="D579">
        <v>1890</v>
      </c>
      <c r="E579">
        <v>0</v>
      </c>
      <c r="F579">
        <v>32745837560</v>
      </c>
      <c r="G579">
        <v>50769956.729999997</v>
      </c>
      <c r="H579">
        <v>32359425329</v>
      </c>
      <c r="I579">
        <v>32565481879.630001</v>
      </c>
      <c r="J579">
        <v>0.116297</v>
      </c>
      <c r="K579">
        <v>4.6468000000000002E-2</v>
      </c>
      <c r="M579" t="s">
        <v>0</v>
      </c>
      <c r="N579">
        <v>4000</v>
      </c>
      <c r="O579">
        <v>48</v>
      </c>
      <c r="P579">
        <v>37120</v>
      </c>
      <c r="Q579">
        <v>0</v>
      </c>
      <c r="R579">
        <v>876300537362</v>
      </c>
      <c r="S579">
        <v>1599939876.8800001</v>
      </c>
      <c r="T579">
        <v>869860526197.65002</v>
      </c>
      <c r="U579">
        <v>873459089518.58997</v>
      </c>
      <c r="V579">
        <v>6.4302999999999999E-2</v>
      </c>
      <c r="W579">
        <v>1.6868999999999999E-2</v>
      </c>
    </row>
    <row r="580" spans="1:23" x14ac:dyDescent="0.35">
      <c r="A580" t="s">
        <v>0</v>
      </c>
      <c r="B580">
        <v>5500</v>
      </c>
      <c r="C580">
        <v>48</v>
      </c>
      <c r="D580">
        <v>17222</v>
      </c>
      <c r="E580">
        <v>0</v>
      </c>
      <c r="F580">
        <v>429445889866</v>
      </c>
      <c r="G580">
        <v>611600797.08000004</v>
      </c>
      <c r="H580">
        <v>425590631407</v>
      </c>
      <c r="I580">
        <v>427530228136.14001</v>
      </c>
      <c r="J580">
        <v>8.6965000000000001E-2</v>
      </c>
      <c r="K580">
        <v>3.5837000000000001E-2</v>
      </c>
      <c r="M580" t="s">
        <v>1</v>
      </c>
      <c r="N580">
        <v>4000</v>
      </c>
      <c r="O580">
        <v>48</v>
      </c>
      <c r="P580">
        <v>18102</v>
      </c>
      <c r="Q580">
        <v>0</v>
      </c>
      <c r="R580">
        <v>579791542300</v>
      </c>
      <c r="S580">
        <v>1055304738.1</v>
      </c>
      <c r="T580">
        <v>573562604968.31006</v>
      </c>
      <c r="U580">
        <v>577712186211.44995</v>
      </c>
      <c r="V580">
        <v>0.101977</v>
      </c>
      <c r="W580">
        <v>2.0990000000000002E-2</v>
      </c>
    </row>
    <row r="581" spans="1:23" x14ac:dyDescent="0.35">
      <c r="A581" t="s">
        <v>1</v>
      </c>
      <c r="B581">
        <v>5500</v>
      </c>
      <c r="C581">
        <v>48</v>
      </c>
      <c r="D581">
        <v>7508</v>
      </c>
      <c r="E581">
        <v>0</v>
      </c>
      <c r="F581">
        <v>232189968273</v>
      </c>
      <c r="G581">
        <v>330651104.48000002</v>
      </c>
      <c r="H581">
        <v>229012654874</v>
      </c>
      <c r="I581">
        <v>231043797956.13</v>
      </c>
      <c r="J581">
        <v>0.137595</v>
      </c>
      <c r="K581">
        <v>4.1342999999999998E-2</v>
      </c>
      <c r="M581" t="s">
        <v>1</v>
      </c>
      <c r="N581">
        <v>5000</v>
      </c>
      <c r="O581">
        <v>48</v>
      </c>
      <c r="P581">
        <v>10785</v>
      </c>
      <c r="Q581">
        <v>0</v>
      </c>
      <c r="R581">
        <v>372106232959</v>
      </c>
      <c r="S581">
        <v>574900715.10000002</v>
      </c>
      <c r="T581">
        <v>367939883420.02002</v>
      </c>
      <c r="U581">
        <v>370689253709.34998</v>
      </c>
      <c r="V581">
        <v>0.109865</v>
      </c>
      <c r="W581">
        <v>2.6821000000000001E-2</v>
      </c>
    </row>
    <row r="582" spans="1:23" x14ac:dyDescent="0.35">
      <c r="A582" t="s">
        <v>2</v>
      </c>
      <c r="B582">
        <v>5500</v>
      </c>
      <c r="C582">
        <v>48</v>
      </c>
      <c r="D582">
        <v>1145</v>
      </c>
      <c r="E582">
        <v>0</v>
      </c>
      <c r="F582">
        <v>17822179349</v>
      </c>
      <c r="G582">
        <v>25351275.850000001</v>
      </c>
      <c r="H582">
        <v>17691199418</v>
      </c>
      <c r="I582">
        <v>17753585886.369999</v>
      </c>
      <c r="J582">
        <v>6.8848999999999994E-2</v>
      </c>
      <c r="K582">
        <v>2.8729999999999999E-2</v>
      </c>
      <c r="M582" t="s">
        <v>0</v>
      </c>
      <c r="N582">
        <v>5000</v>
      </c>
      <c r="O582">
        <v>48</v>
      </c>
      <c r="P582">
        <v>23647</v>
      </c>
      <c r="Q582">
        <v>0</v>
      </c>
      <c r="R582">
        <v>609408100616</v>
      </c>
      <c r="S582">
        <v>941839922.79999995</v>
      </c>
      <c r="T582">
        <v>604465200242.89001</v>
      </c>
      <c r="U582">
        <v>607518111489.65002</v>
      </c>
      <c r="V582">
        <v>7.6002E-2</v>
      </c>
      <c r="W582">
        <v>1.8511E-2</v>
      </c>
    </row>
    <row r="583" spans="1:23" x14ac:dyDescent="0.35">
      <c r="A583" t="s">
        <v>2</v>
      </c>
      <c r="B583">
        <v>5000</v>
      </c>
      <c r="C583">
        <v>42</v>
      </c>
      <c r="D583">
        <v>782</v>
      </c>
      <c r="E583">
        <v>0</v>
      </c>
      <c r="F583">
        <v>14737662839</v>
      </c>
      <c r="G583">
        <v>22387559.149999999</v>
      </c>
      <c r="H583">
        <v>14667628970</v>
      </c>
      <c r="I583">
        <v>14714683452.360001</v>
      </c>
      <c r="J583">
        <v>3.8113000000000001E-2</v>
      </c>
      <c r="K583">
        <v>4.8200000000000001E-4</v>
      </c>
      <c r="M583" t="s">
        <v>2</v>
      </c>
      <c r="N583">
        <v>5000</v>
      </c>
      <c r="O583">
        <v>48</v>
      </c>
      <c r="P583">
        <v>1459</v>
      </c>
      <c r="Q583">
        <v>0</v>
      </c>
      <c r="R583">
        <v>24647272378</v>
      </c>
      <c r="S583">
        <v>38116399.07</v>
      </c>
      <c r="T583">
        <v>24423111021.57</v>
      </c>
      <c r="U583">
        <v>24555795236.630001</v>
      </c>
      <c r="V583">
        <v>8.6912000000000003E-2</v>
      </c>
      <c r="W583">
        <v>2.5673000000000001E-2</v>
      </c>
    </row>
    <row r="584" spans="1:23" x14ac:dyDescent="0.35">
      <c r="A584" t="s">
        <v>1</v>
      </c>
      <c r="B584">
        <v>5000</v>
      </c>
      <c r="C584">
        <v>42</v>
      </c>
      <c r="D584">
        <v>9587</v>
      </c>
      <c r="E584">
        <v>0</v>
      </c>
      <c r="F584">
        <v>346063181354</v>
      </c>
      <c r="G584">
        <v>524999414</v>
      </c>
      <c r="H584">
        <v>342177523619</v>
      </c>
      <c r="I584">
        <v>344949552542.28003</v>
      </c>
      <c r="J584">
        <v>0.11050599999999999</v>
      </c>
      <c r="K584">
        <v>2.0220999999999999E-2</v>
      </c>
      <c r="M584" t="s">
        <v>0</v>
      </c>
      <c r="N584">
        <v>5500</v>
      </c>
      <c r="O584">
        <v>48</v>
      </c>
      <c r="P584">
        <v>11433</v>
      </c>
      <c r="Q584">
        <v>0</v>
      </c>
      <c r="R584">
        <v>285936842578</v>
      </c>
      <c r="S584">
        <v>406232921.39999998</v>
      </c>
      <c r="T584">
        <v>283907499545.89001</v>
      </c>
      <c r="U584">
        <v>284746318674.52002</v>
      </c>
      <c r="V584">
        <v>6.6031000000000006E-2</v>
      </c>
      <c r="W584">
        <v>3.2423E-2</v>
      </c>
    </row>
    <row r="585" spans="1:23" x14ac:dyDescent="0.35">
      <c r="A585" t="s">
        <v>2</v>
      </c>
      <c r="B585">
        <v>3250</v>
      </c>
      <c r="C585">
        <v>54</v>
      </c>
      <c r="D585">
        <v>11586</v>
      </c>
      <c r="E585">
        <v>0</v>
      </c>
      <c r="F585">
        <v>182447098359</v>
      </c>
      <c r="G585">
        <v>385200080.45999998</v>
      </c>
      <c r="H585">
        <v>181080264215</v>
      </c>
      <c r="I585">
        <v>181926801921.38</v>
      </c>
      <c r="J585">
        <v>6.2687999999999994E-2</v>
      </c>
      <c r="K585">
        <v>8.8500000000000002E-3</v>
      </c>
      <c r="M585" t="s">
        <v>1</v>
      </c>
      <c r="N585">
        <v>5500</v>
      </c>
      <c r="O585">
        <v>48</v>
      </c>
      <c r="P585">
        <v>4462</v>
      </c>
      <c r="Q585">
        <v>0</v>
      </c>
      <c r="R585">
        <v>134908565015</v>
      </c>
      <c r="S585">
        <v>191798955.56</v>
      </c>
      <c r="T585">
        <v>133021271645.61</v>
      </c>
      <c r="U585">
        <v>133891603154.87</v>
      </c>
      <c r="V585">
        <v>0.14081299999999999</v>
      </c>
      <c r="W585">
        <v>7.0977999999999999E-2</v>
      </c>
    </row>
    <row r="586" spans="1:23" x14ac:dyDescent="0.35">
      <c r="A586" t="s">
        <v>0</v>
      </c>
      <c r="B586">
        <v>3750</v>
      </c>
      <c r="C586">
        <v>54</v>
      </c>
      <c r="D586">
        <v>51737</v>
      </c>
      <c r="E586">
        <v>0</v>
      </c>
      <c r="F586">
        <v>1103540818466</v>
      </c>
      <c r="G586">
        <v>2156623488.1500001</v>
      </c>
      <c r="H586">
        <v>1095520311488</v>
      </c>
      <c r="I586">
        <v>1100004321838.3401</v>
      </c>
      <c r="J586">
        <v>6.1933000000000002E-2</v>
      </c>
      <c r="K586">
        <v>1.4902E-2</v>
      </c>
      <c r="M586" t="s">
        <v>2</v>
      </c>
      <c r="N586">
        <v>5500</v>
      </c>
      <c r="O586">
        <v>48</v>
      </c>
      <c r="P586">
        <v>701</v>
      </c>
      <c r="Q586">
        <v>0</v>
      </c>
      <c r="R586">
        <v>10499456330</v>
      </c>
      <c r="S586">
        <v>14915378.060000001</v>
      </c>
      <c r="T586">
        <v>10340432137.780001</v>
      </c>
      <c r="U586">
        <v>10459898229.639999</v>
      </c>
      <c r="V586">
        <v>0.15282299999999999</v>
      </c>
      <c r="W586">
        <v>2.7803999999999999E-2</v>
      </c>
    </row>
    <row r="587" spans="1:23" x14ac:dyDescent="0.35">
      <c r="A587" t="s">
        <v>3</v>
      </c>
      <c r="B587">
        <v>3500</v>
      </c>
      <c r="C587">
        <v>54</v>
      </c>
      <c r="D587">
        <v>150</v>
      </c>
      <c r="E587">
        <v>0</v>
      </c>
      <c r="F587">
        <v>3295564119</v>
      </c>
      <c r="G587">
        <v>6651405.4299999997</v>
      </c>
      <c r="H587">
        <v>3262062538</v>
      </c>
      <c r="I587">
        <v>3287919031.1500001</v>
      </c>
      <c r="J587">
        <v>9.3504000000000004E-2</v>
      </c>
      <c r="K587">
        <v>3.6120000000000002E-3</v>
      </c>
      <c r="M587" t="s">
        <v>2</v>
      </c>
      <c r="N587">
        <v>4500</v>
      </c>
      <c r="O587">
        <v>42</v>
      </c>
      <c r="P587">
        <v>572</v>
      </c>
      <c r="Q587">
        <v>0</v>
      </c>
      <c r="R587">
        <v>12392303515</v>
      </c>
      <c r="S587">
        <v>20347147.059999999</v>
      </c>
      <c r="T587">
        <v>12319675473.51</v>
      </c>
      <c r="U587">
        <v>12371956367.940001</v>
      </c>
      <c r="V587">
        <v>4.9467999999999998E-2</v>
      </c>
      <c r="W587">
        <v>0</v>
      </c>
    </row>
    <row r="588" spans="1:23" x14ac:dyDescent="0.35">
      <c r="A588" t="s">
        <v>2</v>
      </c>
      <c r="B588">
        <v>2250</v>
      </c>
      <c r="C588">
        <v>54</v>
      </c>
      <c r="D588">
        <v>984</v>
      </c>
      <c r="E588">
        <v>0</v>
      </c>
      <c r="F588">
        <v>18312863664</v>
      </c>
      <c r="G588">
        <v>44043859.509999998</v>
      </c>
      <c r="H588">
        <v>18184774851</v>
      </c>
      <c r="I588">
        <v>18267877442.950001</v>
      </c>
      <c r="J588">
        <v>5.3704000000000002E-2</v>
      </c>
      <c r="K588">
        <v>6.1700000000000004E-4</v>
      </c>
      <c r="M588" t="s">
        <v>0</v>
      </c>
      <c r="N588">
        <v>4500</v>
      </c>
      <c r="O588">
        <v>42</v>
      </c>
      <c r="P588">
        <v>11646</v>
      </c>
      <c r="Q588">
        <v>0</v>
      </c>
      <c r="R588">
        <v>349255853635</v>
      </c>
      <c r="S588">
        <v>571529977.90999997</v>
      </c>
      <c r="T588">
        <v>347179426141.03003</v>
      </c>
      <c r="U588">
        <v>348402139710.77002</v>
      </c>
      <c r="V588">
        <v>5.0498000000000001E-2</v>
      </c>
      <c r="W588">
        <v>9.6530000000000001E-3</v>
      </c>
    </row>
    <row r="589" spans="1:23" x14ac:dyDescent="0.35">
      <c r="A589" t="s">
        <v>0</v>
      </c>
      <c r="B589">
        <v>3250</v>
      </c>
      <c r="C589">
        <v>48</v>
      </c>
      <c r="D589">
        <v>19546</v>
      </c>
      <c r="E589">
        <v>0</v>
      </c>
      <c r="F589">
        <v>469307719886</v>
      </c>
      <c r="G589">
        <v>961998460.49000001</v>
      </c>
      <c r="H589">
        <v>465603260387</v>
      </c>
      <c r="I589">
        <v>467912619232.14001</v>
      </c>
      <c r="J589">
        <v>6.7913000000000001E-2</v>
      </c>
      <c r="K589">
        <v>1.1018E-2</v>
      </c>
      <c r="M589" t="s">
        <v>2</v>
      </c>
      <c r="N589">
        <v>5000</v>
      </c>
      <c r="O589">
        <v>42</v>
      </c>
      <c r="P589">
        <v>1217</v>
      </c>
      <c r="Q589">
        <v>0</v>
      </c>
      <c r="R589">
        <v>22759874493</v>
      </c>
      <c r="S589">
        <v>34547537.82</v>
      </c>
      <c r="T589">
        <v>22555703120.119999</v>
      </c>
      <c r="U589">
        <v>22671674347.889999</v>
      </c>
      <c r="V589">
        <v>8.5857000000000003E-2</v>
      </c>
      <c r="W589">
        <v>2.7924000000000001E-2</v>
      </c>
    </row>
    <row r="590" spans="1:23" x14ac:dyDescent="0.35">
      <c r="A590" t="s">
        <v>1</v>
      </c>
      <c r="B590">
        <v>3250</v>
      </c>
      <c r="C590">
        <v>54</v>
      </c>
      <c r="D590">
        <v>38629</v>
      </c>
      <c r="E590">
        <v>0</v>
      </c>
      <c r="F590">
        <v>1073714075766</v>
      </c>
      <c r="G590">
        <v>2250588704.6700001</v>
      </c>
      <c r="H590">
        <v>1060458276141</v>
      </c>
      <c r="I590">
        <v>1068822839136.28</v>
      </c>
      <c r="J590">
        <v>0.11629399999999999</v>
      </c>
      <c r="K590">
        <v>2.9116E-2</v>
      </c>
      <c r="M590" t="s">
        <v>2</v>
      </c>
      <c r="N590">
        <v>3250</v>
      </c>
      <c r="O590">
        <v>54</v>
      </c>
      <c r="P590">
        <v>12067</v>
      </c>
      <c r="Q590">
        <v>0</v>
      </c>
      <c r="R590">
        <v>192101726112</v>
      </c>
      <c r="S590">
        <v>405208519.91000003</v>
      </c>
      <c r="T590">
        <v>190556133577</v>
      </c>
      <c r="U590">
        <v>191468835737.89001</v>
      </c>
      <c r="V590">
        <v>6.8956000000000003E-2</v>
      </c>
      <c r="W590">
        <v>1.413E-2</v>
      </c>
    </row>
    <row r="591" spans="1:23" x14ac:dyDescent="0.35">
      <c r="A591" t="s">
        <v>2</v>
      </c>
      <c r="B591">
        <v>4000</v>
      </c>
      <c r="C591">
        <v>48</v>
      </c>
      <c r="D591">
        <v>2807</v>
      </c>
      <c r="E591">
        <v>0</v>
      </c>
      <c r="F591">
        <v>47481693726</v>
      </c>
      <c r="G591">
        <v>87152948.719999999</v>
      </c>
      <c r="H591">
        <v>47094374168</v>
      </c>
      <c r="I591">
        <v>47334954282.470001</v>
      </c>
      <c r="J591">
        <v>7.3277999999999996E-2</v>
      </c>
      <c r="K591">
        <v>1.4956000000000001E-2</v>
      </c>
      <c r="M591" t="s">
        <v>0</v>
      </c>
      <c r="N591">
        <v>3750</v>
      </c>
      <c r="O591">
        <v>54</v>
      </c>
      <c r="P591">
        <v>51642</v>
      </c>
      <c r="Q591">
        <v>0</v>
      </c>
      <c r="R591">
        <v>1086803688793</v>
      </c>
      <c r="S591">
        <v>2124494828.5799999</v>
      </c>
      <c r="T591">
        <v>1079298485553.88</v>
      </c>
      <c r="U591">
        <v>1083951817274.1</v>
      </c>
      <c r="V591">
        <v>5.7820000000000003E-2</v>
      </c>
      <c r="W591">
        <v>8.0020000000000004E-3</v>
      </c>
    </row>
    <row r="592" spans="1:23" x14ac:dyDescent="0.35">
      <c r="A592" t="s">
        <v>0</v>
      </c>
      <c r="B592">
        <v>6000</v>
      </c>
      <c r="C592">
        <v>48</v>
      </c>
      <c r="D592">
        <v>4142</v>
      </c>
      <c r="E592">
        <v>0</v>
      </c>
      <c r="F592">
        <v>97343959478</v>
      </c>
      <c r="G592">
        <v>127690303.61</v>
      </c>
      <c r="H592">
        <v>96445513870</v>
      </c>
      <c r="I592">
        <v>97015737806.539993</v>
      </c>
      <c r="J592">
        <v>9.0983999999999995E-2</v>
      </c>
      <c r="K592">
        <v>2.4441999999999998E-2</v>
      </c>
      <c r="M592" t="s">
        <v>3</v>
      </c>
      <c r="N592">
        <v>3500</v>
      </c>
      <c r="O592">
        <v>54</v>
      </c>
      <c r="P592">
        <v>156</v>
      </c>
      <c r="Q592">
        <v>0</v>
      </c>
      <c r="R592">
        <v>3434184336</v>
      </c>
      <c r="S592">
        <v>6925911.7199999997</v>
      </c>
      <c r="T592">
        <v>3360108183.5599999</v>
      </c>
      <c r="U592">
        <v>3387305943.46</v>
      </c>
      <c r="V592">
        <v>0.210982</v>
      </c>
      <c r="W592">
        <v>0.13100999999999999</v>
      </c>
    </row>
    <row r="593" spans="1:23" x14ac:dyDescent="0.35">
      <c r="A593" t="s">
        <v>2</v>
      </c>
      <c r="B593">
        <v>6000</v>
      </c>
      <c r="C593">
        <v>48</v>
      </c>
      <c r="D593">
        <v>221</v>
      </c>
      <c r="E593">
        <v>0</v>
      </c>
      <c r="F593">
        <v>2861401397</v>
      </c>
      <c r="G593">
        <v>3769991.29</v>
      </c>
      <c r="H593">
        <v>2834115845</v>
      </c>
      <c r="I593">
        <v>2857467497.4099998</v>
      </c>
      <c r="J593">
        <v>9.4281000000000004E-2</v>
      </c>
      <c r="K593">
        <v>6.87E-4</v>
      </c>
      <c r="M593" t="s">
        <v>2</v>
      </c>
      <c r="N593">
        <v>2250</v>
      </c>
      <c r="O593">
        <v>54</v>
      </c>
      <c r="P593">
        <v>1061</v>
      </c>
      <c r="Q593">
        <v>0</v>
      </c>
      <c r="R593">
        <v>19870302499</v>
      </c>
      <c r="S593">
        <v>47696310.299999997</v>
      </c>
      <c r="T593">
        <v>19793918001.860001</v>
      </c>
      <c r="U593">
        <v>19822606188.700001</v>
      </c>
      <c r="V593">
        <v>1.7187999999999998E-2</v>
      </c>
      <c r="W593">
        <v>0</v>
      </c>
    </row>
    <row r="594" spans="1:23" x14ac:dyDescent="0.35">
      <c r="A594" t="s">
        <v>2</v>
      </c>
      <c r="B594">
        <v>4500</v>
      </c>
      <c r="C594">
        <v>54</v>
      </c>
      <c r="D594">
        <v>158</v>
      </c>
      <c r="E594">
        <v>0</v>
      </c>
      <c r="F594">
        <v>2010065678</v>
      </c>
      <c r="G594">
        <v>3602662.4</v>
      </c>
      <c r="H594">
        <v>1983955957</v>
      </c>
      <c r="I594">
        <v>2006086252.4000001</v>
      </c>
      <c r="J594">
        <v>0.126392</v>
      </c>
      <c r="K594">
        <v>2.2469999999999999E-3</v>
      </c>
      <c r="M594" t="s">
        <v>0</v>
      </c>
      <c r="N594">
        <v>3250</v>
      </c>
      <c r="O594">
        <v>48</v>
      </c>
      <c r="P594">
        <v>38564</v>
      </c>
      <c r="Q594">
        <v>0</v>
      </c>
      <c r="R594">
        <v>879323315905</v>
      </c>
      <c r="S594">
        <v>1803957627.3199999</v>
      </c>
      <c r="T594">
        <v>873058403962.44995</v>
      </c>
      <c r="U594">
        <v>876633024792.60999</v>
      </c>
      <c r="V594">
        <v>5.9207999999999997E-2</v>
      </c>
      <c r="W594">
        <v>1.2029E-2</v>
      </c>
    </row>
    <row r="595" spans="1:23" x14ac:dyDescent="0.35">
      <c r="A595" t="s">
        <v>0</v>
      </c>
      <c r="B595">
        <v>5000</v>
      </c>
      <c r="C595">
        <v>54</v>
      </c>
      <c r="D595">
        <v>294</v>
      </c>
      <c r="E595">
        <v>0</v>
      </c>
      <c r="F595">
        <v>5792889033</v>
      </c>
      <c r="G595">
        <v>9318969.7300000004</v>
      </c>
      <c r="H595">
        <v>5695718279</v>
      </c>
      <c r="I595">
        <v>5758327762.2399998</v>
      </c>
      <c r="J595">
        <v>0.167548</v>
      </c>
      <c r="K595">
        <v>5.1054000000000002E-2</v>
      </c>
      <c r="M595" t="s">
        <v>0</v>
      </c>
      <c r="N595">
        <v>2750</v>
      </c>
      <c r="O595">
        <v>48</v>
      </c>
      <c r="P595">
        <v>12897</v>
      </c>
      <c r="Q595">
        <v>0</v>
      </c>
      <c r="R595">
        <v>326842770735</v>
      </c>
      <c r="S595">
        <v>721781895.72000003</v>
      </c>
      <c r="T595">
        <v>324889021130.53003</v>
      </c>
      <c r="U595">
        <v>325969936953.20001</v>
      </c>
      <c r="V595">
        <v>4.4305999999999998E-2</v>
      </c>
      <c r="W595">
        <v>5.5319999999999996E-3</v>
      </c>
    </row>
    <row r="596" spans="1:23" x14ac:dyDescent="0.35">
      <c r="A596" t="s">
        <v>0</v>
      </c>
      <c r="B596">
        <v>3750</v>
      </c>
      <c r="C596">
        <v>48</v>
      </c>
      <c r="D596">
        <v>35291</v>
      </c>
      <c r="E596">
        <v>0</v>
      </c>
      <c r="F596">
        <v>862182068148</v>
      </c>
      <c r="G596">
        <v>1639696149.74</v>
      </c>
      <c r="H596">
        <v>855955625478</v>
      </c>
      <c r="I596">
        <v>859614979691.51001</v>
      </c>
      <c r="J596">
        <v>6.2003999999999997E-2</v>
      </c>
      <c r="K596">
        <v>1.2832E-2</v>
      </c>
      <c r="M596" t="s">
        <v>2</v>
      </c>
      <c r="N596">
        <v>2750</v>
      </c>
      <c r="O596">
        <v>48</v>
      </c>
      <c r="P596">
        <v>1046</v>
      </c>
      <c r="Q596">
        <v>0</v>
      </c>
      <c r="R596">
        <v>19792527248</v>
      </c>
      <c r="S596">
        <v>43719821.049999997</v>
      </c>
      <c r="T596">
        <v>19586878017.509998</v>
      </c>
      <c r="U596">
        <v>19725752057.599998</v>
      </c>
      <c r="V596">
        <v>9.3877000000000002E-2</v>
      </c>
      <c r="W596">
        <v>1.3889E-2</v>
      </c>
    </row>
    <row r="597" spans="1:23" x14ac:dyDescent="0.35">
      <c r="A597" t="s">
        <v>0</v>
      </c>
      <c r="B597">
        <v>4250</v>
      </c>
      <c r="C597">
        <v>48</v>
      </c>
      <c r="D597">
        <v>33344</v>
      </c>
      <c r="E597">
        <v>0</v>
      </c>
      <c r="F597">
        <v>824601206690</v>
      </c>
      <c r="G597">
        <v>1448137890.3699999</v>
      </c>
      <c r="H597">
        <v>817942904611</v>
      </c>
      <c r="I597">
        <v>821782938605.39001</v>
      </c>
      <c r="J597">
        <v>7.3241000000000001E-2</v>
      </c>
      <c r="K597">
        <v>1.9758000000000001E-2</v>
      </c>
      <c r="M597" t="s">
        <v>0</v>
      </c>
      <c r="N597">
        <v>3750</v>
      </c>
      <c r="O597">
        <v>48</v>
      </c>
      <c r="P597">
        <v>44041</v>
      </c>
      <c r="Q597">
        <v>0</v>
      </c>
      <c r="R597">
        <v>1058419553797</v>
      </c>
      <c r="S597">
        <v>2008533957.3800001</v>
      </c>
      <c r="T597">
        <v>1050983022520.74</v>
      </c>
      <c r="U597">
        <v>1055289268172.08</v>
      </c>
      <c r="V597">
        <v>5.9833999999999998E-2</v>
      </c>
      <c r="W597">
        <v>1.2644000000000001E-2</v>
      </c>
    </row>
    <row r="598" spans="1:23" x14ac:dyDescent="0.35">
      <c r="A598" t="s">
        <v>1</v>
      </c>
      <c r="B598">
        <v>2500</v>
      </c>
      <c r="C598">
        <v>48</v>
      </c>
      <c r="D598">
        <v>4280</v>
      </c>
      <c r="E598">
        <v>0</v>
      </c>
      <c r="F598">
        <v>147662446808</v>
      </c>
      <c r="G598">
        <v>338544091.30000001</v>
      </c>
      <c r="H598">
        <v>146366670413</v>
      </c>
      <c r="I598">
        <v>147169283250.73001</v>
      </c>
      <c r="J598">
        <v>7.5076000000000004E-2</v>
      </c>
      <c r="K598">
        <v>1.2493000000000001E-2</v>
      </c>
      <c r="M598" t="s">
        <v>2</v>
      </c>
      <c r="N598">
        <v>3250</v>
      </c>
      <c r="O598">
        <v>48</v>
      </c>
      <c r="P598">
        <v>3408</v>
      </c>
      <c r="Q598">
        <v>0</v>
      </c>
      <c r="R598">
        <v>55800478186</v>
      </c>
      <c r="S598">
        <v>114889025.23999999</v>
      </c>
      <c r="T598">
        <v>55351188062.339996</v>
      </c>
      <c r="U598">
        <v>55583730670.849998</v>
      </c>
      <c r="V598">
        <v>6.9589999999999999E-2</v>
      </c>
      <c r="W598">
        <v>2.1686E-2</v>
      </c>
    </row>
    <row r="599" spans="1:23" x14ac:dyDescent="0.35">
      <c r="A599" t="s">
        <v>2</v>
      </c>
      <c r="B599">
        <v>2750</v>
      </c>
      <c r="C599">
        <v>48</v>
      </c>
      <c r="D599">
        <v>440</v>
      </c>
      <c r="E599">
        <v>0</v>
      </c>
      <c r="F599">
        <v>8202323861</v>
      </c>
      <c r="G599">
        <v>18145788.199999999</v>
      </c>
      <c r="H599">
        <v>8094740320</v>
      </c>
      <c r="I599">
        <v>8134299855.9099998</v>
      </c>
      <c r="J599">
        <v>0.123279</v>
      </c>
      <c r="K599">
        <v>7.0580000000000004E-2</v>
      </c>
      <c r="M599" t="s">
        <v>1</v>
      </c>
      <c r="N599">
        <v>3250</v>
      </c>
      <c r="O599">
        <v>48</v>
      </c>
      <c r="P599">
        <v>28912</v>
      </c>
      <c r="Q599">
        <v>0</v>
      </c>
      <c r="R599">
        <v>929152472289</v>
      </c>
      <c r="S599">
        <v>1897537593.47</v>
      </c>
      <c r="T599">
        <v>919867325985.15002</v>
      </c>
      <c r="U599">
        <v>925976221091.07996</v>
      </c>
      <c r="V599">
        <v>9.1346999999999998E-2</v>
      </c>
      <c r="W599">
        <v>1.6389999999999998E-2</v>
      </c>
    </row>
    <row r="600" spans="1:23" x14ac:dyDescent="0.35">
      <c r="A600" t="s">
        <v>1</v>
      </c>
      <c r="B600">
        <v>2750</v>
      </c>
      <c r="C600">
        <v>48</v>
      </c>
      <c r="D600">
        <v>13066</v>
      </c>
      <c r="E600">
        <v>0</v>
      </c>
      <c r="F600">
        <v>417668526638</v>
      </c>
      <c r="G600">
        <v>920554487.45000005</v>
      </c>
      <c r="H600">
        <v>414191743305</v>
      </c>
      <c r="I600">
        <v>416430737884.95001</v>
      </c>
      <c r="J600">
        <v>7.102E-2</v>
      </c>
      <c r="K600">
        <v>9.0760000000000007E-3</v>
      </c>
      <c r="M600" t="s">
        <v>2</v>
      </c>
      <c r="N600">
        <v>4000</v>
      </c>
      <c r="O600">
        <v>48</v>
      </c>
      <c r="P600">
        <v>3067</v>
      </c>
      <c r="Q600">
        <v>0</v>
      </c>
      <c r="R600">
        <v>51155922441</v>
      </c>
      <c r="S600">
        <v>93553586.459999993</v>
      </c>
      <c r="T600">
        <v>50690765367.760002</v>
      </c>
      <c r="U600">
        <v>50960727205.620003</v>
      </c>
      <c r="V600">
        <v>8.3769999999999997E-2</v>
      </c>
      <c r="W600">
        <v>2.3584000000000001E-2</v>
      </c>
    </row>
    <row r="601" spans="1:23" x14ac:dyDescent="0.35">
      <c r="A601" t="s">
        <v>2</v>
      </c>
      <c r="B601">
        <v>3750</v>
      </c>
      <c r="C601">
        <v>48</v>
      </c>
      <c r="D601">
        <v>3272</v>
      </c>
      <c r="E601">
        <v>0</v>
      </c>
      <c r="F601">
        <v>55359058549</v>
      </c>
      <c r="G601">
        <v>105825342.17</v>
      </c>
      <c r="H601">
        <v>54903123401</v>
      </c>
      <c r="I601">
        <v>55097778135.669998</v>
      </c>
      <c r="J601">
        <v>7.3306999999999997E-2</v>
      </c>
      <c r="K601">
        <v>3.3182000000000003E-2</v>
      </c>
      <c r="M601" t="s">
        <v>0</v>
      </c>
      <c r="N601">
        <v>6000</v>
      </c>
      <c r="O601">
        <v>48</v>
      </c>
      <c r="P601">
        <v>1771</v>
      </c>
      <c r="Q601">
        <v>0</v>
      </c>
      <c r="R601">
        <v>40196899943</v>
      </c>
      <c r="S601">
        <v>52685927.18</v>
      </c>
      <c r="T601">
        <v>39720866150.919998</v>
      </c>
      <c r="U601">
        <v>39964685419.459999</v>
      </c>
      <c r="V601">
        <v>0.119313</v>
      </c>
      <c r="W601">
        <v>5.2297999999999997E-2</v>
      </c>
    </row>
    <row r="602" spans="1:23" x14ac:dyDescent="0.35">
      <c r="A602" t="s">
        <v>0</v>
      </c>
      <c r="B602">
        <v>5500</v>
      </c>
      <c r="C602">
        <v>54</v>
      </c>
      <c r="D602">
        <v>46</v>
      </c>
      <c r="E602">
        <v>0</v>
      </c>
      <c r="F602">
        <v>985207200</v>
      </c>
      <c r="G602">
        <v>1460383.5</v>
      </c>
      <c r="H602">
        <v>983674760</v>
      </c>
      <c r="I602">
        <v>983674760</v>
      </c>
      <c r="J602">
        <v>8.7699999999999996E-4</v>
      </c>
      <c r="K602">
        <v>8.7699999999999996E-4</v>
      </c>
      <c r="M602" t="s">
        <v>2</v>
      </c>
      <c r="N602">
        <v>6000</v>
      </c>
      <c r="O602">
        <v>48</v>
      </c>
      <c r="P602">
        <v>71</v>
      </c>
      <c r="Q602">
        <v>0</v>
      </c>
      <c r="R602">
        <v>856070222</v>
      </c>
      <c r="S602">
        <v>1127417.05</v>
      </c>
      <c r="T602">
        <v>842925397.87</v>
      </c>
      <c r="U602">
        <v>842925397.87</v>
      </c>
      <c r="V602">
        <v>0.15603800000000001</v>
      </c>
      <c r="W602">
        <v>0.15603800000000001</v>
      </c>
    </row>
    <row r="603" spans="1:23" x14ac:dyDescent="0.35">
      <c r="A603" t="s">
        <v>2</v>
      </c>
      <c r="B603">
        <v>3250</v>
      </c>
      <c r="C603">
        <v>48</v>
      </c>
      <c r="D603">
        <v>1711</v>
      </c>
      <c r="E603">
        <v>0</v>
      </c>
      <c r="F603">
        <v>29675552917</v>
      </c>
      <c r="G603">
        <v>60985838.5</v>
      </c>
      <c r="H603">
        <v>29444142901</v>
      </c>
      <c r="I603">
        <v>29606441472.75</v>
      </c>
      <c r="J603">
        <v>6.6779000000000005E-2</v>
      </c>
      <c r="K603">
        <v>3.2810000000000001E-3</v>
      </c>
      <c r="M603" t="s">
        <v>2</v>
      </c>
      <c r="N603">
        <v>4500</v>
      </c>
      <c r="O603">
        <v>54</v>
      </c>
      <c r="P603">
        <v>131</v>
      </c>
      <c r="Q603">
        <v>0</v>
      </c>
      <c r="R603">
        <v>1637795486</v>
      </c>
      <c r="S603">
        <v>2934476.54</v>
      </c>
      <c r="T603">
        <v>1634861009.46</v>
      </c>
      <c r="U603">
        <v>1634861009.46</v>
      </c>
      <c r="V603">
        <v>0</v>
      </c>
      <c r="W603">
        <v>0</v>
      </c>
    </row>
    <row r="604" spans="1:23" x14ac:dyDescent="0.35">
      <c r="A604" t="s">
        <v>1</v>
      </c>
      <c r="B604">
        <v>3750</v>
      </c>
      <c r="C604">
        <v>48</v>
      </c>
      <c r="D604">
        <v>23705</v>
      </c>
      <c r="E604">
        <v>0</v>
      </c>
      <c r="F604">
        <v>790025934243</v>
      </c>
      <c r="G604">
        <v>1499600558.3800001</v>
      </c>
      <c r="H604">
        <v>781445852681</v>
      </c>
      <c r="I604">
        <v>787182518571.42004</v>
      </c>
      <c r="J604">
        <v>0.10240200000000001</v>
      </c>
      <c r="K604">
        <v>2.0222E-2</v>
      </c>
      <c r="M604" t="s">
        <v>0</v>
      </c>
      <c r="N604">
        <v>5000</v>
      </c>
      <c r="O604">
        <v>54</v>
      </c>
      <c r="P604">
        <v>285</v>
      </c>
      <c r="Q604">
        <v>0</v>
      </c>
      <c r="R604">
        <v>5379190846</v>
      </c>
      <c r="S604">
        <v>8669694.9199999999</v>
      </c>
      <c r="T604">
        <v>5351304025.3900003</v>
      </c>
      <c r="U604">
        <v>5370521151.0799999</v>
      </c>
      <c r="V604">
        <v>4.2037999999999999E-2</v>
      </c>
      <c r="W604">
        <v>0</v>
      </c>
    </row>
    <row r="605" spans="1:23" x14ac:dyDescent="0.35">
      <c r="A605" t="s">
        <v>1</v>
      </c>
      <c r="B605">
        <v>2250</v>
      </c>
      <c r="C605">
        <v>48</v>
      </c>
      <c r="D605">
        <v>2847</v>
      </c>
      <c r="E605">
        <v>0</v>
      </c>
      <c r="F605">
        <v>103290064769</v>
      </c>
      <c r="G605">
        <v>243905321.03</v>
      </c>
      <c r="H605">
        <v>102397443738</v>
      </c>
      <c r="I605">
        <v>102936117639.5</v>
      </c>
      <c r="J605">
        <v>7.2817000000000007E-2</v>
      </c>
      <c r="K605">
        <v>1.2710000000000001E-2</v>
      </c>
      <c r="M605" t="s">
        <v>0</v>
      </c>
      <c r="N605">
        <v>4250</v>
      </c>
      <c r="O605">
        <v>48</v>
      </c>
      <c r="P605">
        <v>34647</v>
      </c>
      <c r="Q605">
        <v>0</v>
      </c>
      <c r="R605">
        <v>847601404974</v>
      </c>
      <c r="S605">
        <v>1483272435.55</v>
      </c>
      <c r="T605">
        <v>841691514053.57996</v>
      </c>
      <c r="U605">
        <v>845320372127.83997</v>
      </c>
      <c r="V605">
        <v>6.0900999999999997E-2</v>
      </c>
      <c r="W605">
        <v>1.1235999999999999E-2</v>
      </c>
    </row>
    <row r="606" spans="1:23" x14ac:dyDescent="0.35">
      <c r="A606" t="s">
        <v>0</v>
      </c>
      <c r="B606">
        <v>4750</v>
      </c>
      <c r="C606">
        <v>48</v>
      </c>
      <c r="D606">
        <v>40820</v>
      </c>
      <c r="E606">
        <v>0</v>
      </c>
      <c r="F606">
        <v>1048125834220</v>
      </c>
      <c r="G606">
        <v>1694910751.8499999</v>
      </c>
      <c r="H606">
        <v>1038692136794</v>
      </c>
      <c r="I606">
        <v>1044329061851.92</v>
      </c>
      <c r="J606">
        <v>8.5091E-2</v>
      </c>
      <c r="K606">
        <v>2.3800999999999999E-2</v>
      </c>
      <c r="M606" t="s">
        <v>1</v>
      </c>
      <c r="N606">
        <v>2250</v>
      </c>
      <c r="O606">
        <v>48</v>
      </c>
      <c r="P606">
        <v>9122</v>
      </c>
      <c r="Q606">
        <v>0</v>
      </c>
      <c r="R606">
        <v>315577719290</v>
      </c>
      <c r="S606">
        <v>744891794.86000001</v>
      </c>
      <c r="T606">
        <v>313346755072.62</v>
      </c>
      <c r="U606">
        <v>314554950311.20001</v>
      </c>
      <c r="V606">
        <v>5.5067999999999999E-2</v>
      </c>
      <c r="W606">
        <v>1.0515E-2</v>
      </c>
    </row>
    <row r="607" spans="1:23" x14ac:dyDescent="0.35">
      <c r="A607" t="s">
        <v>0</v>
      </c>
      <c r="B607">
        <v>5250</v>
      </c>
      <c r="C607">
        <v>48</v>
      </c>
      <c r="D607">
        <v>47854</v>
      </c>
      <c r="E607">
        <v>0</v>
      </c>
      <c r="F607">
        <v>1182145881953</v>
      </c>
      <c r="G607">
        <v>1759528483.78</v>
      </c>
      <c r="H607">
        <v>1171116282315</v>
      </c>
      <c r="I607">
        <v>1176987067995.05</v>
      </c>
      <c r="J607">
        <v>9.0146000000000004E-2</v>
      </c>
      <c r="K607">
        <v>3.3966000000000003E-2</v>
      </c>
      <c r="M607" t="s">
        <v>1</v>
      </c>
      <c r="N607">
        <v>2500</v>
      </c>
      <c r="O607">
        <v>48</v>
      </c>
      <c r="P607">
        <v>10987</v>
      </c>
      <c r="Q607">
        <v>0</v>
      </c>
      <c r="R607">
        <v>369443589951</v>
      </c>
      <c r="S607">
        <v>847309592</v>
      </c>
      <c r="T607">
        <v>366691229341.14001</v>
      </c>
      <c r="U607">
        <v>368336256232.44</v>
      </c>
      <c r="V607">
        <v>6.0152999999999998E-2</v>
      </c>
      <c r="W607">
        <v>8.4130000000000003E-3</v>
      </c>
    </row>
    <row r="608" spans="1:23" x14ac:dyDescent="0.35">
      <c r="A608" t="s">
        <v>1</v>
      </c>
      <c r="B608">
        <v>3250</v>
      </c>
      <c r="C608">
        <v>48</v>
      </c>
      <c r="D608">
        <v>21424</v>
      </c>
      <c r="E608">
        <v>0</v>
      </c>
      <c r="F608">
        <v>717011289139</v>
      </c>
      <c r="G608">
        <v>1466752362.95</v>
      </c>
      <c r="H608">
        <v>709827173869</v>
      </c>
      <c r="I608">
        <v>714815310016.05005</v>
      </c>
      <c r="J608">
        <v>9.1600000000000001E-2</v>
      </c>
      <c r="K608">
        <v>1.2135999999999999E-2</v>
      </c>
      <c r="M608" t="s">
        <v>1</v>
      </c>
      <c r="N608">
        <v>2750</v>
      </c>
      <c r="O608">
        <v>48</v>
      </c>
      <c r="P608">
        <v>24232</v>
      </c>
      <c r="Q608">
        <v>0</v>
      </c>
      <c r="R608">
        <v>767358437276</v>
      </c>
      <c r="S608">
        <v>1691378069.49</v>
      </c>
      <c r="T608">
        <v>761384249060.03003</v>
      </c>
      <c r="U608">
        <v>765221705266.64001</v>
      </c>
      <c r="V608">
        <v>6.4957000000000001E-2</v>
      </c>
      <c r="W608">
        <v>6.9420000000000003E-3</v>
      </c>
    </row>
    <row r="609" spans="1:23" x14ac:dyDescent="0.35">
      <c r="A609" t="s">
        <v>2</v>
      </c>
      <c r="B609">
        <v>4250</v>
      </c>
      <c r="C609">
        <v>48</v>
      </c>
      <c r="D609">
        <v>2843</v>
      </c>
      <c r="E609">
        <v>0</v>
      </c>
      <c r="F609">
        <v>47033096010</v>
      </c>
      <c r="G609">
        <v>83056338.909999996</v>
      </c>
      <c r="H609">
        <v>46554487474</v>
      </c>
      <c r="I609">
        <v>46848858799.309998</v>
      </c>
      <c r="J609">
        <v>9.6380999999999994E-2</v>
      </c>
      <c r="K609">
        <v>2.5512E-2</v>
      </c>
      <c r="M609" t="s">
        <v>2</v>
      </c>
      <c r="N609">
        <v>3750</v>
      </c>
      <c r="O609">
        <v>48</v>
      </c>
      <c r="P609">
        <v>4099</v>
      </c>
      <c r="Q609">
        <v>0</v>
      </c>
      <c r="R609">
        <v>68109017375</v>
      </c>
      <c r="S609">
        <v>129825658.75</v>
      </c>
      <c r="T609">
        <v>67607871591.57</v>
      </c>
      <c r="U609">
        <v>67861938136.059998</v>
      </c>
      <c r="V609">
        <v>6.3495999999999997E-2</v>
      </c>
      <c r="W609">
        <v>2.0464E-2</v>
      </c>
    </row>
    <row r="610" spans="1:23" x14ac:dyDescent="0.35">
      <c r="A610" t="s">
        <v>0</v>
      </c>
      <c r="B610">
        <v>5750</v>
      </c>
      <c r="C610">
        <v>48</v>
      </c>
      <c r="D610">
        <v>32320</v>
      </c>
      <c r="E610">
        <v>0</v>
      </c>
      <c r="F610">
        <v>784738706096</v>
      </c>
      <c r="G610">
        <v>1076735366.79</v>
      </c>
      <c r="H610">
        <v>776746374411</v>
      </c>
      <c r="I610">
        <v>780590830928.78003</v>
      </c>
      <c r="J610">
        <v>0.100773</v>
      </c>
      <c r="K610">
        <v>4.5964999999999999E-2</v>
      </c>
      <c r="M610" t="s">
        <v>1</v>
      </c>
      <c r="N610">
        <v>3750</v>
      </c>
      <c r="O610">
        <v>48</v>
      </c>
      <c r="P610">
        <v>26077</v>
      </c>
      <c r="Q610">
        <v>0</v>
      </c>
      <c r="R610">
        <v>850470588918</v>
      </c>
      <c r="S610">
        <v>1608936347.99</v>
      </c>
      <c r="T610">
        <v>841623213732.18005</v>
      </c>
      <c r="U610">
        <v>847703979958.57996</v>
      </c>
      <c r="V610">
        <v>9.7485000000000002E-2</v>
      </c>
      <c r="W610">
        <v>1.6213000000000002E-2</v>
      </c>
    </row>
    <row r="611" spans="1:23" x14ac:dyDescent="0.35">
      <c r="A611" t="s">
        <v>0</v>
      </c>
      <c r="B611">
        <v>6250</v>
      </c>
      <c r="C611">
        <v>48</v>
      </c>
      <c r="D611">
        <v>5981</v>
      </c>
      <c r="E611">
        <v>0</v>
      </c>
      <c r="F611">
        <v>143897206953</v>
      </c>
      <c r="G611">
        <v>181452445.31999999</v>
      </c>
      <c r="H611">
        <v>141813729114</v>
      </c>
      <c r="I611">
        <v>142954208983.39999</v>
      </c>
      <c r="J611">
        <v>0.14757700000000001</v>
      </c>
      <c r="K611">
        <v>6.1691000000000003E-2</v>
      </c>
      <c r="M611" t="s">
        <v>0</v>
      </c>
      <c r="N611">
        <v>4750</v>
      </c>
      <c r="O611">
        <v>48</v>
      </c>
      <c r="P611">
        <v>36285</v>
      </c>
      <c r="Q611">
        <v>0</v>
      </c>
      <c r="R611">
        <v>912565723076</v>
      </c>
      <c r="S611">
        <v>1471854086.79</v>
      </c>
      <c r="T611">
        <v>905103698600.25</v>
      </c>
      <c r="U611">
        <v>909656431078.92004</v>
      </c>
      <c r="V611">
        <v>7.5986999999999999E-2</v>
      </c>
      <c r="W611">
        <v>1.8738999999999999E-2</v>
      </c>
    </row>
    <row r="612" spans="1:23" x14ac:dyDescent="0.35">
      <c r="A612" t="s">
        <v>1</v>
      </c>
      <c r="B612">
        <v>4250</v>
      </c>
      <c r="C612">
        <v>48</v>
      </c>
      <c r="D612">
        <v>17405</v>
      </c>
      <c r="E612">
        <v>0</v>
      </c>
      <c r="F612">
        <v>596021530707</v>
      </c>
      <c r="G612">
        <v>1042216139.53</v>
      </c>
      <c r="H612">
        <v>590777543601</v>
      </c>
      <c r="I612">
        <v>593860139203.19995</v>
      </c>
      <c r="J612">
        <v>8.1392000000000006E-2</v>
      </c>
      <c r="K612">
        <v>2.2301999999999999E-2</v>
      </c>
      <c r="M612" t="s">
        <v>0</v>
      </c>
      <c r="N612">
        <v>5250</v>
      </c>
      <c r="O612">
        <v>48</v>
      </c>
      <c r="P612">
        <v>37990</v>
      </c>
      <c r="Q612">
        <v>0</v>
      </c>
      <c r="R612">
        <v>916894317593</v>
      </c>
      <c r="S612">
        <v>1360508632.01</v>
      </c>
      <c r="T612">
        <v>908838832016.06995</v>
      </c>
      <c r="U612">
        <v>913422980958.94995</v>
      </c>
      <c r="V612">
        <v>8.4186999999999998E-2</v>
      </c>
      <c r="W612">
        <v>2.7279000000000001E-2</v>
      </c>
    </row>
    <row r="613" spans="1:23" x14ac:dyDescent="0.35">
      <c r="A613" t="s">
        <v>2</v>
      </c>
      <c r="B613">
        <v>4750</v>
      </c>
      <c r="C613">
        <v>48</v>
      </c>
      <c r="D613">
        <v>2723</v>
      </c>
      <c r="E613">
        <v>0</v>
      </c>
      <c r="F613">
        <v>45495825966</v>
      </c>
      <c r="G613">
        <v>73762340.75</v>
      </c>
      <c r="H613">
        <v>45151905767</v>
      </c>
      <c r="I613">
        <v>45369061948.889999</v>
      </c>
      <c r="J613">
        <v>6.8974999999999995E-2</v>
      </c>
      <c r="K613">
        <v>1.3891000000000001E-2</v>
      </c>
      <c r="M613" t="s">
        <v>2</v>
      </c>
      <c r="N613">
        <v>4250</v>
      </c>
      <c r="O613">
        <v>48</v>
      </c>
      <c r="P613">
        <v>2899</v>
      </c>
      <c r="Q613">
        <v>0</v>
      </c>
      <c r="R613">
        <v>47674655757</v>
      </c>
      <c r="S613">
        <v>83839609.870000005</v>
      </c>
      <c r="T613">
        <v>47408856950.040001</v>
      </c>
      <c r="U613">
        <v>47512672936.400002</v>
      </c>
      <c r="V613">
        <v>4.4851000000000002E-2</v>
      </c>
      <c r="W613">
        <v>1.9493E-2</v>
      </c>
    </row>
    <row r="614" spans="1:23" x14ac:dyDescent="0.35">
      <c r="A614" t="s">
        <v>2</v>
      </c>
      <c r="B614">
        <v>5250</v>
      </c>
      <c r="C614">
        <v>48</v>
      </c>
      <c r="D614">
        <v>3904</v>
      </c>
      <c r="E614">
        <v>0</v>
      </c>
      <c r="F614">
        <v>59476321733</v>
      </c>
      <c r="G614">
        <v>88707402.439999998</v>
      </c>
      <c r="H614">
        <v>58970447881</v>
      </c>
      <c r="I614">
        <v>59247712480.260002</v>
      </c>
      <c r="J614">
        <v>8.0995999999999999E-2</v>
      </c>
      <c r="K614">
        <v>2.7864E-2</v>
      </c>
      <c r="M614" t="s">
        <v>0</v>
      </c>
      <c r="N614">
        <v>5750</v>
      </c>
      <c r="O614">
        <v>48</v>
      </c>
      <c r="P614">
        <v>17726</v>
      </c>
      <c r="Q614">
        <v>0</v>
      </c>
      <c r="R614">
        <v>424689344609</v>
      </c>
      <c r="S614">
        <v>582121878.67999995</v>
      </c>
      <c r="T614">
        <v>421188536996.14001</v>
      </c>
      <c r="U614">
        <v>422894173614.85999</v>
      </c>
      <c r="V614">
        <v>7.9422999999999994E-2</v>
      </c>
      <c r="W614">
        <v>3.3742000000000001E-2</v>
      </c>
    </row>
    <row r="615" spans="1:23" x14ac:dyDescent="0.35">
      <c r="A615" t="s">
        <v>1</v>
      </c>
      <c r="B615">
        <v>6000</v>
      </c>
      <c r="C615">
        <v>48</v>
      </c>
      <c r="D615">
        <v>1598</v>
      </c>
      <c r="E615">
        <v>0</v>
      </c>
      <c r="F615">
        <v>42068824648</v>
      </c>
      <c r="G615">
        <v>55208085.539999999</v>
      </c>
      <c r="H615">
        <v>41015798640</v>
      </c>
      <c r="I615">
        <v>41858131241.449997</v>
      </c>
      <c r="J615">
        <v>0.25027899999999997</v>
      </c>
      <c r="K615">
        <v>4.3461E-2</v>
      </c>
      <c r="M615" t="s">
        <v>0</v>
      </c>
      <c r="N615">
        <v>6250</v>
      </c>
      <c r="O615">
        <v>48</v>
      </c>
      <c r="P615">
        <v>2743</v>
      </c>
      <c r="Q615">
        <v>0</v>
      </c>
      <c r="R615">
        <v>65236621348</v>
      </c>
      <c r="S615">
        <v>82064553.299999997</v>
      </c>
      <c r="T615">
        <v>64764524782.160004</v>
      </c>
      <c r="U615">
        <v>65008923650.110001</v>
      </c>
      <c r="V615">
        <v>6.9431999999999994E-2</v>
      </c>
      <c r="W615">
        <v>2.6461999999999999E-2</v>
      </c>
    </row>
    <row r="616" spans="1:23" x14ac:dyDescent="0.35">
      <c r="A616" t="s">
        <v>1</v>
      </c>
      <c r="B616">
        <v>5250</v>
      </c>
      <c r="C616">
        <v>48</v>
      </c>
      <c r="D616">
        <v>18344</v>
      </c>
      <c r="E616">
        <v>0</v>
      </c>
      <c r="F616">
        <v>611775386419</v>
      </c>
      <c r="G616">
        <v>909047515.03999996</v>
      </c>
      <c r="H616">
        <v>603319044630</v>
      </c>
      <c r="I616">
        <v>608660524690.06995</v>
      </c>
      <c r="J616">
        <v>0.13839699999999999</v>
      </c>
      <c r="K616">
        <v>4.2418999999999998E-2</v>
      </c>
      <c r="M616" t="s">
        <v>1</v>
      </c>
      <c r="N616">
        <v>4250</v>
      </c>
      <c r="O616">
        <v>48</v>
      </c>
      <c r="P616">
        <v>16662</v>
      </c>
      <c r="Q616">
        <v>0</v>
      </c>
      <c r="R616">
        <v>563765153159</v>
      </c>
      <c r="S616">
        <v>982525289.19000006</v>
      </c>
      <c r="T616">
        <v>557845476295.93005</v>
      </c>
      <c r="U616">
        <v>561843835521.17004</v>
      </c>
      <c r="V616">
        <v>0.100173</v>
      </c>
      <c r="W616">
        <v>1.9800999999999999E-2</v>
      </c>
    </row>
    <row r="617" spans="1:23" x14ac:dyDescent="0.35">
      <c r="A617" t="s">
        <v>0</v>
      </c>
      <c r="B617">
        <v>6000</v>
      </c>
      <c r="C617">
        <v>42</v>
      </c>
      <c r="D617">
        <v>21057</v>
      </c>
      <c r="E617">
        <v>0</v>
      </c>
      <c r="F617">
        <v>536650646004</v>
      </c>
      <c r="G617">
        <v>685301091.46000004</v>
      </c>
      <c r="H617">
        <v>529046903039</v>
      </c>
      <c r="I617">
        <v>534313124334.83002</v>
      </c>
      <c r="J617">
        <v>0.14419100000000001</v>
      </c>
      <c r="K617">
        <v>3.6325999999999997E-2</v>
      </c>
      <c r="M617" t="s">
        <v>2</v>
      </c>
      <c r="N617">
        <v>4750</v>
      </c>
      <c r="O617">
        <v>48</v>
      </c>
      <c r="P617">
        <v>2445</v>
      </c>
      <c r="Q617">
        <v>0</v>
      </c>
      <c r="R617">
        <v>39992248367</v>
      </c>
      <c r="S617">
        <v>64661603.229999997</v>
      </c>
      <c r="T617">
        <v>39557835457.029999</v>
      </c>
      <c r="U617">
        <v>39808937786.949997</v>
      </c>
      <c r="V617">
        <v>0.105475</v>
      </c>
      <c r="W617">
        <v>3.5026000000000002E-2</v>
      </c>
    </row>
    <row r="618" spans="1:23" x14ac:dyDescent="0.35">
      <c r="A618" t="s">
        <v>0</v>
      </c>
      <c r="B618">
        <v>7500</v>
      </c>
      <c r="C618">
        <v>42</v>
      </c>
      <c r="D618">
        <v>1408</v>
      </c>
      <c r="E618">
        <v>0</v>
      </c>
      <c r="F618">
        <v>31842738939</v>
      </c>
      <c r="G618">
        <v>31239243.129999999</v>
      </c>
      <c r="H618">
        <v>30722457527</v>
      </c>
      <c r="I618">
        <v>31507283914.990002</v>
      </c>
      <c r="J618">
        <v>0.341368</v>
      </c>
      <c r="K618">
        <v>0.108808</v>
      </c>
      <c r="M618" t="s">
        <v>2</v>
      </c>
      <c r="N618">
        <v>5250</v>
      </c>
      <c r="O618">
        <v>48</v>
      </c>
      <c r="P618">
        <v>3093</v>
      </c>
      <c r="Q618">
        <v>0</v>
      </c>
      <c r="R618">
        <v>45797539940</v>
      </c>
      <c r="S618">
        <v>68125207.569999993</v>
      </c>
      <c r="T618">
        <v>45431572142.400002</v>
      </c>
      <c r="U618">
        <v>45548803472.599998</v>
      </c>
      <c r="V618">
        <v>7.5310000000000002E-2</v>
      </c>
      <c r="W618">
        <v>4.6310999999999998E-2</v>
      </c>
    </row>
    <row r="619" spans="1:23" x14ac:dyDescent="0.35">
      <c r="A619" t="s">
        <v>0</v>
      </c>
      <c r="B619">
        <v>7000</v>
      </c>
      <c r="C619">
        <v>42</v>
      </c>
      <c r="D619">
        <v>6343</v>
      </c>
      <c r="E619">
        <v>0</v>
      </c>
      <c r="F619">
        <v>145744474627</v>
      </c>
      <c r="G619">
        <v>156824627.78999999</v>
      </c>
      <c r="H619">
        <v>142392805379</v>
      </c>
      <c r="I619">
        <v>144649213046.44</v>
      </c>
      <c r="J619">
        <v>0.233543</v>
      </c>
      <c r="K619">
        <v>7.4589000000000003E-2</v>
      </c>
      <c r="M619" t="s">
        <v>1</v>
      </c>
      <c r="N619">
        <v>6000</v>
      </c>
      <c r="O619">
        <v>48</v>
      </c>
      <c r="P619">
        <v>697</v>
      </c>
      <c r="Q619">
        <v>0</v>
      </c>
      <c r="R619">
        <v>17979560247</v>
      </c>
      <c r="S619">
        <v>23573577.739999998</v>
      </c>
      <c r="T619">
        <v>17345396371.84</v>
      </c>
      <c r="U619">
        <v>17847771149.98</v>
      </c>
      <c r="V619">
        <v>0.33939799999999998</v>
      </c>
      <c r="W619">
        <v>6.9882E-2</v>
      </c>
    </row>
    <row r="620" spans="1:23" x14ac:dyDescent="0.35">
      <c r="A620" t="s">
        <v>0</v>
      </c>
      <c r="B620">
        <v>6500</v>
      </c>
      <c r="C620">
        <v>42</v>
      </c>
      <c r="D620">
        <v>11714</v>
      </c>
      <c r="E620">
        <v>0</v>
      </c>
      <c r="F620">
        <v>285046813968</v>
      </c>
      <c r="G620">
        <v>333536987.63</v>
      </c>
      <c r="H620">
        <v>278267476860</v>
      </c>
      <c r="I620">
        <v>282811242835.65997</v>
      </c>
      <c r="J620">
        <v>0.24002699999999999</v>
      </c>
      <c r="K620">
        <v>7.7198000000000003E-2</v>
      </c>
      <c r="M620" t="s">
        <v>1</v>
      </c>
      <c r="N620">
        <v>5250</v>
      </c>
      <c r="O620">
        <v>48</v>
      </c>
      <c r="P620">
        <v>12980</v>
      </c>
      <c r="Q620">
        <v>0</v>
      </c>
      <c r="R620">
        <v>426199598381</v>
      </c>
      <c r="S620">
        <v>631537802.82000005</v>
      </c>
      <c r="T620">
        <v>420730740893.87</v>
      </c>
      <c r="U620">
        <v>424019493261.90002</v>
      </c>
      <c r="V620">
        <v>0.12801000000000001</v>
      </c>
      <c r="W620">
        <v>4.274E-2</v>
      </c>
    </row>
    <row r="621" spans="1:23" x14ac:dyDescent="0.35">
      <c r="A621" t="s">
        <v>0</v>
      </c>
      <c r="B621">
        <v>6500</v>
      </c>
      <c r="C621">
        <v>48</v>
      </c>
      <c r="D621">
        <v>902</v>
      </c>
      <c r="E621">
        <v>0</v>
      </c>
      <c r="F621">
        <v>20681991518</v>
      </c>
      <c r="G621">
        <v>24952684.280000001</v>
      </c>
      <c r="H621">
        <v>20331874488</v>
      </c>
      <c r="I621">
        <v>20500132829.169998</v>
      </c>
      <c r="J621">
        <v>0.173177</v>
      </c>
      <c r="K621">
        <v>8.7334999999999996E-2</v>
      </c>
      <c r="M621" t="s">
        <v>0</v>
      </c>
      <c r="N621">
        <v>6000</v>
      </c>
      <c r="O621">
        <v>42</v>
      </c>
      <c r="P621">
        <v>20549</v>
      </c>
      <c r="Q621">
        <v>0</v>
      </c>
      <c r="R621">
        <v>519422040583</v>
      </c>
      <c r="S621">
        <v>662527942.67999995</v>
      </c>
      <c r="T621">
        <v>513393665476.78998</v>
      </c>
      <c r="U621">
        <v>517499034551.60999</v>
      </c>
      <c r="V621">
        <v>0.117159</v>
      </c>
      <c r="W621">
        <v>2.8735E-2</v>
      </c>
    </row>
    <row r="622" spans="1:23" x14ac:dyDescent="0.35">
      <c r="A622" t="s">
        <v>2</v>
      </c>
      <c r="B622">
        <v>6500</v>
      </c>
      <c r="C622">
        <v>48</v>
      </c>
      <c r="D622">
        <v>29</v>
      </c>
      <c r="E622">
        <v>0</v>
      </c>
      <c r="F622">
        <v>423023125</v>
      </c>
      <c r="G622">
        <v>514099.47</v>
      </c>
      <c r="H622">
        <v>422437229</v>
      </c>
      <c r="I622">
        <v>422437229</v>
      </c>
      <c r="J622">
        <v>2.0349999999999999E-3</v>
      </c>
      <c r="K622">
        <v>2.0349999999999999E-3</v>
      </c>
      <c r="M622" t="s">
        <v>0</v>
      </c>
      <c r="N622">
        <v>7500</v>
      </c>
      <c r="O622">
        <v>42</v>
      </c>
      <c r="P622">
        <v>1171</v>
      </c>
      <c r="Q622">
        <v>0</v>
      </c>
      <c r="R622">
        <v>26789510016</v>
      </c>
      <c r="S622">
        <v>26154194.739999998</v>
      </c>
      <c r="T622">
        <v>26082516535.16</v>
      </c>
      <c r="U622">
        <v>26560046949.900002</v>
      </c>
      <c r="V622">
        <v>0.26575700000000002</v>
      </c>
      <c r="W622">
        <v>8.7362999999999996E-2</v>
      </c>
    </row>
    <row r="623" spans="1:23" x14ac:dyDescent="0.35">
      <c r="A623" t="s">
        <v>1</v>
      </c>
      <c r="B623">
        <v>6500</v>
      </c>
      <c r="C623">
        <v>48</v>
      </c>
      <c r="D623">
        <v>78</v>
      </c>
      <c r="E623">
        <v>0</v>
      </c>
      <c r="F623">
        <v>1868282641</v>
      </c>
      <c r="G623">
        <v>2249482.2599999998</v>
      </c>
      <c r="H623">
        <v>1776791252</v>
      </c>
      <c r="I623">
        <v>1832790516.8299999</v>
      </c>
      <c r="J623">
        <v>0.44419799999999998</v>
      </c>
      <c r="K623">
        <v>0.19381399999999999</v>
      </c>
      <c r="M623" t="s">
        <v>0</v>
      </c>
      <c r="N623">
        <v>7000</v>
      </c>
      <c r="O623">
        <v>42</v>
      </c>
      <c r="P623">
        <v>5698</v>
      </c>
      <c r="Q623">
        <v>0</v>
      </c>
      <c r="R623">
        <v>132377271318</v>
      </c>
      <c r="S623">
        <v>141786115.46000001</v>
      </c>
      <c r="T623">
        <v>129321199058.10001</v>
      </c>
      <c r="U623">
        <v>131427061206.35001</v>
      </c>
      <c r="V623">
        <v>0.234428</v>
      </c>
      <c r="W623">
        <v>7.0872000000000004E-2</v>
      </c>
    </row>
    <row r="624" spans="1:23" x14ac:dyDescent="0.35">
      <c r="A624" t="s">
        <v>2</v>
      </c>
      <c r="B624">
        <v>5500</v>
      </c>
      <c r="C624">
        <v>42</v>
      </c>
      <c r="D624">
        <v>1459</v>
      </c>
      <c r="E624">
        <v>0</v>
      </c>
      <c r="F624">
        <v>26209564943</v>
      </c>
      <c r="G624">
        <v>36519547.920000002</v>
      </c>
      <c r="H624">
        <v>25901443842</v>
      </c>
      <c r="I624">
        <v>26086486343.619999</v>
      </c>
      <c r="J624">
        <v>0.117504</v>
      </c>
      <c r="K624">
        <v>3.8919000000000002E-2</v>
      </c>
      <c r="M624" t="s">
        <v>0</v>
      </c>
      <c r="N624">
        <v>6500</v>
      </c>
      <c r="O624">
        <v>42</v>
      </c>
      <c r="P624">
        <v>10453</v>
      </c>
      <c r="Q624">
        <v>0</v>
      </c>
      <c r="R624">
        <v>259072145675</v>
      </c>
      <c r="S624">
        <v>302243707.79000002</v>
      </c>
      <c r="T624">
        <v>255053374741.62</v>
      </c>
      <c r="U624">
        <v>258096021245.35999</v>
      </c>
      <c r="V624">
        <v>0.159193</v>
      </c>
      <c r="W624">
        <v>3.0771E-2</v>
      </c>
    </row>
    <row r="625" spans="1:23" x14ac:dyDescent="0.35">
      <c r="A625" t="s">
        <v>0</v>
      </c>
      <c r="B625">
        <v>5500</v>
      </c>
      <c r="C625">
        <v>42</v>
      </c>
      <c r="D625">
        <v>20365</v>
      </c>
      <c r="E625">
        <v>0</v>
      </c>
      <c r="F625">
        <v>525288408764</v>
      </c>
      <c r="G625">
        <v>729330808.08000004</v>
      </c>
      <c r="H625">
        <v>519571297506</v>
      </c>
      <c r="I625">
        <v>523063037313.17999</v>
      </c>
      <c r="J625">
        <v>0.108178</v>
      </c>
      <c r="K625">
        <v>3.3646000000000002E-2</v>
      </c>
      <c r="M625" t="s">
        <v>0</v>
      </c>
      <c r="N625">
        <v>6500</v>
      </c>
      <c r="O625">
        <v>48</v>
      </c>
      <c r="P625">
        <v>353</v>
      </c>
      <c r="Q625">
        <v>0</v>
      </c>
      <c r="R625">
        <v>7857583033</v>
      </c>
      <c r="S625">
        <v>9455854.1500000004</v>
      </c>
      <c r="T625">
        <v>7832296693.4399996</v>
      </c>
      <c r="U625">
        <v>7848127178.8500004</v>
      </c>
      <c r="V625">
        <v>2.3910000000000001E-2</v>
      </c>
      <c r="W625">
        <v>0</v>
      </c>
    </row>
    <row r="626" spans="1:23" x14ac:dyDescent="0.35">
      <c r="A626" t="s">
        <v>2</v>
      </c>
      <c r="B626">
        <v>6000</v>
      </c>
      <c r="C626">
        <v>42</v>
      </c>
      <c r="D626">
        <v>1175</v>
      </c>
      <c r="E626">
        <v>0</v>
      </c>
      <c r="F626">
        <v>20331506067</v>
      </c>
      <c r="G626">
        <v>25947938.140000001</v>
      </c>
      <c r="H626">
        <v>20123660860</v>
      </c>
      <c r="I626">
        <v>20277988995.25</v>
      </c>
      <c r="J626">
        <v>0.102231</v>
      </c>
      <c r="K626">
        <v>1.6150999999999999E-2</v>
      </c>
      <c r="M626" t="s">
        <v>2</v>
      </c>
      <c r="N626">
        <v>6500</v>
      </c>
      <c r="O626">
        <v>48</v>
      </c>
      <c r="P626">
        <v>9</v>
      </c>
      <c r="Q626">
        <v>0</v>
      </c>
      <c r="R626">
        <v>94840125</v>
      </c>
      <c r="S626">
        <v>118386.12</v>
      </c>
      <c r="T626">
        <v>94721738.879999995</v>
      </c>
      <c r="U626">
        <v>94721738.879999995</v>
      </c>
      <c r="V626">
        <v>0</v>
      </c>
      <c r="W626">
        <v>0</v>
      </c>
    </row>
    <row r="627" spans="1:23" x14ac:dyDescent="0.35">
      <c r="A627" t="s">
        <v>1</v>
      </c>
      <c r="B627">
        <v>6000</v>
      </c>
      <c r="C627">
        <v>42</v>
      </c>
      <c r="D627">
        <v>9526</v>
      </c>
      <c r="E627">
        <v>0</v>
      </c>
      <c r="F627">
        <v>297008978325</v>
      </c>
      <c r="G627">
        <v>379063072.11000001</v>
      </c>
      <c r="H627">
        <v>288737601158</v>
      </c>
      <c r="I627">
        <v>295214894085.69</v>
      </c>
      <c r="J627">
        <v>0.27616000000000002</v>
      </c>
      <c r="K627">
        <v>5.5696000000000002E-2</v>
      </c>
      <c r="M627" t="s">
        <v>2</v>
      </c>
      <c r="N627">
        <v>5500</v>
      </c>
      <c r="O627">
        <v>42</v>
      </c>
      <c r="P627">
        <v>1825</v>
      </c>
      <c r="Q627">
        <v>0</v>
      </c>
      <c r="R627">
        <v>32001041433</v>
      </c>
      <c r="S627">
        <v>44535695.07</v>
      </c>
      <c r="T627">
        <v>31718087668.950001</v>
      </c>
      <c r="U627">
        <v>31911665925.18</v>
      </c>
      <c r="V627">
        <v>8.5830000000000004E-2</v>
      </c>
      <c r="W627">
        <v>1.6684999999999998E-2</v>
      </c>
    </row>
    <row r="628" spans="1:23" x14ac:dyDescent="0.35">
      <c r="A628" t="s">
        <v>2</v>
      </c>
      <c r="B628">
        <v>6500</v>
      </c>
      <c r="C628">
        <v>42</v>
      </c>
      <c r="D628">
        <v>810</v>
      </c>
      <c r="E628">
        <v>0</v>
      </c>
      <c r="F628">
        <v>13122579204</v>
      </c>
      <c r="G628">
        <v>15313191.890000001</v>
      </c>
      <c r="H628">
        <v>12993755923</v>
      </c>
      <c r="I628">
        <v>13008085039.620001</v>
      </c>
      <c r="J628">
        <v>9.9001000000000006E-2</v>
      </c>
      <c r="K628">
        <v>8.702E-2</v>
      </c>
      <c r="M628" t="s">
        <v>1</v>
      </c>
      <c r="N628">
        <v>5500</v>
      </c>
      <c r="O628">
        <v>42</v>
      </c>
      <c r="P628">
        <v>12502</v>
      </c>
      <c r="Q628">
        <v>0</v>
      </c>
      <c r="R628">
        <v>417638426437</v>
      </c>
      <c r="S628">
        <v>580834517.41999996</v>
      </c>
      <c r="T628">
        <v>411993846124.56</v>
      </c>
      <c r="U628">
        <v>415695455346.77002</v>
      </c>
      <c r="V628">
        <v>0.13617599999999999</v>
      </c>
      <c r="W628">
        <v>3.8443999999999999E-2</v>
      </c>
    </row>
    <row r="629" spans="1:23" x14ac:dyDescent="0.35">
      <c r="A629" t="s">
        <v>1</v>
      </c>
      <c r="B629">
        <v>5500</v>
      </c>
      <c r="C629">
        <v>42</v>
      </c>
      <c r="D629">
        <v>11071</v>
      </c>
      <c r="E629">
        <v>0</v>
      </c>
      <c r="F629">
        <v>379711415398</v>
      </c>
      <c r="G629">
        <v>527254647.86000001</v>
      </c>
      <c r="H629">
        <v>373402583700</v>
      </c>
      <c r="I629">
        <v>378164054262.15002</v>
      </c>
      <c r="J629">
        <v>0.16816400000000001</v>
      </c>
      <c r="K629">
        <v>3.1766000000000003E-2</v>
      </c>
      <c r="M629" t="s">
        <v>0</v>
      </c>
      <c r="N629">
        <v>5500</v>
      </c>
      <c r="O629">
        <v>42</v>
      </c>
      <c r="P629">
        <v>24011</v>
      </c>
      <c r="Q629">
        <v>0</v>
      </c>
      <c r="R629">
        <v>607679322385</v>
      </c>
      <c r="S629">
        <v>844217114.60000002</v>
      </c>
      <c r="T629">
        <v>602246521641.90002</v>
      </c>
      <c r="U629">
        <v>605618097922.72998</v>
      </c>
      <c r="V629">
        <v>8.6942000000000005E-2</v>
      </c>
      <c r="W629">
        <v>2.3769999999999999E-2</v>
      </c>
    </row>
    <row r="630" spans="1:23" x14ac:dyDescent="0.35">
      <c r="A630" t="s">
        <v>1</v>
      </c>
      <c r="B630">
        <v>6500</v>
      </c>
      <c r="C630">
        <v>42</v>
      </c>
      <c r="D630">
        <v>3492</v>
      </c>
      <c r="E630">
        <v>0</v>
      </c>
      <c r="F630">
        <v>99907690078</v>
      </c>
      <c r="G630">
        <v>116851801.3</v>
      </c>
      <c r="H630">
        <v>96089541927</v>
      </c>
      <c r="I630">
        <v>99268111233.570007</v>
      </c>
      <c r="J630">
        <v>0.364288</v>
      </c>
      <c r="K630">
        <v>6.1010000000000002E-2</v>
      </c>
      <c r="M630" t="s">
        <v>2</v>
      </c>
      <c r="N630">
        <v>6000</v>
      </c>
      <c r="O630">
        <v>42</v>
      </c>
      <c r="P630">
        <v>1153</v>
      </c>
      <c r="Q630">
        <v>0</v>
      </c>
      <c r="R630">
        <v>19341107390</v>
      </c>
      <c r="S630">
        <v>24682330.550000001</v>
      </c>
      <c r="T630">
        <v>19139498965.68</v>
      </c>
      <c r="U630">
        <v>19270243040.18</v>
      </c>
      <c r="V630">
        <v>0.10441400000000001</v>
      </c>
      <c r="W630">
        <v>2.828E-2</v>
      </c>
    </row>
    <row r="631" spans="1:23" x14ac:dyDescent="0.35">
      <c r="A631" t="s">
        <v>2</v>
      </c>
      <c r="B631">
        <v>7000</v>
      </c>
      <c r="C631">
        <v>42</v>
      </c>
      <c r="D631">
        <v>424</v>
      </c>
      <c r="E631">
        <v>0</v>
      </c>
      <c r="F631">
        <v>6237671956</v>
      </c>
      <c r="G631">
        <v>6702034.1200000001</v>
      </c>
      <c r="H631">
        <v>6082863146</v>
      </c>
      <c r="I631">
        <v>6213656433.1599998</v>
      </c>
      <c r="J631">
        <v>0.25051099999999998</v>
      </c>
      <c r="K631">
        <v>3.2804E-2</v>
      </c>
      <c r="M631" t="s">
        <v>1</v>
      </c>
      <c r="N631">
        <v>6500</v>
      </c>
      <c r="O631">
        <v>48</v>
      </c>
      <c r="P631">
        <v>32</v>
      </c>
      <c r="Q631">
        <v>0</v>
      </c>
      <c r="R631">
        <v>752899458</v>
      </c>
      <c r="S631">
        <v>903673.36</v>
      </c>
      <c r="T631">
        <v>718088303.02999997</v>
      </c>
      <c r="U631">
        <v>751995784.63999999</v>
      </c>
      <c r="V631">
        <v>0.42476599999999998</v>
      </c>
      <c r="W631">
        <v>0</v>
      </c>
    </row>
    <row r="632" spans="1:23" x14ac:dyDescent="0.35">
      <c r="A632" t="s">
        <v>0</v>
      </c>
      <c r="B632">
        <v>7000</v>
      </c>
      <c r="C632">
        <v>48</v>
      </c>
      <c r="D632">
        <v>153</v>
      </c>
      <c r="E632">
        <v>0</v>
      </c>
      <c r="F632">
        <v>3385674268</v>
      </c>
      <c r="G632">
        <v>3752213.3</v>
      </c>
      <c r="H632">
        <v>3345396436</v>
      </c>
      <c r="I632">
        <v>3363119934.3400002</v>
      </c>
      <c r="J632">
        <v>0.122048</v>
      </c>
      <c r="K632">
        <v>6.4643000000000006E-2</v>
      </c>
      <c r="M632" t="s">
        <v>1</v>
      </c>
      <c r="N632">
        <v>6000</v>
      </c>
      <c r="O632">
        <v>42</v>
      </c>
      <c r="P632">
        <v>9299</v>
      </c>
      <c r="Q632">
        <v>0</v>
      </c>
      <c r="R632">
        <v>285096593488</v>
      </c>
      <c r="S632">
        <v>363224677.22000003</v>
      </c>
      <c r="T632">
        <v>275952971572.5</v>
      </c>
      <c r="U632">
        <v>283980384098.71997</v>
      </c>
      <c r="V632">
        <v>0.31297599999999998</v>
      </c>
      <c r="W632">
        <v>3.1237999999999998E-2</v>
      </c>
    </row>
    <row r="633" spans="1:23" x14ac:dyDescent="0.35">
      <c r="A633" t="s">
        <v>2</v>
      </c>
      <c r="B633">
        <v>5750</v>
      </c>
      <c r="C633">
        <v>48</v>
      </c>
      <c r="D633">
        <v>2137</v>
      </c>
      <c r="E633">
        <v>0</v>
      </c>
      <c r="F633">
        <v>33012054597</v>
      </c>
      <c r="G633">
        <v>45319121.649999999</v>
      </c>
      <c r="H633">
        <v>32660651773</v>
      </c>
      <c r="I633">
        <v>32847123296.099998</v>
      </c>
      <c r="J633">
        <v>0.10576000000000001</v>
      </c>
      <c r="K633">
        <v>4.2623000000000001E-2</v>
      </c>
      <c r="M633" t="s">
        <v>2</v>
      </c>
      <c r="N633">
        <v>6500</v>
      </c>
      <c r="O633">
        <v>42</v>
      </c>
      <c r="P633">
        <v>664</v>
      </c>
      <c r="Q633">
        <v>0</v>
      </c>
      <c r="R633">
        <v>11012015764</v>
      </c>
      <c r="S633">
        <v>12809168.029999999</v>
      </c>
      <c r="T633">
        <v>10904927879.32</v>
      </c>
      <c r="U633">
        <v>10966211528.809999</v>
      </c>
      <c r="V633">
        <v>9.8034999999999997E-2</v>
      </c>
      <c r="W633">
        <v>3.5368999999999998E-2</v>
      </c>
    </row>
    <row r="634" spans="1:23" x14ac:dyDescent="0.35">
      <c r="A634" t="s">
        <v>1</v>
      </c>
      <c r="B634">
        <v>4750</v>
      </c>
      <c r="C634">
        <v>48</v>
      </c>
      <c r="D634">
        <v>23264</v>
      </c>
      <c r="E634">
        <v>0</v>
      </c>
      <c r="F634">
        <v>823872010636</v>
      </c>
      <c r="G634">
        <v>1327921293.95</v>
      </c>
      <c r="H634">
        <v>813066244154</v>
      </c>
      <c r="I634">
        <v>820189581514.66003</v>
      </c>
      <c r="J634">
        <v>0.12964000000000001</v>
      </c>
      <c r="K634">
        <v>3.3759999999999998E-2</v>
      </c>
      <c r="M634" t="s">
        <v>1</v>
      </c>
      <c r="N634">
        <v>6500</v>
      </c>
      <c r="O634">
        <v>42</v>
      </c>
      <c r="P634">
        <v>3042</v>
      </c>
      <c r="Q634">
        <v>0</v>
      </c>
      <c r="R634">
        <v>88779927062</v>
      </c>
      <c r="S634">
        <v>103354391.76000001</v>
      </c>
      <c r="T634">
        <v>84614320120</v>
      </c>
      <c r="U634">
        <v>88350663481.619995</v>
      </c>
      <c r="V634">
        <v>0.42995299999999997</v>
      </c>
      <c r="W634">
        <v>4.3173000000000003E-2</v>
      </c>
    </row>
    <row r="635" spans="1:23" x14ac:dyDescent="0.35">
      <c r="A635" t="s">
        <v>2</v>
      </c>
      <c r="B635">
        <v>5250</v>
      </c>
      <c r="C635">
        <v>42</v>
      </c>
      <c r="D635">
        <v>1977</v>
      </c>
      <c r="E635">
        <v>0</v>
      </c>
      <c r="F635">
        <v>35476351931</v>
      </c>
      <c r="G635">
        <v>51764673.649999999</v>
      </c>
      <c r="H635">
        <v>35222778975</v>
      </c>
      <c r="I635">
        <v>35377825463.419998</v>
      </c>
      <c r="J635">
        <v>6.6167000000000004E-2</v>
      </c>
      <c r="K635">
        <v>1.5703000000000002E-2</v>
      </c>
      <c r="M635" t="s">
        <v>2</v>
      </c>
      <c r="N635">
        <v>7000</v>
      </c>
      <c r="O635">
        <v>42</v>
      </c>
      <c r="P635">
        <v>386</v>
      </c>
      <c r="Q635">
        <v>0</v>
      </c>
      <c r="R635">
        <v>5695805465</v>
      </c>
      <c r="S635">
        <v>6086508.21</v>
      </c>
      <c r="T635">
        <v>5566914142.6700001</v>
      </c>
      <c r="U635">
        <v>5639673394.3699999</v>
      </c>
      <c r="V635">
        <v>0.23014799999999999</v>
      </c>
      <c r="W635">
        <v>0.10048799999999999</v>
      </c>
    </row>
    <row r="636" spans="1:23" x14ac:dyDescent="0.35">
      <c r="A636" t="s">
        <v>0</v>
      </c>
      <c r="B636">
        <v>4750</v>
      </c>
      <c r="C636">
        <v>42</v>
      </c>
      <c r="D636">
        <v>21610</v>
      </c>
      <c r="E636">
        <v>0</v>
      </c>
      <c r="F636">
        <v>640376539836</v>
      </c>
      <c r="G636">
        <v>1009379745.84</v>
      </c>
      <c r="H636">
        <v>635443001807</v>
      </c>
      <c r="I636">
        <v>638239291778.28003</v>
      </c>
      <c r="J636">
        <v>7.1106000000000003E-2</v>
      </c>
      <c r="K636">
        <v>2.0931999999999999E-2</v>
      </c>
      <c r="M636" t="s">
        <v>0</v>
      </c>
      <c r="N636">
        <v>7000</v>
      </c>
      <c r="O636">
        <v>48</v>
      </c>
      <c r="P636">
        <v>37</v>
      </c>
      <c r="Q636">
        <v>0</v>
      </c>
      <c r="R636">
        <v>996073151</v>
      </c>
      <c r="S636">
        <v>1099144.48</v>
      </c>
      <c r="T636">
        <v>994974006.51999998</v>
      </c>
      <c r="U636">
        <v>994974006.51999998</v>
      </c>
      <c r="V636">
        <v>0</v>
      </c>
      <c r="W636">
        <v>0</v>
      </c>
    </row>
    <row r="637" spans="1:23" x14ac:dyDescent="0.35">
      <c r="A637" t="s">
        <v>3</v>
      </c>
      <c r="B637">
        <v>5000</v>
      </c>
      <c r="C637">
        <v>42</v>
      </c>
      <c r="D637">
        <v>21</v>
      </c>
      <c r="E637">
        <v>0</v>
      </c>
      <c r="F637">
        <v>547674709</v>
      </c>
      <c r="G637">
        <v>833300.23</v>
      </c>
      <c r="H637">
        <v>546770893</v>
      </c>
      <c r="I637">
        <v>546770893</v>
      </c>
      <c r="J637">
        <v>1.544E-3</v>
      </c>
      <c r="K637">
        <v>1.544E-3</v>
      </c>
      <c r="M637" t="s">
        <v>2</v>
      </c>
      <c r="N637">
        <v>5750</v>
      </c>
      <c r="O637">
        <v>48</v>
      </c>
      <c r="P637">
        <v>972</v>
      </c>
      <c r="Q637">
        <v>0</v>
      </c>
      <c r="R637">
        <v>14519473364</v>
      </c>
      <c r="S637">
        <v>19929167.850000001</v>
      </c>
      <c r="T637">
        <v>14331500247.290001</v>
      </c>
      <c r="U637">
        <v>14421190657.27</v>
      </c>
      <c r="V637">
        <v>0.13037599999999999</v>
      </c>
      <c r="W637">
        <v>6.2868999999999994E-2</v>
      </c>
    </row>
    <row r="638" spans="1:23" x14ac:dyDescent="0.35">
      <c r="A638" t="s">
        <v>1</v>
      </c>
      <c r="B638">
        <v>4500</v>
      </c>
      <c r="C638">
        <v>42</v>
      </c>
      <c r="D638">
        <v>7567</v>
      </c>
      <c r="E638">
        <v>0</v>
      </c>
      <c r="F638">
        <v>287065690111</v>
      </c>
      <c r="G638">
        <v>471157559.19999999</v>
      </c>
      <c r="H638">
        <v>283417310770</v>
      </c>
      <c r="I638">
        <v>286047757759.84003</v>
      </c>
      <c r="J638">
        <v>0.12502099999999999</v>
      </c>
      <c r="K638">
        <v>2.2619E-2</v>
      </c>
      <c r="M638" t="s">
        <v>0</v>
      </c>
      <c r="N638">
        <v>5250</v>
      </c>
      <c r="O638">
        <v>42</v>
      </c>
      <c r="P638">
        <v>40899</v>
      </c>
      <c r="Q638">
        <v>0</v>
      </c>
      <c r="R638">
        <v>1097755460406</v>
      </c>
      <c r="S638">
        <v>1595474309.9200001</v>
      </c>
      <c r="T638">
        <v>1088393556409.88</v>
      </c>
      <c r="U638">
        <v>1094078286121.42</v>
      </c>
      <c r="V638">
        <v>8.1670999999999994E-2</v>
      </c>
      <c r="W638">
        <v>2.2519999999999998E-2</v>
      </c>
    </row>
    <row r="639" spans="1:23" x14ac:dyDescent="0.35">
      <c r="A639" t="s">
        <v>2</v>
      </c>
      <c r="B639">
        <v>4500</v>
      </c>
      <c r="C639">
        <v>42</v>
      </c>
      <c r="D639">
        <v>426</v>
      </c>
      <c r="E639">
        <v>0</v>
      </c>
      <c r="F639">
        <v>9462533806</v>
      </c>
      <c r="G639">
        <v>15584537.9</v>
      </c>
      <c r="H639">
        <v>9446455234</v>
      </c>
      <c r="I639">
        <v>9446455234</v>
      </c>
      <c r="J639">
        <v>6.2600000000000004E-4</v>
      </c>
      <c r="K639">
        <v>6.2600000000000004E-4</v>
      </c>
      <c r="M639" t="s">
        <v>0</v>
      </c>
      <c r="N639">
        <v>5750</v>
      </c>
      <c r="O639">
        <v>42</v>
      </c>
      <c r="P639">
        <v>55943</v>
      </c>
      <c r="Q639">
        <v>0</v>
      </c>
      <c r="R639">
        <v>1408229389248</v>
      </c>
      <c r="S639">
        <v>1888165518.0799999</v>
      </c>
      <c r="T639">
        <v>1395884062984.45</v>
      </c>
      <c r="U639">
        <v>1403793561325.27</v>
      </c>
      <c r="V639">
        <v>8.5557999999999995E-2</v>
      </c>
      <c r="W639">
        <v>2.1495E-2</v>
      </c>
    </row>
    <row r="640" spans="1:23" x14ac:dyDescent="0.35">
      <c r="A640" t="s">
        <v>2</v>
      </c>
      <c r="B640">
        <v>4750</v>
      </c>
      <c r="C640">
        <v>42</v>
      </c>
      <c r="D640">
        <v>1063</v>
      </c>
      <c r="E640">
        <v>0</v>
      </c>
      <c r="F640">
        <v>21756875384</v>
      </c>
      <c r="G640">
        <v>34401891.579999998</v>
      </c>
      <c r="H640">
        <v>21613611180</v>
      </c>
      <c r="I640">
        <v>21719926167.919998</v>
      </c>
      <c r="J640">
        <v>5.8417999999999998E-2</v>
      </c>
      <c r="K640">
        <v>1.4040000000000001E-3</v>
      </c>
      <c r="M640" t="s">
        <v>0</v>
      </c>
      <c r="N640">
        <v>6250</v>
      </c>
      <c r="O640">
        <v>42</v>
      </c>
      <c r="P640">
        <v>32695</v>
      </c>
      <c r="Q640">
        <v>0</v>
      </c>
      <c r="R640">
        <v>823749635326</v>
      </c>
      <c r="S640">
        <v>1008516618.24</v>
      </c>
      <c r="T640">
        <v>811087987729.91003</v>
      </c>
      <c r="U640">
        <v>819729778387.19995</v>
      </c>
      <c r="V640">
        <v>0.15715299999999999</v>
      </c>
      <c r="W640">
        <v>4.2995999999999999E-2</v>
      </c>
    </row>
    <row r="641" spans="1:23" x14ac:dyDescent="0.35">
      <c r="A641" t="s">
        <v>1</v>
      </c>
      <c r="B641">
        <v>4750</v>
      </c>
      <c r="C641">
        <v>42</v>
      </c>
      <c r="D641">
        <v>17045</v>
      </c>
      <c r="E641">
        <v>0</v>
      </c>
      <c r="F641">
        <v>621940953472</v>
      </c>
      <c r="G641">
        <v>981440091.73000002</v>
      </c>
      <c r="H641">
        <v>614426887780</v>
      </c>
      <c r="I641">
        <v>619410499970.14001</v>
      </c>
      <c r="J641">
        <v>0.11901100000000001</v>
      </c>
      <c r="K641">
        <v>2.9481E-2</v>
      </c>
      <c r="M641" t="s">
        <v>0</v>
      </c>
      <c r="N641">
        <v>4000</v>
      </c>
      <c r="O641">
        <v>42</v>
      </c>
      <c r="P641">
        <v>3304</v>
      </c>
      <c r="Q641">
        <v>0</v>
      </c>
      <c r="R641">
        <v>100679623131</v>
      </c>
      <c r="S641">
        <v>177669785.25999999</v>
      </c>
      <c r="T641">
        <v>100073139291.23</v>
      </c>
      <c r="U641">
        <v>100430828494.75</v>
      </c>
      <c r="V641">
        <v>4.9930000000000002E-2</v>
      </c>
      <c r="W641">
        <v>8.4449999999999994E-3</v>
      </c>
    </row>
    <row r="642" spans="1:23" x14ac:dyDescent="0.35">
      <c r="A642" t="s">
        <v>0</v>
      </c>
      <c r="B642">
        <v>5250</v>
      </c>
      <c r="C642">
        <v>42</v>
      </c>
      <c r="D642">
        <v>31672</v>
      </c>
      <c r="E642">
        <v>0</v>
      </c>
      <c r="F642">
        <v>851878591994</v>
      </c>
      <c r="G642">
        <v>1239960572.9200001</v>
      </c>
      <c r="H642">
        <v>844641922656</v>
      </c>
      <c r="I642">
        <v>848845409988.44995</v>
      </c>
      <c r="J642">
        <v>8.1278000000000003E-2</v>
      </c>
      <c r="K642">
        <v>2.4969999999999999E-2</v>
      </c>
      <c r="M642" t="s">
        <v>1</v>
      </c>
      <c r="N642">
        <v>4500</v>
      </c>
      <c r="O642">
        <v>42</v>
      </c>
      <c r="P642">
        <v>10107</v>
      </c>
      <c r="Q642">
        <v>0</v>
      </c>
      <c r="R642">
        <v>384015569162</v>
      </c>
      <c r="S642">
        <v>628838871.12</v>
      </c>
      <c r="T642">
        <v>379743753390.64001</v>
      </c>
      <c r="U642">
        <v>382387062668.97998</v>
      </c>
      <c r="V642">
        <v>0.108083</v>
      </c>
      <c r="W642">
        <v>3.0794999999999999E-2</v>
      </c>
    </row>
    <row r="643" spans="1:23" x14ac:dyDescent="0.35">
      <c r="A643" t="s">
        <v>0</v>
      </c>
      <c r="B643">
        <v>5750</v>
      </c>
      <c r="C643">
        <v>42</v>
      </c>
      <c r="D643">
        <v>45546</v>
      </c>
      <c r="E643">
        <v>0</v>
      </c>
      <c r="F643">
        <v>1168030793554</v>
      </c>
      <c r="G643">
        <v>1565185832.8499999</v>
      </c>
      <c r="H643">
        <v>1155715908763</v>
      </c>
      <c r="I643">
        <v>1162798544983.71</v>
      </c>
      <c r="J643">
        <v>0.105017</v>
      </c>
      <c r="K643">
        <v>3.7031000000000001E-2</v>
      </c>
      <c r="M643" t="s">
        <v>0</v>
      </c>
      <c r="N643">
        <v>4750</v>
      </c>
      <c r="O643">
        <v>42</v>
      </c>
      <c r="P643">
        <v>27027</v>
      </c>
      <c r="Q643">
        <v>0</v>
      </c>
      <c r="R643">
        <v>795906615843</v>
      </c>
      <c r="S643">
        <v>1251612942.8199999</v>
      </c>
      <c r="T643">
        <v>790878311091.42004</v>
      </c>
      <c r="U643">
        <v>793985359707.33997</v>
      </c>
      <c r="V643">
        <v>5.5479000000000001E-2</v>
      </c>
      <c r="W643">
        <v>1.005E-2</v>
      </c>
    </row>
    <row r="644" spans="1:23" x14ac:dyDescent="0.35">
      <c r="A644" t="s">
        <v>0</v>
      </c>
      <c r="B644">
        <v>6250</v>
      </c>
      <c r="C644">
        <v>42</v>
      </c>
      <c r="D644">
        <v>35522</v>
      </c>
      <c r="E644">
        <v>0</v>
      </c>
      <c r="F644">
        <v>901699670181</v>
      </c>
      <c r="G644">
        <v>1104869219.6900001</v>
      </c>
      <c r="H644">
        <v>885104508656</v>
      </c>
      <c r="I644">
        <v>896284725931.02002</v>
      </c>
      <c r="J644">
        <v>0.18774399999999999</v>
      </c>
      <c r="K644">
        <v>5.5875000000000001E-2</v>
      </c>
      <c r="M644" t="s">
        <v>1</v>
      </c>
      <c r="N644">
        <v>4750</v>
      </c>
      <c r="O644">
        <v>42</v>
      </c>
      <c r="P644">
        <v>22276</v>
      </c>
      <c r="Q644">
        <v>0</v>
      </c>
      <c r="R644">
        <v>815572639567</v>
      </c>
      <c r="S644">
        <v>1284267812.3099999</v>
      </c>
      <c r="T644">
        <v>806417920224.98999</v>
      </c>
      <c r="U644">
        <v>812624787010.34998</v>
      </c>
      <c r="V644">
        <v>0.10985</v>
      </c>
      <c r="W644">
        <v>2.4205000000000001E-2</v>
      </c>
    </row>
    <row r="645" spans="1:23" x14ac:dyDescent="0.35">
      <c r="A645" t="s">
        <v>0</v>
      </c>
      <c r="B645">
        <v>4000</v>
      </c>
      <c r="C645">
        <v>42</v>
      </c>
      <c r="D645">
        <v>2812</v>
      </c>
      <c r="E645">
        <v>0</v>
      </c>
      <c r="F645">
        <v>87460289555</v>
      </c>
      <c r="G645">
        <v>154649782.34</v>
      </c>
      <c r="H645">
        <v>86724715118</v>
      </c>
      <c r="I645">
        <v>87127332019.669998</v>
      </c>
      <c r="J645">
        <v>7.6857999999999996E-2</v>
      </c>
      <c r="K645">
        <v>2.4192000000000002E-2</v>
      </c>
      <c r="M645" t="s">
        <v>2</v>
      </c>
      <c r="N645">
        <v>4750</v>
      </c>
      <c r="O645">
        <v>42</v>
      </c>
      <c r="P645">
        <v>1383</v>
      </c>
      <c r="Q645">
        <v>0</v>
      </c>
      <c r="R645">
        <v>27937159891</v>
      </c>
      <c r="S645">
        <v>44034253.119999997</v>
      </c>
      <c r="T645">
        <v>27695287546.169998</v>
      </c>
      <c r="U645">
        <v>27852093577.82</v>
      </c>
      <c r="V645">
        <v>8.1745999999999999E-2</v>
      </c>
      <c r="W645">
        <v>1.7482999999999999E-2</v>
      </c>
    </row>
    <row r="646" spans="1:23" x14ac:dyDescent="0.35">
      <c r="A646" t="s">
        <v>0</v>
      </c>
      <c r="B646">
        <v>4500</v>
      </c>
      <c r="C646">
        <v>42</v>
      </c>
      <c r="D646">
        <v>9016</v>
      </c>
      <c r="E646">
        <v>0</v>
      </c>
      <c r="F646">
        <v>274883981619</v>
      </c>
      <c r="G646">
        <v>450873729.75999999</v>
      </c>
      <c r="H646">
        <v>273096066262</v>
      </c>
      <c r="I646">
        <v>274149357897.67999</v>
      </c>
      <c r="J646">
        <v>5.6832000000000001E-2</v>
      </c>
      <c r="K646">
        <v>1.2317E-2</v>
      </c>
      <c r="M646" t="s">
        <v>2</v>
      </c>
      <c r="N646">
        <v>5250</v>
      </c>
      <c r="O646">
        <v>42</v>
      </c>
      <c r="P646">
        <v>2799</v>
      </c>
      <c r="Q646">
        <v>0</v>
      </c>
      <c r="R646">
        <v>49245889323</v>
      </c>
      <c r="S646">
        <v>71735816.359999999</v>
      </c>
      <c r="T646">
        <v>48832141274.870003</v>
      </c>
      <c r="U646">
        <v>49028556181.970001</v>
      </c>
      <c r="V646">
        <v>8.0228999999999995E-2</v>
      </c>
      <c r="W646">
        <v>3.4907000000000001E-2</v>
      </c>
    </row>
    <row r="647" spans="1:23" x14ac:dyDescent="0.35">
      <c r="A647" t="s">
        <v>1</v>
      </c>
      <c r="B647">
        <v>4000</v>
      </c>
      <c r="C647">
        <v>42</v>
      </c>
      <c r="D647">
        <v>2222</v>
      </c>
      <c r="E647">
        <v>0</v>
      </c>
      <c r="F647">
        <v>83730852863</v>
      </c>
      <c r="G647">
        <v>148572005.21000001</v>
      </c>
      <c r="H647">
        <v>82874085708</v>
      </c>
      <c r="I647">
        <v>83464137047.009995</v>
      </c>
      <c r="J647">
        <v>9.6905000000000005E-2</v>
      </c>
      <c r="K647">
        <v>1.6801E-2</v>
      </c>
      <c r="M647" t="s">
        <v>0</v>
      </c>
      <c r="N647">
        <v>4250</v>
      </c>
      <c r="O647">
        <v>42</v>
      </c>
      <c r="P647">
        <v>5247</v>
      </c>
      <c r="Q647">
        <v>0</v>
      </c>
      <c r="R647">
        <v>157662788866</v>
      </c>
      <c r="S647">
        <v>268181348.33000001</v>
      </c>
      <c r="T647">
        <v>156411970029.42001</v>
      </c>
      <c r="U647">
        <v>157364391783.20001</v>
      </c>
      <c r="V647">
        <v>7.2278999999999996E-2</v>
      </c>
      <c r="W647">
        <v>2.297E-3</v>
      </c>
    </row>
    <row r="648" spans="1:23" x14ac:dyDescent="0.35">
      <c r="A648" t="s">
        <v>1</v>
      </c>
      <c r="B648">
        <v>4250</v>
      </c>
      <c r="C648">
        <v>42</v>
      </c>
      <c r="D648">
        <v>4319</v>
      </c>
      <c r="E648">
        <v>0</v>
      </c>
      <c r="F648">
        <v>162408401422</v>
      </c>
      <c r="G648">
        <v>276982090.67000002</v>
      </c>
      <c r="H648">
        <v>160891226388</v>
      </c>
      <c r="I648">
        <v>162002191865.26999</v>
      </c>
      <c r="J648">
        <v>8.7883000000000003E-2</v>
      </c>
      <c r="K648">
        <v>9.5069999999999998E-3</v>
      </c>
      <c r="M648" t="s">
        <v>1</v>
      </c>
      <c r="N648">
        <v>4750</v>
      </c>
      <c r="O648">
        <v>48</v>
      </c>
      <c r="P648">
        <v>18182</v>
      </c>
      <c r="Q648">
        <v>0</v>
      </c>
      <c r="R648">
        <v>636455846122</v>
      </c>
      <c r="S648">
        <v>1023123684.11</v>
      </c>
      <c r="T648">
        <v>629245493519.44995</v>
      </c>
      <c r="U648">
        <v>633987479828.52002</v>
      </c>
      <c r="V648">
        <v>0.11061699999999999</v>
      </c>
      <c r="W648">
        <v>2.6911000000000001E-2</v>
      </c>
    </row>
    <row r="649" spans="1:23" x14ac:dyDescent="0.35">
      <c r="A649" t="s">
        <v>2</v>
      </c>
      <c r="B649">
        <v>4250</v>
      </c>
      <c r="C649">
        <v>42</v>
      </c>
      <c r="D649">
        <v>202</v>
      </c>
      <c r="E649">
        <v>0</v>
      </c>
      <c r="F649">
        <v>3900659018</v>
      </c>
      <c r="G649">
        <v>6780576.0099999998</v>
      </c>
      <c r="H649">
        <v>3847425902</v>
      </c>
      <c r="I649">
        <v>3893729245.25</v>
      </c>
      <c r="J649">
        <v>0.133908</v>
      </c>
      <c r="K649">
        <v>4.5899999999999999E-4</v>
      </c>
      <c r="M649" t="s">
        <v>3</v>
      </c>
      <c r="N649">
        <v>5000</v>
      </c>
      <c r="O649">
        <v>42</v>
      </c>
      <c r="P649">
        <v>30</v>
      </c>
      <c r="Q649">
        <v>0</v>
      </c>
      <c r="R649">
        <v>784455227</v>
      </c>
      <c r="S649">
        <v>1190519.04</v>
      </c>
      <c r="T649">
        <v>783264707.96000004</v>
      </c>
      <c r="U649">
        <v>783264707.96000004</v>
      </c>
      <c r="V649">
        <v>0</v>
      </c>
      <c r="W649">
        <v>0</v>
      </c>
    </row>
    <row r="650" spans="1:23" x14ac:dyDescent="0.35">
      <c r="A650" t="s">
        <v>0</v>
      </c>
      <c r="B650">
        <v>4250</v>
      </c>
      <c r="C650">
        <v>42</v>
      </c>
      <c r="D650">
        <v>4114</v>
      </c>
      <c r="E650">
        <v>0</v>
      </c>
      <c r="F650">
        <v>125793156469</v>
      </c>
      <c r="G650">
        <v>214500031.09</v>
      </c>
      <c r="H650">
        <v>124999467045</v>
      </c>
      <c r="I650">
        <v>125490021398.85001</v>
      </c>
      <c r="J650">
        <v>5.3873999999999998E-2</v>
      </c>
      <c r="K650">
        <v>8.4229999999999999E-3</v>
      </c>
      <c r="M650" t="s">
        <v>1</v>
      </c>
      <c r="N650">
        <v>4000</v>
      </c>
      <c r="O650">
        <v>42</v>
      </c>
      <c r="P650">
        <v>2710</v>
      </c>
      <c r="Q650">
        <v>0</v>
      </c>
      <c r="R650">
        <v>102023410462</v>
      </c>
      <c r="S650">
        <v>180622533.56999999</v>
      </c>
      <c r="T650">
        <v>101053177633.33</v>
      </c>
      <c r="U650">
        <v>101741433252.02</v>
      </c>
      <c r="V650">
        <v>8.9021000000000003E-2</v>
      </c>
      <c r="W650">
        <v>1.1856E-2</v>
      </c>
    </row>
    <row r="651" spans="1:23" x14ac:dyDescent="0.35">
      <c r="A651" t="s">
        <v>1</v>
      </c>
      <c r="B651">
        <v>5250</v>
      </c>
      <c r="C651">
        <v>42</v>
      </c>
      <c r="D651">
        <v>16938</v>
      </c>
      <c r="E651">
        <v>0</v>
      </c>
      <c r="F651">
        <v>592733332660</v>
      </c>
      <c r="G651">
        <v>862626050.88</v>
      </c>
      <c r="H651">
        <v>583985568148</v>
      </c>
      <c r="I651">
        <v>590238132985.14001</v>
      </c>
      <c r="J651">
        <v>0.14845900000000001</v>
      </c>
      <c r="K651">
        <v>3.2556000000000002E-2</v>
      </c>
      <c r="M651" t="s">
        <v>1</v>
      </c>
      <c r="N651">
        <v>4250</v>
      </c>
      <c r="O651">
        <v>42</v>
      </c>
      <c r="P651">
        <v>5612</v>
      </c>
      <c r="Q651">
        <v>0</v>
      </c>
      <c r="R651">
        <v>211259143265</v>
      </c>
      <c r="S651">
        <v>359335104.88</v>
      </c>
      <c r="T651">
        <v>208680502931.07999</v>
      </c>
      <c r="U651">
        <v>210612557281.82001</v>
      </c>
      <c r="V651">
        <v>0.11902699999999999</v>
      </c>
      <c r="W651">
        <v>1.6195000000000001E-2</v>
      </c>
    </row>
    <row r="652" spans="1:23" x14ac:dyDescent="0.35">
      <c r="A652" t="s">
        <v>0</v>
      </c>
      <c r="B652">
        <v>6750</v>
      </c>
      <c r="C652">
        <v>42</v>
      </c>
      <c r="D652">
        <v>24155</v>
      </c>
      <c r="E652">
        <v>0</v>
      </c>
      <c r="F652">
        <v>593878229264</v>
      </c>
      <c r="G652">
        <v>666072311.67999995</v>
      </c>
      <c r="H652">
        <v>577541523175</v>
      </c>
      <c r="I652">
        <v>588750065379.51001</v>
      </c>
      <c r="J652">
        <v>0.274501</v>
      </c>
      <c r="K652">
        <v>8.6527999999999994E-2</v>
      </c>
      <c r="M652" t="s">
        <v>2</v>
      </c>
      <c r="N652">
        <v>4250</v>
      </c>
      <c r="O652">
        <v>42</v>
      </c>
      <c r="P652">
        <v>273</v>
      </c>
      <c r="Q652">
        <v>0</v>
      </c>
      <c r="R652">
        <v>5205293636</v>
      </c>
      <c r="S652">
        <v>8998263.2699999996</v>
      </c>
      <c r="T652">
        <v>5180461441.54</v>
      </c>
      <c r="U652">
        <v>5196295372.7299995</v>
      </c>
      <c r="V652">
        <v>3.5897999999999999E-2</v>
      </c>
      <c r="W652">
        <v>0</v>
      </c>
    </row>
    <row r="653" spans="1:23" x14ac:dyDescent="0.35">
      <c r="A653" t="s">
        <v>0</v>
      </c>
      <c r="B653">
        <v>3750</v>
      </c>
      <c r="C653">
        <v>42</v>
      </c>
      <c r="D653">
        <v>714</v>
      </c>
      <c r="E653">
        <v>0</v>
      </c>
      <c r="F653">
        <v>19081326782</v>
      </c>
      <c r="G653">
        <v>35094397.649999999</v>
      </c>
      <c r="H653">
        <v>18883015527</v>
      </c>
      <c r="I653">
        <v>19014603890.290001</v>
      </c>
      <c r="J653">
        <v>9.7950999999999996E-2</v>
      </c>
      <c r="K653">
        <v>1.9709999999999998E-2</v>
      </c>
      <c r="M653" t="s">
        <v>1</v>
      </c>
      <c r="N653">
        <v>5250</v>
      </c>
      <c r="O653">
        <v>42</v>
      </c>
      <c r="P653">
        <v>21713</v>
      </c>
      <c r="Q653">
        <v>0</v>
      </c>
      <c r="R653">
        <v>755451311557</v>
      </c>
      <c r="S653">
        <v>1098516057.1600001</v>
      </c>
      <c r="T653">
        <v>745908737673.27002</v>
      </c>
      <c r="U653">
        <v>752613468815.14001</v>
      </c>
      <c r="V653">
        <v>0.12618399999999999</v>
      </c>
      <c r="W653">
        <v>2.7281E-2</v>
      </c>
    </row>
    <row r="654" spans="1:23" x14ac:dyDescent="0.35">
      <c r="A654" t="s">
        <v>0</v>
      </c>
      <c r="B654">
        <v>7250</v>
      </c>
      <c r="C654">
        <v>42</v>
      </c>
      <c r="D654">
        <v>8735</v>
      </c>
      <c r="E654">
        <v>0</v>
      </c>
      <c r="F654">
        <v>192241486149</v>
      </c>
      <c r="G654">
        <v>198045091.12</v>
      </c>
      <c r="H654">
        <v>186172770745</v>
      </c>
      <c r="I654">
        <v>190238063227.57999</v>
      </c>
      <c r="J654">
        <v>0.31076199999999998</v>
      </c>
      <c r="K654">
        <v>0.10705199999999999</v>
      </c>
      <c r="M654" t="s">
        <v>0</v>
      </c>
      <c r="N654">
        <v>6750</v>
      </c>
      <c r="O654">
        <v>42</v>
      </c>
      <c r="P654">
        <v>20264</v>
      </c>
      <c r="Q654">
        <v>0</v>
      </c>
      <c r="R654">
        <v>502525754064</v>
      </c>
      <c r="S654">
        <v>561705972.38999999</v>
      </c>
      <c r="T654">
        <v>491418985526.28003</v>
      </c>
      <c r="U654">
        <v>499429808883.84998</v>
      </c>
      <c r="V654">
        <v>0.224687</v>
      </c>
      <c r="W654">
        <v>5.8865000000000001E-2</v>
      </c>
    </row>
    <row r="655" spans="1:23" x14ac:dyDescent="0.35">
      <c r="A655" t="s">
        <v>1</v>
      </c>
      <c r="B655">
        <v>5750</v>
      </c>
      <c r="C655">
        <v>42</v>
      </c>
      <c r="D655">
        <v>20355</v>
      </c>
      <c r="E655">
        <v>0</v>
      </c>
      <c r="F655">
        <v>661890048510</v>
      </c>
      <c r="G655">
        <v>884737185.99000001</v>
      </c>
      <c r="H655">
        <v>648705379327</v>
      </c>
      <c r="I655">
        <v>658628496002.96997</v>
      </c>
      <c r="J655">
        <v>0.20155899999999999</v>
      </c>
      <c r="K655">
        <v>4.2250000000000003E-2</v>
      </c>
      <c r="M655" t="s">
        <v>0</v>
      </c>
      <c r="N655">
        <v>3750</v>
      </c>
      <c r="O655">
        <v>42</v>
      </c>
      <c r="P655">
        <v>967</v>
      </c>
      <c r="Q655">
        <v>0</v>
      </c>
      <c r="R655">
        <v>25837139624</v>
      </c>
      <c r="S655">
        <v>47437958.719999999</v>
      </c>
      <c r="T655">
        <v>25664643198.310001</v>
      </c>
      <c r="U655">
        <v>25772108628.240002</v>
      </c>
      <c r="V655">
        <v>5.6562000000000001E-2</v>
      </c>
      <c r="W655">
        <v>8.1410000000000007E-3</v>
      </c>
    </row>
    <row r="656" spans="1:23" x14ac:dyDescent="0.35">
      <c r="A656" t="s">
        <v>2</v>
      </c>
      <c r="B656">
        <v>5750</v>
      </c>
      <c r="C656">
        <v>42</v>
      </c>
      <c r="D656">
        <v>3784</v>
      </c>
      <c r="E656">
        <v>0</v>
      </c>
      <c r="F656">
        <v>62415025846</v>
      </c>
      <c r="G656">
        <v>83951978.370000005</v>
      </c>
      <c r="H656">
        <v>61870729571</v>
      </c>
      <c r="I656">
        <v>62294037197.93</v>
      </c>
      <c r="J656">
        <v>8.5002999999999995E-2</v>
      </c>
      <c r="K656">
        <v>7.0980000000000001E-3</v>
      </c>
      <c r="M656" t="s">
        <v>0</v>
      </c>
      <c r="N656">
        <v>7250</v>
      </c>
      <c r="O656">
        <v>42</v>
      </c>
      <c r="P656">
        <v>7655</v>
      </c>
      <c r="Q656">
        <v>0</v>
      </c>
      <c r="R656">
        <v>169331542461</v>
      </c>
      <c r="S656">
        <v>173587770.49000001</v>
      </c>
      <c r="T656">
        <v>164731553188.26999</v>
      </c>
      <c r="U656">
        <v>167497597468.75</v>
      </c>
      <c r="V656">
        <v>0.27229399999999998</v>
      </c>
      <c r="W656">
        <v>0.111522</v>
      </c>
    </row>
    <row r="657" spans="1:23" x14ac:dyDescent="0.35">
      <c r="A657" t="s">
        <v>2</v>
      </c>
      <c r="B657">
        <v>6250</v>
      </c>
      <c r="C657">
        <v>42</v>
      </c>
      <c r="D657">
        <v>2613</v>
      </c>
      <c r="E657">
        <v>0</v>
      </c>
      <c r="F657">
        <v>42732406974</v>
      </c>
      <c r="G657">
        <v>52400079.420000002</v>
      </c>
      <c r="H657">
        <v>42217174820</v>
      </c>
      <c r="I657">
        <v>42540509957.860001</v>
      </c>
      <c r="J657">
        <v>0.122502</v>
      </c>
      <c r="K657">
        <v>3.8476999999999997E-2</v>
      </c>
      <c r="M657" t="s">
        <v>1</v>
      </c>
      <c r="N657">
        <v>5750</v>
      </c>
      <c r="O657">
        <v>42</v>
      </c>
      <c r="P657">
        <v>22719</v>
      </c>
      <c r="Q657">
        <v>0</v>
      </c>
      <c r="R657">
        <v>721519126221</v>
      </c>
      <c r="S657">
        <v>965352859.94000006</v>
      </c>
      <c r="T657">
        <v>705676369136.12</v>
      </c>
      <c r="U657">
        <v>717732790565.56006</v>
      </c>
      <c r="V657">
        <v>0.221216</v>
      </c>
      <c r="W657">
        <v>4.5921999999999998E-2</v>
      </c>
    </row>
    <row r="658" spans="1:23" x14ac:dyDescent="0.35">
      <c r="A658" t="s">
        <v>1</v>
      </c>
      <c r="B658">
        <v>7000</v>
      </c>
      <c r="C658">
        <v>42</v>
      </c>
      <c r="D658">
        <v>1728</v>
      </c>
      <c r="E658">
        <v>0</v>
      </c>
      <c r="F658">
        <v>42258296073</v>
      </c>
      <c r="G658">
        <v>45386223.149999999</v>
      </c>
      <c r="H658">
        <v>40925731064</v>
      </c>
      <c r="I658">
        <v>42047193365.43</v>
      </c>
      <c r="J658">
        <v>0.31009399999999998</v>
      </c>
      <c r="K658">
        <v>4.6056E-2</v>
      </c>
      <c r="M658" t="s">
        <v>2</v>
      </c>
      <c r="N658">
        <v>5750</v>
      </c>
      <c r="O658">
        <v>42</v>
      </c>
      <c r="P658">
        <v>4732</v>
      </c>
      <c r="Q658">
        <v>0</v>
      </c>
      <c r="R658">
        <v>76847801935</v>
      </c>
      <c r="S658">
        <v>103297904.98</v>
      </c>
      <c r="T658">
        <v>76298874795.240005</v>
      </c>
      <c r="U658">
        <v>76633645631.610001</v>
      </c>
      <c r="V658">
        <v>6.7408999999999997E-2</v>
      </c>
      <c r="W658">
        <v>1.7173999999999998E-2</v>
      </c>
    </row>
    <row r="659" spans="1:23" x14ac:dyDescent="0.35">
      <c r="A659" t="s">
        <v>1</v>
      </c>
      <c r="B659">
        <v>5750</v>
      </c>
      <c r="C659">
        <v>48</v>
      </c>
      <c r="D659">
        <v>10232</v>
      </c>
      <c r="E659">
        <v>0</v>
      </c>
      <c r="F659">
        <v>299968455964</v>
      </c>
      <c r="G659">
        <v>411841766.82999998</v>
      </c>
      <c r="H659">
        <v>294044631179</v>
      </c>
      <c r="I659">
        <v>297633593151.60999</v>
      </c>
      <c r="J659">
        <v>0.19952800000000001</v>
      </c>
      <c r="K659">
        <v>7.4274000000000007E-2</v>
      </c>
      <c r="M659" t="s">
        <v>2</v>
      </c>
      <c r="N659">
        <v>6250</v>
      </c>
      <c r="O659">
        <v>42</v>
      </c>
      <c r="P659">
        <v>2289</v>
      </c>
      <c r="Q659">
        <v>0</v>
      </c>
      <c r="R659">
        <v>36963371009</v>
      </c>
      <c r="S659">
        <v>45230432.170000002</v>
      </c>
      <c r="T659">
        <v>36558194643.32</v>
      </c>
      <c r="U659">
        <v>36813492757.040001</v>
      </c>
      <c r="V659">
        <v>0.110795</v>
      </c>
      <c r="W659">
        <v>3.3449E-2</v>
      </c>
    </row>
    <row r="660" spans="1:23" x14ac:dyDescent="0.35">
      <c r="A660" t="s">
        <v>2</v>
      </c>
      <c r="B660">
        <v>4000</v>
      </c>
      <c r="C660">
        <v>42</v>
      </c>
      <c r="D660">
        <v>142</v>
      </c>
      <c r="E660">
        <v>0</v>
      </c>
      <c r="F660">
        <v>3079880289</v>
      </c>
      <c r="G660">
        <v>5557357.3399999999</v>
      </c>
      <c r="H660">
        <v>3055216399</v>
      </c>
      <c r="I660">
        <v>3075115011.54</v>
      </c>
      <c r="J660">
        <v>7.1956000000000006E-2</v>
      </c>
      <c r="K660">
        <v>-3.091E-3</v>
      </c>
      <c r="M660" t="s">
        <v>1</v>
      </c>
      <c r="N660">
        <v>7000</v>
      </c>
      <c r="O660">
        <v>42</v>
      </c>
      <c r="P660">
        <v>1582</v>
      </c>
      <c r="Q660">
        <v>0</v>
      </c>
      <c r="R660">
        <v>39218610370</v>
      </c>
      <c r="S660">
        <v>41897361.479999997</v>
      </c>
      <c r="T660">
        <v>37343740865.610001</v>
      </c>
      <c r="U660">
        <v>38890128839.480003</v>
      </c>
      <c r="V660">
        <v>0.43694499999999997</v>
      </c>
      <c r="W660">
        <v>8.4248000000000003E-2</v>
      </c>
    </row>
    <row r="661" spans="1:23" x14ac:dyDescent="0.35">
      <c r="A661" t="s">
        <v>0</v>
      </c>
      <c r="B661">
        <v>5500</v>
      </c>
      <c r="C661">
        <v>36</v>
      </c>
      <c r="D661">
        <v>18722</v>
      </c>
      <c r="E661">
        <v>0</v>
      </c>
      <c r="F661">
        <v>570010206294</v>
      </c>
      <c r="G661">
        <v>761963066.36000001</v>
      </c>
      <c r="H661">
        <v>564744144769</v>
      </c>
      <c r="I661">
        <v>567782620169.08997</v>
      </c>
      <c r="J661">
        <v>9.0806999999999999E-2</v>
      </c>
      <c r="K661">
        <v>3.0422000000000001E-2</v>
      </c>
      <c r="M661" t="s">
        <v>1</v>
      </c>
      <c r="N661">
        <v>5750</v>
      </c>
      <c r="O661">
        <v>48</v>
      </c>
      <c r="P661">
        <v>5400</v>
      </c>
      <c r="Q661">
        <v>0</v>
      </c>
      <c r="R661">
        <v>152747075176</v>
      </c>
      <c r="S661">
        <v>209656168.34</v>
      </c>
      <c r="T661">
        <v>149556736212.41</v>
      </c>
      <c r="U661">
        <v>151224120520.39999</v>
      </c>
      <c r="V661">
        <v>0.21059900000000001</v>
      </c>
      <c r="W661">
        <v>9.8433000000000007E-2</v>
      </c>
    </row>
    <row r="662" spans="1:23" x14ac:dyDescent="0.35">
      <c r="A662" t="s">
        <v>2</v>
      </c>
      <c r="B662">
        <v>5500</v>
      </c>
      <c r="C662">
        <v>36</v>
      </c>
      <c r="D662">
        <v>652</v>
      </c>
      <c r="E662">
        <v>0</v>
      </c>
      <c r="F662">
        <v>13671772530</v>
      </c>
      <c r="G662">
        <v>18340258.350000001</v>
      </c>
      <c r="H662">
        <v>13590440607</v>
      </c>
      <c r="I662">
        <v>13652533005.32</v>
      </c>
      <c r="J662">
        <v>5.3908999999999999E-2</v>
      </c>
      <c r="K662">
        <v>7.8899999999999999E-4</v>
      </c>
      <c r="M662" t="s">
        <v>2</v>
      </c>
      <c r="N662">
        <v>4000</v>
      </c>
      <c r="O662">
        <v>42</v>
      </c>
      <c r="P662">
        <v>175</v>
      </c>
      <c r="Q662">
        <v>0</v>
      </c>
      <c r="R662">
        <v>3709313572</v>
      </c>
      <c r="S662">
        <v>6697324.1399999997</v>
      </c>
      <c r="T662">
        <v>3644502415.5500002</v>
      </c>
      <c r="U662">
        <v>3694759812.4699998</v>
      </c>
      <c r="V662">
        <v>0.172621</v>
      </c>
      <c r="W662">
        <v>2.5121999999999998E-2</v>
      </c>
    </row>
    <row r="663" spans="1:23" x14ac:dyDescent="0.35">
      <c r="A663" t="s">
        <v>1</v>
      </c>
      <c r="B663">
        <v>5500</v>
      </c>
      <c r="C663">
        <v>36</v>
      </c>
      <c r="D663">
        <v>13722</v>
      </c>
      <c r="E663">
        <v>0</v>
      </c>
      <c r="F663">
        <v>512870043371</v>
      </c>
      <c r="G663">
        <v>686581110.66999996</v>
      </c>
      <c r="H663">
        <v>506125902908</v>
      </c>
      <c r="I663">
        <v>510846996914.66998</v>
      </c>
      <c r="J663">
        <v>0.132879</v>
      </c>
      <c r="K663">
        <v>3.0825999999999999E-2</v>
      </c>
      <c r="M663" t="s">
        <v>1</v>
      </c>
      <c r="N663">
        <v>5000</v>
      </c>
      <c r="O663">
        <v>36</v>
      </c>
      <c r="P663">
        <v>6289</v>
      </c>
      <c r="Q663">
        <v>0</v>
      </c>
      <c r="R663">
        <v>232791389029</v>
      </c>
      <c r="S663">
        <v>337920402.87</v>
      </c>
      <c r="T663">
        <v>229784531177.20999</v>
      </c>
      <c r="U663">
        <v>232005792530.41</v>
      </c>
      <c r="V663">
        <v>0.12922700000000001</v>
      </c>
      <c r="W663">
        <v>2.2834E-2</v>
      </c>
    </row>
    <row r="664" spans="1:23" x14ac:dyDescent="0.35">
      <c r="A664" t="s">
        <v>0</v>
      </c>
      <c r="B664">
        <v>6000</v>
      </c>
      <c r="C664">
        <v>36</v>
      </c>
      <c r="D664">
        <v>27648</v>
      </c>
      <c r="E664">
        <v>0</v>
      </c>
      <c r="F664">
        <v>755275199623</v>
      </c>
      <c r="G664">
        <v>928103753.72000003</v>
      </c>
      <c r="H664">
        <v>746637321702</v>
      </c>
      <c r="I664">
        <v>752818661560.54004</v>
      </c>
      <c r="J664">
        <v>0.115846</v>
      </c>
      <c r="K664">
        <v>2.4015999999999999E-2</v>
      </c>
      <c r="M664" t="s">
        <v>0</v>
      </c>
      <c r="N664">
        <v>5000</v>
      </c>
      <c r="O664">
        <v>36</v>
      </c>
      <c r="P664">
        <v>10631</v>
      </c>
      <c r="Q664">
        <v>0</v>
      </c>
      <c r="R664">
        <v>340419742045</v>
      </c>
      <c r="S664">
        <v>493623269.95999998</v>
      </c>
      <c r="T664">
        <v>337985305637.54999</v>
      </c>
      <c r="U664">
        <v>339427520617.12</v>
      </c>
      <c r="V664">
        <v>6.6309999999999994E-2</v>
      </c>
      <c r="W664">
        <v>1.7434999999999999E-2</v>
      </c>
    </row>
    <row r="665" spans="1:23" x14ac:dyDescent="0.35">
      <c r="A665" t="s">
        <v>2</v>
      </c>
      <c r="B665">
        <v>6000</v>
      </c>
      <c r="C665">
        <v>36</v>
      </c>
      <c r="D665">
        <v>1274</v>
      </c>
      <c r="E665">
        <v>0</v>
      </c>
      <c r="F665">
        <v>23718944653</v>
      </c>
      <c r="G665">
        <v>29213494.98</v>
      </c>
      <c r="H665">
        <v>23455851539</v>
      </c>
      <c r="I665">
        <v>23634065379.110001</v>
      </c>
      <c r="J665">
        <v>0.11211500000000001</v>
      </c>
      <c r="K665">
        <v>2.7802E-2</v>
      </c>
      <c r="M665" t="s">
        <v>2</v>
      </c>
      <c r="N665">
        <v>5000</v>
      </c>
      <c r="O665">
        <v>36</v>
      </c>
      <c r="P665">
        <v>227</v>
      </c>
      <c r="Q665">
        <v>0</v>
      </c>
      <c r="R665">
        <v>5761879583</v>
      </c>
      <c r="S665">
        <v>8380540.96</v>
      </c>
      <c r="T665">
        <v>5731024362.6999998</v>
      </c>
      <c r="U665">
        <v>5753499042.04</v>
      </c>
      <c r="V665">
        <v>4.5816000000000003E-2</v>
      </c>
      <c r="W665">
        <v>0</v>
      </c>
    </row>
    <row r="666" spans="1:23" x14ac:dyDescent="0.35">
      <c r="A666" t="s">
        <v>1</v>
      </c>
      <c r="B666">
        <v>6000</v>
      </c>
      <c r="C666">
        <v>36</v>
      </c>
      <c r="D666">
        <v>10848</v>
      </c>
      <c r="E666">
        <v>0</v>
      </c>
      <c r="F666">
        <v>385914397557</v>
      </c>
      <c r="G666">
        <v>475041774.44999999</v>
      </c>
      <c r="H666">
        <v>374257306200</v>
      </c>
      <c r="I666">
        <v>384185259396.03003</v>
      </c>
      <c r="J666">
        <v>0.29731200000000002</v>
      </c>
      <c r="K666">
        <v>3.8307000000000001E-2</v>
      </c>
      <c r="M666" t="s">
        <v>0</v>
      </c>
      <c r="N666">
        <v>5500</v>
      </c>
      <c r="O666">
        <v>36</v>
      </c>
      <c r="P666">
        <v>19106</v>
      </c>
      <c r="Q666">
        <v>0</v>
      </c>
      <c r="R666">
        <v>575729120652</v>
      </c>
      <c r="S666">
        <v>768505861.21000004</v>
      </c>
      <c r="T666">
        <v>570882622827.46997</v>
      </c>
      <c r="U666">
        <v>574372267057.57996</v>
      </c>
      <c r="V666">
        <v>8.1764000000000003E-2</v>
      </c>
      <c r="W666">
        <v>1.2194E-2</v>
      </c>
    </row>
    <row r="667" spans="1:23" x14ac:dyDescent="0.35">
      <c r="A667" t="s">
        <v>2</v>
      </c>
      <c r="B667">
        <v>5000</v>
      </c>
      <c r="C667">
        <v>36</v>
      </c>
      <c r="D667">
        <v>227</v>
      </c>
      <c r="E667">
        <v>0</v>
      </c>
      <c r="F667">
        <v>5869751093</v>
      </c>
      <c r="G667">
        <v>8541997.1600000001</v>
      </c>
      <c r="H667">
        <v>5832817912</v>
      </c>
      <c r="I667">
        <v>5832817912</v>
      </c>
      <c r="J667">
        <v>5.6522999999999997E-2</v>
      </c>
      <c r="K667">
        <v>5.6522999999999997E-2</v>
      </c>
      <c r="M667" t="s">
        <v>2</v>
      </c>
      <c r="N667">
        <v>5500</v>
      </c>
      <c r="O667">
        <v>36</v>
      </c>
      <c r="P667">
        <v>719</v>
      </c>
      <c r="Q667">
        <v>0</v>
      </c>
      <c r="R667">
        <v>14907837589</v>
      </c>
      <c r="S667">
        <v>19955790.09</v>
      </c>
      <c r="T667">
        <v>14763008113.860001</v>
      </c>
      <c r="U667">
        <v>14852159632.82</v>
      </c>
      <c r="V667">
        <v>9.6013000000000001E-2</v>
      </c>
      <c r="W667">
        <v>2.8378E-2</v>
      </c>
    </row>
    <row r="668" spans="1:23" x14ac:dyDescent="0.35">
      <c r="A668" t="s">
        <v>0</v>
      </c>
      <c r="B668">
        <v>5000</v>
      </c>
      <c r="C668">
        <v>36</v>
      </c>
      <c r="D668">
        <v>10857</v>
      </c>
      <c r="E668">
        <v>0</v>
      </c>
      <c r="F668">
        <v>349314421841</v>
      </c>
      <c r="G668">
        <v>507808166.97000003</v>
      </c>
      <c r="H668">
        <v>347143677028</v>
      </c>
      <c r="I668">
        <v>348338747892.89001</v>
      </c>
      <c r="J668">
        <v>5.5655000000000003E-2</v>
      </c>
      <c r="K668">
        <v>1.5955E-2</v>
      </c>
      <c r="M668" t="s">
        <v>1</v>
      </c>
      <c r="N668">
        <v>5500</v>
      </c>
      <c r="O668">
        <v>36</v>
      </c>
      <c r="P668">
        <v>14310</v>
      </c>
      <c r="Q668">
        <v>0</v>
      </c>
      <c r="R668">
        <v>535086848448</v>
      </c>
      <c r="S668">
        <v>715035647.37</v>
      </c>
      <c r="T668">
        <v>527598830504.37</v>
      </c>
      <c r="U668">
        <v>533569367412.59998</v>
      </c>
      <c r="V668">
        <v>0.14175199999999999</v>
      </c>
      <c r="W668">
        <v>1.7847999999999999E-2</v>
      </c>
    </row>
    <row r="669" spans="1:23" x14ac:dyDescent="0.35">
      <c r="A669" t="s">
        <v>1</v>
      </c>
      <c r="B669">
        <v>5000</v>
      </c>
      <c r="C669">
        <v>36</v>
      </c>
      <c r="D669">
        <v>6414</v>
      </c>
      <c r="E669">
        <v>0</v>
      </c>
      <c r="F669">
        <v>237551192544</v>
      </c>
      <c r="G669">
        <v>345699731.02999997</v>
      </c>
      <c r="H669">
        <v>234554326791</v>
      </c>
      <c r="I669">
        <v>236539705583.48999</v>
      </c>
      <c r="J669">
        <v>0.126002</v>
      </c>
      <c r="K669">
        <v>3.3119000000000003E-2</v>
      </c>
      <c r="M669" t="s">
        <v>0</v>
      </c>
      <c r="N669">
        <v>6000</v>
      </c>
      <c r="O669">
        <v>36</v>
      </c>
      <c r="P669">
        <v>26756</v>
      </c>
      <c r="Q669">
        <v>0</v>
      </c>
      <c r="R669">
        <v>725040009182</v>
      </c>
      <c r="S669">
        <v>890036063.44000006</v>
      </c>
      <c r="T669">
        <v>716522731011.08997</v>
      </c>
      <c r="U669">
        <v>723144842765.78003</v>
      </c>
      <c r="V669">
        <v>0.119183</v>
      </c>
      <c r="W669">
        <v>1.6508999999999999E-2</v>
      </c>
    </row>
    <row r="670" spans="1:23" x14ac:dyDescent="0.35">
      <c r="A670" t="s">
        <v>0</v>
      </c>
      <c r="B670">
        <v>6250</v>
      </c>
      <c r="C670">
        <v>36</v>
      </c>
      <c r="D670">
        <v>59003</v>
      </c>
      <c r="E670">
        <v>0</v>
      </c>
      <c r="F670">
        <v>1698582822793</v>
      </c>
      <c r="G670">
        <v>2002616940.55</v>
      </c>
      <c r="H670">
        <v>1671020642704</v>
      </c>
      <c r="I670">
        <v>1689290193750.8101</v>
      </c>
      <c r="J670">
        <v>0.166351</v>
      </c>
      <c r="K670">
        <v>5.0303E-2</v>
      </c>
      <c r="M670" t="s">
        <v>2</v>
      </c>
      <c r="N670">
        <v>6000</v>
      </c>
      <c r="O670">
        <v>36</v>
      </c>
      <c r="P670">
        <v>1343</v>
      </c>
      <c r="Q670">
        <v>0</v>
      </c>
      <c r="R670">
        <v>24875831530</v>
      </c>
      <c r="S670">
        <v>30571828.670000002</v>
      </c>
      <c r="T670">
        <v>24661598919.23</v>
      </c>
      <c r="U670">
        <v>24766358561.869999</v>
      </c>
      <c r="V670">
        <v>8.5086999999999996E-2</v>
      </c>
      <c r="W670">
        <v>3.7405000000000001E-2</v>
      </c>
    </row>
    <row r="671" spans="1:23" x14ac:dyDescent="0.35">
      <c r="A671" t="s">
        <v>0</v>
      </c>
      <c r="B671">
        <v>6500</v>
      </c>
      <c r="C671">
        <v>36</v>
      </c>
      <c r="D671">
        <v>21744</v>
      </c>
      <c r="E671">
        <v>0</v>
      </c>
      <c r="F671">
        <v>539702532621</v>
      </c>
      <c r="G671">
        <v>608401058.05999994</v>
      </c>
      <c r="H671">
        <v>530555165822</v>
      </c>
      <c r="I671">
        <v>536780887857.57001</v>
      </c>
      <c r="J671">
        <v>0.174179</v>
      </c>
      <c r="K671">
        <v>5.0237999999999998E-2</v>
      </c>
      <c r="M671" t="s">
        <v>1</v>
      </c>
      <c r="N671">
        <v>6000</v>
      </c>
      <c r="O671">
        <v>36</v>
      </c>
      <c r="P671">
        <v>10321</v>
      </c>
      <c r="Q671">
        <v>0</v>
      </c>
      <c r="R671">
        <v>363355625417</v>
      </c>
      <c r="S671">
        <v>447171563.11000001</v>
      </c>
      <c r="T671">
        <v>350929683374.56</v>
      </c>
      <c r="U671">
        <v>361839882469.65997</v>
      </c>
      <c r="V671">
        <v>0.331202</v>
      </c>
      <c r="W671">
        <v>3.4724999999999999E-2</v>
      </c>
    </row>
    <row r="672" spans="1:23" x14ac:dyDescent="0.35">
      <c r="A672" t="s">
        <v>1</v>
      </c>
      <c r="B672">
        <v>6500</v>
      </c>
      <c r="C672">
        <v>36</v>
      </c>
      <c r="D672">
        <v>4926</v>
      </c>
      <c r="E672">
        <v>0</v>
      </c>
      <c r="F672">
        <v>142984642955</v>
      </c>
      <c r="G672">
        <v>161399016.78</v>
      </c>
      <c r="H672">
        <v>137852295838</v>
      </c>
      <c r="I672">
        <v>142042419326.39999</v>
      </c>
      <c r="J672">
        <v>0.34597600000000001</v>
      </c>
      <c r="K672">
        <v>6.3598000000000002E-2</v>
      </c>
      <c r="M672" t="s">
        <v>0</v>
      </c>
      <c r="N672">
        <v>6500</v>
      </c>
      <c r="O672">
        <v>36</v>
      </c>
      <c r="P672">
        <v>19543</v>
      </c>
      <c r="Q672">
        <v>0</v>
      </c>
      <c r="R672">
        <v>477484831307</v>
      </c>
      <c r="S672">
        <v>538021540.59000003</v>
      </c>
      <c r="T672">
        <v>469145376565.94</v>
      </c>
      <c r="U672">
        <v>475331364336.90997</v>
      </c>
      <c r="V672">
        <v>0.17937</v>
      </c>
      <c r="W672">
        <v>3.9851999999999999E-2</v>
      </c>
    </row>
    <row r="673" spans="1:23" x14ac:dyDescent="0.35">
      <c r="A673" t="s">
        <v>2</v>
      </c>
      <c r="B673">
        <v>6500</v>
      </c>
      <c r="C673">
        <v>36</v>
      </c>
      <c r="D673">
        <v>1596</v>
      </c>
      <c r="E673">
        <v>0</v>
      </c>
      <c r="F673">
        <v>27024238404</v>
      </c>
      <c r="G673">
        <v>30470611.84</v>
      </c>
      <c r="H673">
        <v>26577640249</v>
      </c>
      <c r="I673">
        <v>26838567662.880001</v>
      </c>
      <c r="J673">
        <v>0.169907</v>
      </c>
      <c r="K673">
        <v>6.6780000000000006E-2</v>
      </c>
      <c r="M673" t="s">
        <v>0</v>
      </c>
      <c r="N673">
        <v>6250</v>
      </c>
      <c r="O673">
        <v>36</v>
      </c>
      <c r="P673">
        <v>57521</v>
      </c>
      <c r="Q673">
        <v>0</v>
      </c>
      <c r="R673">
        <v>1624867507138</v>
      </c>
      <c r="S673">
        <v>1913095533.3299999</v>
      </c>
      <c r="T673">
        <v>1596578674460.3301</v>
      </c>
      <c r="U673">
        <v>1618720602535.02</v>
      </c>
      <c r="V673">
        <v>0.17830699999999999</v>
      </c>
      <c r="W673">
        <v>3.0823E-2</v>
      </c>
    </row>
    <row r="674" spans="1:23" x14ac:dyDescent="0.35">
      <c r="A674" t="s">
        <v>0</v>
      </c>
      <c r="B674">
        <v>7000</v>
      </c>
      <c r="C674">
        <v>36</v>
      </c>
      <c r="D674">
        <v>12708</v>
      </c>
      <c r="E674">
        <v>0</v>
      </c>
      <c r="F674">
        <v>315831757007</v>
      </c>
      <c r="G674">
        <v>326134854.80000001</v>
      </c>
      <c r="H674">
        <v>308594254875</v>
      </c>
      <c r="I674">
        <v>313285844067.34998</v>
      </c>
      <c r="J674">
        <v>0.23318700000000001</v>
      </c>
      <c r="K674">
        <v>8.1155000000000005E-2</v>
      </c>
      <c r="M674" t="s">
        <v>1</v>
      </c>
      <c r="N674">
        <v>6500</v>
      </c>
      <c r="O674">
        <v>36</v>
      </c>
      <c r="P674">
        <v>4635</v>
      </c>
      <c r="Q674">
        <v>0</v>
      </c>
      <c r="R674">
        <v>132919449881</v>
      </c>
      <c r="S674">
        <v>150220099.91999999</v>
      </c>
      <c r="T674">
        <v>127673197627.59</v>
      </c>
      <c r="U674">
        <v>132321332197.06</v>
      </c>
      <c r="V674">
        <v>0.37444899999999998</v>
      </c>
      <c r="W674">
        <v>3.9695000000000001E-2</v>
      </c>
    </row>
    <row r="675" spans="1:23" x14ac:dyDescent="0.35">
      <c r="A675" t="s">
        <v>2</v>
      </c>
      <c r="B675">
        <v>7000</v>
      </c>
      <c r="C675">
        <v>36</v>
      </c>
      <c r="D675">
        <v>908</v>
      </c>
      <c r="E675">
        <v>0</v>
      </c>
      <c r="F675">
        <v>13850583911</v>
      </c>
      <c r="G675">
        <v>14336621.279999999</v>
      </c>
      <c r="H675">
        <v>13638821682</v>
      </c>
      <c r="I675">
        <v>13737481904.09</v>
      </c>
      <c r="J675">
        <v>0.15825500000000001</v>
      </c>
      <c r="K675">
        <v>8.2292000000000004E-2</v>
      </c>
      <c r="M675" t="s">
        <v>0</v>
      </c>
      <c r="N675">
        <v>7000</v>
      </c>
      <c r="O675">
        <v>36</v>
      </c>
      <c r="P675">
        <v>10083</v>
      </c>
      <c r="Q675">
        <v>0</v>
      </c>
      <c r="R675">
        <v>244838706166</v>
      </c>
      <c r="S675">
        <v>252987017.97</v>
      </c>
      <c r="T675">
        <v>239257837652.22</v>
      </c>
      <c r="U675">
        <v>242867473162.51999</v>
      </c>
      <c r="V675">
        <v>0.23203599999999999</v>
      </c>
      <c r="W675">
        <v>8.1039E-2</v>
      </c>
    </row>
    <row r="676" spans="1:23" x14ac:dyDescent="0.35">
      <c r="A676" t="s">
        <v>1</v>
      </c>
      <c r="B676">
        <v>7000</v>
      </c>
      <c r="C676">
        <v>36</v>
      </c>
      <c r="D676">
        <v>2464</v>
      </c>
      <c r="E676">
        <v>0</v>
      </c>
      <c r="F676">
        <v>61813438963</v>
      </c>
      <c r="G676">
        <v>64081183.340000004</v>
      </c>
      <c r="H676">
        <v>59088347023</v>
      </c>
      <c r="I676">
        <v>60955085668.199997</v>
      </c>
      <c r="J676">
        <v>0.41023900000000002</v>
      </c>
      <c r="K676">
        <v>0.14374999999999999</v>
      </c>
      <c r="M676" t="s">
        <v>1</v>
      </c>
      <c r="N676">
        <v>7000</v>
      </c>
      <c r="O676">
        <v>36</v>
      </c>
      <c r="P676">
        <v>2147</v>
      </c>
      <c r="Q676">
        <v>0</v>
      </c>
      <c r="R676">
        <v>53106359882</v>
      </c>
      <c r="S676">
        <v>55080252.369999997</v>
      </c>
      <c r="T676">
        <v>50473635314.480003</v>
      </c>
      <c r="U676">
        <v>52602550974.739998</v>
      </c>
      <c r="V676">
        <v>0.44957200000000003</v>
      </c>
      <c r="W676">
        <v>9.6813999999999997E-2</v>
      </c>
    </row>
    <row r="677" spans="1:23" x14ac:dyDescent="0.35">
      <c r="A677" t="s">
        <v>0</v>
      </c>
      <c r="B677">
        <v>8000</v>
      </c>
      <c r="C677">
        <v>42</v>
      </c>
      <c r="D677">
        <v>112</v>
      </c>
      <c r="E677">
        <v>0</v>
      </c>
      <c r="F677">
        <v>3318890103</v>
      </c>
      <c r="G677">
        <v>2977065.74</v>
      </c>
      <c r="H677">
        <v>3193517099</v>
      </c>
      <c r="I677">
        <v>3287819677.4899998</v>
      </c>
      <c r="J677">
        <v>0.36295100000000002</v>
      </c>
      <c r="K677">
        <v>9.6977999999999995E-2</v>
      </c>
      <c r="M677" t="s">
        <v>2</v>
      </c>
      <c r="N677">
        <v>7000</v>
      </c>
      <c r="O677">
        <v>36</v>
      </c>
      <c r="P677">
        <v>682</v>
      </c>
      <c r="Q677">
        <v>0</v>
      </c>
      <c r="R677">
        <v>10196869942</v>
      </c>
      <c r="S677">
        <v>10550765.380000001</v>
      </c>
      <c r="T677">
        <v>10052411582.940001</v>
      </c>
      <c r="U677">
        <v>10116646109.110001</v>
      </c>
      <c r="V677">
        <v>0.14668800000000001</v>
      </c>
      <c r="W677">
        <v>7.8980999999999996E-2</v>
      </c>
    </row>
    <row r="678" spans="1:23" x14ac:dyDescent="0.35">
      <c r="A678" t="s">
        <v>0</v>
      </c>
      <c r="B678">
        <v>7500</v>
      </c>
      <c r="C678">
        <v>36</v>
      </c>
      <c r="D678">
        <v>3792</v>
      </c>
      <c r="E678">
        <v>0</v>
      </c>
      <c r="F678">
        <v>94809982412</v>
      </c>
      <c r="G678">
        <v>89583010.260000005</v>
      </c>
      <c r="H678">
        <v>92740527401</v>
      </c>
      <c r="I678">
        <v>93998555737.839996</v>
      </c>
      <c r="J678">
        <v>0.223721</v>
      </c>
      <c r="K678">
        <v>8.7633000000000003E-2</v>
      </c>
      <c r="M678" t="s">
        <v>2</v>
      </c>
      <c r="N678">
        <v>6500</v>
      </c>
      <c r="O678">
        <v>36</v>
      </c>
      <c r="P678">
        <v>1471</v>
      </c>
      <c r="Q678">
        <v>0</v>
      </c>
      <c r="R678">
        <v>24223173524</v>
      </c>
      <c r="S678">
        <v>27303098.949999999</v>
      </c>
      <c r="T678">
        <v>23802708905.610001</v>
      </c>
      <c r="U678">
        <v>24094159830.18</v>
      </c>
      <c r="V678">
        <v>0.17829</v>
      </c>
      <c r="W678">
        <v>4.9238999999999998E-2</v>
      </c>
    </row>
    <row r="679" spans="1:23" x14ac:dyDescent="0.35">
      <c r="A679" t="s">
        <v>2</v>
      </c>
      <c r="B679">
        <v>6750</v>
      </c>
      <c r="C679">
        <v>42</v>
      </c>
      <c r="D679">
        <v>2097</v>
      </c>
      <c r="E679">
        <v>0</v>
      </c>
      <c r="F679">
        <v>32981369729</v>
      </c>
      <c r="G679">
        <v>36986366.869999997</v>
      </c>
      <c r="H679">
        <v>32564283826</v>
      </c>
      <c r="I679">
        <v>32804588604.02</v>
      </c>
      <c r="J679">
        <v>0.129858</v>
      </c>
      <c r="K679">
        <v>4.9694000000000002E-2</v>
      </c>
      <c r="M679" t="s">
        <v>0</v>
      </c>
      <c r="N679">
        <v>7500</v>
      </c>
      <c r="O679">
        <v>36</v>
      </c>
      <c r="P679">
        <v>3008</v>
      </c>
      <c r="Q679">
        <v>0</v>
      </c>
      <c r="R679">
        <v>73561498594</v>
      </c>
      <c r="S679">
        <v>69505428.569999993</v>
      </c>
      <c r="T679">
        <v>72245993908.440002</v>
      </c>
      <c r="U679">
        <v>72930552181.970001</v>
      </c>
      <c r="V679">
        <v>0.18535199999999999</v>
      </c>
      <c r="W679">
        <v>8.7839E-2</v>
      </c>
    </row>
    <row r="680" spans="1:23" x14ac:dyDescent="0.35">
      <c r="A680" t="s">
        <v>0</v>
      </c>
      <c r="B680">
        <v>7750</v>
      </c>
      <c r="C680">
        <v>42</v>
      </c>
      <c r="D680">
        <v>1509</v>
      </c>
      <c r="E680">
        <v>0</v>
      </c>
      <c r="F680">
        <v>31782913218</v>
      </c>
      <c r="G680">
        <v>30007690.879999999</v>
      </c>
      <c r="H680">
        <v>30633522102</v>
      </c>
      <c r="I680">
        <v>31378447473.889999</v>
      </c>
      <c r="J680">
        <v>0.349659</v>
      </c>
      <c r="K680">
        <v>0.13256999999999999</v>
      </c>
      <c r="M680" t="s">
        <v>0</v>
      </c>
      <c r="N680">
        <v>8000</v>
      </c>
      <c r="O680">
        <v>42</v>
      </c>
      <c r="P680">
        <v>97</v>
      </c>
      <c r="Q680">
        <v>0</v>
      </c>
      <c r="R680">
        <v>2804589912</v>
      </c>
      <c r="S680">
        <v>2504499.48</v>
      </c>
      <c r="T680">
        <v>2738284235.8699999</v>
      </c>
      <c r="U680">
        <v>2802085412.52</v>
      </c>
      <c r="V680">
        <v>0.24129300000000001</v>
      </c>
      <c r="W680">
        <v>0</v>
      </c>
    </row>
    <row r="681" spans="1:23" x14ac:dyDescent="0.35">
      <c r="A681" t="s">
        <v>1</v>
      </c>
      <c r="B681">
        <v>6750</v>
      </c>
      <c r="C681">
        <v>42</v>
      </c>
      <c r="D681">
        <v>6677</v>
      </c>
      <c r="E681">
        <v>0</v>
      </c>
      <c r="F681">
        <v>182932474948</v>
      </c>
      <c r="G681">
        <v>205177189.83000001</v>
      </c>
      <c r="H681">
        <v>175424606440</v>
      </c>
      <c r="I681">
        <v>181175226759.47</v>
      </c>
      <c r="J681">
        <v>0.38667800000000002</v>
      </c>
      <c r="K681">
        <v>9.7194000000000003E-2</v>
      </c>
      <c r="M681" t="s">
        <v>0</v>
      </c>
      <c r="N681">
        <v>8000</v>
      </c>
      <c r="O681">
        <v>36</v>
      </c>
      <c r="P681">
        <v>104</v>
      </c>
      <c r="Q681">
        <v>0</v>
      </c>
      <c r="R681">
        <v>3060539187</v>
      </c>
      <c r="S681">
        <v>2658519.4900000002</v>
      </c>
      <c r="T681">
        <v>3015196082.3499999</v>
      </c>
      <c r="U681">
        <v>3041205830.4299998</v>
      </c>
      <c r="V681">
        <v>0.15510199999999999</v>
      </c>
      <c r="W681">
        <v>6.3455999999999999E-2</v>
      </c>
    </row>
    <row r="682" spans="1:23" x14ac:dyDescent="0.35">
      <c r="A682" t="s">
        <v>1</v>
      </c>
      <c r="B682">
        <v>6250</v>
      </c>
      <c r="C682">
        <v>42</v>
      </c>
      <c r="D682">
        <v>13069</v>
      </c>
      <c r="E682">
        <v>0</v>
      </c>
      <c r="F682">
        <v>387698171475</v>
      </c>
      <c r="G682">
        <v>475148763.94999999</v>
      </c>
      <c r="H682">
        <v>373957372480</v>
      </c>
      <c r="I682">
        <v>384992983968.34998</v>
      </c>
      <c r="J682">
        <v>0.341497</v>
      </c>
      <c r="K682">
        <v>6.6881999999999997E-2</v>
      </c>
      <c r="M682" t="s">
        <v>2</v>
      </c>
      <c r="N682">
        <v>6750</v>
      </c>
      <c r="O682">
        <v>42</v>
      </c>
      <c r="P682">
        <v>1708</v>
      </c>
      <c r="Q682">
        <v>0</v>
      </c>
      <c r="R682">
        <v>26925012815</v>
      </c>
      <c r="S682">
        <v>30074121.449999999</v>
      </c>
      <c r="T682">
        <v>26532270907.720001</v>
      </c>
      <c r="U682">
        <v>26800907960.619999</v>
      </c>
      <c r="V682">
        <v>0.15018200000000001</v>
      </c>
      <c r="W682">
        <v>4.1112000000000003E-2</v>
      </c>
    </row>
    <row r="683" spans="1:23" x14ac:dyDescent="0.35">
      <c r="A683" t="s">
        <v>0</v>
      </c>
      <c r="B683">
        <v>5750</v>
      </c>
      <c r="C683">
        <v>36</v>
      </c>
      <c r="D683">
        <v>45926</v>
      </c>
      <c r="E683">
        <v>0</v>
      </c>
      <c r="F683">
        <v>1413246742883</v>
      </c>
      <c r="G683">
        <v>1817833708.6099999</v>
      </c>
      <c r="H683">
        <v>1397579858041</v>
      </c>
      <c r="I683">
        <v>1407759138223.3401</v>
      </c>
      <c r="J683">
        <v>0.111458</v>
      </c>
      <c r="K683">
        <v>3.0719E-2</v>
      </c>
      <c r="M683" t="s">
        <v>0</v>
      </c>
      <c r="N683">
        <v>7750</v>
      </c>
      <c r="O683">
        <v>42</v>
      </c>
      <c r="P683">
        <v>1305</v>
      </c>
      <c r="Q683">
        <v>0</v>
      </c>
      <c r="R683">
        <v>27829063385</v>
      </c>
      <c r="S683">
        <v>26137570.68</v>
      </c>
      <c r="T683">
        <v>27158578937.580002</v>
      </c>
      <c r="U683">
        <v>27603438288.360001</v>
      </c>
      <c r="V683">
        <v>0.245056</v>
      </c>
      <c r="W683">
        <v>8.2708000000000004E-2</v>
      </c>
    </row>
    <row r="684" spans="1:23" x14ac:dyDescent="0.35">
      <c r="A684" t="s">
        <v>1</v>
      </c>
      <c r="B684">
        <v>5750</v>
      </c>
      <c r="C684">
        <v>36</v>
      </c>
      <c r="D684">
        <v>29038</v>
      </c>
      <c r="E684">
        <v>0</v>
      </c>
      <c r="F684">
        <v>1106689105887</v>
      </c>
      <c r="G684">
        <v>1422629368.1400001</v>
      </c>
      <c r="H684">
        <v>1083205775085</v>
      </c>
      <c r="I684">
        <v>1101949125636.1399</v>
      </c>
      <c r="J684">
        <v>0.21464900000000001</v>
      </c>
      <c r="K684">
        <v>3.5382999999999998E-2</v>
      </c>
      <c r="M684" t="s">
        <v>1</v>
      </c>
      <c r="N684">
        <v>6750</v>
      </c>
      <c r="O684">
        <v>42</v>
      </c>
      <c r="P684">
        <v>5496</v>
      </c>
      <c r="Q684">
        <v>0</v>
      </c>
      <c r="R684">
        <v>153944490478</v>
      </c>
      <c r="S684">
        <v>172092831.25</v>
      </c>
      <c r="T684">
        <v>146870090065.20999</v>
      </c>
      <c r="U684">
        <v>152783117867.04999</v>
      </c>
      <c r="V684">
        <v>0.42332199999999998</v>
      </c>
      <c r="W684">
        <v>7.4446999999999999E-2</v>
      </c>
    </row>
    <row r="685" spans="1:23" x14ac:dyDescent="0.35">
      <c r="A685" t="s">
        <v>2</v>
      </c>
      <c r="B685">
        <v>5250</v>
      </c>
      <c r="C685">
        <v>36</v>
      </c>
      <c r="D685">
        <v>521</v>
      </c>
      <c r="E685">
        <v>0</v>
      </c>
      <c r="F685">
        <v>12082327375</v>
      </c>
      <c r="G685">
        <v>16907216.899999999</v>
      </c>
      <c r="H685">
        <v>11934299766</v>
      </c>
      <c r="I685">
        <v>12031969008.799999</v>
      </c>
      <c r="J685">
        <v>0.122728</v>
      </c>
      <c r="K685">
        <v>3.2722000000000001E-2</v>
      </c>
      <c r="M685" t="s">
        <v>1</v>
      </c>
      <c r="N685">
        <v>6250</v>
      </c>
      <c r="O685">
        <v>42</v>
      </c>
      <c r="P685">
        <v>12026</v>
      </c>
      <c r="Q685">
        <v>0</v>
      </c>
      <c r="R685">
        <v>354172791777</v>
      </c>
      <c r="S685">
        <v>433524161.91000003</v>
      </c>
      <c r="T685">
        <v>341484485983.04999</v>
      </c>
      <c r="U685">
        <v>351968724223.02002</v>
      </c>
      <c r="V685">
        <v>0.344638</v>
      </c>
      <c r="W685">
        <v>5.8367000000000002E-2</v>
      </c>
    </row>
    <row r="686" spans="1:23" x14ac:dyDescent="0.35">
      <c r="A686" t="s">
        <v>0</v>
      </c>
      <c r="B686">
        <v>7250</v>
      </c>
      <c r="C686">
        <v>36</v>
      </c>
      <c r="D686">
        <v>19768</v>
      </c>
      <c r="E686">
        <v>0</v>
      </c>
      <c r="F686">
        <v>469497489462</v>
      </c>
      <c r="G686">
        <v>464604833.44999999</v>
      </c>
      <c r="H686">
        <v>456336827326</v>
      </c>
      <c r="I686">
        <v>464371742096.21002</v>
      </c>
      <c r="J686">
        <v>0.280335</v>
      </c>
      <c r="K686">
        <v>0.112841</v>
      </c>
      <c r="M686" t="s">
        <v>0</v>
      </c>
      <c r="N686">
        <v>5750</v>
      </c>
      <c r="O686">
        <v>36</v>
      </c>
      <c r="P686">
        <v>46429</v>
      </c>
      <c r="Q686">
        <v>0</v>
      </c>
      <c r="R686">
        <v>1415260799109</v>
      </c>
      <c r="S686">
        <v>1815865901.48</v>
      </c>
      <c r="T686">
        <v>1402805940067.1001</v>
      </c>
      <c r="U686">
        <v>1411220082435.25</v>
      </c>
      <c r="V686">
        <v>8.6569999999999994E-2</v>
      </c>
      <c r="W686">
        <v>1.8702E-2</v>
      </c>
    </row>
    <row r="687" spans="1:23" x14ac:dyDescent="0.35">
      <c r="A687" t="s">
        <v>0</v>
      </c>
      <c r="B687">
        <v>6750</v>
      </c>
      <c r="C687">
        <v>36</v>
      </c>
      <c r="D687">
        <v>48720</v>
      </c>
      <c r="E687">
        <v>0</v>
      </c>
      <c r="F687">
        <v>1264700991533</v>
      </c>
      <c r="G687">
        <v>1366264783.0699999</v>
      </c>
      <c r="H687">
        <v>1236432507509</v>
      </c>
      <c r="I687">
        <v>1254866601502.8201</v>
      </c>
      <c r="J687">
        <v>0.22741500000000001</v>
      </c>
      <c r="K687">
        <v>7.7454999999999996E-2</v>
      </c>
      <c r="M687" t="s">
        <v>1</v>
      </c>
      <c r="N687">
        <v>5750</v>
      </c>
      <c r="O687">
        <v>36</v>
      </c>
      <c r="P687">
        <v>29145</v>
      </c>
      <c r="Q687">
        <v>0</v>
      </c>
      <c r="R687">
        <v>1102349365836</v>
      </c>
      <c r="S687">
        <v>1414440955.3699999</v>
      </c>
      <c r="T687">
        <v>1076964144120.12</v>
      </c>
      <c r="U687">
        <v>1099057731992.78</v>
      </c>
      <c r="V687">
        <v>0.23188900000000001</v>
      </c>
      <c r="W687">
        <v>2.0244999999999999E-2</v>
      </c>
    </row>
    <row r="688" spans="1:23" x14ac:dyDescent="0.35">
      <c r="A688" t="s">
        <v>2</v>
      </c>
      <c r="B688">
        <v>5750</v>
      </c>
      <c r="C688">
        <v>36</v>
      </c>
      <c r="D688">
        <v>2031</v>
      </c>
      <c r="E688">
        <v>0</v>
      </c>
      <c r="F688">
        <v>41374871668</v>
      </c>
      <c r="G688">
        <v>53355968.590000004</v>
      </c>
      <c r="H688">
        <v>40944281535</v>
      </c>
      <c r="I688">
        <v>41166168639.290001</v>
      </c>
      <c r="J688">
        <v>0.104087</v>
      </c>
      <c r="K688">
        <v>4.4137000000000003E-2</v>
      </c>
      <c r="M688" t="s">
        <v>2</v>
      </c>
      <c r="N688">
        <v>5250</v>
      </c>
      <c r="O688">
        <v>36</v>
      </c>
      <c r="P688">
        <v>516</v>
      </c>
      <c r="Q688">
        <v>0</v>
      </c>
      <c r="R688">
        <v>11876264075</v>
      </c>
      <c r="S688">
        <v>16570604.890000001</v>
      </c>
      <c r="T688">
        <v>11788861507.360001</v>
      </c>
      <c r="U688">
        <v>11859693470.110001</v>
      </c>
      <c r="V688">
        <v>6.9267999999999996E-2</v>
      </c>
      <c r="W688">
        <v>0</v>
      </c>
    </row>
    <row r="689" spans="1:23" x14ac:dyDescent="0.35">
      <c r="A689" t="s">
        <v>1</v>
      </c>
      <c r="B689">
        <v>5250</v>
      </c>
      <c r="C689">
        <v>36</v>
      </c>
      <c r="D689">
        <v>12011</v>
      </c>
      <c r="E689">
        <v>0</v>
      </c>
      <c r="F689">
        <v>455122632962</v>
      </c>
      <c r="G689">
        <v>636106193.19000006</v>
      </c>
      <c r="H689">
        <v>448877592512</v>
      </c>
      <c r="I689">
        <v>453506174513.63</v>
      </c>
      <c r="J689">
        <v>0.138265</v>
      </c>
      <c r="K689">
        <v>2.5544000000000001E-2</v>
      </c>
      <c r="M689" t="s">
        <v>0</v>
      </c>
      <c r="N689">
        <v>7250</v>
      </c>
      <c r="O689">
        <v>36</v>
      </c>
      <c r="P689">
        <v>16368</v>
      </c>
      <c r="Q689">
        <v>0</v>
      </c>
      <c r="R689">
        <v>382461570578</v>
      </c>
      <c r="S689">
        <v>378403251.60000002</v>
      </c>
      <c r="T689">
        <v>370848831104.84003</v>
      </c>
      <c r="U689">
        <v>377588060024.91998</v>
      </c>
      <c r="V689">
        <v>0.300763</v>
      </c>
      <c r="W689">
        <v>0.132268</v>
      </c>
    </row>
    <row r="690" spans="1:23" x14ac:dyDescent="0.35">
      <c r="A690" t="s">
        <v>0</v>
      </c>
      <c r="B690">
        <v>5250</v>
      </c>
      <c r="C690">
        <v>36</v>
      </c>
      <c r="D690">
        <v>14932</v>
      </c>
      <c r="E690">
        <v>0</v>
      </c>
      <c r="F690">
        <v>483457833651</v>
      </c>
      <c r="G690">
        <v>675470721.32000005</v>
      </c>
      <c r="H690">
        <v>478673901498</v>
      </c>
      <c r="I690">
        <v>481778489039.25</v>
      </c>
      <c r="J690">
        <v>9.7342999999999999E-2</v>
      </c>
      <c r="K690">
        <v>2.4635000000000001E-2</v>
      </c>
      <c r="M690" t="s">
        <v>0</v>
      </c>
      <c r="N690">
        <v>6750</v>
      </c>
      <c r="O690">
        <v>36</v>
      </c>
      <c r="P690">
        <v>43975</v>
      </c>
      <c r="Q690">
        <v>0</v>
      </c>
      <c r="R690">
        <v>1119723628201</v>
      </c>
      <c r="S690">
        <v>1209334618.75</v>
      </c>
      <c r="T690">
        <v>1095100599696</v>
      </c>
      <c r="U690">
        <v>1113344461027.1899</v>
      </c>
      <c r="V690">
        <v>0.22398499999999999</v>
      </c>
      <c r="W690">
        <v>5.4018999999999998E-2</v>
      </c>
    </row>
    <row r="691" spans="1:23" x14ac:dyDescent="0.35">
      <c r="A691" t="s">
        <v>2</v>
      </c>
      <c r="B691">
        <v>6250</v>
      </c>
      <c r="C691">
        <v>36</v>
      </c>
      <c r="D691">
        <v>3604</v>
      </c>
      <c r="E691">
        <v>0</v>
      </c>
      <c r="F691">
        <v>64215360994</v>
      </c>
      <c r="G691">
        <v>75861382.439999998</v>
      </c>
      <c r="H691">
        <v>63586263743</v>
      </c>
      <c r="I691">
        <v>63944489552.5</v>
      </c>
      <c r="J691">
        <v>9.8623000000000002E-2</v>
      </c>
      <c r="K691">
        <v>3.5839000000000003E-2</v>
      </c>
      <c r="M691" t="s">
        <v>2</v>
      </c>
      <c r="N691">
        <v>5750</v>
      </c>
      <c r="O691">
        <v>36</v>
      </c>
      <c r="P691">
        <v>2173</v>
      </c>
      <c r="Q691">
        <v>0</v>
      </c>
      <c r="R691">
        <v>43548847039</v>
      </c>
      <c r="S691">
        <v>55997136.469999999</v>
      </c>
      <c r="T691">
        <v>43018433894.150002</v>
      </c>
      <c r="U691">
        <v>43316924181.410004</v>
      </c>
      <c r="V691">
        <v>0.123172</v>
      </c>
      <c r="W691">
        <v>4.7413999999999998E-2</v>
      </c>
    </row>
    <row r="692" spans="1:23" x14ac:dyDescent="0.35">
      <c r="A692" t="s">
        <v>1</v>
      </c>
      <c r="B692">
        <v>6250</v>
      </c>
      <c r="C692">
        <v>36</v>
      </c>
      <c r="D692">
        <v>21452</v>
      </c>
      <c r="E692">
        <v>0</v>
      </c>
      <c r="F692">
        <v>720461435125</v>
      </c>
      <c r="G692">
        <v>849271482.61000001</v>
      </c>
      <c r="H692">
        <v>698129264638</v>
      </c>
      <c r="I692">
        <v>716557501745.06995</v>
      </c>
      <c r="J692">
        <v>0.30459599999999998</v>
      </c>
      <c r="K692">
        <v>4.9709000000000003E-2</v>
      </c>
      <c r="M692" t="s">
        <v>1</v>
      </c>
      <c r="N692">
        <v>5250</v>
      </c>
      <c r="O692">
        <v>36</v>
      </c>
      <c r="P692">
        <v>12069</v>
      </c>
      <c r="Q692">
        <v>0</v>
      </c>
      <c r="R692">
        <v>458149277438</v>
      </c>
      <c r="S692">
        <v>638662521.50999999</v>
      </c>
      <c r="T692">
        <v>452287447028.63</v>
      </c>
      <c r="U692">
        <v>456513203350.79999</v>
      </c>
      <c r="V692">
        <v>0.12854699999999999</v>
      </c>
      <c r="W692">
        <v>2.5814E-2</v>
      </c>
    </row>
    <row r="693" spans="1:23" x14ac:dyDescent="0.35">
      <c r="A693" t="s">
        <v>1</v>
      </c>
      <c r="B693">
        <v>6750</v>
      </c>
      <c r="C693">
        <v>36</v>
      </c>
      <c r="D693">
        <v>12082</v>
      </c>
      <c r="E693">
        <v>0</v>
      </c>
      <c r="F693">
        <v>336395304942</v>
      </c>
      <c r="G693">
        <v>363912986.81999999</v>
      </c>
      <c r="H693">
        <v>321402628000</v>
      </c>
      <c r="I693">
        <v>333399276657.17999</v>
      </c>
      <c r="J693">
        <v>0.413468</v>
      </c>
      <c r="K693">
        <v>8.9956999999999995E-2</v>
      </c>
      <c r="M693" t="s">
        <v>0</v>
      </c>
      <c r="N693">
        <v>5250</v>
      </c>
      <c r="O693">
        <v>36</v>
      </c>
      <c r="P693">
        <v>14793</v>
      </c>
      <c r="Q693">
        <v>0</v>
      </c>
      <c r="R693">
        <v>475254530864</v>
      </c>
      <c r="S693">
        <v>662415052.10000002</v>
      </c>
      <c r="T693">
        <v>471786654558.25</v>
      </c>
      <c r="U693">
        <v>474031182778.67999</v>
      </c>
      <c r="V693">
        <v>6.8582000000000004E-2</v>
      </c>
      <c r="W693">
        <v>1.4071999999999999E-2</v>
      </c>
    </row>
    <row r="694" spans="1:23" x14ac:dyDescent="0.35">
      <c r="A694" t="s">
        <v>0</v>
      </c>
      <c r="B694">
        <v>6000</v>
      </c>
      <c r="C694">
        <v>30</v>
      </c>
      <c r="D694">
        <v>17486</v>
      </c>
      <c r="E694">
        <v>0</v>
      </c>
      <c r="F694">
        <v>542117011813</v>
      </c>
      <c r="G694">
        <v>641798511.75</v>
      </c>
      <c r="H694">
        <v>535978976625</v>
      </c>
      <c r="I694">
        <v>540026608099.83002</v>
      </c>
      <c r="J694">
        <v>0.115102</v>
      </c>
      <c r="K694">
        <v>3.1598000000000001E-2</v>
      </c>
      <c r="M694" t="s">
        <v>2</v>
      </c>
      <c r="N694">
        <v>6250</v>
      </c>
      <c r="O694">
        <v>36</v>
      </c>
      <c r="P694">
        <v>3681</v>
      </c>
      <c r="Q694">
        <v>0</v>
      </c>
      <c r="R694">
        <v>65038112643</v>
      </c>
      <c r="S694">
        <v>76742724.780000001</v>
      </c>
      <c r="T694">
        <v>64382131986.050003</v>
      </c>
      <c r="U694">
        <v>64836916689.029999</v>
      </c>
      <c r="V694">
        <v>0.10179100000000001</v>
      </c>
      <c r="W694">
        <v>2.2721999999999999E-2</v>
      </c>
    </row>
    <row r="695" spans="1:23" x14ac:dyDescent="0.35">
      <c r="A695" t="s">
        <v>0</v>
      </c>
      <c r="B695">
        <v>6250</v>
      </c>
      <c r="C695">
        <v>30</v>
      </c>
      <c r="D695">
        <v>26887</v>
      </c>
      <c r="E695">
        <v>0</v>
      </c>
      <c r="F695">
        <v>842867547040</v>
      </c>
      <c r="G695">
        <v>958470626.53999996</v>
      </c>
      <c r="H695">
        <v>827714179531</v>
      </c>
      <c r="I695">
        <v>839369859729.81006</v>
      </c>
      <c r="J695">
        <v>0.184387</v>
      </c>
      <c r="K695">
        <v>3.5557999999999999E-2</v>
      </c>
      <c r="M695" t="s">
        <v>1</v>
      </c>
      <c r="N695">
        <v>6250</v>
      </c>
      <c r="O695">
        <v>36</v>
      </c>
      <c r="P695">
        <v>20808</v>
      </c>
      <c r="Q695">
        <v>0</v>
      </c>
      <c r="R695">
        <v>687672272714</v>
      </c>
      <c r="S695">
        <v>810075529.59000003</v>
      </c>
      <c r="T695">
        <v>657235635125.01001</v>
      </c>
      <c r="U695">
        <v>684223785883.93005</v>
      </c>
      <c r="V695">
        <v>0.41048499999999999</v>
      </c>
      <c r="W695">
        <v>4.5081999999999997E-2</v>
      </c>
    </row>
    <row r="696" spans="1:23" x14ac:dyDescent="0.35">
      <c r="A696" t="s">
        <v>0</v>
      </c>
      <c r="B696">
        <v>6500</v>
      </c>
      <c r="C696">
        <v>30</v>
      </c>
      <c r="D696">
        <v>19107</v>
      </c>
      <c r="E696">
        <v>0</v>
      </c>
      <c r="F696">
        <v>528622607762</v>
      </c>
      <c r="G696">
        <v>574549268.42999995</v>
      </c>
      <c r="H696">
        <v>518092999494</v>
      </c>
      <c r="I696">
        <v>526312322312.20001</v>
      </c>
      <c r="J696">
        <v>0.203987</v>
      </c>
      <c r="K696">
        <v>3.8698000000000003E-2</v>
      </c>
      <c r="M696" t="s">
        <v>2</v>
      </c>
      <c r="N696">
        <v>6750</v>
      </c>
      <c r="O696">
        <v>36</v>
      </c>
      <c r="P696">
        <v>3238</v>
      </c>
      <c r="Q696">
        <v>0</v>
      </c>
      <c r="R696">
        <v>50433229478</v>
      </c>
      <c r="S696">
        <v>54660559.93</v>
      </c>
      <c r="T696">
        <v>49717062211.370003</v>
      </c>
      <c r="U696">
        <v>50194343332.800003</v>
      </c>
      <c r="V696">
        <v>0.14652499999999999</v>
      </c>
      <c r="W696">
        <v>4.2964000000000002E-2</v>
      </c>
    </row>
    <row r="697" spans="1:23" x14ac:dyDescent="0.35">
      <c r="A697" t="s">
        <v>2</v>
      </c>
      <c r="B697">
        <v>6750</v>
      </c>
      <c r="C697">
        <v>36</v>
      </c>
      <c r="D697">
        <v>3370</v>
      </c>
      <c r="E697">
        <v>0</v>
      </c>
      <c r="F697">
        <v>53254294301</v>
      </c>
      <c r="G697">
        <v>57729930.789999999</v>
      </c>
      <c r="H697">
        <v>52692587979</v>
      </c>
      <c r="I697">
        <v>52989426549.550003</v>
      </c>
      <c r="J697">
        <v>0.107835</v>
      </c>
      <c r="K697">
        <v>4.5690000000000001E-2</v>
      </c>
      <c r="M697" t="s">
        <v>1</v>
      </c>
      <c r="N697">
        <v>4250</v>
      </c>
      <c r="O697">
        <v>36</v>
      </c>
      <c r="P697">
        <v>539</v>
      </c>
      <c r="Q697">
        <v>0</v>
      </c>
      <c r="R697">
        <v>18335526239</v>
      </c>
      <c r="S697">
        <v>30251391.140000001</v>
      </c>
      <c r="T697">
        <v>18162244143.389999</v>
      </c>
      <c r="U697">
        <v>18162244143.389999</v>
      </c>
      <c r="V697">
        <v>8.9694999999999997E-2</v>
      </c>
      <c r="W697">
        <v>8.9694999999999997E-2</v>
      </c>
    </row>
    <row r="698" spans="1:23" x14ac:dyDescent="0.35">
      <c r="A698" t="s">
        <v>0</v>
      </c>
      <c r="B698">
        <v>6750</v>
      </c>
      <c r="C698">
        <v>30</v>
      </c>
      <c r="D698">
        <v>44547</v>
      </c>
      <c r="E698">
        <v>0</v>
      </c>
      <c r="F698">
        <v>1274874629373</v>
      </c>
      <c r="G698">
        <v>1329980877.1900001</v>
      </c>
      <c r="H698">
        <v>1246987936754</v>
      </c>
      <c r="I698">
        <v>1267249949961.72</v>
      </c>
      <c r="J698">
        <v>0.22323000000000001</v>
      </c>
      <c r="K698">
        <v>5.7667000000000003E-2</v>
      </c>
      <c r="M698" t="s">
        <v>0</v>
      </c>
      <c r="N698">
        <v>6000</v>
      </c>
      <c r="O698">
        <v>30</v>
      </c>
      <c r="P698">
        <v>18048</v>
      </c>
      <c r="Q698">
        <v>0</v>
      </c>
      <c r="R698">
        <v>546295082579</v>
      </c>
      <c r="S698">
        <v>648148540.07000005</v>
      </c>
      <c r="T698">
        <v>540107926416.22998</v>
      </c>
      <c r="U698">
        <v>544524925120.53003</v>
      </c>
      <c r="V698">
        <v>0.11511</v>
      </c>
      <c r="W698">
        <v>2.4369999999999999E-2</v>
      </c>
    </row>
    <row r="699" spans="1:23" x14ac:dyDescent="0.35">
      <c r="A699" t="s">
        <v>1</v>
      </c>
      <c r="B699">
        <v>6750</v>
      </c>
      <c r="C699">
        <v>30</v>
      </c>
      <c r="D699">
        <v>12521</v>
      </c>
      <c r="E699">
        <v>0</v>
      </c>
      <c r="F699">
        <v>388285571925</v>
      </c>
      <c r="G699">
        <v>405477374.38</v>
      </c>
      <c r="H699">
        <v>371297998682</v>
      </c>
      <c r="I699">
        <v>385829735138.90002</v>
      </c>
      <c r="J699">
        <v>0.407696</v>
      </c>
      <c r="K699">
        <v>6.1558000000000002E-2</v>
      </c>
      <c r="M699" t="s">
        <v>2</v>
      </c>
      <c r="N699">
        <v>6000</v>
      </c>
      <c r="O699">
        <v>30</v>
      </c>
      <c r="P699">
        <v>491</v>
      </c>
      <c r="Q699">
        <v>0</v>
      </c>
      <c r="R699">
        <v>10065244039</v>
      </c>
      <c r="S699">
        <v>11957890.810000001</v>
      </c>
      <c r="T699">
        <v>9991248788.6100006</v>
      </c>
      <c r="U699">
        <v>10053286148.190001</v>
      </c>
      <c r="V699">
        <v>7.1506E-2</v>
      </c>
      <c r="W699">
        <v>0</v>
      </c>
    </row>
    <row r="700" spans="1:23" x14ac:dyDescent="0.35">
      <c r="A700" t="s">
        <v>0</v>
      </c>
      <c r="B700">
        <v>7000</v>
      </c>
      <c r="C700">
        <v>30</v>
      </c>
      <c r="D700">
        <v>20819</v>
      </c>
      <c r="E700">
        <v>0</v>
      </c>
      <c r="F700">
        <v>529382897910</v>
      </c>
      <c r="G700">
        <v>528019288.68000001</v>
      </c>
      <c r="H700">
        <v>515919005795</v>
      </c>
      <c r="I700">
        <v>526458010638.17999</v>
      </c>
      <c r="J700">
        <v>0.25685999999999998</v>
      </c>
      <c r="K700">
        <v>5.2998999999999998E-2</v>
      </c>
      <c r="M700" t="s">
        <v>0</v>
      </c>
      <c r="N700">
        <v>6250</v>
      </c>
      <c r="O700">
        <v>30</v>
      </c>
      <c r="P700">
        <v>28930</v>
      </c>
      <c r="Q700">
        <v>0</v>
      </c>
      <c r="R700">
        <v>902356117007</v>
      </c>
      <c r="S700">
        <v>1030898606.52</v>
      </c>
      <c r="T700">
        <v>885090933684.27002</v>
      </c>
      <c r="U700">
        <v>899356644180.22998</v>
      </c>
      <c r="V700">
        <v>0.19575999999999999</v>
      </c>
      <c r="W700">
        <v>2.5867000000000001E-2</v>
      </c>
    </row>
    <row r="701" spans="1:23" x14ac:dyDescent="0.35">
      <c r="A701" t="s">
        <v>0</v>
      </c>
      <c r="B701">
        <v>7500</v>
      </c>
      <c r="C701">
        <v>30</v>
      </c>
      <c r="D701">
        <v>11117</v>
      </c>
      <c r="E701">
        <v>0</v>
      </c>
      <c r="F701">
        <v>281554369562</v>
      </c>
      <c r="G701">
        <v>255943913.59999999</v>
      </c>
      <c r="H701">
        <v>273380289736</v>
      </c>
      <c r="I701">
        <v>279220351959.29999</v>
      </c>
      <c r="J701">
        <v>0.28987299999999999</v>
      </c>
      <c r="K701">
        <v>8.5059999999999997E-2</v>
      </c>
      <c r="M701" t="s">
        <v>0</v>
      </c>
      <c r="N701">
        <v>6500</v>
      </c>
      <c r="O701">
        <v>30</v>
      </c>
      <c r="P701">
        <v>20955</v>
      </c>
      <c r="Q701">
        <v>0</v>
      </c>
      <c r="R701">
        <v>574757587686</v>
      </c>
      <c r="S701">
        <v>624749818.45000005</v>
      </c>
      <c r="T701">
        <v>565217936866.41003</v>
      </c>
      <c r="U701">
        <v>573143594756.76001</v>
      </c>
      <c r="V701">
        <v>0.171043</v>
      </c>
      <c r="W701">
        <v>2.0459000000000001E-2</v>
      </c>
    </row>
    <row r="702" spans="1:23" x14ac:dyDescent="0.35">
      <c r="A702" t="s">
        <v>1</v>
      </c>
      <c r="B702">
        <v>6500</v>
      </c>
      <c r="C702">
        <v>30</v>
      </c>
      <c r="D702">
        <v>6173</v>
      </c>
      <c r="E702">
        <v>0</v>
      </c>
      <c r="F702">
        <v>199889604062</v>
      </c>
      <c r="G702">
        <v>217369145.5</v>
      </c>
      <c r="H702">
        <v>191889798615</v>
      </c>
      <c r="I702">
        <v>199092842136.07001</v>
      </c>
      <c r="J702">
        <v>0.37907299999999999</v>
      </c>
      <c r="K702">
        <v>3.4234000000000001E-2</v>
      </c>
      <c r="M702" t="s">
        <v>2</v>
      </c>
      <c r="N702">
        <v>6250</v>
      </c>
      <c r="O702">
        <v>30</v>
      </c>
      <c r="P702">
        <v>1129</v>
      </c>
      <c r="Q702">
        <v>0</v>
      </c>
      <c r="R702">
        <v>22283580248</v>
      </c>
      <c r="S702">
        <v>25455116.91</v>
      </c>
      <c r="T702">
        <v>22139763620.639999</v>
      </c>
      <c r="U702">
        <v>22219743992.759998</v>
      </c>
      <c r="V702">
        <v>6.191E-2</v>
      </c>
      <c r="W702">
        <v>2.0473999999999999E-2</v>
      </c>
    </row>
    <row r="703" spans="1:23" x14ac:dyDescent="0.35">
      <c r="A703" t="s">
        <v>1</v>
      </c>
      <c r="B703">
        <v>7000</v>
      </c>
      <c r="C703">
        <v>30</v>
      </c>
      <c r="D703">
        <v>4863</v>
      </c>
      <c r="E703">
        <v>0</v>
      </c>
      <c r="F703">
        <v>136018808996</v>
      </c>
      <c r="G703">
        <v>135895685.31</v>
      </c>
      <c r="H703">
        <v>130439210394</v>
      </c>
      <c r="I703">
        <v>134974467599.64999</v>
      </c>
      <c r="J703">
        <v>0.38745600000000002</v>
      </c>
      <c r="K703">
        <v>7.7266000000000001E-2</v>
      </c>
      <c r="M703" t="s">
        <v>2</v>
      </c>
      <c r="N703">
        <v>6500</v>
      </c>
      <c r="O703">
        <v>30</v>
      </c>
      <c r="P703">
        <v>1158</v>
      </c>
      <c r="Q703">
        <v>0</v>
      </c>
      <c r="R703">
        <v>21401314261</v>
      </c>
      <c r="S703">
        <v>23359761.359999999</v>
      </c>
      <c r="T703">
        <v>21261665246.599998</v>
      </c>
      <c r="U703">
        <v>21341810694.540001</v>
      </c>
      <c r="V703">
        <v>6.3291E-2</v>
      </c>
      <c r="W703">
        <v>2.0079E-2</v>
      </c>
    </row>
    <row r="704" spans="1:23" x14ac:dyDescent="0.35">
      <c r="A704" t="s">
        <v>2</v>
      </c>
      <c r="B704">
        <v>7000</v>
      </c>
      <c r="C704">
        <v>30</v>
      </c>
      <c r="D704">
        <v>1490</v>
      </c>
      <c r="E704">
        <v>0</v>
      </c>
      <c r="F704">
        <v>25498855629</v>
      </c>
      <c r="G704">
        <v>25507980.649999999</v>
      </c>
      <c r="H704">
        <v>25194541080</v>
      </c>
      <c r="I704">
        <v>25388978572.700001</v>
      </c>
      <c r="J704">
        <v>0.123599</v>
      </c>
      <c r="K704">
        <v>3.8989999999999997E-2</v>
      </c>
      <c r="M704" t="s">
        <v>1</v>
      </c>
      <c r="N704">
        <v>6500</v>
      </c>
      <c r="O704">
        <v>30</v>
      </c>
      <c r="P704">
        <v>6666</v>
      </c>
      <c r="Q704">
        <v>0</v>
      </c>
      <c r="R704">
        <v>214865104581</v>
      </c>
      <c r="S704">
        <v>233423485.97</v>
      </c>
      <c r="T704">
        <v>206707896740.76001</v>
      </c>
      <c r="U704">
        <v>214175293917.48999</v>
      </c>
      <c r="V704">
        <v>0.36294599999999999</v>
      </c>
      <c r="W704">
        <v>2.5193E-2</v>
      </c>
    </row>
    <row r="705" spans="1:23" x14ac:dyDescent="0.35">
      <c r="A705" t="s">
        <v>0</v>
      </c>
      <c r="B705">
        <v>7250</v>
      </c>
      <c r="C705">
        <v>30</v>
      </c>
      <c r="D705">
        <v>37298</v>
      </c>
      <c r="E705">
        <v>0</v>
      </c>
      <c r="F705">
        <v>964897479130</v>
      </c>
      <c r="G705">
        <v>921105774.62</v>
      </c>
      <c r="H705">
        <v>932913689676</v>
      </c>
      <c r="I705">
        <v>956467659733.93994</v>
      </c>
      <c r="J705">
        <v>0.32474700000000001</v>
      </c>
      <c r="K705">
        <v>8.9487999999999998E-2</v>
      </c>
      <c r="M705" t="s">
        <v>0</v>
      </c>
      <c r="N705">
        <v>6750</v>
      </c>
      <c r="O705">
        <v>30</v>
      </c>
      <c r="P705">
        <v>49099</v>
      </c>
      <c r="Q705">
        <v>0</v>
      </c>
      <c r="R705">
        <v>1402595485971</v>
      </c>
      <c r="S705">
        <v>1463582645.71</v>
      </c>
      <c r="T705">
        <v>1368765635297.02</v>
      </c>
      <c r="U705">
        <v>1396393576132.3301</v>
      </c>
      <c r="V705">
        <v>0.244335</v>
      </c>
      <c r="W705">
        <v>3.9794000000000003E-2</v>
      </c>
    </row>
    <row r="706" spans="1:23" x14ac:dyDescent="0.35">
      <c r="A706" t="s">
        <v>2</v>
      </c>
      <c r="B706">
        <v>7250</v>
      </c>
      <c r="C706">
        <v>36</v>
      </c>
      <c r="D706">
        <v>1446</v>
      </c>
      <c r="E706">
        <v>0</v>
      </c>
      <c r="F706">
        <v>20842407669</v>
      </c>
      <c r="G706">
        <v>20658468.41</v>
      </c>
      <c r="H706">
        <v>20401429019</v>
      </c>
      <c r="I706">
        <v>20649573128.689999</v>
      </c>
      <c r="J706">
        <v>0.21688199999999999</v>
      </c>
      <c r="K706">
        <v>9.4747999999999999E-2</v>
      </c>
      <c r="M706" t="s">
        <v>1</v>
      </c>
      <c r="N706">
        <v>6750</v>
      </c>
      <c r="O706">
        <v>30</v>
      </c>
      <c r="P706">
        <v>13910</v>
      </c>
      <c r="Q706">
        <v>0</v>
      </c>
      <c r="R706">
        <v>436016394575</v>
      </c>
      <c r="S706">
        <v>455175055.58999997</v>
      </c>
      <c r="T706">
        <v>414147842971.22998</v>
      </c>
      <c r="U706">
        <v>433665347622.44</v>
      </c>
      <c r="V706">
        <v>0.45354299999999997</v>
      </c>
      <c r="W706">
        <v>5.0948E-2</v>
      </c>
    </row>
    <row r="707" spans="1:23" x14ac:dyDescent="0.35">
      <c r="A707" t="s">
        <v>2</v>
      </c>
      <c r="B707">
        <v>6750</v>
      </c>
      <c r="C707">
        <v>30</v>
      </c>
      <c r="D707">
        <v>2390</v>
      </c>
      <c r="E707">
        <v>0</v>
      </c>
      <c r="F707">
        <v>43037113174</v>
      </c>
      <c r="G707">
        <v>44980395.619999997</v>
      </c>
      <c r="H707">
        <v>42460760001</v>
      </c>
      <c r="I707">
        <v>42888721251.949997</v>
      </c>
      <c r="J707">
        <v>0.13850399999999999</v>
      </c>
      <c r="K707">
        <v>2.8455999999999999E-2</v>
      </c>
      <c r="M707" t="s">
        <v>2</v>
      </c>
      <c r="N707">
        <v>6750</v>
      </c>
      <c r="O707">
        <v>30</v>
      </c>
      <c r="P707">
        <v>2637</v>
      </c>
      <c r="Q707">
        <v>0</v>
      </c>
      <c r="R707">
        <v>47184195524</v>
      </c>
      <c r="S707">
        <v>49356299.259999998</v>
      </c>
      <c r="T707">
        <v>46396849447.559998</v>
      </c>
      <c r="U707">
        <v>47016495884.800003</v>
      </c>
      <c r="V707">
        <v>0.17235500000000001</v>
      </c>
      <c r="W707">
        <v>2.9686000000000001E-2</v>
      </c>
    </row>
    <row r="708" spans="1:23" x14ac:dyDescent="0.35">
      <c r="A708" t="s">
        <v>1</v>
      </c>
      <c r="B708">
        <v>7250</v>
      </c>
      <c r="C708">
        <v>30</v>
      </c>
      <c r="D708">
        <v>6210</v>
      </c>
      <c r="E708">
        <v>0</v>
      </c>
      <c r="F708">
        <v>166225890496</v>
      </c>
      <c r="G708">
        <v>158843305.53</v>
      </c>
      <c r="H708">
        <v>156817186981</v>
      </c>
      <c r="I708">
        <v>164305711610.64001</v>
      </c>
      <c r="J708">
        <v>0.496944</v>
      </c>
      <c r="K708">
        <v>0.11999799999999999</v>
      </c>
      <c r="M708" t="s">
        <v>0</v>
      </c>
      <c r="N708">
        <v>7000</v>
      </c>
      <c r="O708">
        <v>30</v>
      </c>
      <c r="P708">
        <v>23182</v>
      </c>
      <c r="Q708">
        <v>0</v>
      </c>
      <c r="R708">
        <v>597273804349</v>
      </c>
      <c r="S708">
        <v>594708455.60000002</v>
      </c>
      <c r="T708">
        <v>579702613106.55005</v>
      </c>
      <c r="U708">
        <v>592436276190.44995</v>
      </c>
      <c r="V708">
        <v>0.29250199999999998</v>
      </c>
      <c r="W708">
        <v>8.1990999999999994E-2</v>
      </c>
    </row>
    <row r="709" spans="1:23" x14ac:dyDescent="0.35">
      <c r="A709" t="s">
        <v>2</v>
      </c>
      <c r="B709">
        <v>7250</v>
      </c>
      <c r="C709">
        <v>30</v>
      </c>
      <c r="D709">
        <v>3008</v>
      </c>
      <c r="E709">
        <v>0</v>
      </c>
      <c r="F709">
        <v>47213256129</v>
      </c>
      <c r="G709">
        <v>45170157.159999996</v>
      </c>
      <c r="H709">
        <v>46165127717</v>
      </c>
      <c r="I709">
        <v>46876091744.580002</v>
      </c>
      <c r="J709">
        <v>0.22714500000000001</v>
      </c>
      <c r="K709">
        <v>7.1742E-2</v>
      </c>
      <c r="M709" t="s">
        <v>0</v>
      </c>
      <c r="N709">
        <v>7500</v>
      </c>
      <c r="O709">
        <v>30</v>
      </c>
      <c r="P709">
        <v>11794</v>
      </c>
      <c r="Q709">
        <v>0</v>
      </c>
      <c r="R709">
        <v>302284937812</v>
      </c>
      <c r="S709">
        <v>273751399.75999999</v>
      </c>
      <c r="T709">
        <v>293524799467.5</v>
      </c>
      <c r="U709">
        <v>299667760625.45001</v>
      </c>
      <c r="V709">
        <v>0.28944500000000001</v>
      </c>
      <c r="W709">
        <v>8.9163000000000006E-2</v>
      </c>
    </row>
    <row r="710" spans="1:23" x14ac:dyDescent="0.35">
      <c r="A710" t="s">
        <v>1</v>
      </c>
      <c r="B710">
        <v>7250</v>
      </c>
      <c r="C710">
        <v>36</v>
      </c>
      <c r="D710">
        <v>3498</v>
      </c>
      <c r="E710">
        <v>0</v>
      </c>
      <c r="F710">
        <v>83858327774</v>
      </c>
      <c r="G710">
        <v>83221897.260000005</v>
      </c>
      <c r="H710">
        <v>80114129225</v>
      </c>
      <c r="I710">
        <v>82992720724.410004</v>
      </c>
      <c r="J710">
        <v>0.414717</v>
      </c>
      <c r="K710">
        <v>0.106388</v>
      </c>
      <c r="M710" t="s">
        <v>1</v>
      </c>
      <c r="N710">
        <v>7000</v>
      </c>
      <c r="O710">
        <v>30</v>
      </c>
      <c r="P710">
        <v>5464</v>
      </c>
      <c r="Q710">
        <v>0</v>
      </c>
      <c r="R710">
        <v>153766326452</v>
      </c>
      <c r="S710">
        <v>153069617.33000001</v>
      </c>
      <c r="T710">
        <v>145450484545.16</v>
      </c>
      <c r="U710">
        <v>152947003736.53</v>
      </c>
      <c r="V710">
        <v>0.48032900000000001</v>
      </c>
      <c r="W710">
        <v>5.0772999999999999E-2</v>
      </c>
    </row>
    <row r="711" spans="1:23" x14ac:dyDescent="0.35">
      <c r="A711" t="s">
        <v>2</v>
      </c>
      <c r="B711">
        <v>6000</v>
      </c>
      <c r="C711">
        <v>30</v>
      </c>
      <c r="D711">
        <v>471</v>
      </c>
      <c r="E711">
        <v>0</v>
      </c>
      <c r="F711">
        <v>9922380723</v>
      </c>
      <c r="G711">
        <v>11761124.029999999</v>
      </c>
      <c r="H711">
        <v>9863060092</v>
      </c>
      <c r="I711">
        <v>9909043466.8199997</v>
      </c>
      <c r="J711">
        <v>5.6025999999999999E-2</v>
      </c>
      <c r="K711">
        <v>1.9040000000000001E-3</v>
      </c>
      <c r="M711" t="s">
        <v>2</v>
      </c>
      <c r="N711">
        <v>7000</v>
      </c>
      <c r="O711">
        <v>30</v>
      </c>
      <c r="P711">
        <v>1628</v>
      </c>
      <c r="Q711">
        <v>0</v>
      </c>
      <c r="R711">
        <v>27729801277</v>
      </c>
      <c r="S711">
        <v>27717284.469999999</v>
      </c>
      <c r="T711">
        <v>27426803642.709999</v>
      </c>
      <c r="U711">
        <v>27670867348.52</v>
      </c>
      <c r="V711">
        <v>0.112833</v>
      </c>
      <c r="W711">
        <v>1.3426E-2</v>
      </c>
    </row>
    <row r="712" spans="1:23" x14ac:dyDescent="0.35">
      <c r="A712" t="s">
        <v>1</v>
      </c>
      <c r="B712">
        <v>6000</v>
      </c>
      <c r="C712">
        <v>30</v>
      </c>
      <c r="D712">
        <v>9064</v>
      </c>
      <c r="E712">
        <v>0</v>
      </c>
      <c r="F712">
        <v>323555297506</v>
      </c>
      <c r="G712">
        <v>384456647.00999999</v>
      </c>
      <c r="H712">
        <v>313700957556</v>
      </c>
      <c r="I712">
        <v>321905364896.10999</v>
      </c>
      <c r="J712">
        <v>0.29985000000000001</v>
      </c>
      <c r="K712">
        <v>4.5936999999999999E-2</v>
      </c>
      <c r="M712" t="s">
        <v>0</v>
      </c>
      <c r="N712">
        <v>7250</v>
      </c>
      <c r="O712">
        <v>30</v>
      </c>
      <c r="P712">
        <v>40402</v>
      </c>
      <c r="Q712">
        <v>0</v>
      </c>
      <c r="R712">
        <v>1047595254859</v>
      </c>
      <c r="S712">
        <v>997392795.55999994</v>
      </c>
      <c r="T712">
        <v>1013077809764.79</v>
      </c>
      <c r="U712">
        <v>1038168714452.6899</v>
      </c>
      <c r="V712">
        <v>0.32310800000000001</v>
      </c>
      <c r="W712">
        <v>9.2394000000000004E-2</v>
      </c>
    </row>
    <row r="713" spans="1:23" x14ac:dyDescent="0.35">
      <c r="A713" t="s">
        <v>1</v>
      </c>
      <c r="B713">
        <v>6250</v>
      </c>
      <c r="C713">
        <v>30</v>
      </c>
      <c r="D713">
        <v>12120</v>
      </c>
      <c r="E713">
        <v>0</v>
      </c>
      <c r="F713">
        <v>422942368494</v>
      </c>
      <c r="G713">
        <v>480695308.97000003</v>
      </c>
      <c r="H713">
        <v>409281315129</v>
      </c>
      <c r="I713">
        <v>420585681566.17999</v>
      </c>
      <c r="J713">
        <v>0.316079</v>
      </c>
      <c r="K713">
        <v>5.1947E-2</v>
      </c>
      <c r="M713" t="s">
        <v>2</v>
      </c>
      <c r="N713">
        <v>7250</v>
      </c>
      <c r="O713">
        <v>36</v>
      </c>
      <c r="P713">
        <v>1210</v>
      </c>
      <c r="Q713">
        <v>0</v>
      </c>
      <c r="R713">
        <v>16879679877</v>
      </c>
      <c r="S713">
        <v>16741651.99</v>
      </c>
      <c r="T713">
        <v>16662892227.02</v>
      </c>
      <c r="U713">
        <v>16828230826.74</v>
      </c>
      <c r="V713">
        <v>0.133302</v>
      </c>
      <c r="W713">
        <v>2.4396999999999999E-2</v>
      </c>
    </row>
    <row r="714" spans="1:23" x14ac:dyDescent="0.35">
      <c r="A714" t="s">
        <v>2</v>
      </c>
      <c r="B714">
        <v>6500</v>
      </c>
      <c r="C714">
        <v>30</v>
      </c>
      <c r="D714">
        <v>1016</v>
      </c>
      <c r="E714">
        <v>0</v>
      </c>
      <c r="F714">
        <v>18696824415</v>
      </c>
      <c r="G714">
        <v>20360071.949999999</v>
      </c>
      <c r="H714">
        <v>18457188345</v>
      </c>
      <c r="I714">
        <v>18615966787.369999</v>
      </c>
      <c r="J714">
        <v>0.13200300000000001</v>
      </c>
      <c r="K714">
        <v>3.8144999999999998E-2</v>
      </c>
      <c r="M714" t="s">
        <v>1</v>
      </c>
      <c r="N714">
        <v>7250</v>
      </c>
      <c r="O714">
        <v>30</v>
      </c>
      <c r="P714">
        <v>6894</v>
      </c>
      <c r="Q714">
        <v>0</v>
      </c>
      <c r="R714">
        <v>184892578893</v>
      </c>
      <c r="S714">
        <v>176142566.46000001</v>
      </c>
      <c r="T714">
        <v>173366316831.26001</v>
      </c>
      <c r="U714">
        <v>182986011711.32999</v>
      </c>
      <c r="V714">
        <v>0.53244199999999997</v>
      </c>
      <c r="W714">
        <v>0.10670399999999999</v>
      </c>
    </row>
    <row r="715" spans="1:23" x14ac:dyDescent="0.35">
      <c r="A715" t="s">
        <v>2</v>
      </c>
      <c r="B715">
        <v>6250</v>
      </c>
      <c r="C715">
        <v>30</v>
      </c>
      <c r="D715">
        <v>993</v>
      </c>
      <c r="E715">
        <v>0</v>
      </c>
      <c r="F715">
        <v>20112463005</v>
      </c>
      <c r="G715">
        <v>22868568.129999999</v>
      </c>
      <c r="H715">
        <v>19715365129</v>
      </c>
      <c r="I715">
        <v>19914954331.66</v>
      </c>
      <c r="J715">
        <v>0.201792</v>
      </c>
      <c r="K715">
        <v>9.9363000000000007E-2</v>
      </c>
      <c r="M715" t="s">
        <v>2</v>
      </c>
      <c r="N715">
        <v>7250</v>
      </c>
      <c r="O715">
        <v>30</v>
      </c>
      <c r="P715">
        <v>3219</v>
      </c>
      <c r="Q715">
        <v>0</v>
      </c>
      <c r="R715">
        <v>50777952537</v>
      </c>
      <c r="S715">
        <v>48445063.909999996</v>
      </c>
      <c r="T715">
        <v>49722751518.199997</v>
      </c>
      <c r="U715">
        <v>50498767864.129997</v>
      </c>
      <c r="V715">
        <v>0.213616</v>
      </c>
      <c r="W715">
        <v>5.3186999999999998E-2</v>
      </c>
    </row>
    <row r="716" spans="1:23" x14ac:dyDescent="0.35">
      <c r="A716" t="s">
        <v>1</v>
      </c>
      <c r="B716">
        <v>7500</v>
      </c>
      <c r="C716">
        <v>30</v>
      </c>
      <c r="D716">
        <v>1771</v>
      </c>
      <c r="E716">
        <v>0</v>
      </c>
      <c r="F716">
        <v>44373922330</v>
      </c>
      <c r="G716">
        <v>40455695.939999998</v>
      </c>
      <c r="H716">
        <v>41827570834</v>
      </c>
      <c r="I716">
        <v>43894355501.940002</v>
      </c>
      <c r="J716">
        <v>0.50219899999999995</v>
      </c>
      <c r="K716">
        <v>0.112494</v>
      </c>
      <c r="M716" t="s">
        <v>1</v>
      </c>
      <c r="N716">
        <v>7250</v>
      </c>
      <c r="O716">
        <v>36</v>
      </c>
      <c r="P716">
        <v>3020</v>
      </c>
      <c r="Q716">
        <v>0</v>
      </c>
      <c r="R716">
        <v>71402282321</v>
      </c>
      <c r="S716">
        <v>70805963.549999997</v>
      </c>
      <c r="T716">
        <v>68203550606.449997</v>
      </c>
      <c r="U716">
        <v>70391120596.179993</v>
      </c>
      <c r="V716">
        <v>0.415821</v>
      </c>
      <c r="W716">
        <v>0.14707899999999999</v>
      </c>
    </row>
    <row r="717" spans="1:23" x14ac:dyDescent="0.35">
      <c r="A717" t="s">
        <v>0</v>
      </c>
      <c r="B717">
        <v>7750</v>
      </c>
      <c r="C717">
        <v>30</v>
      </c>
      <c r="D717">
        <v>17756</v>
      </c>
      <c r="E717">
        <v>0</v>
      </c>
      <c r="F717">
        <v>429342564936</v>
      </c>
      <c r="G717">
        <v>373889988.66000003</v>
      </c>
      <c r="H717">
        <v>413219315718</v>
      </c>
      <c r="I717">
        <v>424272191593.38</v>
      </c>
      <c r="J717">
        <v>0.36139300000000002</v>
      </c>
      <c r="K717">
        <v>0.123649</v>
      </c>
      <c r="M717" t="s">
        <v>1</v>
      </c>
      <c r="N717">
        <v>6250</v>
      </c>
      <c r="O717">
        <v>30</v>
      </c>
      <c r="P717">
        <v>12399</v>
      </c>
      <c r="Q717">
        <v>0</v>
      </c>
      <c r="R717">
        <v>444106907256</v>
      </c>
      <c r="S717">
        <v>507773368.12</v>
      </c>
      <c r="T717">
        <v>425131437965.77002</v>
      </c>
      <c r="U717">
        <v>442281709215.41998</v>
      </c>
      <c r="V717">
        <v>0.399312</v>
      </c>
      <c r="W717">
        <v>3.5021999999999998E-2</v>
      </c>
    </row>
    <row r="718" spans="1:23" x14ac:dyDescent="0.35">
      <c r="A718" t="s">
        <v>2</v>
      </c>
      <c r="B718">
        <v>7500</v>
      </c>
      <c r="C718">
        <v>30</v>
      </c>
      <c r="D718">
        <v>661</v>
      </c>
      <c r="E718">
        <v>0</v>
      </c>
      <c r="F718">
        <v>10441120897</v>
      </c>
      <c r="G718">
        <v>9457738.7699999996</v>
      </c>
      <c r="H718">
        <v>10177616345</v>
      </c>
      <c r="I718">
        <v>10396512862.66</v>
      </c>
      <c r="J718">
        <v>0.25590600000000002</v>
      </c>
      <c r="K718">
        <v>3.9659E-2</v>
      </c>
      <c r="M718" t="s">
        <v>0</v>
      </c>
      <c r="N718">
        <v>5750</v>
      </c>
      <c r="O718">
        <v>30</v>
      </c>
      <c r="P718">
        <v>14008</v>
      </c>
      <c r="Q718">
        <v>0</v>
      </c>
      <c r="R718">
        <v>457961544936</v>
      </c>
      <c r="S718">
        <v>570418485.98000002</v>
      </c>
      <c r="T718">
        <v>454329331971.47998</v>
      </c>
      <c r="U718">
        <v>456923709404.03003</v>
      </c>
      <c r="V718">
        <v>7.7342999999999995E-2</v>
      </c>
      <c r="W718">
        <v>1.2179000000000001E-2</v>
      </c>
    </row>
    <row r="719" spans="1:23" x14ac:dyDescent="0.35">
      <c r="A719" t="s">
        <v>0</v>
      </c>
      <c r="B719">
        <v>5000</v>
      </c>
      <c r="C719">
        <v>30</v>
      </c>
      <c r="D719">
        <v>6631</v>
      </c>
      <c r="E719">
        <v>0</v>
      </c>
      <c r="F719">
        <v>217118178462</v>
      </c>
      <c r="G719">
        <v>304410067.01999998</v>
      </c>
      <c r="H719">
        <v>215809167145</v>
      </c>
      <c r="I719">
        <v>216539184052.72</v>
      </c>
      <c r="J719">
        <v>5.4132E-2</v>
      </c>
      <c r="K719">
        <v>1.5070999999999999E-2</v>
      </c>
      <c r="M719" t="s">
        <v>1</v>
      </c>
      <c r="N719">
        <v>6000</v>
      </c>
      <c r="O719">
        <v>30</v>
      </c>
      <c r="P719">
        <v>9221</v>
      </c>
      <c r="Q719">
        <v>0</v>
      </c>
      <c r="R719">
        <v>333684501725</v>
      </c>
      <c r="S719">
        <v>397830796.87</v>
      </c>
      <c r="T719">
        <v>323305968528.71002</v>
      </c>
      <c r="U719">
        <v>332527345338.26001</v>
      </c>
      <c r="V719">
        <v>0.30538999999999999</v>
      </c>
      <c r="W719">
        <v>2.6967999999999999E-2</v>
      </c>
    </row>
    <row r="720" spans="1:23" x14ac:dyDescent="0.35">
      <c r="A720" t="s">
        <v>0</v>
      </c>
      <c r="B720">
        <v>5500</v>
      </c>
      <c r="C720">
        <v>30</v>
      </c>
      <c r="D720">
        <v>9245</v>
      </c>
      <c r="E720">
        <v>0</v>
      </c>
      <c r="F720">
        <v>306734979930</v>
      </c>
      <c r="G720">
        <v>395711967.51999998</v>
      </c>
      <c r="H720">
        <v>304102837293</v>
      </c>
      <c r="I720">
        <v>305495871245.56</v>
      </c>
      <c r="J720">
        <v>8.4068000000000004E-2</v>
      </c>
      <c r="K720">
        <v>3.2501000000000002E-2</v>
      </c>
      <c r="M720" t="s">
        <v>1</v>
      </c>
      <c r="N720">
        <v>7500</v>
      </c>
      <c r="O720">
        <v>30</v>
      </c>
      <c r="P720">
        <v>1846</v>
      </c>
      <c r="Q720">
        <v>0</v>
      </c>
      <c r="R720">
        <v>46754120850</v>
      </c>
      <c r="S720">
        <v>42397714.329999998</v>
      </c>
      <c r="T720">
        <v>43875959920.720001</v>
      </c>
      <c r="U720">
        <v>46355564293.75</v>
      </c>
      <c r="V720">
        <v>0.52803</v>
      </c>
      <c r="W720">
        <v>8.7678000000000006E-2</v>
      </c>
    </row>
    <row r="721" spans="1:23" x14ac:dyDescent="0.35">
      <c r="A721" t="s">
        <v>1</v>
      </c>
      <c r="B721">
        <v>5500</v>
      </c>
      <c r="C721">
        <v>30</v>
      </c>
      <c r="D721">
        <v>5053</v>
      </c>
      <c r="E721">
        <v>0</v>
      </c>
      <c r="F721">
        <v>189085508124</v>
      </c>
      <c r="G721">
        <v>244236227.44</v>
      </c>
      <c r="H721">
        <v>186742336646</v>
      </c>
      <c r="I721">
        <v>188428919247.42999</v>
      </c>
      <c r="J721">
        <v>0.12536600000000001</v>
      </c>
      <c r="K721">
        <v>2.5857999999999999E-2</v>
      </c>
      <c r="M721" t="s">
        <v>0</v>
      </c>
      <c r="N721">
        <v>7750</v>
      </c>
      <c r="O721">
        <v>30</v>
      </c>
      <c r="P721">
        <v>18037</v>
      </c>
      <c r="Q721">
        <v>0</v>
      </c>
      <c r="R721">
        <v>441901886761</v>
      </c>
      <c r="S721">
        <v>383115429.76999998</v>
      </c>
      <c r="T721">
        <v>427121297048.85999</v>
      </c>
      <c r="U721">
        <v>436708450958.33002</v>
      </c>
      <c r="V721">
        <v>0.327988</v>
      </c>
      <c r="W721">
        <v>0.123082</v>
      </c>
    </row>
    <row r="722" spans="1:23" x14ac:dyDescent="0.35">
      <c r="A722" t="s">
        <v>2</v>
      </c>
      <c r="B722">
        <v>5500</v>
      </c>
      <c r="C722">
        <v>30</v>
      </c>
      <c r="D722">
        <v>173</v>
      </c>
      <c r="E722">
        <v>0</v>
      </c>
      <c r="F722">
        <v>4260001419</v>
      </c>
      <c r="G722">
        <v>5497399</v>
      </c>
      <c r="H722">
        <v>4237513863</v>
      </c>
      <c r="I722">
        <v>4254091097.3600001</v>
      </c>
      <c r="J722">
        <v>4.6823999999999998E-2</v>
      </c>
      <c r="K722">
        <v>1.163E-3</v>
      </c>
      <c r="M722" t="s">
        <v>2</v>
      </c>
      <c r="N722">
        <v>7500</v>
      </c>
      <c r="O722">
        <v>30</v>
      </c>
      <c r="P722">
        <v>645</v>
      </c>
      <c r="Q722">
        <v>0</v>
      </c>
      <c r="R722">
        <v>10410339213</v>
      </c>
      <c r="S722">
        <v>9377084.3100000005</v>
      </c>
      <c r="T722">
        <v>10050090688.6</v>
      </c>
      <c r="U722">
        <v>10353371014.700001</v>
      </c>
      <c r="V722">
        <v>0.33729300000000001</v>
      </c>
      <c r="W722">
        <v>5.3499999999999999E-2</v>
      </c>
    </row>
    <row r="723" spans="1:23" x14ac:dyDescent="0.35">
      <c r="A723" t="s">
        <v>0</v>
      </c>
      <c r="B723">
        <v>5500</v>
      </c>
      <c r="C723">
        <v>24</v>
      </c>
      <c r="D723">
        <v>7653</v>
      </c>
      <c r="E723">
        <v>0</v>
      </c>
      <c r="F723">
        <v>258582645217</v>
      </c>
      <c r="G723">
        <v>323871743.70999998</v>
      </c>
      <c r="H723">
        <v>256765644295</v>
      </c>
      <c r="I723">
        <v>257864667948.91</v>
      </c>
      <c r="J723">
        <v>6.7132999999999998E-2</v>
      </c>
      <c r="K723">
        <v>1.8137E-2</v>
      </c>
      <c r="M723" t="s">
        <v>0</v>
      </c>
      <c r="N723">
        <v>7000</v>
      </c>
      <c r="O723">
        <v>24</v>
      </c>
      <c r="P723">
        <v>9882</v>
      </c>
      <c r="Q723">
        <v>0</v>
      </c>
      <c r="R723">
        <v>244024137966</v>
      </c>
      <c r="S723">
        <v>234276464.52000001</v>
      </c>
      <c r="T723">
        <v>238484519857.17999</v>
      </c>
      <c r="U723">
        <v>242771540097.04001</v>
      </c>
      <c r="V723">
        <v>0.23185</v>
      </c>
      <c r="W723">
        <v>4.8943E-2</v>
      </c>
    </row>
    <row r="724" spans="1:23" x14ac:dyDescent="0.35">
      <c r="A724" t="s">
        <v>2</v>
      </c>
      <c r="B724">
        <v>5500</v>
      </c>
      <c r="C724">
        <v>24</v>
      </c>
      <c r="D724">
        <v>171</v>
      </c>
      <c r="E724">
        <v>0</v>
      </c>
      <c r="F724">
        <v>4036910914</v>
      </c>
      <c r="G724">
        <v>5063499.72</v>
      </c>
      <c r="H724">
        <v>4031387559</v>
      </c>
      <c r="I724">
        <v>4031387559</v>
      </c>
      <c r="J724">
        <v>1.366E-3</v>
      </c>
      <c r="K724">
        <v>1.366E-3</v>
      </c>
      <c r="M724" t="s">
        <v>2</v>
      </c>
      <c r="N724">
        <v>7000</v>
      </c>
      <c r="O724">
        <v>24</v>
      </c>
      <c r="P724">
        <v>617</v>
      </c>
      <c r="Q724">
        <v>0</v>
      </c>
      <c r="R724">
        <v>9866995417</v>
      </c>
      <c r="S724">
        <v>9487505.6400000006</v>
      </c>
      <c r="T724">
        <v>9801190710.5599995</v>
      </c>
      <c r="U724">
        <v>9839565603.2999992</v>
      </c>
      <c r="V724">
        <v>6.6381999999999997E-2</v>
      </c>
      <c r="W724">
        <v>2.1604000000000002E-2</v>
      </c>
    </row>
    <row r="725" spans="1:23" x14ac:dyDescent="0.35">
      <c r="A725" t="s">
        <v>1</v>
      </c>
      <c r="B725">
        <v>5500</v>
      </c>
      <c r="C725">
        <v>24</v>
      </c>
      <c r="D725">
        <v>4750</v>
      </c>
      <c r="E725">
        <v>0</v>
      </c>
      <c r="F725">
        <v>184393640561</v>
      </c>
      <c r="G725">
        <v>231323893.33000001</v>
      </c>
      <c r="H725">
        <v>182599600540</v>
      </c>
      <c r="I725">
        <v>183621330836.72</v>
      </c>
      <c r="J725">
        <v>9.7089999999999996E-2</v>
      </c>
      <c r="K725">
        <v>3.4644000000000001E-2</v>
      </c>
      <c r="M725" t="s">
        <v>0</v>
      </c>
      <c r="N725">
        <v>7500</v>
      </c>
      <c r="O725">
        <v>24</v>
      </c>
      <c r="P725">
        <v>3213</v>
      </c>
      <c r="Q725">
        <v>0</v>
      </c>
      <c r="R725">
        <v>80472864800</v>
      </c>
      <c r="S725">
        <v>70631222.819999993</v>
      </c>
      <c r="T725">
        <v>78307576447.869995</v>
      </c>
      <c r="U725">
        <v>79595437938.130005</v>
      </c>
      <c r="V725">
        <v>0.27129700000000001</v>
      </c>
      <c r="W725">
        <v>0.11389100000000001</v>
      </c>
    </row>
    <row r="726" spans="1:23" x14ac:dyDescent="0.35">
      <c r="A726" t="s">
        <v>0</v>
      </c>
      <c r="B726">
        <v>5500</v>
      </c>
      <c r="C726">
        <v>20</v>
      </c>
      <c r="D726">
        <v>4068</v>
      </c>
      <c r="E726">
        <v>0</v>
      </c>
      <c r="F726">
        <v>141347339955</v>
      </c>
      <c r="G726">
        <v>173877903.56</v>
      </c>
      <c r="H726">
        <v>140909198527</v>
      </c>
      <c r="I726">
        <v>141018305519.19</v>
      </c>
      <c r="J726">
        <v>2.2206E-2</v>
      </c>
      <c r="K726">
        <v>1.3093E-2</v>
      </c>
      <c r="M726" t="s">
        <v>2</v>
      </c>
      <c r="N726">
        <v>7500</v>
      </c>
      <c r="O726">
        <v>24</v>
      </c>
      <c r="P726">
        <v>179</v>
      </c>
      <c r="Q726">
        <v>0</v>
      </c>
      <c r="R726">
        <v>2365060012</v>
      </c>
      <c r="S726">
        <v>2070994.22</v>
      </c>
      <c r="T726">
        <v>2302090810.8099999</v>
      </c>
      <c r="U726">
        <v>2337845122.6599998</v>
      </c>
      <c r="V726">
        <v>0.26877699999999999</v>
      </c>
      <c r="W726">
        <v>0.120375</v>
      </c>
    </row>
    <row r="727" spans="1:23" x14ac:dyDescent="0.35">
      <c r="A727" t="s">
        <v>2</v>
      </c>
      <c r="B727">
        <v>5500</v>
      </c>
      <c r="C727">
        <v>20</v>
      </c>
      <c r="D727">
        <v>80</v>
      </c>
      <c r="E727">
        <v>0</v>
      </c>
      <c r="F727">
        <v>1908436040</v>
      </c>
      <c r="G727">
        <v>2350816.25</v>
      </c>
      <c r="H727">
        <v>1905696816</v>
      </c>
      <c r="I727">
        <v>1905696816</v>
      </c>
      <c r="J727">
        <v>2.4399999999999999E-3</v>
      </c>
      <c r="K727">
        <v>2.4399999999999999E-3</v>
      </c>
      <c r="M727" t="s">
        <v>0</v>
      </c>
      <c r="N727">
        <v>5500</v>
      </c>
      <c r="O727">
        <v>30</v>
      </c>
      <c r="P727">
        <v>9982</v>
      </c>
      <c r="Q727">
        <v>0</v>
      </c>
      <c r="R727">
        <v>327678335483</v>
      </c>
      <c r="S727">
        <v>422898973.88</v>
      </c>
      <c r="T727">
        <v>325110462843.79999</v>
      </c>
      <c r="U727">
        <v>326536548510.53003</v>
      </c>
      <c r="V727">
        <v>7.5784000000000004E-2</v>
      </c>
      <c r="W727">
        <v>2.6010999999999999E-2</v>
      </c>
    </row>
    <row r="728" spans="1:23" x14ac:dyDescent="0.35">
      <c r="A728" t="s">
        <v>1</v>
      </c>
      <c r="B728">
        <v>5500</v>
      </c>
      <c r="C728">
        <v>20</v>
      </c>
      <c r="D728">
        <v>2129</v>
      </c>
      <c r="E728">
        <v>0</v>
      </c>
      <c r="F728">
        <v>82503746224</v>
      </c>
      <c r="G728">
        <v>101507116.53</v>
      </c>
      <c r="H728">
        <v>81681859653</v>
      </c>
      <c r="I728">
        <v>82247588132.110001</v>
      </c>
      <c r="J728">
        <v>9.9890000000000007E-2</v>
      </c>
      <c r="K728">
        <v>2.2263000000000002E-2</v>
      </c>
      <c r="M728" t="s">
        <v>0</v>
      </c>
      <c r="N728">
        <v>5000</v>
      </c>
      <c r="O728">
        <v>30</v>
      </c>
      <c r="P728">
        <v>6435</v>
      </c>
      <c r="Q728">
        <v>0</v>
      </c>
      <c r="R728">
        <v>210770787881</v>
      </c>
      <c r="S728">
        <v>295737179.68000001</v>
      </c>
      <c r="T728">
        <v>209835206328.29999</v>
      </c>
      <c r="U728">
        <v>210308673345.92999</v>
      </c>
      <c r="V728">
        <v>3.5826999999999998E-2</v>
      </c>
      <c r="W728">
        <v>9.4310000000000001E-3</v>
      </c>
    </row>
    <row r="729" spans="1:23" x14ac:dyDescent="0.35">
      <c r="A729" t="s">
        <v>0</v>
      </c>
      <c r="B729">
        <v>7750</v>
      </c>
      <c r="C729">
        <v>36</v>
      </c>
      <c r="D729">
        <v>3126</v>
      </c>
      <c r="E729">
        <v>0</v>
      </c>
      <c r="F729">
        <v>77004370769</v>
      </c>
      <c r="G729">
        <v>69607770.370000005</v>
      </c>
      <c r="H729">
        <v>75168842372</v>
      </c>
      <c r="I729">
        <v>76205896972.610001</v>
      </c>
      <c r="J729">
        <v>0.243004</v>
      </c>
      <c r="K729">
        <v>0.107853</v>
      </c>
      <c r="M729" t="s">
        <v>1</v>
      </c>
      <c r="N729">
        <v>5500</v>
      </c>
      <c r="O729">
        <v>30</v>
      </c>
      <c r="P729">
        <v>5390</v>
      </c>
      <c r="Q729">
        <v>0</v>
      </c>
      <c r="R729">
        <v>199428823183</v>
      </c>
      <c r="S729">
        <v>258347629.09</v>
      </c>
      <c r="T729">
        <v>197642558133.98001</v>
      </c>
      <c r="U729">
        <v>198695195292.76999</v>
      </c>
      <c r="V729">
        <v>8.8161000000000003E-2</v>
      </c>
      <c r="W729">
        <v>2.8226999999999999E-2</v>
      </c>
    </row>
    <row r="730" spans="1:23" x14ac:dyDescent="0.35">
      <c r="A730" t="s">
        <v>0</v>
      </c>
      <c r="B730">
        <v>8000</v>
      </c>
      <c r="C730">
        <v>36</v>
      </c>
      <c r="D730">
        <v>131</v>
      </c>
      <c r="E730">
        <v>0</v>
      </c>
      <c r="F730">
        <v>3826820981</v>
      </c>
      <c r="G730">
        <v>3308450.64</v>
      </c>
      <c r="H730">
        <v>3681218812</v>
      </c>
      <c r="I730">
        <v>3778449789.5900002</v>
      </c>
      <c r="J730">
        <v>0.36536600000000002</v>
      </c>
      <c r="K730">
        <v>0.13250400000000001</v>
      </c>
      <c r="M730" t="s">
        <v>2</v>
      </c>
      <c r="N730">
        <v>5500</v>
      </c>
      <c r="O730">
        <v>30</v>
      </c>
      <c r="P730">
        <v>188</v>
      </c>
      <c r="Q730">
        <v>0</v>
      </c>
      <c r="R730">
        <v>4564579408</v>
      </c>
      <c r="S730">
        <v>5891758.2699999996</v>
      </c>
      <c r="T730">
        <v>4514911761.5600004</v>
      </c>
      <c r="U730">
        <v>4514911761.5600004</v>
      </c>
      <c r="V730">
        <v>0.109204</v>
      </c>
      <c r="W730">
        <v>0.109204</v>
      </c>
    </row>
    <row r="731" spans="1:23" x14ac:dyDescent="0.35">
      <c r="A731" t="s">
        <v>2</v>
      </c>
      <c r="B731">
        <v>7750</v>
      </c>
      <c r="C731">
        <v>36</v>
      </c>
      <c r="D731">
        <v>72</v>
      </c>
      <c r="E731">
        <v>0</v>
      </c>
      <c r="F731">
        <v>986339350</v>
      </c>
      <c r="G731">
        <v>892178.46</v>
      </c>
      <c r="H731">
        <v>966714985</v>
      </c>
      <c r="I731">
        <v>966714985</v>
      </c>
      <c r="J731">
        <v>0.205539</v>
      </c>
      <c r="K731">
        <v>0.205539</v>
      </c>
      <c r="M731" t="s">
        <v>0</v>
      </c>
      <c r="N731">
        <v>5500</v>
      </c>
      <c r="O731">
        <v>24</v>
      </c>
      <c r="P731">
        <v>7138</v>
      </c>
      <c r="Q731">
        <v>0</v>
      </c>
      <c r="R731">
        <v>240515638276</v>
      </c>
      <c r="S731">
        <v>301345526.77999997</v>
      </c>
      <c r="T731">
        <v>238922672983.95001</v>
      </c>
      <c r="U731">
        <v>239991711011.70001</v>
      </c>
      <c r="V731">
        <v>6.2573000000000004E-2</v>
      </c>
      <c r="W731">
        <v>1.1049E-2</v>
      </c>
    </row>
    <row r="732" spans="1:23" x14ac:dyDescent="0.35">
      <c r="A732" t="s">
        <v>0</v>
      </c>
      <c r="B732">
        <v>8000</v>
      </c>
      <c r="C732">
        <v>30</v>
      </c>
      <c r="D732">
        <v>2683</v>
      </c>
      <c r="E732">
        <v>0</v>
      </c>
      <c r="F732">
        <v>65614005760</v>
      </c>
      <c r="G732">
        <v>54504179.729999997</v>
      </c>
      <c r="H732">
        <v>64100029721</v>
      </c>
      <c r="I732">
        <v>65166283741.25</v>
      </c>
      <c r="J732">
        <v>0.236569</v>
      </c>
      <c r="K732">
        <v>6.9591E-2</v>
      </c>
      <c r="M732" t="s">
        <v>2</v>
      </c>
      <c r="N732">
        <v>5500</v>
      </c>
      <c r="O732">
        <v>24</v>
      </c>
      <c r="P732">
        <v>151</v>
      </c>
      <c r="Q732">
        <v>0</v>
      </c>
      <c r="R732">
        <v>3522615586</v>
      </c>
      <c r="S732">
        <v>4420550.25</v>
      </c>
      <c r="T732">
        <v>3468060734.2399998</v>
      </c>
      <c r="U732">
        <v>3518195035.75</v>
      </c>
      <c r="V732">
        <v>0.158031</v>
      </c>
      <c r="W732">
        <v>0</v>
      </c>
    </row>
    <row r="733" spans="1:23" x14ac:dyDescent="0.35">
      <c r="A733" t="s">
        <v>0</v>
      </c>
      <c r="B733">
        <v>8250</v>
      </c>
      <c r="C733">
        <v>30</v>
      </c>
      <c r="D733">
        <v>3151</v>
      </c>
      <c r="E733">
        <v>0</v>
      </c>
      <c r="F733">
        <v>75863044095</v>
      </c>
      <c r="G733">
        <v>60079624.479999997</v>
      </c>
      <c r="H733">
        <v>73237410542</v>
      </c>
      <c r="I733">
        <v>74687097331.539993</v>
      </c>
      <c r="J733">
        <v>0.33823199999999998</v>
      </c>
      <c r="K733">
        <v>0.162906</v>
      </c>
      <c r="M733" t="s">
        <v>1</v>
      </c>
      <c r="N733">
        <v>5500</v>
      </c>
      <c r="O733">
        <v>24</v>
      </c>
      <c r="P733">
        <v>5000</v>
      </c>
      <c r="Q733">
        <v>0</v>
      </c>
      <c r="R733">
        <v>196221657768</v>
      </c>
      <c r="S733">
        <v>245931480.56</v>
      </c>
      <c r="T733">
        <v>192504631615.69</v>
      </c>
      <c r="U733">
        <v>195608279938.42001</v>
      </c>
      <c r="V733">
        <v>0.19279399999999999</v>
      </c>
      <c r="W733">
        <v>2.2241E-2</v>
      </c>
    </row>
    <row r="734" spans="1:23" x14ac:dyDescent="0.35">
      <c r="A734" t="s">
        <v>0</v>
      </c>
      <c r="B734">
        <v>8500</v>
      </c>
      <c r="C734">
        <v>30</v>
      </c>
      <c r="D734">
        <v>415</v>
      </c>
      <c r="E734">
        <v>0</v>
      </c>
      <c r="F734">
        <v>9564096113</v>
      </c>
      <c r="G734">
        <v>7225527.5099999998</v>
      </c>
      <c r="H734">
        <v>9424589733</v>
      </c>
      <c r="I734">
        <v>9445856899.3099995</v>
      </c>
      <c r="J734">
        <v>0.15391099999999999</v>
      </c>
      <c r="K734">
        <v>0.13073100000000001</v>
      </c>
      <c r="M734" t="s">
        <v>2</v>
      </c>
      <c r="N734">
        <v>5500</v>
      </c>
      <c r="O734">
        <v>20</v>
      </c>
      <c r="P734">
        <v>93</v>
      </c>
      <c r="Q734">
        <v>0</v>
      </c>
      <c r="R734">
        <v>2314605886</v>
      </c>
      <c r="S734">
        <v>2851164.45</v>
      </c>
      <c r="T734">
        <v>2286893314.27</v>
      </c>
      <c r="U734">
        <v>2311754721.5500002</v>
      </c>
      <c r="V734">
        <v>0.121545</v>
      </c>
      <c r="W734">
        <v>0</v>
      </c>
    </row>
    <row r="735" spans="1:23" x14ac:dyDescent="0.35">
      <c r="A735" t="s">
        <v>1</v>
      </c>
      <c r="B735">
        <v>8000</v>
      </c>
      <c r="C735">
        <v>30</v>
      </c>
      <c r="D735">
        <v>334</v>
      </c>
      <c r="E735">
        <v>0</v>
      </c>
      <c r="F735">
        <v>7392030327</v>
      </c>
      <c r="G735">
        <v>6125116.9000000004</v>
      </c>
      <c r="H735">
        <v>6930298063</v>
      </c>
      <c r="I735">
        <v>7167287332.6199999</v>
      </c>
      <c r="J735">
        <v>0.533918</v>
      </c>
      <c r="K735">
        <v>0.30249900000000002</v>
      </c>
      <c r="M735" t="s">
        <v>0</v>
      </c>
      <c r="N735">
        <v>5500</v>
      </c>
      <c r="O735">
        <v>20</v>
      </c>
      <c r="P735">
        <v>4259</v>
      </c>
      <c r="Q735">
        <v>0</v>
      </c>
      <c r="R735">
        <v>146728703156</v>
      </c>
      <c r="S735">
        <v>180382082.36000001</v>
      </c>
      <c r="T735">
        <v>146046621147.14999</v>
      </c>
      <c r="U735">
        <v>146492792758.20999</v>
      </c>
      <c r="V735">
        <v>4.0267999999999998E-2</v>
      </c>
      <c r="W735">
        <v>4.5319999999999996E-3</v>
      </c>
    </row>
    <row r="736" spans="1:23" x14ac:dyDescent="0.35">
      <c r="A736" t="s">
        <v>2</v>
      </c>
      <c r="B736">
        <v>7750</v>
      </c>
      <c r="C736">
        <v>30</v>
      </c>
      <c r="D736">
        <v>1367</v>
      </c>
      <c r="E736">
        <v>0</v>
      </c>
      <c r="F736">
        <v>19820279283</v>
      </c>
      <c r="G736">
        <v>17254886.280000001</v>
      </c>
      <c r="H736">
        <v>19263100519</v>
      </c>
      <c r="I736">
        <v>19696052981.75</v>
      </c>
      <c r="J736">
        <v>0.28210099999999999</v>
      </c>
      <c r="K736">
        <v>6.2877000000000002E-2</v>
      </c>
      <c r="M736" t="s">
        <v>1</v>
      </c>
      <c r="N736">
        <v>5500</v>
      </c>
      <c r="O736">
        <v>20</v>
      </c>
      <c r="P736">
        <v>2016</v>
      </c>
      <c r="Q736">
        <v>0</v>
      </c>
      <c r="R736">
        <v>77190694110</v>
      </c>
      <c r="S736">
        <v>94952377.489999995</v>
      </c>
      <c r="T736">
        <v>76666164687.139999</v>
      </c>
      <c r="U736">
        <v>77095741732.509995</v>
      </c>
      <c r="V736">
        <v>6.4774999999999999E-2</v>
      </c>
      <c r="W736">
        <v>0</v>
      </c>
    </row>
    <row r="737" spans="1:23" x14ac:dyDescent="0.35">
      <c r="A737" t="s">
        <v>0</v>
      </c>
      <c r="B737">
        <v>6750</v>
      </c>
      <c r="C737">
        <v>24</v>
      </c>
      <c r="D737">
        <v>43588</v>
      </c>
      <c r="E737">
        <v>0</v>
      </c>
      <c r="F737">
        <v>1251240546725</v>
      </c>
      <c r="G737">
        <v>1258758286.02</v>
      </c>
      <c r="H737">
        <v>1216053409528</v>
      </c>
      <c r="I737">
        <v>1243071543145.54</v>
      </c>
      <c r="J737">
        <v>0.28099200000000002</v>
      </c>
      <c r="K737">
        <v>6.4296000000000006E-2</v>
      </c>
      <c r="M737" t="s">
        <v>0</v>
      </c>
      <c r="N737">
        <v>5500</v>
      </c>
      <c r="O737">
        <v>18</v>
      </c>
      <c r="P737">
        <v>4529</v>
      </c>
      <c r="Q737">
        <v>0</v>
      </c>
      <c r="R737">
        <v>158454808855</v>
      </c>
      <c r="S737">
        <v>192714693.13999999</v>
      </c>
      <c r="T737">
        <v>157891362131.85001</v>
      </c>
      <c r="U737">
        <v>158186750154.42001</v>
      </c>
      <c r="V737">
        <v>2.7718E-2</v>
      </c>
      <c r="W737">
        <v>5.6909999999999999E-3</v>
      </c>
    </row>
    <row r="738" spans="1:23" x14ac:dyDescent="0.35">
      <c r="A738" t="s">
        <v>0</v>
      </c>
      <c r="B738">
        <v>7000</v>
      </c>
      <c r="C738">
        <v>24</v>
      </c>
      <c r="D738">
        <v>13006</v>
      </c>
      <c r="E738">
        <v>0</v>
      </c>
      <c r="F738">
        <v>331024703880</v>
      </c>
      <c r="G738">
        <v>317282465.19</v>
      </c>
      <c r="H738">
        <v>322836107484</v>
      </c>
      <c r="I738">
        <v>328616582195.48999</v>
      </c>
      <c r="J738">
        <v>0.25083100000000003</v>
      </c>
      <c r="K738">
        <v>7.3217000000000004E-2</v>
      </c>
      <c r="M738" t="s">
        <v>2</v>
      </c>
      <c r="N738">
        <v>5500</v>
      </c>
      <c r="O738">
        <v>18</v>
      </c>
      <c r="P738">
        <v>117</v>
      </c>
      <c r="Q738">
        <v>0</v>
      </c>
      <c r="R738">
        <v>2706079663</v>
      </c>
      <c r="S738">
        <v>3285885.83</v>
      </c>
      <c r="T738">
        <v>2702793777.1700001</v>
      </c>
      <c r="U738">
        <v>2702793777.1700001</v>
      </c>
      <c r="V738">
        <v>0</v>
      </c>
      <c r="W738">
        <v>0</v>
      </c>
    </row>
    <row r="739" spans="1:23" x14ac:dyDescent="0.35">
      <c r="A739" t="s">
        <v>1</v>
      </c>
      <c r="B739">
        <v>6750</v>
      </c>
      <c r="C739">
        <v>24</v>
      </c>
      <c r="D739">
        <v>12955</v>
      </c>
      <c r="E739">
        <v>0</v>
      </c>
      <c r="F739">
        <v>410965895261</v>
      </c>
      <c r="G739">
        <v>413312145.98000002</v>
      </c>
      <c r="H739">
        <v>392476630206</v>
      </c>
      <c r="I739">
        <v>408416803005.62</v>
      </c>
      <c r="J739">
        <v>0.41711700000000002</v>
      </c>
      <c r="K739">
        <v>6.0611999999999999E-2</v>
      </c>
      <c r="M739" t="s">
        <v>1</v>
      </c>
      <c r="N739">
        <v>5500</v>
      </c>
      <c r="O739">
        <v>18</v>
      </c>
      <c r="P739">
        <v>3340</v>
      </c>
      <c r="Q739">
        <v>0</v>
      </c>
      <c r="R739">
        <v>137330328758</v>
      </c>
      <c r="S739">
        <v>167029691.81</v>
      </c>
      <c r="T739">
        <v>134969400706.7</v>
      </c>
      <c r="U739">
        <v>136858107071.84</v>
      </c>
      <c r="V739">
        <v>0.17572599999999999</v>
      </c>
      <c r="W739">
        <v>2.6343999999999999E-2</v>
      </c>
    </row>
    <row r="740" spans="1:23" x14ac:dyDescent="0.35">
      <c r="A740" t="s">
        <v>0</v>
      </c>
      <c r="B740">
        <v>7250</v>
      </c>
      <c r="C740">
        <v>24</v>
      </c>
      <c r="D740">
        <v>20572</v>
      </c>
      <c r="E740">
        <v>0</v>
      </c>
      <c r="F740">
        <v>539312074432</v>
      </c>
      <c r="G740">
        <v>495479465.98000002</v>
      </c>
      <c r="H740">
        <v>521515575510</v>
      </c>
      <c r="I740">
        <v>533409704561.63</v>
      </c>
      <c r="J740">
        <v>0.32380100000000001</v>
      </c>
      <c r="K740">
        <v>0.113889</v>
      </c>
      <c r="M740" t="s">
        <v>0</v>
      </c>
      <c r="N740">
        <v>7750</v>
      </c>
      <c r="O740">
        <v>36</v>
      </c>
      <c r="P740">
        <v>2382</v>
      </c>
      <c r="Q740">
        <v>0</v>
      </c>
      <c r="R740">
        <v>56622880216</v>
      </c>
      <c r="S740">
        <v>51214707.100000001</v>
      </c>
      <c r="T740">
        <v>55520070655.879997</v>
      </c>
      <c r="U740">
        <v>56275515102.089996</v>
      </c>
      <c r="V740">
        <v>0.20145099999999999</v>
      </c>
      <c r="W740">
        <v>6.0988000000000001E-2</v>
      </c>
    </row>
    <row r="741" spans="1:23" x14ac:dyDescent="0.35">
      <c r="A741" t="s">
        <v>0</v>
      </c>
      <c r="B741">
        <v>6500</v>
      </c>
      <c r="C741">
        <v>24</v>
      </c>
      <c r="D741">
        <v>17459</v>
      </c>
      <c r="E741">
        <v>0</v>
      </c>
      <c r="F741">
        <v>486609915449</v>
      </c>
      <c r="G741">
        <v>510080468.98000002</v>
      </c>
      <c r="H741">
        <v>476195219072</v>
      </c>
      <c r="I741">
        <v>484430903849.54999</v>
      </c>
      <c r="J741">
        <v>0.21868099999999999</v>
      </c>
      <c r="K741">
        <v>4.0389000000000001E-2</v>
      </c>
      <c r="M741" t="s">
        <v>1</v>
      </c>
      <c r="N741">
        <v>6750</v>
      </c>
      <c r="O741">
        <v>36</v>
      </c>
      <c r="P741">
        <v>11339</v>
      </c>
      <c r="Q741">
        <v>0</v>
      </c>
      <c r="R741">
        <v>308259786749</v>
      </c>
      <c r="S741">
        <v>333516974.05000001</v>
      </c>
      <c r="T741">
        <v>294056830955.63</v>
      </c>
      <c r="U741">
        <v>305831899743.97998</v>
      </c>
      <c r="V741">
        <v>0.424454</v>
      </c>
      <c r="W741">
        <v>7.8550999999999996E-2</v>
      </c>
    </row>
    <row r="742" spans="1:23" x14ac:dyDescent="0.35">
      <c r="A742" t="s">
        <v>2</v>
      </c>
      <c r="B742">
        <v>6750</v>
      </c>
      <c r="C742">
        <v>24</v>
      </c>
      <c r="D742">
        <v>2732</v>
      </c>
      <c r="E742">
        <v>0</v>
      </c>
      <c r="F742">
        <v>48778370525</v>
      </c>
      <c r="G742">
        <v>49142216.640000001</v>
      </c>
      <c r="H742">
        <v>48241178178</v>
      </c>
      <c r="I742">
        <v>48557154484.07</v>
      </c>
      <c r="J742">
        <v>0.113674</v>
      </c>
      <c r="K742">
        <v>4.1520000000000001E-2</v>
      </c>
      <c r="M742" t="s">
        <v>0</v>
      </c>
      <c r="N742">
        <v>6750</v>
      </c>
      <c r="O742">
        <v>24</v>
      </c>
      <c r="P742">
        <v>38191</v>
      </c>
      <c r="Q742">
        <v>0</v>
      </c>
      <c r="R742">
        <v>1074269531724</v>
      </c>
      <c r="S742">
        <v>1081005545.1900001</v>
      </c>
      <c r="T742">
        <v>1048528762423.38</v>
      </c>
      <c r="U742">
        <v>1070137231233.6899</v>
      </c>
      <c r="V742">
        <v>0.24321000000000001</v>
      </c>
      <c r="W742">
        <v>3.3556999999999997E-2</v>
      </c>
    </row>
    <row r="743" spans="1:23" x14ac:dyDescent="0.35">
      <c r="A743" t="s">
        <v>1</v>
      </c>
      <c r="B743">
        <v>7000</v>
      </c>
      <c r="C743">
        <v>24</v>
      </c>
      <c r="D743">
        <v>2353</v>
      </c>
      <c r="E743">
        <v>0</v>
      </c>
      <c r="F743">
        <v>67196497115</v>
      </c>
      <c r="G743">
        <v>64555815.609999999</v>
      </c>
      <c r="H743">
        <v>63606804116</v>
      </c>
      <c r="I743">
        <v>66764712820.010002</v>
      </c>
      <c r="J743">
        <v>0.47619499999999998</v>
      </c>
      <c r="K743">
        <v>6.3644000000000006E-2</v>
      </c>
      <c r="M743" t="s">
        <v>1</v>
      </c>
      <c r="N743">
        <v>6750</v>
      </c>
      <c r="O743">
        <v>24</v>
      </c>
      <c r="P743">
        <v>10982</v>
      </c>
      <c r="Q743">
        <v>0</v>
      </c>
      <c r="R743">
        <v>333588731225</v>
      </c>
      <c r="S743">
        <v>335708869.48000002</v>
      </c>
      <c r="T743">
        <v>309693220349.81</v>
      </c>
      <c r="U743">
        <v>331282748458.22998</v>
      </c>
      <c r="V743">
        <v>0.58476899999999998</v>
      </c>
      <c r="W743">
        <v>6.8617999999999998E-2</v>
      </c>
    </row>
    <row r="744" spans="1:23" x14ac:dyDescent="0.35">
      <c r="A744" t="s">
        <v>0</v>
      </c>
      <c r="B744">
        <v>5750</v>
      </c>
      <c r="C744">
        <v>30</v>
      </c>
      <c r="D744">
        <v>13333</v>
      </c>
      <c r="E744">
        <v>0</v>
      </c>
      <c r="F744">
        <v>444948402119</v>
      </c>
      <c r="G744">
        <v>550758405.15999997</v>
      </c>
      <c r="H744">
        <v>440090520794</v>
      </c>
      <c r="I744">
        <v>443237782147.63</v>
      </c>
      <c r="J744">
        <v>0.11017100000000001</v>
      </c>
      <c r="K744">
        <v>3.0835999999999999E-2</v>
      </c>
      <c r="M744" t="s">
        <v>2</v>
      </c>
      <c r="N744">
        <v>7750</v>
      </c>
      <c r="O744">
        <v>30</v>
      </c>
      <c r="P744">
        <v>1278</v>
      </c>
      <c r="Q744">
        <v>0</v>
      </c>
      <c r="R744">
        <v>18739998457</v>
      </c>
      <c r="S744">
        <v>16220433</v>
      </c>
      <c r="T744">
        <v>18211048567.5</v>
      </c>
      <c r="U744">
        <v>18611701203.16</v>
      </c>
      <c r="V744">
        <v>0.28315600000000002</v>
      </c>
      <c r="W744">
        <v>6.9453000000000001E-2</v>
      </c>
    </row>
    <row r="745" spans="1:23" x14ac:dyDescent="0.35">
      <c r="A745" t="s">
        <v>1</v>
      </c>
      <c r="B745">
        <v>7750</v>
      </c>
      <c r="C745">
        <v>30</v>
      </c>
      <c r="D745">
        <v>2492</v>
      </c>
      <c r="E745">
        <v>0</v>
      </c>
      <c r="F745">
        <v>58853884369</v>
      </c>
      <c r="G745">
        <v>51486564.770000003</v>
      </c>
      <c r="H745">
        <v>55180348075</v>
      </c>
      <c r="I745">
        <v>57505120235.839996</v>
      </c>
      <c r="J745">
        <v>0.53337100000000004</v>
      </c>
      <c r="K745">
        <v>0.234684</v>
      </c>
      <c r="M745" t="s">
        <v>0</v>
      </c>
      <c r="N745">
        <v>8000</v>
      </c>
      <c r="O745">
        <v>30</v>
      </c>
      <c r="P745">
        <v>2580</v>
      </c>
      <c r="Q745">
        <v>0</v>
      </c>
      <c r="R745">
        <v>63887177302</v>
      </c>
      <c r="S745">
        <v>52763484.670000002</v>
      </c>
      <c r="T745">
        <v>62438088886.449997</v>
      </c>
      <c r="U745">
        <v>63414327168.449997</v>
      </c>
      <c r="V745">
        <v>0.232934</v>
      </c>
      <c r="W745">
        <v>7.6113E-2</v>
      </c>
    </row>
    <row r="746" spans="1:23" x14ac:dyDescent="0.35">
      <c r="A746" t="s">
        <v>0</v>
      </c>
      <c r="B746">
        <v>7000</v>
      </c>
      <c r="C746">
        <v>20</v>
      </c>
      <c r="D746">
        <v>9435</v>
      </c>
      <c r="E746">
        <v>0</v>
      </c>
      <c r="F746">
        <v>239119034146</v>
      </c>
      <c r="G746">
        <v>225141578.5</v>
      </c>
      <c r="H746">
        <v>232427428210</v>
      </c>
      <c r="I746">
        <v>237147380002.07999</v>
      </c>
      <c r="J746">
        <v>0.28034500000000001</v>
      </c>
      <c r="K746">
        <v>8.4210999999999994E-2</v>
      </c>
      <c r="M746" t="s">
        <v>0</v>
      </c>
      <c r="N746">
        <v>8250</v>
      </c>
      <c r="O746">
        <v>30</v>
      </c>
      <c r="P746">
        <v>3076</v>
      </c>
      <c r="Q746">
        <v>0</v>
      </c>
      <c r="R746">
        <v>74619561310</v>
      </c>
      <c r="S746">
        <v>58737505.350000001</v>
      </c>
      <c r="T746">
        <v>72467621485.770004</v>
      </c>
      <c r="U746">
        <v>74068169600.669998</v>
      </c>
      <c r="V746">
        <v>0.28924800000000001</v>
      </c>
      <c r="W746">
        <v>7.6411999999999994E-2</v>
      </c>
    </row>
    <row r="747" spans="1:23" x14ac:dyDescent="0.35">
      <c r="A747" t="s">
        <v>0</v>
      </c>
      <c r="B747">
        <v>6750</v>
      </c>
      <c r="C747">
        <v>20</v>
      </c>
      <c r="D747">
        <v>25718</v>
      </c>
      <c r="E747">
        <v>0</v>
      </c>
      <c r="F747">
        <v>773607613383</v>
      </c>
      <c r="G747">
        <v>763373710.11000001</v>
      </c>
      <c r="H747">
        <v>752273922236</v>
      </c>
      <c r="I747">
        <v>768879164149.45996</v>
      </c>
      <c r="J747">
        <v>0.27631600000000001</v>
      </c>
      <c r="K747">
        <v>5.9801E-2</v>
      </c>
      <c r="M747" t="s">
        <v>0</v>
      </c>
      <c r="N747">
        <v>8500</v>
      </c>
      <c r="O747">
        <v>30</v>
      </c>
      <c r="P747">
        <v>403</v>
      </c>
      <c r="Q747">
        <v>0</v>
      </c>
      <c r="R747">
        <v>9348935926</v>
      </c>
      <c r="S747">
        <v>7016709.3399999999</v>
      </c>
      <c r="T747">
        <v>9258394721.5100002</v>
      </c>
      <c r="U747">
        <v>9274979528.5799999</v>
      </c>
      <c r="V747">
        <v>0.10209500000000001</v>
      </c>
      <c r="W747">
        <v>8.2616999999999996E-2</v>
      </c>
    </row>
    <row r="748" spans="1:23" x14ac:dyDescent="0.35">
      <c r="A748" t="s">
        <v>1</v>
      </c>
      <c r="B748">
        <v>7000</v>
      </c>
      <c r="C748">
        <v>20</v>
      </c>
      <c r="D748">
        <v>1360</v>
      </c>
      <c r="E748">
        <v>0</v>
      </c>
      <c r="F748">
        <v>38247450329</v>
      </c>
      <c r="G748">
        <v>36145950.490000002</v>
      </c>
      <c r="H748">
        <v>36628116988</v>
      </c>
      <c r="I748">
        <v>37858800405.139999</v>
      </c>
      <c r="J748">
        <v>0.39787600000000001</v>
      </c>
      <c r="K748">
        <v>0.105159</v>
      </c>
      <c r="M748" t="s">
        <v>1</v>
      </c>
      <c r="N748">
        <v>8000</v>
      </c>
      <c r="O748">
        <v>30</v>
      </c>
      <c r="P748">
        <v>324</v>
      </c>
      <c r="Q748">
        <v>0</v>
      </c>
      <c r="R748">
        <v>7269505458</v>
      </c>
      <c r="S748">
        <v>5980551.9400000004</v>
      </c>
      <c r="T748">
        <v>6812484429.2600002</v>
      </c>
      <c r="U748">
        <v>7129385830.3900003</v>
      </c>
      <c r="V748">
        <v>0.53635999999999995</v>
      </c>
      <c r="W748">
        <v>0.20028199999999999</v>
      </c>
    </row>
    <row r="749" spans="1:23" x14ac:dyDescent="0.35">
      <c r="A749" t="s">
        <v>2</v>
      </c>
      <c r="B749">
        <v>7000</v>
      </c>
      <c r="C749">
        <v>20</v>
      </c>
      <c r="D749">
        <v>697</v>
      </c>
      <c r="E749">
        <v>0</v>
      </c>
      <c r="F749">
        <v>11919792602</v>
      </c>
      <c r="G749">
        <v>11271043.92</v>
      </c>
      <c r="H749">
        <v>11721847491</v>
      </c>
      <c r="I749">
        <v>11882497594.370001</v>
      </c>
      <c r="J749">
        <v>0.17255899999999999</v>
      </c>
      <c r="K749">
        <v>2.5887E-2</v>
      </c>
      <c r="M749" t="s">
        <v>2</v>
      </c>
      <c r="N749">
        <v>6750</v>
      </c>
      <c r="O749">
        <v>24</v>
      </c>
      <c r="P749">
        <v>2374</v>
      </c>
      <c r="Q749">
        <v>0</v>
      </c>
      <c r="R749">
        <v>41599223648</v>
      </c>
      <c r="S749">
        <v>41899459.240000002</v>
      </c>
      <c r="T749">
        <v>41041336702.949997</v>
      </c>
      <c r="U749">
        <v>41437026429.760002</v>
      </c>
      <c r="V749">
        <v>0.139099</v>
      </c>
      <c r="W749">
        <v>3.4154999999999998E-2</v>
      </c>
    </row>
    <row r="750" spans="1:23" x14ac:dyDescent="0.35">
      <c r="A750" t="s">
        <v>0</v>
      </c>
      <c r="B750">
        <v>7500</v>
      </c>
      <c r="C750">
        <v>24</v>
      </c>
      <c r="D750">
        <v>3891</v>
      </c>
      <c r="E750">
        <v>0</v>
      </c>
      <c r="F750">
        <v>100854934897</v>
      </c>
      <c r="G750">
        <v>88378860.040000007</v>
      </c>
      <c r="H750">
        <v>98596542844</v>
      </c>
      <c r="I750">
        <v>99763229793.690002</v>
      </c>
      <c r="J750">
        <v>0.22972899999999999</v>
      </c>
      <c r="K750">
        <v>0.11305900000000001</v>
      </c>
      <c r="M750" t="s">
        <v>0</v>
      </c>
      <c r="N750">
        <v>7250</v>
      </c>
      <c r="O750">
        <v>24</v>
      </c>
      <c r="P750">
        <v>16559</v>
      </c>
      <c r="Q750">
        <v>0</v>
      </c>
      <c r="R750">
        <v>426206113609</v>
      </c>
      <c r="S750">
        <v>392007566.87</v>
      </c>
      <c r="T750">
        <v>411850379042.77002</v>
      </c>
      <c r="U750">
        <v>422701747083.92999</v>
      </c>
      <c r="V750">
        <v>0.32950499999999999</v>
      </c>
      <c r="W750">
        <v>8.4194000000000005E-2</v>
      </c>
    </row>
    <row r="751" spans="1:23" x14ac:dyDescent="0.35">
      <c r="A751" t="s">
        <v>1</v>
      </c>
      <c r="B751">
        <v>6750</v>
      </c>
      <c r="C751">
        <v>20</v>
      </c>
      <c r="D751">
        <v>8784</v>
      </c>
      <c r="E751">
        <v>0</v>
      </c>
      <c r="F751">
        <v>294527117750</v>
      </c>
      <c r="G751">
        <v>291321083.10000002</v>
      </c>
      <c r="H751">
        <v>280560374379</v>
      </c>
      <c r="I751">
        <v>293113467379.75</v>
      </c>
      <c r="J751">
        <v>0.43477500000000002</v>
      </c>
      <c r="K751">
        <v>4.4781000000000001E-2</v>
      </c>
      <c r="M751" t="s">
        <v>0</v>
      </c>
      <c r="N751">
        <v>6500</v>
      </c>
      <c r="O751">
        <v>24</v>
      </c>
      <c r="P751">
        <v>14674</v>
      </c>
      <c r="Q751">
        <v>0</v>
      </c>
      <c r="R751">
        <v>395969880558</v>
      </c>
      <c r="S751">
        <v>415240831.69999999</v>
      </c>
      <c r="T751">
        <v>385740662548.09998</v>
      </c>
      <c r="U751">
        <v>394895430881.23999</v>
      </c>
      <c r="V751">
        <v>0.26004300000000002</v>
      </c>
      <c r="W751">
        <v>1.9796000000000001E-2</v>
      </c>
    </row>
    <row r="752" spans="1:23" x14ac:dyDescent="0.35">
      <c r="A752" t="s">
        <v>0</v>
      </c>
      <c r="B752">
        <v>6500</v>
      </c>
      <c r="C752">
        <v>20</v>
      </c>
      <c r="D752">
        <v>9984</v>
      </c>
      <c r="E752">
        <v>0</v>
      </c>
      <c r="F752">
        <v>291205844475</v>
      </c>
      <c r="G752">
        <v>299850511.07999998</v>
      </c>
      <c r="H752">
        <v>284897310290</v>
      </c>
      <c r="I752">
        <v>289894186287.04999</v>
      </c>
      <c r="J752">
        <v>0.22135199999999999</v>
      </c>
      <c r="K752">
        <v>4.0906999999999999E-2</v>
      </c>
      <c r="M752" t="s">
        <v>0</v>
      </c>
      <c r="N752">
        <v>6750</v>
      </c>
      <c r="O752">
        <v>20</v>
      </c>
      <c r="P752">
        <v>26151</v>
      </c>
      <c r="Q752">
        <v>0</v>
      </c>
      <c r="R752">
        <v>792282161042</v>
      </c>
      <c r="S752">
        <v>781966868.59000003</v>
      </c>
      <c r="T752">
        <v>769512049497.73999</v>
      </c>
      <c r="U752">
        <v>789022117782.26001</v>
      </c>
      <c r="V752">
        <v>0.28662199999999999</v>
      </c>
      <c r="W752">
        <v>3.6894000000000003E-2</v>
      </c>
    </row>
    <row r="753" spans="1:23" x14ac:dyDescent="0.35">
      <c r="A753" t="s">
        <v>1</v>
      </c>
      <c r="B753">
        <v>6500</v>
      </c>
      <c r="C753">
        <v>20</v>
      </c>
      <c r="D753">
        <v>4375</v>
      </c>
      <c r="E753">
        <v>0</v>
      </c>
      <c r="F753">
        <v>152364225483</v>
      </c>
      <c r="G753">
        <v>157155404.27000001</v>
      </c>
      <c r="H753">
        <v>145884588399</v>
      </c>
      <c r="I753">
        <v>151603384361.20001</v>
      </c>
      <c r="J753">
        <v>0.39864899999999998</v>
      </c>
      <c r="K753">
        <v>4.6523000000000002E-2</v>
      </c>
      <c r="M753" t="s">
        <v>1</v>
      </c>
      <c r="N753">
        <v>6750</v>
      </c>
      <c r="O753">
        <v>20</v>
      </c>
      <c r="P753">
        <v>9533</v>
      </c>
      <c r="Q753">
        <v>0</v>
      </c>
      <c r="R753">
        <v>329885321658</v>
      </c>
      <c r="S753">
        <v>326137111.94999999</v>
      </c>
      <c r="T753">
        <v>308665196708.20001</v>
      </c>
      <c r="U753">
        <v>328702616858.71002</v>
      </c>
      <c r="V753">
        <v>0.54396299999999997</v>
      </c>
      <c r="W753">
        <v>3.0717999999999999E-2</v>
      </c>
    </row>
    <row r="754" spans="1:23" x14ac:dyDescent="0.35">
      <c r="A754" t="s">
        <v>2</v>
      </c>
      <c r="B754">
        <v>6500</v>
      </c>
      <c r="C754">
        <v>20</v>
      </c>
      <c r="D754">
        <v>768</v>
      </c>
      <c r="E754">
        <v>0</v>
      </c>
      <c r="F754">
        <v>14800973190</v>
      </c>
      <c r="G754">
        <v>15253954.279999999</v>
      </c>
      <c r="H754">
        <v>14644550122</v>
      </c>
      <c r="I754">
        <v>14783774285.58</v>
      </c>
      <c r="J754">
        <v>0.108637</v>
      </c>
      <c r="K754">
        <v>1.5759999999999999E-3</v>
      </c>
      <c r="M754" t="s">
        <v>0</v>
      </c>
      <c r="N754">
        <v>7000</v>
      </c>
      <c r="O754">
        <v>20</v>
      </c>
      <c r="P754">
        <v>10465</v>
      </c>
      <c r="Q754">
        <v>0</v>
      </c>
      <c r="R754">
        <v>269487350670</v>
      </c>
      <c r="S754">
        <v>253658544.99000001</v>
      </c>
      <c r="T754">
        <v>262408176933.26001</v>
      </c>
      <c r="U754">
        <v>267775169450.42999</v>
      </c>
      <c r="V754">
        <v>0.26497300000000001</v>
      </c>
      <c r="W754">
        <v>6.3048000000000007E-2</v>
      </c>
    </row>
    <row r="755" spans="1:23" x14ac:dyDescent="0.35">
      <c r="A755" t="s">
        <v>0</v>
      </c>
      <c r="B755">
        <v>6500</v>
      </c>
      <c r="C755">
        <v>18</v>
      </c>
      <c r="D755">
        <v>8469</v>
      </c>
      <c r="E755">
        <v>0</v>
      </c>
      <c r="F755">
        <v>221419610333</v>
      </c>
      <c r="G755">
        <v>225303311.58000001</v>
      </c>
      <c r="H755">
        <v>216873044325</v>
      </c>
      <c r="I755">
        <v>219987212813.37</v>
      </c>
      <c r="J755">
        <v>0.210622</v>
      </c>
      <c r="K755">
        <v>6.3492999999999994E-2</v>
      </c>
      <c r="M755" t="s">
        <v>1</v>
      </c>
      <c r="N755">
        <v>7000</v>
      </c>
      <c r="O755">
        <v>20</v>
      </c>
      <c r="P755">
        <v>1973</v>
      </c>
      <c r="Q755">
        <v>0</v>
      </c>
      <c r="R755">
        <v>58058045154</v>
      </c>
      <c r="S755">
        <v>54827414.840000004</v>
      </c>
      <c r="T755">
        <v>55112853882.120003</v>
      </c>
      <c r="U755">
        <v>57745483587.879997</v>
      </c>
      <c r="V755">
        <v>0.45816400000000002</v>
      </c>
      <c r="W755">
        <v>5.1989E-2</v>
      </c>
    </row>
    <row r="756" spans="1:23" x14ac:dyDescent="0.35">
      <c r="A756" t="s">
        <v>1</v>
      </c>
      <c r="B756">
        <v>5750</v>
      </c>
      <c r="C756">
        <v>30</v>
      </c>
      <c r="D756">
        <v>7703</v>
      </c>
      <c r="E756">
        <v>0</v>
      </c>
      <c r="F756">
        <v>295041509709</v>
      </c>
      <c r="G756">
        <v>365343624.61000001</v>
      </c>
      <c r="H756">
        <v>289137689743</v>
      </c>
      <c r="I756">
        <v>293872199220.34003</v>
      </c>
      <c r="J756">
        <v>0.203401</v>
      </c>
      <c r="K756">
        <v>3.2212999999999999E-2</v>
      </c>
      <c r="M756" t="s">
        <v>1</v>
      </c>
      <c r="N756">
        <v>7750</v>
      </c>
      <c r="O756">
        <v>30</v>
      </c>
      <c r="P756">
        <v>2645</v>
      </c>
      <c r="Q756">
        <v>0</v>
      </c>
      <c r="R756">
        <v>62957766429</v>
      </c>
      <c r="S756">
        <v>54791449.109999999</v>
      </c>
      <c r="T756">
        <v>59394616885.300003</v>
      </c>
      <c r="U756">
        <v>62302526191.419998</v>
      </c>
      <c r="V756">
        <v>0.49745099999999998</v>
      </c>
      <c r="W756">
        <v>0.10863100000000001</v>
      </c>
    </row>
    <row r="757" spans="1:23" x14ac:dyDescent="0.35">
      <c r="A757" t="s">
        <v>2</v>
      </c>
      <c r="B757">
        <v>5750</v>
      </c>
      <c r="C757">
        <v>30</v>
      </c>
      <c r="D757">
        <v>334</v>
      </c>
      <c r="E757">
        <v>0</v>
      </c>
      <c r="F757">
        <v>7123279035</v>
      </c>
      <c r="G757">
        <v>8840038.3800000008</v>
      </c>
      <c r="H757">
        <v>7030219091</v>
      </c>
      <c r="I757">
        <v>7114655823.3500004</v>
      </c>
      <c r="J757">
        <v>0.13300600000000001</v>
      </c>
      <c r="K757">
        <v>-3.6499999999999998E-4</v>
      </c>
      <c r="M757" t="s">
        <v>2</v>
      </c>
      <c r="N757">
        <v>7000</v>
      </c>
      <c r="O757">
        <v>20</v>
      </c>
      <c r="P757">
        <v>784</v>
      </c>
      <c r="Q757">
        <v>0</v>
      </c>
      <c r="R757">
        <v>13596958150</v>
      </c>
      <c r="S757">
        <v>12855613.82</v>
      </c>
      <c r="T757">
        <v>13503659772.639999</v>
      </c>
      <c r="U757">
        <v>13556457409.969999</v>
      </c>
      <c r="V757">
        <v>6.8729999999999999E-2</v>
      </c>
      <c r="W757">
        <v>2.4126999999999999E-2</v>
      </c>
    </row>
    <row r="758" spans="1:23" x14ac:dyDescent="0.35">
      <c r="A758" t="s">
        <v>0</v>
      </c>
      <c r="B758">
        <v>6000</v>
      </c>
      <c r="C758">
        <v>24</v>
      </c>
      <c r="D758">
        <v>19162</v>
      </c>
      <c r="E758">
        <v>0</v>
      </c>
      <c r="F758">
        <v>587888979208</v>
      </c>
      <c r="G758">
        <v>675921406.25</v>
      </c>
      <c r="H758">
        <v>581169653788</v>
      </c>
      <c r="I758">
        <v>585939270811.93005</v>
      </c>
      <c r="J758">
        <v>0.116617</v>
      </c>
      <c r="K758">
        <v>2.5693000000000001E-2</v>
      </c>
      <c r="M758" t="s">
        <v>0</v>
      </c>
      <c r="N758">
        <v>7500</v>
      </c>
      <c r="O758">
        <v>20</v>
      </c>
      <c r="P758">
        <v>2688</v>
      </c>
      <c r="Q758">
        <v>0</v>
      </c>
      <c r="R758">
        <v>69975984191</v>
      </c>
      <c r="S758">
        <v>60217395.789999999</v>
      </c>
      <c r="T758">
        <v>68450310832.309998</v>
      </c>
      <c r="U758">
        <v>69540908561.75</v>
      </c>
      <c r="V758">
        <v>0.22428999999999999</v>
      </c>
      <c r="W758">
        <v>6.2422999999999999E-2</v>
      </c>
    </row>
    <row r="759" spans="1:23" x14ac:dyDescent="0.35">
      <c r="A759" t="s">
        <v>0</v>
      </c>
      <c r="B759">
        <v>5250</v>
      </c>
      <c r="C759">
        <v>24</v>
      </c>
      <c r="D759">
        <v>4016</v>
      </c>
      <c r="E759">
        <v>0</v>
      </c>
      <c r="F759">
        <v>137547540838</v>
      </c>
      <c r="G759">
        <v>180026752.05000001</v>
      </c>
      <c r="H759">
        <v>136882150268</v>
      </c>
      <c r="I759">
        <v>137163551547.19</v>
      </c>
      <c r="J759">
        <v>4.1531999999999999E-2</v>
      </c>
      <c r="K759">
        <v>1.7649999999999999E-2</v>
      </c>
      <c r="M759" t="s">
        <v>0</v>
      </c>
      <c r="N759">
        <v>6750</v>
      </c>
      <c r="O759">
        <v>18</v>
      </c>
      <c r="P759">
        <v>25910</v>
      </c>
      <c r="Q759">
        <v>0</v>
      </c>
      <c r="R759">
        <v>761575584232</v>
      </c>
      <c r="S759">
        <v>742115326.45000005</v>
      </c>
      <c r="T759">
        <v>741624432185.97998</v>
      </c>
      <c r="U759">
        <v>758362941872.52002</v>
      </c>
      <c r="V759">
        <v>0.26402199999999998</v>
      </c>
      <c r="W759">
        <v>3.8240999999999997E-2</v>
      </c>
    </row>
    <row r="760" spans="1:23" x14ac:dyDescent="0.35">
      <c r="A760" t="s">
        <v>1</v>
      </c>
      <c r="B760">
        <v>5250</v>
      </c>
      <c r="C760">
        <v>24</v>
      </c>
      <c r="D760">
        <v>2278</v>
      </c>
      <c r="E760">
        <v>0</v>
      </c>
      <c r="F760">
        <v>87873831381</v>
      </c>
      <c r="G760">
        <v>114978461.48</v>
      </c>
      <c r="H760">
        <v>87220727338</v>
      </c>
      <c r="I760">
        <v>87650357219.610001</v>
      </c>
      <c r="J760">
        <v>7.1060999999999999E-2</v>
      </c>
      <c r="K760">
        <v>1.4716E-2</v>
      </c>
      <c r="M760" t="s">
        <v>0</v>
      </c>
      <c r="N760">
        <v>8000</v>
      </c>
      <c r="O760">
        <v>24</v>
      </c>
      <c r="P760">
        <v>630</v>
      </c>
      <c r="Q760">
        <v>0</v>
      </c>
      <c r="R760">
        <v>15073020498</v>
      </c>
      <c r="S760">
        <v>12108327.390000001</v>
      </c>
      <c r="T760">
        <v>14785438989.110001</v>
      </c>
      <c r="U760">
        <v>14858618772.559999</v>
      </c>
      <c r="V760">
        <v>0.19855600000000001</v>
      </c>
      <c r="W760">
        <v>0.14967900000000001</v>
      </c>
    </row>
    <row r="761" spans="1:23" x14ac:dyDescent="0.35">
      <c r="A761" t="s">
        <v>0</v>
      </c>
      <c r="B761">
        <v>5750</v>
      </c>
      <c r="C761">
        <v>24</v>
      </c>
      <c r="D761">
        <v>15095</v>
      </c>
      <c r="E761">
        <v>0</v>
      </c>
      <c r="F761">
        <v>507679631943</v>
      </c>
      <c r="G761">
        <v>611014575.64999998</v>
      </c>
      <c r="H761">
        <v>502892800030</v>
      </c>
      <c r="I761">
        <v>506071024704.90002</v>
      </c>
      <c r="J761">
        <v>9.4358999999999998E-2</v>
      </c>
      <c r="K761">
        <v>2.3327000000000001E-2</v>
      </c>
      <c r="M761" t="s">
        <v>0</v>
      </c>
      <c r="N761">
        <v>6250</v>
      </c>
      <c r="O761">
        <v>24</v>
      </c>
      <c r="P761">
        <v>38093</v>
      </c>
      <c r="Q761">
        <v>0</v>
      </c>
      <c r="R761">
        <v>1209708172480</v>
      </c>
      <c r="S761">
        <v>1330479514.8599999</v>
      </c>
      <c r="T761">
        <v>1185021243422.9299</v>
      </c>
      <c r="U761">
        <v>1205952473393.03</v>
      </c>
      <c r="V761">
        <v>0.20860300000000001</v>
      </c>
      <c r="W761">
        <v>2.3793999999999999E-2</v>
      </c>
    </row>
    <row r="762" spans="1:23" x14ac:dyDescent="0.35">
      <c r="A762" t="s">
        <v>2</v>
      </c>
      <c r="B762">
        <v>5750</v>
      </c>
      <c r="C762">
        <v>24</v>
      </c>
      <c r="D762">
        <v>389</v>
      </c>
      <c r="E762">
        <v>0</v>
      </c>
      <c r="F762">
        <v>8978032213</v>
      </c>
      <c r="G762">
        <v>10827124.91</v>
      </c>
      <c r="H762">
        <v>8898374736</v>
      </c>
      <c r="I762">
        <v>8967067458.9400005</v>
      </c>
      <c r="J762">
        <v>8.8217000000000004E-2</v>
      </c>
      <c r="K762">
        <v>1.84E-4</v>
      </c>
      <c r="M762" t="s">
        <v>0</v>
      </c>
      <c r="N762">
        <v>6500</v>
      </c>
      <c r="O762">
        <v>18</v>
      </c>
      <c r="P762">
        <v>9422</v>
      </c>
      <c r="Q762">
        <v>0</v>
      </c>
      <c r="R762">
        <v>260683409867</v>
      </c>
      <c r="S762">
        <v>264868889.49000001</v>
      </c>
      <c r="T762">
        <v>255588117815.98001</v>
      </c>
      <c r="U762">
        <v>259973423266.01999</v>
      </c>
      <c r="V762">
        <v>0.20104</v>
      </c>
      <c r="W762">
        <v>2.0299000000000001E-2</v>
      </c>
    </row>
    <row r="763" spans="1:23" x14ac:dyDescent="0.35">
      <c r="A763" t="s">
        <v>0</v>
      </c>
      <c r="B763">
        <v>6250</v>
      </c>
      <c r="C763">
        <v>24</v>
      </c>
      <c r="D763">
        <v>37136</v>
      </c>
      <c r="E763">
        <v>0</v>
      </c>
      <c r="F763">
        <v>1181261825782</v>
      </c>
      <c r="G763">
        <v>1300821948.9100001</v>
      </c>
      <c r="H763">
        <v>1160628097536</v>
      </c>
      <c r="I763">
        <v>1176499770655.1399</v>
      </c>
      <c r="J763">
        <v>0.179647</v>
      </c>
      <c r="K763">
        <v>3.4599999999999999E-2</v>
      </c>
      <c r="M763" t="s">
        <v>1</v>
      </c>
      <c r="N763">
        <v>6750</v>
      </c>
      <c r="O763">
        <v>18</v>
      </c>
      <c r="P763">
        <v>8003</v>
      </c>
      <c r="Q763">
        <v>0</v>
      </c>
      <c r="R763">
        <v>257037695267</v>
      </c>
      <c r="S763">
        <v>251070606.25999999</v>
      </c>
      <c r="T763">
        <v>240366758955.39999</v>
      </c>
      <c r="U763">
        <v>255512403188.95999</v>
      </c>
      <c r="V763">
        <v>0.54713199999999995</v>
      </c>
      <c r="W763">
        <v>5.7893E-2</v>
      </c>
    </row>
    <row r="764" spans="1:23" x14ac:dyDescent="0.35">
      <c r="A764" t="s">
        <v>1</v>
      </c>
      <c r="B764">
        <v>6000</v>
      </c>
      <c r="C764">
        <v>24</v>
      </c>
      <c r="D764">
        <v>10027</v>
      </c>
      <c r="E764">
        <v>0</v>
      </c>
      <c r="F764">
        <v>367175631494</v>
      </c>
      <c r="G764">
        <v>422491232.38999999</v>
      </c>
      <c r="H764">
        <v>355241618177</v>
      </c>
      <c r="I764">
        <v>365817483137.28003</v>
      </c>
      <c r="J764">
        <v>0.31767000000000001</v>
      </c>
      <c r="K764">
        <v>3.0154E-2</v>
      </c>
      <c r="M764" t="s">
        <v>1</v>
      </c>
      <c r="N764">
        <v>6500</v>
      </c>
      <c r="O764">
        <v>18</v>
      </c>
      <c r="P764">
        <v>3360</v>
      </c>
      <c r="Q764">
        <v>0</v>
      </c>
      <c r="R764">
        <v>114269712962</v>
      </c>
      <c r="S764">
        <v>116296575.56999999</v>
      </c>
      <c r="T764">
        <v>106391647257.73</v>
      </c>
      <c r="U764">
        <v>113547696184.10001</v>
      </c>
      <c r="V764">
        <v>0.57005799999999995</v>
      </c>
      <c r="W764">
        <v>6.1787000000000002E-2</v>
      </c>
    </row>
    <row r="765" spans="1:23" x14ac:dyDescent="0.35">
      <c r="A765" t="s">
        <v>2</v>
      </c>
      <c r="B765">
        <v>6000</v>
      </c>
      <c r="C765">
        <v>24</v>
      </c>
      <c r="D765">
        <v>639</v>
      </c>
      <c r="E765">
        <v>0</v>
      </c>
      <c r="F765">
        <v>13447500629</v>
      </c>
      <c r="G765">
        <v>15455650.23</v>
      </c>
      <c r="H765">
        <v>13233789525</v>
      </c>
      <c r="I765">
        <v>13296930706.58</v>
      </c>
      <c r="J765">
        <v>0.16325200000000001</v>
      </c>
      <c r="K765">
        <v>0.11412600000000001</v>
      </c>
      <c r="M765" t="s">
        <v>2</v>
      </c>
      <c r="N765">
        <v>6500</v>
      </c>
      <c r="O765">
        <v>18</v>
      </c>
      <c r="P765">
        <v>864</v>
      </c>
      <c r="Q765">
        <v>0</v>
      </c>
      <c r="R765">
        <v>16529082507</v>
      </c>
      <c r="S765">
        <v>16838983.620000001</v>
      </c>
      <c r="T765">
        <v>16393851541.48</v>
      </c>
      <c r="U765">
        <v>16512243523.379999</v>
      </c>
      <c r="V765">
        <v>8.2644999999999996E-2</v>
      </c>
      <c r="W765">
        <v>0</v>
      </c>
    </row>
    <row r="766" spans="1:23" x14ac:dyDescent="0.35">
      <c r="A766" t="s">
        <v>2</v>
      </c>
      <c r="B766">
        <v>6500</v>
      </c>
      <c r="C766">
        <v>24</v>
      </c>
      <c r="D766">
        <v>1391</v>
      </c>
      <c r="E766">
        <v>0</v>
      </c>
      <c r="F766">
        <v>26148199766</v>
      </c>
      <c r="G766">
        <v>27471270.960000001</v>
      </c>
      <c r="H766">
        <v>25934529293</v>
      </c>
      <c r="I766">
        <v>26092626589.52</v>
      </c>
      <c r="J766">
        <v>8.2183000000000006E-2</v>
      </c>
      <c r="K766">
        <v>1.2821000000000001E-2</v>
      </c>
      <c r="M766" t="s">
        <v>0</v>
      </c>
      <c r="N766">
        <v>7000</v>
      </c>
      <c r="O766">
        <v>18</v>
      </c>
      <c r="P766">
        <v>8024</v>
      </c>
      <c r="Q766">
        <v>0</v>
      </c>
      <c r="R766">
        <v>206416404210</v>
      </c>
      <c r="S766">
        <v>192061598.44999999</v>
      </c>
      <c r="T766">
        <v>201510567230.29999</v>
      </c>
      <c r="U766">
        <v>204809361751.23001</v>
      </c>
      <c r="V766">
        <v>0.24210599999999999</v>
      </c>
      <c r="W766">
        <v>7.9228000000000007E-2</v>
      </c>
    </row>
    <row r="767" spans="1:23" x14ac:dyDescent="0.35">
      <c r="A767" t="s">
        <v>1</v>
      </c>
      <c r="B767">
        <v>7250</v>
      </c>
      <c r="C767">
        <v>24</v>
      </c>
      <c r="D767">
        <v>4152</v>
      </c>
      <c r="E767">
        <v>0</v>
      </c>
      <c r="F767">
        <v>113069890739</v>
      </c>
      <c r="G767">
        <v>104181233.98999999</v>
      </c>
      <c r="H767">
        <v>106411648750</v>
      </c>
      <c r="I767">
        <v>111212080799.91</v>
      </c>
      <c r="J767">
        <v>0.51156599999999997</v>
      </c>
      <c r="K767">
        <v>0.17102800000000001</v>
      </c>
      <c r="M767" t="s">
        <v>0</v>
      </c>
      <c r="N767">
        <v>7750</v>
      </c>
      <c r="O767">
        <v>24</v>
      </c>
      <c r="P767">
        <v>5504</v>
      </c>
      <c r="Q767">
        <v>0</v>
      </c>
      <c r="R767">
        <v>135656915545</v>
      </c>
      <c r="S767">
        <v>113704602.08</v>
      </c>
      <c r="T767">
        <v>130692349220.58</v>
      </c>
      <c r="U767">
        <v>134172806021.08</v>
      </c>
      <c r="V767">
        <v>0.35400199999999998</v>
      </c>
      <c r="W767">
        <v>0.11471000000000001</v>
      </c>
    </row>
    <row r="768" spans="1:23" x14ac:dyDescent="0.35">
      <c r="A768" t="s">
        <v>1</v>
      </c>
      <c r="B768">
        <v>5750</v>
      </c>
      <c r="C768">
        <v>24</v>
      </c>
      <c r="D768">
        <v>10428</v>
      </c>
      <c r="E768">
        <v>0</v>
      </c>
      <c r="F768">
        <v>406720164155</v>
      </c>
      <c r="G768">
        <v>489453111.01999998</v>
      </c>
      <c r="H768">
        <v>395951653019</v>
      </c>
      <c r="I768">
        <v>404791991870.67999</v>
      </c>
      <c r="J768">
        <v>0.26447799999999999</v>
      </c>
      <c r="K768">
        <v>4.1632000000000002E-2</v>
      </c>
      <c r="M768" t="s">
        <v>0</v>
      </c>
      <c r="N768">
        <v>5750</v>
      </c>
      <c r="O768">
        <v>24</v>
      </c>
      <c r="P768">
        <v>17150</v>
      </c>
      <c r="Q768">
        <v>0</v>
      </c>
      <c r="R768">
        <v>581682891033</v>
      </c>
      <c r="S768">
        <v>698929639.36000001</v>
      </c>
      <c r="T768">
        <v>575722673314.71997</v>
      </c>
      <c r="U768">
        <v>580321662642</v>
      </c>
      <c r="V768">
        <v>0.103299</v>
      </c>
      <c r="W768">
        <v>1.3578E-2</v>
      </c>
    </row>
    <row r="769" spans="1:23" x14ac:dyDescent="0.35">
      <c r="A769" t="s">
        <v>2</v>
      </c>
      <c r="B769">
        <v>6250</v>
      </c>
      <c r="C769">
        <v>24</v>
      </c>
      <c r="D769">
        <v>1730</v>
      </c>
      <c r="E769">
        <v>0</v>
      </c>
      <c r="F769">
        <v>35274120701</v>
      </c>
      <c r="G769">
        <v>38836929.170000002</v>
      </c>
      <c r="H769">
        <v>34906686500</v>
      </c>
      <c r="I769">
        <v>35171787387.699997</v>
      </c>
      <c r="J769">
        <v>0.10623299999999999</v>
      </c>
      <c r="K769">
        <v>2.1388000000000001E-2</v>
      </c>
      <c r="M769" t="s">
        <v>1</v>
      </c>
      <c r="N769">
        <v>5750</v>
      </c>
      <c r="O769">
        <v>24</v>
      </c>
      <c r="P769">
        <v>12323</v>
      </c>
      <c r="Q769">
        <v>0</v>
      </c>
      <c r="R769">
        <v>480914444309</v>
      </c>
      <c r="S769">
        <v>577917581.04999995</v>
      </c>
      <c r="T769">
        <v>462390263016.21997</v>
      </c>
      <c r="U769">
        <v>479194768570.27002</v>
      </c>
      <c r="V769">
        <v>0.36642200000000003</v>
      </c>
      <c r="W769">
        <v>2.8121E-2</v>
      </c>
    </row>
    <row r="770" spans="1:23" x14ac:dyDescent="0.35">
      <c r="A770" t="s">
        <v>1</v>
      </c>
      <c r="B770">
        <v>6250</v>
      </c>
      <c r="C770">
        <v>24</v>
      </c>
      <c r="D770">
        <v>19287</v>
      </c>
      <c r="E770">
        <v>0</v>
      </c>
      <c r="F770">
        <v>699686952497</v>
      </c>
      <c r="G770">
        <v>770546858.34000003</v>
      </c>
      <c r="H770">
        <v>672247120695</v>
      </c>
      <c r="I770">
        <v>696211918932.23999</v>
      </c>
      <c r="J770">
        <v>0.37270399999999998</v>
      </c>
      <c r="K770">
        <v>4.5409999999999999E-2</v>
      </c>
      <c r="M770" t="s">
        <v>2</v>
      </c>
      <c r="N770">
        <v>5750</v>
      </c>
      <c r="O770">
        <v>24</v>
      </c>
      <c r="P770">
        <v>414</v>
      </c>
      <c r="Q770">
        <v>0</v>
      </c>
      <c r="R770">
        <v>9716940627</v>
      </c>
      <c r="S770">
        <v>11691575.640000001</v>
      </c>
      <c r="T770">
        <v>9705249051.3600006</v>
      </c>
      <c r="U770">
        <v>9705249051.3600006</v>
      </c>
      <c r="V770">
        <v>0</v>
      </c>
      <c r="W770">
        <v>0</v>
      </c>
    </row>
    <row r="771" spans="1:23" x14ac:dyDescent="0.35">
      <c r="A771" t="s">
        <v>1</v>
      </c>
      <c r="B771">
        <v>6500</v>
      </c>
      <c r="C771">
        <v>24</v>
      </c>
      <c r="D771">
        <v>5570</v>
      </c>
      <c r="E771">
        <v>0</v>
      </c>
      <c r="F771">
        <v>188141759753</v>
      </c>
      <c r="G771">
        <v>197187180.80000001</v>
      </c>
      <c r="H771">
        <v>180868195913</v>
      </c>
      <c r="I771">
        <v>187116943262.92999</v>
      </c>
      <c r="J771">
        <v>0.36874800000000002</v>
      </c>
      <c r="K771">
        <v>5.1528999999999998E-2</v>
      </c>
      <c r="M771" t="s">
        <v>0</v>
      </c>
      <c r="N771">
        <v>6000</v>
      </c>
      <c r="O771">
        <v>24</v>
      </c>
      <c r="P771">
        <v>19355</v>
      </c>
      <c r="Q771">
        <v>0</v>
      </c>
      <c r="R771">
        <v>593906313164</v>
      </c>
      <c r="S771">
        <v>681865128.20000005</v>
      </c>
      <c r="T771">
        <v>586916293874.31006</v>
      </c>
      <c r="U771">
        <v>592282076499.81006</v>
      </c>
      <c r="V771">
        <v>0.120269</v>
      </c>
      <c r="W771">
        <v>1.8876E-2</v>
      </c>
    </row>
    <row r="772" spans="1:23" x14ac:dyDescent="0.35">
      <c r="A772" t="s">
        <v>0</v>
      </c>
      <c r="B772">
        <v>7250</v>
      </c>
      <c r="C772">
        <v>20</v>
      </c>
      <c r="D772">
        <v>12745</v>
      </c>
      <c r="E772">
        <v>0</v>
      </c>
      <c r="F772">
        <v>336685239444</v>
      </c>
      <c r="G772">
        <v>303408404.62</v>
      </c>
      <c r="H772">
        <v>325768072901</v>
      </c>
      <c r="I772">
        <v>333405639438.76001</v>
      </c>
      <c r="J772">
        <v>0.319129</v>
      </c>
      <c r="K772">
        <v>0.10106800000000001</v>
      </c>
      <c r="M772" t="s">
        <v>2</v>
      </c>
      <c r="N772">
        <v>6000</v>
      </c>
      <c r="O772">
        <v>24</v>
      </c>
      <c r="P772">
        <v>623</v>
      </c>
      <c r="Q772">
        <v>0</v>
      </c>
      <c r="R772">
        <v>13103567570</v>
      </c>
      <c r="S772">
        <v>15034466.75</v>
      </c>
      <c r="T772">
        <v>13072327396.41</v>
      </c>
      <c r="U772">
        <v>13088533103.25</v>
      </c>
      <c r="V772">
        <v>1.474E-2</v>
      </c>
      <c r="W772">
        <v>0</v>
      </c>
    </row>
    <row r="773" spans="1:23" x14ac:dyDescent="0.35">
      <c r="A773" t="s">
        <v>0</v>
      </c>
      <c r="B773">
        <v>7500</v>
      </c>
      <c r="C773">
        <v>20</v>
      </c>
      <c r="D773">
        <v>2261</v>
      </c>
      <c r="E773">
        <v>0</v>
      </c>
      <c r="F773">
        <v>57703341751</v>
      </c>
      <c r="G773">
        <v>49725921.030000001</v>
      </c>
      <c r="H773">
        <v>56655393211</v>
      </c>
      <c r="I773">
        <v>57160847442.080002</v>
      </c>
      <c r="J773">
        <v>0.18893499999999999</v>
      </c>
      <c r="K773">
        <v>9.7797999999999996E-2</v>
      </c>
      <c r="M773" t="s">
        <v>1</v>
      </c>
      <c r="N773">
        <v>6250</v>
      </c>
      <c r="O773">
        <v>24</v>
      </c>
      <c r="P773">
        <v>20412</v>
      </c>
      <c r="Q773">
        <v>0</v>
      </c>
      <c r="R773">
        <v>723309282433</v>
      </c>
      <c r="S773">
        <v>795653942.28999996</v>
      </c>
      <c r="T773">
        <v>684447417444.95996</v>
      </c>
      <c r="U773">
        <v>720555337127.79004</v>
      </c>
      <c r="V773">
        <v>0.47730600000000001</v>
      </c>
      <c r="W773">
        <v>3.2009000000000003E-2</v>
      </c>
    </row>
    <row r="774" spans="1:23" x14ac:dyDescent="0.35">
      <c r="A774" t="s">
        <v>1</v>
      </c>
      <c r="B774">
        <v>5750</v>
      </c>
      <c r="C774">
        <v>20</v>
      </c>
      <c r="D774">
        <v>4244</v>
      </c>
      <c r="E774">
        <v>0</v>
      </c>
      <c r="F774">
        <v>171159977737</v>
      </c>
      <c r="G774">
        <v>201602181.12</v>
      </c>
      <c r="H774">
        <v>166630959958</v>
      </c>
      <c r="I774">
        <v>170150351766.13</v>
      </c>
      <c r="J774">
        <v>0.264567</v>
      </c>
      <c r="K774">
        <v>5.5202000000000001E-2</v>
      </c>
      <c r="M774" t="s">
        <v>0</v>
      </c>
      <c r="N774">
        <v>5250</v>
      </c>
      <c r="O774">
        <v>24</v>
      </c>
      <c r="P774">
        <v>3924</v>
      </c>
      <c r="Q774">
        <v>0</v>
      </c>
      <c r="R774">
        <v>134755821759</v>
      </c>
      <c r="S774">
        <v>176238022.11000001</v>
      </c>
      <c r="T774">
        <v>133924137682.39999</v>
      </c>
      <c r="U774">
        <v>134370587577.58</v>
      </c>
      <c r="V774">
        <v>5.6831E-2</v>
      </c>
      <c r="W774">
        <v>1.8453000000000001E-2</v>
      </c>
    </row>
    <row r="775" spans="1:23" x14ac:dyDescent="0.35">
      <c r="A775" t="s">
        <v>0</v>
      </c>
      <c r="B775">
        <v>5750</v>
      </c>
      <c r="C775">
        <v>20</v>
      </c>
      <c r="D775">
        <v>5302</v>
      </c>
      <c r="E775">
        <v>0</v>
      </c>
      <c r="F775">
        <v>182166718334</v>
      </c>
      <c r="G775">
        <v>214872179.80000001</v>
      </c>
      <c r="H775">
        <v>180635632042</v>
      </c>
      <c r="I775">
        <v>181466670151.41</v>
      </c>
      <c r="J775">
        <v>8.3339999999999997E-2</v>
      </c>
      <c r="K775">
        <v>3.1496000000000003E-2</v>
      </c>
      <c r="M775" t="s">
        <v>1</v>
      </c>
      <c r="N775">
        <v>5250</v>
      </c>
      <c r="O775">
        <v>24</v>
      </c>
      <c r="P775">
        <v>2428</v>
      </c>
      <c r="Q775">
        <v>0</v>
      </c>
      <c r="R775">
        <v>95706459997</v>
      </c>
      <c r="S775">
        <v>125069774.09</v>
      </c>
      <c r="T775">
        <v>94479775033.929993</v>
      </c>
      <c r="U775">
        <v>95190533533.940002</v>
      </c>
      <c r="V775">
        <v>0.12970699999999999</v>
      </c>
      <c r="W775">
        <v>4.7920999999999998E-2</v>
      </c>
    </row>
    <row r="776" spans="1:23" x14ac:dyDescent="0.35">
      <c r="A776" t="s">
        <v>0</v>
      </c>
      <c r="B776">
        <v>6000</v>
      </c>
      <c r="C776">
        <v>20</v>
      </c>
      <c r="D776">
        <v>8787</v>
      </c>
      <c r="E776">
        <v>0</v>
      </c>
      <c r="F776">
        <v>288623004806</v>
      </c>
      <c r="G776">
        <v>325650540.82999998</v>
      </c>
      <c r="H776">
        <v>285593382452</v>
      </c>
      <c r="I776">
        <v>287611559977.16998</v>
      </c>
      <c r="J776">
        <v>0.106807</v>
      </c>
      <c r="K776">
        <v>2.8143000000000001E-2</v>
      </c>
      <c r="M776" t="s">
        <v>2</v>
      </c>
      <c r="N776">
        <v>6500</v>
      </c>
      <c r="O776">
        <v>24</v>
      </c>
      <c r="P776">
        <v>1197</v>
      </c>
      <c r="Q776">
        <v>0</v>
      </c>
      <c r="R776">
        <v>21996954300</v>
      </c>
      <c r="S776">
        <v>23089309.760000002</v>
      </c>
      <c r="T776">
        <v>21783814781.599998</v>
      </c>
      <c r="U776">
        <v>21960784860.490002</v>
      </c>
      <c r="V776">
        <v>9.8891000000000007E-2</v>
      </c>
      <c r="W776">
        <v>7.1120000000000003E-3</v>
      </c>
    </row>
    <row r="777" spans="1:23" x14ac:dyDescent="0.35">
      <c r="A777" t="s">
        <v>2</v>
      </c>
      <c r="B777">
        <v>6000</v>
      </c>
      <c r="C777">
        <v>20</v>
      </c>
      <c r="D777">
        <v>273</v>
      </c>
      <c r="E777">
        <v>0</v>
      </c>
      <c r="F777">
        <v>6031360482</v>
      </c>
      <c r="G777">
        <v>6804671.2699999996</v>
      </c>
      <c r="H777">
        <v>6000070951</v>
      </c>
      <c r="I777">
        <v>6024394028.0500002</v>
      </c>
      <c r="J777">
        <v>4.7641999999999997E-2</v>
      </c>
      <c r="K777">
        <v>3.2200000000000002E-4</v>
      </c>
      <c r="M777" t="s">
        <v>1</v>
      </c>
      <c r="N777">
        <v>6000</v>
      </c>
      <c r="O777">
        <v>24</v>
      </c>
      <c r="P777">
        <v>10914</v>
      </c>
      <c r="Q777">
        <v>0</v>
      </c>
      <c r="R777">
        <v>393305246906</v>
      </c>
      <c r="S777">
        <v>452175592.63999999</v>
      </c>
      <c r="T777">
        <v>374946293710.92999</v>
      </c>
      <c r="U777">
        <v>391974647895.41998</v>
      </c>
      <c r="V777">
        <v>0.42831999999999998</v>
      </c>
      <c r="W777">
        <v>2.6474000000000001E-2</v>
      </c>
    </row>
    <row r="778" spans="1:23" x14ac:dyDescent="0.35">
      <c r="A778" t="s">
        <v>2</v>
      </c>
      <c r="B778">
        <v>7000</v>
      </c>
      <c r="C778">
        <v>24</v>
      </c>
      <c r="D778">
        <v>814</v>
      </c>
      <c r="E778">
        <v>0</v>
      </c>
      <c r="F778">
        <v>13568374900</v>
      </c>
      <c r="G778">
        <v>13028883.289999999</v>
      </c>
      <c r="H778">
        <v>13307648785</v>
      </c>
      <c r="I778">
        <v>13508559714.85</v>
      </c>
      <c r="J778">
        <v>0.198356</v>
      </c>
      <c r="K778">
        <v>4.0601999999999999E-2</v>
      </c>
      <c r="M778" t="s">
        <v>1</v>
      </c>
      <c r="N778">
        <v>7250</v>
      </c>
      <c r="O778">
        <v>24</v>
      </c>
      <c r="P778">
        <v>3243</v>
      </c>
      <c r="Q778">
        <v>0</v>
      </c>
      <c r="R778">
        <v>86212016230</v>
      </c>
      <c r="S778">
        <v>79493410.340000004</v>
      </c>
      <c r="T778">
        <v>80134539882.240005</v>
      </c>
      <c r="U778">
        <v>84824220713.460007</v>
      </c>
      <c r="V778">
        <v>0.57908899999999996</v>
      </c>
      <c r="W778">
        <v>0.16764899999999999</v>
      </c>
    </row>
    <row r="779" spans="1:23" x14ac:dyDescent="0.35">
      <c r="A779" t="s">
        <v>1</v>
      </c>
      <c r="B779">
        <v>7500</v>
      </c>
      <c r="C779">
        <v>24</v>
      </c>
      <c r="D779">
        <v>524</v>
      </c>
      <c r="E779">
        <v>0</v>
      </c>
      <c r="F779">
        <v>13484732514</v>
      </c>
      <c r="G779">
        <v>12125021.85</v>
      </c>
      <c r="H779">
        <v>12708614924</v>
      </c>
      <c r="I779">
        <v>13093723636.709999</v>
      </c>
      <c r="J779">
        <v>0.50336099999999995</v>
      </c>
      <c r="K779">
        <v>0.28964800000000002</v>
      </c>
      <c r="M779" t="s">
        <v>2</v>
      </c>
      <c r="N779">
        <v>6250</v>
      </c>
      <c r="O779">
        <v>24</v>
      </c>
      <c r="P779">
        <v>1745</v>
      </c>
      <c r="Q779">
        <v>0</v>
      </c>
      <c r="R779">
        <v>35151679673</v>
      </c>
      <c r="S779">
        <v>38642651.890000001</v>
      </c>
      <c r="T779">
        <v>34870683273.919998</v>
      </c>
      <c r="U779">
        <v>35058068734.769997</v>
      </c>
      <c r="V779">
        <v>7.9668000000000003E-2</v>
      </c>
      <c r="W779">
        <v>1.8603999999999999E-2</v>
      </c>
    </row>
    <row r="780" spans="1:23" x14ac:dyDescent="0.35">
      <c r="A780" t="s">
        <v>2</v>
      </c>
      <c r="B780">
        <v>7500</v>
      </c>
      <c r="C780">
        <v>24</v>
      </c>
      <c r="D780">
        <v>195</v>
      </c>
      <c r="E780">
        <v>0</v>
      </c>
      <c r="F780">
        <v>2780989060</v>
      </c>
      <c r="G780">
        <v>2433285.9300000002</v>
      </c>
      <c r="H780">
        <v>2716218187</v>
      </c>
      <c r="I780">
        <v>2761105135.9000001</v>
      </c>
      <c r="J780">
        <v>0.238182</v>
      </c>
      <c r="K780">
        <v>7.2755E-2</v>
      </c>
      <c r="M780" t="s">
        <v>1</v>
      </c>
      <c r="N780">
        <v>6500</v>
      </c>
      <c r="O780">
        <v>24</v>
      </c>
      <c r="P780">
        <v>4174</v>
      </c>
      <c r="Q780">
        <v>0</v>
      </c>
      <c r="R780">
        <v>136056075127</v>
      </c>
      <c r="S780">
        <v>142624549.34</v>
      </c>
      <c r="T780">
        <v>128202106101.31</v>
      </c>
      <c r="U780">
        <v>135621151393.14</v>
      </c>
      <c r="V780">
        <v>0.503498</v>
      </c>
      <c r="W780">
        <v>2.5478000000000001E-2</v>
      </c>
    </row>
    <row r="781" spans="1:23" x14ac:dyDescent="0.35">
      <c r="A781" t="s">
        <v>1</v>
      </c>
      <c r="B781">
        <v>6500</v>
      </c>
      <c r="C781">
        <v>18</v>
      </c>
      <c r="D781">
        <v>1987</v>
      </c>
      <c r="E781">
        <v>0</v>
      </c>
      <c r="F781">
        <v>62683201880</v>
      </c>
      <c r="G781">
        <v>63975807.490000002</v>
      </c>
      <c r="H781">
        <v>60136586095</v>
      </c>
      <c r="I781">
        <v>62260886628.610001</v>
      </c>
      <c r="J781">
        <v>0.38426700000000003</v>
      </c>
      <c r="K781">
        <v>6.6484000000000001E-2</v>
      </c>
      <c r="M781" t="s">
        <v>1</v>
      </c>
      <c r="N781">
        <v>7000</v>
      </c>
      <c r="O781">
        <v>24</v>
      </c>
      <c r="P781">
        <v>1601</v>
      </c>
      <c r="Q781">
        <v>0</v>
      </c>
      <c r="R781">
        <v>43319960430</v>
      </c>
      <c r="S781">
        <v>41755143.950000003</v>
      </c>
      <c r="T781">
        <v>40634230251.239998</v>
      </c>
      <c r="U781">
        <v>42794664890.279999</v>
      </c>
      <c r="V781">
        <v>0.53032199999999996</v>
      </c>
      <c r="W781">
        <v>0.12601999999999999</v>
      </c>
    </row>
    <row r="782" spans="1:23" x14ac:dyDescent="0.35">
      <c r="A782" t="s">
        <v>2</v>
      </c>
      <c r="B782">
        <v>6500</v>
      </c>
      <c r="C782">
        <v>18</v>
      </c>
      <c r="D782">
        <v>762</v>
      </c>
      <c r="E782">
        <v>0</v>
      </c>
      <c r="F782">
        <v>14045133854</v>
      </c>
      <c r="G782">
        <v>14323948.9</v>
      </c>
      <c r="H782">
        <v>13951531074</v>
      </c>
      <c r="I782">
        <v>14015775324.76</v>
      </c>
      <c r="J782">
        <v>6.5670999999999993E-2</v>
      </c>
      <c r="K782">
        <v>1.277E-2</v>
      </c>
      <c r="M782" t="s">
        <v>0</v>
      </c>
      <c r="N782">
        <v>7250</v>
      </c>
      <c r="O782">
        <v>20</v>
      </c>
      <c r="P782">
        <v>14665</v>
      </c>
      <c r="Q782">
        <v>0</v>
      </c>
      <c r="R782">
        <v>395111323263</v>
      </c>
      <c r="S782">
        <v>356180108.62</v>
      </c>
      <c r="T782">
        <v>380849548412.40002</v>
      </c>
      <c r="U782">
        <v>391939593869.52002</v>
      </c>
      <c r="V782">
        <v>0.34945199999999998</v>
      </c>
      <c r="W782">
        <v>8.2238000000000006E-2</v>
      </c>
    </row>
    <row r="783" spans="1:23" x14ac:dyDescent="0.35">
      <c r="A783" t="s">
        <v>0</v>
      </c>
      <c r="B783">
        <v>7000</v>
      </c>
      <c r="C783">
        <v>18</v>
      </c>
      <c r="D783">
        <v>5436</v>
      </c>
      <c r="E783">
        <v>0</v>
      </c>
      <c r="F783">
        <v>138665729647</v>
      </c>
      <c r="G783">
        <v>129276958.59</v>
      </c>
      <c r="H783">
        <v>135859136120</v>
      </c>
      <c r="I783">
        <v>137717260302.29999</v>
      </c>
      <c r="J783">
        <v>0.20860500000000001</v>
      </c>
      <c r="K783">
        <v>6.8633E-2</v>
      </c>
      <c r="M783" t="s">
        <v>1</v>
      </c>
      <c r="N783">
        <v>5750</v>
      </c>
      <c r="O783">
        <v>20</v>
      </c>
      <c r="P783">
        <v>3003</v>
      </c>
      <c r="Q783">
        <v>0</v>
      </c>
      <c r="R783">
        <v>119323677045</v>
      </c>
      <c r="S783">
        <v>140711309.28</v>
      </c>
      <c r="T783">
        <v>114870426833.10001</v>
      </c>
      <c r="U783">
        <v>118779886154.21001</v>
      </c>
      <c r="V783">
        <v>0.35707699999999998</v>
      </c>
      <c r="W783">
        <v>3.9792000000000001E-2</v>
      </c>
    </row>
    <row r="784" spans="1:23" x14ac:dyDescent="0.35">
      <c r="A784" t="s">
        <v>1</v>
      </c>
      <c r="B784">
        <v>7000</v>
      </c>
      <c r="C784">
        <v>18</v>
      </c>
      <c r="D784">
        <v>603</v>
      </c>
      <c r="E784">
        <v>0</v>
      </c>
      <c r="F784">
        <v>16717688918</v>
      </c>
      <c r="G784">
        <v>15597111.119999999</v>
      </c>
      <c r="H784">
        <v>15518596983</v>
      </c>
      <c r="I784">
        <v>16478955442.459999</v>
      </c>
      <c r="J784">
        <v>0.58566700000000005</v>
      </c>
      <c r="K784">
        <v>0.14891799999999999</v>
      </c>
      <c r="M784" t="s">
        <v>0</v>
      </c>
      <c r="N784">
        <v>5750</v>
      </c>
      <c r="O784">
        <v>20</v>
      </c>
      <c r="P784">
        <v>4449</v>
      </c>
      <c r="Q784">
        <v>0</v>
      </c>
      <c r="R784">
        <v>148858305162</v>
      </c>
      <c r="S784">
        <v>175587306.53</v>
      </c>
      <c r="T784">
        <v>147782913246.73999</v>
      </c>
      <c r="U784">
        <v>148470771220.82999</v>
      </c>
      <c r="V784">
        <v>7.0172999999999999E-2</v>
      </c>
      <c r="W784">
        <v>1.6952999999999999E-2</v>
      </c>
    </row>
    <row r="785" spans="1:23" x14ac:dyDescent="0.35">
      <c r="A785" t="s">
        <v>2</v>
      </c>
      <c r="B785">
        <v>7000</v>
      </c>
      <c r="C785">
        <v>18</v>
      </c>
      <c r="D785">
        <v>340</v>
      </c>
      <c r="E785">
        <v>0</v>
      </c>
      <c r="F785">
        <v>5306909820</v>
      </c>
      <c r="G785">
        <v>4952480.17</v>
      </c>
      <c r="H785">
        <v>5225805454</v>
      </c>
      <c r="I785">
        <v>5267108367.96</v>
      </c>
      <c r="J785">
        <v>0.15923399999999999</v>
      </c>
      <c r="K785">
        <v>7.6016E-2</v>
      </c>
      <c r="M785" t="s">
        <v>2</v>
      </c>
      <c r="N785">
        <v>5750</v>
      </c>
      <c r="O785">
        <v>20</v>
      </c>
      <c r="P785">
        <v>137</v>
      </c>
      <c r="Q785">
        <v>0</v>
      </c>
      <c r="R785">
        <v>2912267844</v>
      </c>
      <c r="S785">
        <v>3436441.1</v>
      </c>
      <c r="T785">
        <v>2891433919.6799998</v>
      </c>
      <c r="U785">
        <v>2908831402.9000001</v>
      </c>
      <c r="V785">
        <v>6.9376999999999994E-2</v>
      </c>
      <c r="W785">
        <v>0</v>
      </c>
    </row>
    <row r="786" spans="1:23" x14ac:dyDescent="0.35">
      <c r="A786" t="s">
        <v>0</v>
      </c>
      <c r="B786">
        <v>6500</v>
      </c>
      <c r="C786">
        <v>16</v>
      </c>
      <c r="D786">
        <v>7402</v>
      </c>
      <c r="E786">
        <v>0</v>
      </c>
      <c r="F786">
        <v>194994445144</v>
      </c>
      <c r="G786">
        <v>196182192.86000001</v>
      </c>
      <c r="H786">
        <v>191345321877</v>
      </c>
      <c r="I786">
        <v>194246207027.60999</v>
      </c>
      <c r="J786">
        <v>0.19297300000000001</v>
      </c>
      <c r="K786">
        <v>3.3450000000000001E-2</v>
      </c>
      <c r="M786" t="s">
        <v>0</v>
      </c>
      <c r="N786">
        <v>6000</v>
      </c>
      <c r="O786">
        <v>20</v>
      </c>
      <c r="P786">
        <v>8145</v>
      </c>
      <c r="Q786">
        <v>0</v>
      </c>
      <c r="R786">
        <v>265144497000</v>
      </c>
      <c r="S786">
        <v>299264629.20999998</v>
      </c>
      <c r="T786">
        <v>262093613294.20999</v>
      </c>
      <c r="U786">
        <v>264504591754.48001</v>
      </c>
      <c r="V786">
        <v>0.11766600000000001</v>
      </c>
      <c r="W786">
        <v>1.5308E-2</v>
      </c>
    </row>
    <row r="787" spans="1:23" x14ac:dyDescent="0.35">
      <c r="A787" t="s">
        <v>1</v>
      </c>
      <c r="B787">
        <v>6500</v>
      </c>
      <c r="C787">
        <v>16</v>
      </c>
      <c r="D787">
        <v>1311</v>
      </c>
      <c r="E787">
        <v>0</v>
      </c>
      <c r="F787">
        <v>40377961477</v>
      </c>
      <c r="G787">
        <v>40660525.130000003</v>
      </c>
      <c r="H787">
        <v>38769149920</v>
      </c>
      <c r="I787">
        <v>40218579410.800003</v>
      </c>
      <c r="J787">
        <v>0.37832199999999999</v>
      </c>
      <c r="K787">
        <v>3.4717999999999999E-2</v>
      </c>
      <c r="M787" t="s">
        <v>1</v>
      </c>
      <c r="N787">
        <v>6000</v>
      </c>
      <c r="O787">
        <v>20</v>
      </c>
      <c r="P787">
        <v>4523</v>
      </c>
      <c r="Q787">
        <v>0</v>
      </c>
      <c r="R787">
        <v>175160499698</v>
      </c>
      <c r="S787">
        <v>197648153.22999999</v>
      </c>
      <c r="T787">
        <v>165960588278.95999</v>
      </c>
      <c r="U787">
        <v>174716818726.26001</v>
      </c>
      <c r="V787">
        <v>0.46908100000000003</v>
      </c>
      <c r="W787">
        <v>1.6726000000000001E-2</v>
      </c>
    </row>
    <row r="788" spans="1:23" x14ac:dyDescent="0.35">
      <c r="A788" t="s">
        <v>2</v>
      </c>
      <c r="B788">
        <v>6500</v>
      </c>
      <c r="C788">
        <v>16</v>
      </c>
      <c r="D788">
        <v>660</v>
      </c>
      <c r="E788">
        <v>0</v>
      </c>
      <c r="F788">
        <v>11732778560</v>
      </c>
      <c r="G788">
        <v>11822934.42</v>
      </c>
      <c r="H788">
        <v>11690857081</v>
      </c>
      <c r="I788">
        <v>11720192507.15</v>
      </c>
      <c r="J788">
        <v>3.0353000000000002E-2</v>
      </c>
      <c r="K788">
        <v>7.7999999999999999E-4</v>
      </c>
      <c r="M788" t="s">
        <v>2</v>
      </c>
      <c r="N788">
        <v>6000</v>
      </c>
      <c r="O788">
        <v>20</v>
      </c>
      <c r="P788">
        <v>235</v>
      </c>
      <c r="Q788">
        <v>0</v>
      </c>
      <c r="R788">
        <v>5176688614</v>
      </c>
      <c r="S788">
        <v>5845856.1100000003</v>
      </c>
      <c r="T788">
        <v>5156084616.5699997</v>
      </c>
      <c r="U788">
        <v>5170842757.8900003</v>
      </c>
      <c r="V788">
        <v>3.3679000000000001E-2</v>
      </c>
      <c r="W788">
        <v>0</v>
      </c>
    </row>
    <row r="789" spans="1:23" x14ac:dyDescent="0.35">
      <c r="A789" t="s">
        <v>2</v>
      </c>
      <c r="B789">
        <v>7250</v>
      </c>
      <c r="C789">
        <v>24</v>
      </c>
      <c r="D789">
        <v>1422</v>
      </c>
      <c r="E789">
        <v>0</v>
      </c>
      <c r="F789">
        <v>21904877421</v>
      </c>
      <c r="G789">
        <v>20167755.899999999</v>
      </c>
      <c r="H789">
        <v>21631233303</v>
      </c>
      <c r="I789">
        <v>21832645851.189999</v>
      </c>
      <c r="J789">
        <v>0.130355</v>
      </c>
      <c r="K789">
        <v>2.8152E-2</v>
      </c>
      <c r="M789" t="s">
        <v>0</v>
      </c>
      <c r="N789">
        <v>6250</v>
      </c>
      <c r="O789">
        <v>20</v>
      </c>
      <c r="P789">
        <v>15054</v>
      </c>
      <c r="Q789">
        <v>0</v>
      </c>
      <c r="R789">
        <v>499040013858</v>
      </c>
      <c r="S789">
        <v>538466764</v>
      </c>
      <c r="T789">
        <v>489289906873.60999</v>
      </c>
      <c r="U789">
        <v>497641648752.14001</v>
      </c>
      <c r="V789">
        <v>0.200345</v>
      </c>
      <c r="W789">
        <v>2.0482E-2</v>
      </c>
    </row>
    <row r="790" spans="1:23" x14ac:dyDescent="0.35">
      <c r="A790" t="s">
        <v>0</v>
      </c>
      <c r="B790">
        <v>6750</v>
      </c>
      <c r="C790">
        <v>18</v>
      </c>
      <c r="D790">
        <v>19775</v>
      </c>
      <c r="E790">
        <v>0</v>
      </c>
      <c r="F790">
        <v>558419747548</v>
      </c>
      <c r="G790">
        <v>545124854.90999997</v>
      </c>
      <c r="H790">
        <v>543888154685</v>
      </c>
      <c r="I790">
        <v>554226635231.53003</v>
      </c>
      <c r="J790">
        <v>0.26242399999999999</v>
      </c>
      <c r="K790">
        <v>7.5635999999999995E-2</v>
      </c>
      <c r="M790" t="s">
        <v>2</v>
      </c>
      <c r="N790">
        <v>6250</v>
      </c>
      <c r="O790">
        <v>20</v>
      </c>
      <c r="P790">
        <v>542</v>
      </c>
      <c r="Q790">
        <v>0</v>
      </c>
      <c r="R790">
        <v>11552511806</v>
      </c>
      <c r="S790">
        <v>12467079.57</v>
      </c>
      <c r="T790">
        <v>11461903443.52</v>
      </c>
      <c r="U790">
        <v>11540044726.43</v>
      </c>
      <c r="V790">
        <v>7.8215999999999994E-2</v>
      </c>
      <c r="W790">
        <v>0</v>
      </c>
    </row>
    <row r="791" spans="1:23" x14ac:dyDescent="0.35">
      <c r="A791" t="s">
        <v>0</v>
      </c>
      <c r="B791">
        <v>7750</v>
      </c>
      <c r="C791">
        <v>24</v>
      </c>
      <c r="D791">
        <v>6064</v>
      </c>
      <c r="E791">
        <v>0</v>
      </c>
      <c r="F791">
        <v>154481017982</v>
      </c>
      <c r="G791">
        <v>129371042.63</v>
      </c>
      <c r="H791">
        <v>149854113862</v>
      </c>
      <c r="I791">
        <v>152240215499.75</v>
      </c>
      <c r="J791">
        <v>0.29851299999999997</v>
      </c>
      <c r="K791">
        <v>0.15223</v>
      </c>
      <c r="M791" t="s">
        <v>0</v>
      </c>
      <c r="N791">
        <v>6500</v>
      </c>
      <c r="O791">
        <v>20</v>
      </c>
      <c r="P791">
        <v>11409</v>
      </c>
      <c r="Q791">
        <v>0</v>
      </c>
      <c r="R791">
        <v>341612223566</v>
      </c>
      <c r="S791">
        <v>352157840.12</v>
      </c>
      <c r="T791">
        <v>333292787067.63</v>
      </c>
      <c r="U791">
        <v>340696706157.41998</v>
      </c>
      <c r="V791">
        <v>0.24662100000000001</v>
      </c>
      <c r="W791">
        <v>1.9611E-2</v>
      </c>
    </row>
    <row r="792" spans="1:23" x14ac:dyDescent="0.35">
      <c r="A792" t="s">
        <v>0</v>
      </c>
      <c r="B792">
        <v>8000</v>
      </c>
      <c r="C792">
        <v>24</v>
      </c>
      <c r="D792">
        <v>677</v>
      </c>
      <c r="E792">
        <v>0</v>
      </c>
      <c r="F792">
        <v>17168402894</v>
      </c>
      <c r="G792">
        <v>13767889.24</v>
      </c>
      <c r="H792">
        <v>16601114410</v>
      </c>
      <c r="I792">
        <v>16976088885.42</v>
      </c>
      <c r="J792">
        <v>0.32514799999999999</v>
      </c>
      <c r="K792">
        <v>0.1179</v>
      </c>
      <c r="M792" t="s">
        <v>2</v>
      </c>
      <c r="N792">
        <v>6500</v>
      </c>
      <c r="O792">
        <v>20</v>
      </c>
      <c r="P792">
        <v>741</v>
      </c>
      <c r="Q792">
        <v>0</v>
      </c>
      <c r="R792">
        <v>14411617640</v>
      </c>
      <c r="S792">
        <v>14852585.210000001</v>
      </c>
      <c r="T792">
        <v>14317082754.16</v>
      </c>
      <c r="U792">
        <v>14396765054.790001</v>
      </c>
      <c r="V792">
        <v>6.4366999999999994E-2</v>
      </c>
      <c r="W792">
        <v>0</v>
      </c>
    </row>
    <row r="793" spans="1:23" x14ac:dyDescent="0.35">
      <c r="A793" t="s">
        <v>1</v>
      </c>
      <c r="B793">
        <v>7250</v>
      </c>
      <c r="C793">
        <v>20</v>
      </c>
      <c r="D793">
        <v>2705</v>
      </c>
      <c r="E793">
        <v>0</v>
      </c>
      <c r="F793">
        <v>72253949961</v>
      </c>
      <c r="G793">
        <v>65407793.439999998</v>
      </c>
      <c r="H793">
        <v>67656296133</v>
      </c>
      <c r="I793">
        <v>71437229597.729996</v>
      </c>
      <c r="J793">
        <v>0.54038399999999998</v>
      </c>
      <c r="K793">
        <v>0.117884</v>
      </c>
      <c r="M793" t="s">
        <v>1</v>
      </c>
      <c r="N793">
        <v>7500</v>
      </c>
      <c r="O793">
        <v>24</v>
      </c>
      <c r="P793">
        <v>523</v>
      </c>
      <c r="Q793">
        <v>0</v>
      </c>
      <c r="R793">
        <v>13296588853</v>
      </c>
      <c r="S793">
        <v>11877383.48</v>
      </c>
      <c r="T793">
        <v>12610707146.42</v>
      </c>
      <c r="U793">
        <v>12997147016.52</v>
      </c>
      <c r="V793">
        <v>0.46433099999999999</v>
      </c>
      <c r="W793">
        <v>0.23077400000000001</v>
      </c>
    </row>
    <row r="794" spans="1:23" x14ac:dyDescent="0.35">
      <c r="A794" t="s">
        <v>0</v>
      </c>
      <c r="B794">
        <v>7750</v>
      </c>
      <c r="C794">
        <v>20</v>
      </c>
      <c r="D794">
        <v>3375</v>
      </c>
      <c r="E794">
        <v>0</v>
      </c>
      <c r="F794">
        <v>87592427062</v>
      </c>
      <c r="G794">
        <v>71972465.609999999</v>
      </c>
      <c r="H794">
        <v>84583332267</v>
      </c>
      <c r="I794">
        <v>86148572890.470001</v>
      </c>
      <c r="J794">
        <v>0.33587299999999998</v>
      </c>
      <c r="K794">
        <v>0.172572</v>
      </c>
      <c r="M794" t="s">
        <v>1</v>
      </c>
      <c r="N794">
        <v>6500</v>
      </c>
      <c r="O794">
        <v>20</v>
      </c>
      <c r="P794">
        <v>5172</v>
      </c>
      <c r="Q794">
        <v>0</v>
      </c>
      <c r="R794">
        <v>185581948546</v>
      </c>
      <c r="S794">
        <v>191570407.66999999</v>
      </c>
      <c r="T794">
        <v>173343330244.10999</v>
      </c>
      <c r="U794">
        <v>185149228211.59</v>
      </c>
      <c r="V794">
        <v>0.55309699999999995</v>
      </c>
      <c r="W794">
        <v>1.5481999999999999E-2</v>
      </c>
    </row>
    <row r="795" spans="1:23" x14ac:dyDescent="0.35">
      <c r="A795" t="s">
        <v>1</v>
      </c>
      <c r="B795">
        <v>8000</v>
      </c>
      <c r="C795">
        <v>24</v>
      </c>
      <c r="D795">
        <v>163</v>
      </c>
      <c r="E795">
        <v>0</v>
      </c>
      <c r="F795">
        <v>3756479218</v>
      </c>
      <c r="G795">
        <v>2998495.98</v>
      </c>
      <c r="H795">
        <v>3451599934</v>
      </c>
      <c r="I795">
        <v>3717324425.9400001</v>
      </c>
      <c r="J795">
        <v>0.63406899999999999</v>
      </c>
      <c r="K795">
        <v>0.10957799999999999</v>
      </c>
      <c r="M795" t="s">
        <v>2</v>
      </c>
      <c r="N795">
        <v>7000</v>
      </c>
      <c r="O795">
        <v>18</v>
      </c>
      <c r="P795">
        <v>516</v>
      </c>
      <c r="Q795">
        <v>0</v>
      </c>
      <c r="R795">
        <v>8520535505</v>
      </c>
      <c r="S795">
        <v>7942490.7000000002</v>
      </c>
      <c r="T795">
        <v>8492685887.8400002</v>
      </c>
      <c r="U795">
        <v>8500276522.9899998</v>
      </c>
      <c r="V795">
        <v>2.7678999999999999E-2</v>
      </c>
      <c r="W795">
        <v>1.7208999999999999E-2</v>
      </c>
    </row>
    <row r="796" spans="1:23" x14ac:dyDescent="0.35">
      <c r="A796" t="s">
        <v>1</v>
      </c>
      <c r="B796">
        <v>8000</v>
      </c>
      <c r="C796">
        <v>20</v>
      </c>
      <c r="D796">
        <v>156</v>
      </c>
      <c r="E796">
        <v>0</v>
      </c>
      <c r="F796">
        <v>3622947788</v>
      </c>
      <c r="G796">
        <v>2840864.46</v>
      </c>
      <c r="H796">
        <v>3439905186</v>
      </c>
      <c r="I796">
        <v>3620683942.8200002</v>
      </c>
      <c r="J796">
        <v>0.45785599999999999</v>
      </c>
      <c r="K796">
        <v>-1.913E-3</v>
      </c>
      <c r="M796" t="s">
        <v>1</v>
      </c>
      <c r="N796">
        <v>7000</v>
      </c>
      <c r="O796">
        <v>18</v>
      </c>
      <c r="P796">
        <v>1062</v>
      </c>
      <c r="Q796">
        <v>0</v>
      </c>
      <c r="R796">
        <v>29636309179</v>
      </c>
      <c r="S796">
        <v>27682498.73</v>
      </c>
      <c r="T796">
        <v>27839064957.139999</v>
      </c>
      <c r="U796">
        <v>29254647864.259998</v>
      </c>
      <c r="V796">
        <v>0.52231000000000005</v>
      </c>
      <c r="W796">
        <v>0.13427800000000001</v>
      </c>
    </row>
    <row r="797" spans="1:23" x14ac:dyDescent="0.35">
      <c r="A797" t="s">
        <v>0</v>
      </c>
      <c r="B797">
        <v>8000</v>
      </c>
      <c r="C797">
        <v>20</v>
      </c>
      <c r="D797">
        <v>364</v>
      </c>
      <c r="E797">
        <v>0</v>
      </c>
      <c r="F797">
        <v>9002443721</v>
      </c>
      <c r="G797">
        <v>7099636.8600000003</v>
      </c>
      <c r="H797">
        <v>8595759493</v>
      </c>
      <c r="I797">
        <v>8791720334.5799999</v>
      </c>
      <c r="J797">
        <v>0.42005199999999998</v>
      </c>
      <c r="K797">
        <v>0.24007899999999999</v>
      </c>
      <c r="M797" t="s">
        <v>0</v>
      </c>
      <c r="N797">
        <v>6500</v>
      </c>
      <c r="O797">
        <v>16</v>
      </c>
      <c r="P797">
        <v>7354</v>
      </c>
      <c r="Q797">
        <v>0</v>
      </c>
      <c r="R797">
        <v>187913922632</v>
      </c>
      <c r="S797">
        <v>189210513</v>
      </c>
      <c r="T797">
        <v>185183497936.07999</v>
      </c>
      <c r="U797">
        <v>187299971788.75</v>
      </c>
      <c r="V797">
        <v>0.15073700000000001</v>
      </c>
      <c r="W797">
        <v>2.6789E-2</v>
      </c>
    </row>
    <row r="798" spans="1:23" x14ac:dyDescent="0.35">
      <c r="A798" t="s">
        <v>0</v>
      </c>
      <c r="B798">
        <v>6250</v>
      </c>
      <c r="C798">
        <v>20</v>
      </c>
      <c r="D798">
        <v>17954</v>
      </c>
      <c r="E798">
        <v>0</v>
      </c>
      <c r="F798">
        <v>603608047850</v>
      </c>
      <c r="G798">
        <v>651108127.03999996</v>
      </c>
      <c r="H798">
        <v>592809665837</v>
      </c>
      <c r="I798">
        <v>602074989500.05005</v>
      </c>
      <c r="J798">
        <v>0.184087</v>
      </c>
      <c r="K798">
        <v>1.7392999999999999E-2</v>
      </c>
      <c r="M798" t="s">
        <v>2</v>
      </c>
      <c r="N798">
        <v>6500</v>
      </c>
      <c r="O798">
        <v>16</v>
      </c>
      <c r="P798">
        <v>613</v>
      </c>
      <c r="Q798">
        <v>0</v>
      </c>
      <c r="R798">
        <v>10444105563</v>
      </c>
      <c r="S798">
        <v>10527762.619999999</v>
      </c>
      <c r="T798">
        <v>10353680663.27</v>
      </c>
      <c r="U798">
        <v>10415237134.290001</v>
      </c>
      <c r="V798">
        <v>8.8034000000000001E-2</v>
      </c>
      <c r="W798">
        <v>2.0871000000000001E-2</v>
      </c>
    </row>
    <row r="799" spans="1:23" x14ac:dyDescent="0.35">
      <c r="A799" t="s">
        <v>2</v>
      </c>
      <c r="B799">
        <v>6250</v>
      </c>
      <c r="C799">
        <v>20</v>
      </c>
      <c r="D799">
        <v>568</v>
      </c>
      <c r="E799">
        <v>0</v>
      </c>
      <c r="F799">
        <v>11905406500</v>
      </c>
      <c r="G799">
        <v>12842982.199999999</v>
      </c>
      <c r="H799">
        <v>11862453187</v>
      </c>
      <c r="I799">
        <v>11874221069.059999</v>
      </c>
      <c r="J799">
        <v>2.9930999999999999E-2</v>
      </c>
      <c r="K799">
        <v>1.8332000000000001E-2</v>
      </c>
      <c r="M799" t="s">
        <v>1</v>
      </c>
      <c r="N799">
        <v>6500</v>
      </c>
      <c r="O799">
        <v>16</v>
      </c>
      <c r="P799">
        <v>1239</v>
      </c>
      <c r="Q799">
        <v>0</v>
      </c>
      <c r="R799">
        <v>35556888531</v>
      </c>
      <c r="S799">
        <v>35941740.130000003</v>
      </c>
      <c r="T799">
        <v>33674714181.869999</v>
      </c>
      <c r="U799">
        <v>35301625828.730003</v>
      </c>
      <c r="V799">
        <v>0.47262300000000002</v>
      </c>
      <c r="W799">
        <v>7.1557999999999997E-2</v>
      </c>
    </row>
    <row r="800" spans="1:23" x14ac:dyDescent="0.35">
      <c r="A800" t="s">
        <v>2</v>
      </c>
      <c r="B800">
        <v>5750</v>
      </c>
      <c r="C800">
        <v>20</v>
      </c>
      <c r="D800">
        <v>160</v>
      </c>
      <c r="E800">
        <v>0</v>
      </c>
      <c r="F800">
        <v>3465707077</v>
      </c>
      <c r="G800">
        <v>4085101.84</v>
      </c>
      <c r="H800">
        <v>3447079093</v>
      </c>
      <c r="I800">
        <v>3460779500.23</v>
      </c>
      <c r="J800">
        <v>4.9209000000000003E-2</v>
      </c>
      <c r="K800">
        <v>2.9129999999999998E-3</v>
      </c>
      <c r="M800" t="s">
        <v>0</v>
      </c>
      <c r="N800">
        <v>7000</v>
      </c>
      <c r="O800">
        <v>16</v>
      </c>
      <c r="P800">
        <v>3477</v>
      </c>
      <c r="Q800">
        <v>0</v>
      </c>
      <c r="R800">
        <v>89429679754</v>
      </c>
      <c r="S800">
        <v>82294037.840000004</v>
      </c>
      <c r="T800">
        <v>87301503426.399994</v>
      </c>
      <c r="U800">
        <v>88666371131.509995</v>
      </c>
      <c r="V800">
        <v>0.24248600000000001</v>
      </c>
      <c r="W800">
        <v>8.7649000000000005E-2</v>
      </c>
    </row>
    <row r="801" spans="1:23" x14ac:dyDescent="0.35">
      <c r="A801" t="s">
        <v>1</v>
      </c>
      <c r="B801">
        <v>6000</v>
      </c>
      <c r="C801">
        <v>20</v>
      </c>
      <c r="D801">
        <v>5476</v>
      </c>
      <c r="E801">
        <v>0</v>
      </c>
      <c r="F801">
        <v>212058750882</v>
      </c>
      <c r="G801">
        <v>239175351.63999999</v>
      </c>
      <c r="H801">
        <v>203835343794</v>
      </c>
      <c r="I801">
        <v>211308222762.54999</v>
      </c>
      <c r="J801">
        <v>0.369056</v>
      </c>
      <c r="K801">
        <v>2.8556000000000002E-2</v>
      </c>
      <c r="M801" t="s">
        <v>2</v>
      </c>
      <c r="N801">
        <v>7000</v>
      </c>
      <c r="O801">
        <v>16</v>
      </c>
      <c r="P801">
        <v>160</v>
      </c>
      <c r="Q801">
        <v>0</v>
      </c>
      <c r="R801">
        <v>2318674663</v>
      </c>
      <c r="S801">
        <v>2131834.2400000002</v>
      </c>
      <c r="T801">
        <v>2296786891.0900002</v>
      </c>
      <c r="U801">
        <v>2296786891.0900002</v>
      </c>
      <c r="V801">
        <v>9.7586000000000006E-2</v>
      </c>
      <c r="W801">
        <v>9.7586000000000006E-2</v>
      </c>
    </row>
    <row r="802" spans="1:23" x14ac:dyDescent="0.35">
      <c r="A802" t="s">
        <v>1</v>
      </c>
      <c r="B802">
        <v>6250</v>
      </c>
      <c r="C802">
        <v>20</v>
      </c>
      <c r="D802">
        <v>11732</v>
      </c>
      <c r="E802">
        <v>0</v>
      </c>
      <c r="F802">
        <v>451472454120</v>
      </c>
      <c r="G802">
        <v>487159401.88</v>
      </c>
      <c r="H802">
        <v>435040793358</v>
      </c>
      <c r="I802">
        <v>448903102789.40997</v>
      </c>
      <c r="J802">
        <v>0.350443</v>
      </c>
      <c r="K802">
        <v>5.3962000000000003E-2</v>
      </c>
      <c r="M802" t="s">
        <v>2</v>
      </c>
      <c r="N802">
        <v>7250</v>
      </c>
      <c r="O802">
        <v>24</v>
      </c>
      <c r="P802">
        <v>1200</v>
      </c>
      <c r="Q802">
        <v>0</v>
      </c>
      <c r="R802">
        <v>18225372039</v>
      </c>
      <c r="S802">
        <v>16771345.26</v>
      </c>
      <c r="T802">
        <v>17965901426.779999</v>
      </c>
      <c r="U802">
        <v>18117745142.150002</v>
      </c>
      <c r="V802">
        <v>0.14859900000000001</v>
      </c>
      <c r="W802">
        <v>5.8208000000000003E-2</v>
      </c>
    </row>
    <row r="803" spans="1:23" x14ac:dyDescent="0.35">
      <c r="A803" t="s">
        <v>1</v>
      </c>
      <c r="B803">
        <v>5250</v>
      </c>
      <c r="C803">
        <v>18</v>
      </c>
      <c r="D803">
        <v>8139</v>
      </c>
      <c r="E803">
        <v>0</v>
      </c>
      <c r="F803">
        <v>343871825286</v>
      </c>
      <c r="G803">
        <v>436803014.63</v>
      </c>
      <c r="H803">
        <v>339177320346</v>
      </c>
      <c r="I803">
        <v>342695459662.57001</v>
      </c>
      <c r="J803">
        <v>0.13886799999999999</v>
      </c>
      <c r="K803">
        <v>2.5505E-2</v>
      </c>
      <c r="M803" t="s">
        <v>2</v>
      </c>
      <c r="N803">
        <v>6750</v>
      </c>
      <c r="O803">
        <v>20</v>
      </c>
      <c r="P803">
        <v>1520</v>
      </c>
      <c r="Q803">
        <v>0</v>
      </c>
      <c r="R803">
        <v>28590191391</v>
      </c>
      <c r="S803">
        <v>28240298.059999999</v>
      </c>
      <c r="T803">
        <v>28291032164.560001</v>
      </c>
      <c r="U803">
        <v>28508751933.82</v>
      </c>
      <c r="V803">
        <v>0.10796799999999999</v>
      </c>
      <c r="W803">
        <v>2.2102E-2</v>
      </c>
    </row>
    <row r="804" spans="1:23" x14ac:dyDescent="0.35">
      <c r="A804" t="s">
        <v>2</v>
      </c>
      <c r="B804">
        <v>5500</v>
      </c>
      <c r="C804">
        <v>18</v>
      </c>
      <c r="D804">
        <v>217</v>
      </c>
      <c r="E804">
        <v>0</v>
      </c>
      <c r="F804">
        <v>4845722333</v>
      </c>
      <c r="G804">
        <v>5886112.0599999996</v>
      </c>
      <c r="H804">
        <v>4838828424</v>
      </c>
      <c r="I804">
        <v>4838828424</v>
      </c>
      <c r="J804">
        <v>2.493E-3</v>
      </c>
      <c r="K804">
        <v>2.493E-3</v>
      </c>
      <c r="M804" t="s">
        <v>2</v>
      </c>
      <c r="N804">
        <v>7250</v>
      </c>
      <c r="O804">
        <v>20</v>
      </c>
      <c r="P804">
        <v>930</v>
      </c>
      <c r="Q804">
        <v>0</v>
      </c>
      <c r="R804">
        <v>14521017853</v>
      </c>
      <c r="S804">
        <v>13118607.33</v>
      </c>
      <c r="T804">
        <v>14321941702.49</v>
      </c>
      <c r="U804">
        <v>14406134244.299999</v>
      </c>
      <c r="V804">
        <v>0.14329800000000001</v>
      </c>
      <c r="W804">
        <v>8.0930000000000002E-2</v>
      </c>
    </row>
    <row r="805" spans="1:23" x14ac:dyDescent="0.35">
      <c r="A805" t="s">
        <v>0</v>
      </c>
      <c r="B805">
        <v>5500</v>
      </c>
      <c r="C805">
        <v>18</v>
      </c>
      <c r="D805">
        <v>6671</v>
      </c>
      <c r="E805">
        <v>0</v>
      </c>
      <c r="F805">
        <v>231687113844</v>
      </c>
      <c r="G805">
        <v>281691352.32999998</v>
      </c>
      <c r="H805">
        <v>230038421212</v>
      </c>
      <c r="I805">
        <v>230948906563.85999</v>
      </c>
      <c r="J805">
        <v>6.8548999999999999E-2</v>
      </c>
      <c r="K805">
        <v>2.3390000000000001E-2</v>
      </c>
      <c r="M805" t="s">
        <v>0</v>
      </c>
      <c r="N805">
        <v>7750</v>
      </c>
      <c r="O805">
        <v>20</v>
      </c>
      <c r="P805">
        <v>3816</v>
      </c>
      <c r="Q805">
        <v>0</v>
      </c>
      <c r="R805">
        <v>99954233688</v>
      </c>
      <c r="S805">
        <v>82093517.109999999</v>
      </c>
      <c r="T805">
        <v>97139524383.630005</v>
      </c>
      <c r="U805">
        <v>99104839530.789993</v>
      </c>
      <c r="V805">
        <v>0.282966</v>
      </c>
      <c r="W805">
        <v>8.8327000000000003E-2</v>
      </c>
    </row>
    <row r="806" spans="1:23" x14ac:dyDescent="0.35">
      <c r="A806" t="s">
        <v>1</v>
      </c>
      <c r="B806">
        <v>5750</v>
      </c>
      <c r="C806">
        <v>18</v>
      </c>
      <c r="D806">
        <v>20904</v>
      </c>
      <c r="E806">
        <v>0</v>
      </c>
      <c r="F806">
        <v>840514042572</v>
      </c>
      <c r="G806">
        <v>980705079.30999994</v>
      </c>
      <c r="H806">
        <v>822035984633</v>
      </c>
      <c r="I806">
        <v>836318258111.63</v>
      </c>
      <c r="J806">
        <v>0.22310199999999999</v>
      </c>
      <c r="K806">
        <v>4.4948000000000002E-2</v>
      </c>
      <c r="M806" t="s">
        <v>0</v>
      </c>
      <c r="N806">
        <v>8000</v>
      </c>
      <c r="O806">
        <v>20</v>
      </c>
      <c r="P806">
        <v>472</v>
      </c>
      <c r="Q806">
        <v>0</v>
      </c>
      <c r="R806">
        <v>11960894242</v>
      </c>
      <c r="S806">
        <v>9421968.7799999993</v>
      </c>
      <c r="T806">
        <v>11775306698.58</v>
      </c>
      <c r="U806">
        <v>11848477745.6</v>
      </c>
      <c r="V806">
        <v>0.163104</v>
      </c>
      <c r="W806">
        <v>9.8574999999999996E-2</v>
      </c>
    </row>
    <row r="807" spans="1:23" x14ac:dyDescent="0.35">
      <c r="A807" t="s">
        <v>0</v>
      </c>
      <c r="B807">
        <v>5750</v>
      </c>
      <c r="C807">
        <v>18</v>
      </c>
      <c r="D807">
        <v>20332</v>
      </c>
      <c r="E807">
        <v>0</v>
      </c>
      <c r="F807">
        <v>722724984000</v>
      </c>
      <c r="G807">
        <v>841939850.25</v>
      </c>
      <c r="H807">
        <v>716609301085</v>
      </c>
      <c r="I807">
        <v>720504121406.04004</v>
      </c>
      <c r="J807">
        <v>8.4134E-2</v>
      </c>
      <c r="K807">
        <v>2.2657E-2</v>
      </c>
      <c r="M807" t="s">
        <v>1</v>
      </c>
      <c r="N807">
        <v>7250</v>
      </c>
      <c r="O807">
        <v>20</v>
      </c>
      <c r="P807">
        <v>3186</v>
      </c>
      <c r="Q807">
        <v>0</v>
      </c>
      <c r="R807">
        <v>88800809021</v>
      </c>
      <c r="S807">
        <v>80424080.519999996</v>
      </c>
      <c r="T807">
        <v>83079038725.580002</v>
      </c>
      <c r="U807">
        <v>87830911617.509995</v>
      </c>
      <c r="V807">
        <v>0.54507799999999995</v>
      </c>
      <c r="W807">
        <v>0.113792</v>
      </c>
    </row>
    <row r="808" spans="1:23" x14ac:dyDescent="0.35">
      <c r="A808" t="s">
        <v>2</v>
      </c>
      <c r="B808">
        <v>5750</v>
      </c>
      <c r="C808">
        <v>18</v>
      </c>
      <c r="D808">
        <v>545</v>
      </c>
      <c r="E808">
        <v>0</v>
      </c>
      <c r="F808">
        <v>12156888425</v>
      </c>
      <c r="G808">
        <v>14190146.880000001</v>
      </c>
      <c r="H808">
        <v>12112120425</v>
      </c>
      <c r="I808">
        <v>12142169569.379999</v>
      </c>
      <c r="J808">
        <v>2.9769E-2</v>
      </c>
      <c r="K808">
        <v>5.22E-4</v>
      </c>
      <c r="M808" t="s">
        <v>1</v>
      </c>
      <c r="N808">
        <v>8000</v>
      </c>
      <c r="O808">
        <v>20</v>
      </c>
      <c r="P808">
        <v>167</v>
      </c>
      <c r="Q808">
        <v>0</v>
      </c>
      <c r="R808">
        <v>3696355502</v>
      </c>
      <c r="S808">
        <v>2892477.66</v>
      </c>
      <c r="T808">
        <v>3171163696.02</v>
      </c>
      <c r="U808">
        <v>3614622109.9200001</v>
      </c>
      <c r="V808">
        <v>0.83927200000000002</v>
      </c>
      <c r="W808">
        <v>0.227962</v>
      </c>
    </row>
    <row r="809" spans="1:23" x14ac:dyDescent="0.35">
      <c r="A809" t="s">
        <v>2</v>
      </c>
      <c r="B809">
        <v>6000</v>
      </c>
      <c r="C809">
        <v>18</v>
      </c>
      <c r="D809">
        <v>518</v>
      </c>
      <c r="E809">
        <v>0</v>
      </c>
      <c r="F809">
        <v>10470783682</v>
      </c>
      <c r="G809">
        <v>11666328.82</v>
      </c>
      <c r="H809">
        <v>10399535905</v>
      </c>
      <c r="I809">
        <v>10434316805.41</v>
      </c>
      <c r="J809">
        <v>6.6185999999999995E-2</v>
      </c>
      <c r="K809">
        <v>2.8055E-2</v>
      </c>
      <c r="M809" t="s">
        <v>1</v>
      </c>
      <c r="N809">
        <v>5750</v>
      </c>
      <c r="O809">
        <v>18</v>
      </c>
      <c r="P809">
        <v>11224</v>
      </c>
      <c r="Q809">
        <v>0</v>
      </c>
      <c r="R809">
        <v>458556802399</v>
      </c>
      <c r="S809">
        <v>533870262.75999999</v>
      </c>
      <c r="T809">
        <v>438940774765.03003</v>
      </c>
      <c r="U809">
        <v>456896043087.47998</v>
      </c>
      <c r="V809">
        <v>0.399534</v>
      </c>
      <c r="W809">
        <v>2.9093999999999998E-2</v>
      </c>
    </row>
    <row r="810" spans="1:23" x14ac:dyDescent="0.35">
      <c r="A810" t="s">
        <v>0</v>
      </c>
      <c r="B810">
        <v>6000</v>
      </c>
      <c r="C810">
        <v>18</v>
      </c>
      <c r="D810">
        <v>8996</v>
      </c>
      <c r="E810">
        <v>0</v>
      </c>
      <c r="F810">
        <v>275299069482</v>
      </c>
      <c r="G810">
        <v>306698225.44</v>
      </c>
      <c r="H810">
        <v>272061697581</v>
      </c>
      <c r="I810">
        <v>274672821054.88</v>
      </c>
      <c r="J810">
        <v>0.12052499999999999</v>
      </c>
      <c r="K810">
        <v>1.384E-2</v>
      </c>
      <c r="M810" t="s">
        <v>2</v>
      </c>
      <c r="N810">
        <v>5750</v>
      </c>
      <c r="O810">
        <v>18</v>
      </c>
      <c r="P810">
        <v>263</v>
      </c>
      <c r="Q810">
        <v>0</v>
      </c>
      <c r="R810">
        <v>5856669193</v>
      </c>
      <c r="S810">
        <v>6822537.3200000003</v>
      </c>
      <c r="T810">
        <v>5849846655.6800003</v>
      </c>
      <c r="U810">
        <v>5849846655.6800003</v>
      </c>
      <c r="V810">
        <v>0</v>
      </c>
      <c r="W810">
        <v>0</v>
      </c>
    </row>
    <row r="811" spans="1:23" x14ac:dyDescent="0.35">
      <c r="A811" t="s">
        <v>0</v>
      </c>
      <c r="B811">
        <v>7250</v>
      </c>
      <c r="C811">
        <v>18</v>
      </c>
      <c r="D811">
        <v>6772</v>
      </c>
      <c r="E811">
        <v>0</v>
      </c>
      <c r="F811">
        <v>171471718843</v>
      </c>
      <c r="G811">
        <v>152520659.72</v>
      </c>
      <c r="H811">
        <v>166359052516</v>
      </c>
      <c r="I811">
        <v>169840684912.10001</v>
      </c>
      <c r="J811">
        <v>0.29688999999999999</v>
      </c>
      <c r="K811">
        <v>9.8700999999999997E-2</v>
      </c>
      <c r="M811" t="s">
        <v>0</v>
      </c>
      <c r="N811">
        <v>5750</v>
      </c>
      <c r="O811">
        <v>18</v>
      </c>
      <c r="P811">
        <v>9704</v>
      </c>
      <c r="Q811">
        <v>0</v>
      </c>
      <c r="R811">
        <v>343726630433</v>
      </c>
      <c r="S811">
        <v>400287835.29000002</v>
      </c>
      <c r="T811">
        <v>340888596034.97998</v>
      </c>
      <c r="U811">
        <v>342929411335.42999</v>
      </c>
      <c r="V811">
        <v>8.1863000000000005E-2</v>
      </c>
      <c r="W811">
        <v>1.3769999999999999E-2</v>
      </c>
    </row>
    <row r="812" spans="1:23" x14ac:dyDescent="0.35">
      <c r="A812" t="s">
        <v>0</v>
      </c>
      <c r="B812">
        <v>7500</v>
      </c>
      <c r="C812">
        <v>18</v>
      </c>
      <c r="D812">
        <v>1445</v>
      </c>
      <c r="E812">
        <v>0</v>
      </c>
      <c r="F812">
        <v>37102346860</v>
      </c>
      <c r="G812">
        <v>31563223.609999999</v>
      </c>
      <c r="H812">
        <v>35953714147</v>
      </c>
      <c r="I812">
        <v>36497800951.32</v>
      </c>
      <c r="J812">
        <v>0.30708200000000002</v>
      </c>
      <c r="K812">
        <v>0.17036200000000001</v>
      </c>
      <c r="M812" t="s">
        <v>2</v>
      </c>
      <c r="N812">
        <v>6000</v>
      </c>
      <c r="O812">
        <v>18</v>
      </c>
      <c r="P812">
        <v>370</v>
      </c>
      <c r="Q812">
        <v>0</v>
      </c>
      <c r="R812">
        <v>7886443531</v>
      </c>
      <c r="S812">
        <v>8788796.9100000001</v>
      </c>
      <c r="T812">
        <v>7836958023.8199997</v>
      </c>
      <c r="U812">
        <v>7877654734.0900002</v>
      </c>
      <c r="V812">
        <v>6.0196E-2</v>
      </c>
      <c r="W812">
        <v>0</v>
      </c>
    </row>
    <row r="813" spans="1:23" x14ac:dyDescent="0.35">
      <c r="A813" t="s">
        <v>2</v>
      </c>
      <c r="B813">
        <v>6250</v>
      </c>
      <c r="C813">
        <v>18</v>
      </c>
      <c r="D813">
        <v>1149</v>
      </c>
      <c r="E813">
        <v>0</v>
      </c>
      <c r="F813">
        <v>22873603401</v>
      </c>
      <c r="G813">
        <v>24423826.059999999</v>
      </c>
      <c r="H813">
        <v>22800896342</v>
      </c>
      <c r="I813">
        <v>22846416105.040001</v>
      </c>
      <c r="J813">
        <v>2.5038000000000001E-2</v>
      </c>
      <c r="K813">
        <v>1.449E-3</v>
      </c>
      <c r="M813" t="s">
        <v>0</v>
      </c>
      <c r="N813">
        <v>6000</v>
      </c>
      <c r="O813">
        <v>18</v>
      </c>
      <c r="P813">
        <v>9420</v>
      </c>
      <c r="Q813">
        <v>0</v>
      </c>
      <c r="R813">
        <v>302620983983</v>
      </c>
      <c r="S813">
        <v>337205695.39999998</v>
      </c>
      <c r="T813">
        <v>299141514907.83002</v>
      </c>
      <c r="U813">
        <v>302095679235.46002</v>
      </c>
      <c r="V813">
        <v>0.117727</v>
      </c>
      <c r="W813">
        <v>7.4330000000000004E-3</v>
      </c>
    </row>
    <row r="814" spans="1:23" x14ac:dyDescent="0.35">
      <c r="A814" t="s">
        <v>2</v>
      </c>
      <c r="B814">
        <v>5000</v>
      </c>
      <c r="C814">
        <v>18</v>
      </c>
      <c r="D814">
        <v>121</v>
      </c>
      <c r="E814">
        <v>0</v>
      </c>
      <c r="F814">
        <v>3055701328</v>
      </c>
      <c r="G814">
        <v>4058494.36</v>
      </c>
      <c r="H814">
        <v>3051612499</v>
      </c>
      <c r="I814">
        <v>3051612499</v>
      </c>
      <c r="J814">
        <v>1.1900000000000001E-4</v>
      </c>
      <c r="K814">
        <v>1.1900000000000001E-4</v>
      </c>
      <c r="M814" t="s">
        <v>0</v>
      </c>
      <c r="N814">
        <v>6250</v>
      </c>
      <c r="O814">
        <v>18</v>
      </c>
      <c r="P814">
        <v>23962</v>
      </c>
      <c r="Q814">
        <v>0</v>
      </c>
      <c r="R814">
        <v>803802708340</v>
      </c>
      <c r="S814">
        <v>856586494.59000003</v>
      </c>
      <c r="T814">
        <v>787361545929.70996</v>
      </c>
      <c r="U814">
        <v>801961206720.13</v>
      </c>
      <c r="V814">
        <v>0.20938799999999999</v>
      </c>
      <c r="W814">
        <v>1.4605E-2</v>
      </c>
    </row>
    <row r="815" spans="1:23" x14ac:dyDescent="0.35">
      <c r="A815" t="s">
        <v>0</v>
      </c>
      <c r="B815">
        <v>5250</v>
      </c>
      <c r="C815">
        <v>18</v>
      </c>
      <c r="D815">
        <v>5419</v>
      </c>
      <c r="E815">
        <v>0</v>
      </c>
      <c r="F815">
        <v>196807400179</v>
      </c>
      <c r="G815">
        <v>250267285.22</v>
      </c>
      <c r="H815">
        <v>195506199573</v>
      </c>
      <c r="I815">
        <v>196343569120.89999</v>
      </c>
      <c r="J815">
        <v>6.2230000000000001E-2</v>
      </c>
      <c r="K815">
        <v>1.2944000000000001E-2</v>
      </c>
      <c r="M815" t="s">
        <v>1</v>
      </c>
      <c r="N815">
        <v>6250</v>
      </c>
      <c r="O815">
        <v>20</v>
      </c>
      <c r="P815">
        <v>9223</v>
      </c>
      <c r="Q815">
        <v>0</v>
      </c>
      <c r="R815">
        <v>357817739137</v>
      </c>
      <c r="S815">
        <v>385954014.58999997</v>
      </c>
      <c r="T815">
        <v>335720074999.44</v>
      </c>
      <c r="U815">
        <v>356095318830</v>
      </c>
      <c r="V815">
        <v>0.52818299999999996</v>
      </c>
      <c r="W815">
        <v>4.3910999999999999E-2</v>
      </c>
    </row>
    <row r="816" spans="1:23" x14ac:dyDescent="0.35">
      <c r="A816" t="s">
        <v>1</v>
      </c>
      <c r="B816">
        <v>5500</v>
      </c>
      <c r="C816">
        <v>18</v>
      </c>
      <c r="D816">
        <v>6769</v>
      </c>
      <c r="E816">
        <v>0</v>
      </c>
      <c r="F816">
        <v>276745502280</v>
      </c>
      <c r="G816">
        <v>336945782.64999998</v>
      </c>
      <c r="H816">
        <v>273203243103</v>
      </c>
      <c r="I816">
        <v>275678768940.04999</v>
      </c>
      <c r="J816">
        <v>0.130465</v>
      </c>
      <c r="K816">
        <v>3.1189000000000001E-2</v>
      </c>
      <c r="M816" t="s">
        <v>2</v>
      </c>
      <c r="N816">
        <v>6250</v>
      </c>
      <c r="O816">
        <v>18</v>
      </c>
      <c r="P816">
        <v>820</v>
      </c>
      <c r="Q816">
        <v>0</v>
      </c>
      <c r="R816">
        <v>17054297149</v>
      </c>
      <c r="S816">
        <v>18169765.84</v>
      </c>
      <c r="T816">
        <v>16927676261.370001</v>
      </c>
      <c r="U816">
        <v>17005681636.030001</v>
      </c>
      <c r="V816">
        <v>7.3696999999999999E-2</v>
      </c>
      <c r="W816">
        <v>2.1214E-2</v>
      </c>
    </row>
    <row r="817" spans="1:23" x14ac:dyDescent="0.35">
      <c r="A817" t="s">
        <v>1</v>
      </c>
      <c r="B817">
        <v>6000</v>
      </c>
      <c r="C817">
        <v>18</v>
      </c>
      <c r="D817">
        <v>6335</v>
      </c>
      <c r="E817">
        <v>0</v>
      </c>
      <c r="F817">
        <v>227190587522</v>
      </c>
      <c r="G817">
        <v>253388840.74000001</v>
      </c>
      <c r="H817">
        <v>220329567328</v>
      </c>
      <c r="I817">
        <v>226167027703.48999</v>
      </c>
      <c r="J817">
        <v>0.29825499999999999</v>
      </c>
      <c r="K817">
        <v>3.993E-2</v>
      </c>
      <c r="M817" t="s">
        <v>0</v>
      </c>
      <c r="N817">
        <v>7250</v>
      </c>
      <c r="O817">
        <v>18</v>
      </c>
      <c r="P817">
        <v>11065</v>
      </c>
      <c r="Q817">
        <v>0</v>
      </c>
      <c r="R817">
        <v>286894012522</v>
      </c>
      <c r="S817">
        <v>255096781.16</v>
      </c>
      <c r="T817">
        <v>277883774301.51001</v>
      </c>
      <c r="U817">
        <v>284729664130.41998</v>
      </c>
      <c r="V817">
        <v>0.31058200000000002</v>
      </c>
      <c r="W817">
        <v>7.6999999999999999E-2</v>
      </c>
    </row>
    <row r="818" spans="1:23" x14ac:dyDescent="0.35">
      <c r="A818" t="s">
        <v>0</v>
      </c>
      <c r="B818">
        <v>6250</v>
      </c>
      <c r="C818">
        <v>18</v>
      </c>
      <c r="D818">
        <v>25880</v>
      </c>
      <c r="E818">
        <v>0</v>
      </c>
      <c r="F818">
        <v>828833376572</v>
      </c>
      <c r="G818">
        <v>884608484.58000004</v>
      </c>
      <c r="H818">
        <v>815693896579</v>
      </c>
      <c r="I818">
        <v>826077813583.89001</v>
      </c>
      <c r="J818">
        <v>0.163688</v>
      </c>
      <c r="K818">
        <v>2.6754E-2</v>
      </c>
      <c r="M818" t="s">
        <v>0</v>
      </c>
      <c r="N818">
        <v>7500</v>
      </c>
      <c r="O818">
        <v>18</v>
      </c>
      <c r="P818">
        <v>1983</v>
      </c>
      <c r="Q818">
        <v>0</v>
      </c>
      <c r="R818">
        <v>51377351937</v>
      </c>
      <c r="S818">
        <v>43674113.560000002</v>
      </c>
      <c r="T818">
        <v>50368794726.559998</v>
      </c>
      <c r="U818">
        <v>50998795145.360001</v>
      </c>
      <c r="V818">
        <v>0.203483</v>
      </c>
      <c r="W818">
        <v>7.5472999999999998E-2</v>
      </c>
    </row>
    <row r="819" spans="1:23" x14ac:dyDescent="0.35">
      <c r="A819" t="s">
        <v>1</v>
      </c>
      <c r="B819">
        <v>6250</v>
      </c>
      <c r="C819">
        <v>18</v>
      </c>
      <c r="D819">
        <v>13646</v>
      </c>
      <c r="E819">
        <v>0</v>
      </c>
      <c r="F819">
        <v>487790495857</v>
      </c>
      <c r="G819">
        <v>521235795.55000001</v>
      </c>
      <c r="H819">
        <v>469818847803</v>
      </c>
      <c r="I819">
        <v>484752957463.59003</v>
      </c>
      <c r="J819">
        <v>0.354132</v>
      </c>
      <c r="K819">
        <v>6.0176E-2</v>
      </c>
      <c r="M819" t="s">
        <v>1</v>
      </c>
      <c r="N819">
        <v>5250</v>
      </c>
      <c r="O819">
        <v>18</v>
      </c>
      <c r="P819">
        <v>2384</v>
      </c>
      <c r="Q819">
        <v>0</v>
      </c>
      <c r="R819">
        <v>101689241132</v>
      </c>
      <c r="S819">
        <v>129037241.73999999</v>
      </c>
      <c r="T819">
        <v>101038568040.02</v>
      </c>
      <c r="U819">
        <v>101441375401.32001</v>
      </c>
      <c r="V819">
        <v>5.9848999999999999E-2</v>
      </c>
      <c r="W819">
        <v>1.3932999999999999E-2</v>
      </c>
    </row>
    <row r="820" spans="1:23" x14ac:dyDescent="0.35">
      <c r="A820" t="s">
        <v>1</v>
      </c>
      <c r="B820">
        <v>6750</v>
      </c>
      <c r="C820">
        <v>18</v>
      </c>
      <c r="D820">
        <v>5006</v>
      </c>
      <c r="E820">
        <v>0</v>
      </c>
      <c r="F820">
        <v>149794052214</v>
      </c>
      <c r="G820">
        <v>146445732.87</v>
      </c>
      <c r="H820">
        <v>141790151779</v>
      </c>
      <c r="I820">
        <v>148501532802.60001</v>
      </c>
      <c r="J820">
        <v>0.476161</v>
      </c>
      <c r="K820">
        <v>8.8044999999999998E-2</v>
      </c>
      <c r="M820" t="s">
        <v>1</v>
      </c>
      <c r="N820">
        <v>6000</v>
      </c>
      <c r="O820">
        <v>18</v>
      </c>
      <c r="P820">
        <v>6897</v>
      </c>
      <c r="Q820">
        <v>0</v>
      </c>
      <c r="R820">
        <v>264780509679</v>
      </c>
      <c r="S820">
        <v>295126452.92000002</v>
      </c>
      <c r="T820">
        <v>251522479175.23001</v>
      </c>
      <c r="U820">
        <v>263762147705.31</v>
      </c>
      <c r="V820">
        <v>0.45247900000000002</v>
      </c>
      <c r="W820">
        <v>3.2288999999999998E-2</v>
      </c>
    </row>
    <row r="821" spans="1:23" x14ac:dyDescent="0.35">
      <c r="A821" t="s">
        <v>1</v>
      </c>
      <c r="B821">
        <v>4750</v>
      </c>
      <c r="C821">
        <v>16</v>
      </c>
      <c r="D821">
        <v>2520</v>
      </c>
      <c r="E821">
        <v>0</v>
      </c>
      <c r="F821">
        <v>111117208530</v>
      </c>
      <c r="G821">
        <v>152456595.66999999</v>
      </c>
      <c r="H821">
        <v>110493436064</v>
      </c>
      <c r="I821">
        <v>110781939020.36</v>
      </c>
      <c r="J821">
        <v>4.9729000000000002E-2</v>
      </c>
      <c r="K821">
        <v>1.9564999999999999E-2</v>
      </c>
      <c r="M821" t="s">
        <v>0</v>
      </c>
      <c r="N821">
        <v>6750</v>
      </c>
      <c r="O821">
        <v>16</v>
      </c>
      <c r="P821">
        <v>14003</v>
      </c>
      <c r="Q821">
        <v>0</v>
      </c>
      <c r="R821">
        <v>384045521354</v>
      </c>
      <c r="S821">
        <v>370580172.75999999</v>
      </c>
      <c r="T821">
        <v>375771128828.91998</v>
      </c>
      <c r="U821">
        <v>382662559715.02002</v>
      </c>
      <c r="V821">
        <v>0.22084200000000001</v>
      </c>
      <c r="W821">
        <v>3.1178999999999998E-2</v>
      </c>
    </row>
    <row r="822" spans="1:23" x14ac:dyDescent="0.35">
      <c r="A822" t="s">
        <v>1</v>
      </c>
      <c r="B822">
        <v>4750</v>
      </c>
      <c r="C822">
        <v>18</v>
      </c>
      <c r="D822">
        <v>1052</v>
      </c>
      <c r="E822">
        <v>0</v>
      </c>
      <c r="F822">
        <v>40899192079</v>
      </c>
      <c r="G822">
        <v>56595694.490000002</v>
      </c>
      <c r="H822">
        <v>40562885262</v>
      </c>
      <c r="I822">
        <v>40704293166.480003</v>
      </c>
      <c r="J822">
        <v>7.9050999999999996E-2</v>
      </c>
      <c r="K822">
        <v>3.9831999999999999E-2</v>
      </c>
      <c r="M822" t="s">
        <v>0</v>
      </c>
      <c r="N822">
        <v>7250</v>
      </c>
      <c r="O822">
        <v>16</v>
      </c>
      <c r="P822">
        <v>3810</v>
      </c>
      <c r="Q822">
        <v>0</v>
      </c>
      <c r="R822">
        <v>96487806838</v>
      </c>
      <c r="S822">
        <v>84608887.430000007</v>
      </c>
      <c r="T822">
        <v>93873864919.660004</v>
      </c>
      <c r="U822">
        <v>95710888192.429993</v>
      </c>
      <c r="V822">
        <v>0.272953</v>
      </c>
      <c r="W822">
        <v>8.2782999999999995E-2</v>
      </c>
    </row>
    <row r="823" spans="1:23" x14ac:dyDescent="0.35">
      <c r="A823" t="s">
        <v>0</v>
      </c>
      <c r="B823">
        <v>4750</v>
      </c>
      <c r="C823">
        <v>18</v>
      </c>
      <c r="D823">
        <v>1664</v>
      </c>
      <c r="E823">
        <v>0</v>
      </c>
      <c r="F823">
        <v>56828368965</v>
      </c>
      <c r="G823">
        <v>78748531.609999999</v>
      </c>
      <c r="H823">
        <v>56649105796</v>
      </c>
      <c r="I823">
        <v>56712539935.669998</v>
      </c>
      <c r="J823">
        <v>2.102E-2</v>
      </c>
      <c r="K823">
        <v>7.8019999999999999E-3</v>
      </c>
      <c r="M823" t="s">
        <v>2</v>
      </c>
      <c r="N823">
        <v>5000</v>
      </c>
      <c r="O823">
        <v>18</v>
      </c>
      <c r="P823">
        <v>80</v>
      </c>
      <c r="Q823">
        <v>0</v>
      </c>
      <c r="R823">
        <v>2106444507</v>
      </c>
      <c r="S823">
        <v>2796442.21</v>
      </c>
      <c r="T823">
        <v>2103648064.79</v>
      </c>
      <c r="U823">
        <v>2103648064.79</v>
      </c>
      <c r="V823">
        <v>0</v>
      </c>
      <c r="W823">
        <v>0</v>
      </c>
    </row>
    <row r="824" spans="1:23" x14ac:dyDescent="0.35">
      <c r="A824" t="s">
        <v>0</v>
      </c>
      <c r="B824">
        <v>5000</v>
      </c>
      <c r="C824">
        <v>18</v>
      </c>
      <c r="D824">
        <v>5666</v>
      </c>
      <c r="E824">
        <v>0</v>
      </c>
      <c r="F824">
        <v>195963910866</v>
      </c>
      <c r="G824">
        <v>260339912.78</v>
      </c>
      <c r="H824">
        <v>195066699897</v>
      </c>
      <c r="I824">
        <v>195469433878.70999</v>
      </c>
      <c r="J824">
        <v>3.8309999999999997E-2</v>
      </c>
      <c r="K824">
        <v>1.4244E-2</v>
      </c>
      <c r="M824" t="s">
        <v>0</v>
      </c>
      <c r="N824">
        <v>5250</v>
      </c>
      <c r="O824">
        <v>16</v>
      </c>
      <c r="P824">
        <v>11239</v>
      </c>
      <c r="Q824">
        <v>0</v>
      </c>
      <c r="R824">
        <v>405057688862</v>
      </c>
      <c r="S824">
        <v>509331590.75999999</v>
      </c>
      <c r="T824">
        <v>402646286300.75</v>
      </c>
      <c r="U824">
        <v>404392733588.22998</v>
      </c>
      <c r="V824">
        <v>5.4917000000000001E-2</v>
      </c>
      <c r="W824">
        <v>4.6010000000000001E-3</v>
      </c>
    </row>
    <row r="825" spans="1:23" x14ac:dyDescent="0.35">
      <c r="A825" t="s">
        <v>0</v>
      </c>
      <c r="B825">
        <v>5000</v>
      </c>
      <c r="C825">
        <v>16</v>
      </c>
      <c r="D825">
        <v>6163</v>
      </c>
      <c r="E825">
        <v>0</v>
      </c>
      <c r="F825">
        <v>214598787565</v>
      </c>
      <c r="G825">
        <v>282397902.32999998</v>
      </c>
      <c r="H825">
        <v>213535427004</v>
      </c>
      <c r="I825">
        <v>214160347452.04001</v>
      </c>
      <c r="J825">
        <v>4.2806999999999998E-2</v>
      </c>
      <c r="K825">
        <v>8.6910000000000008E-3</v>
      </c>
      <c r="M825" t="s">
        <v>0</v>
      </c>
      <c r="N825">
        <v>5250</v>
      </c>
      <c r="O825">
        <v>18</v>
      </c>
      <c r="P825">
        <v>2355</v>
      </c>
      <c r="Q825">
        <v>0</v>
      </c>
      <c r="R825">
        <v>85171007996</v>
      </c>
      <c r="S825">
        <v>108295727.09999999</v>
      </c>
      <c r="T825">
        <v>84697556990.729996</v>
      </c>
      <c r="U825">
        <v>85005704118.300003</v>
      </c>
      <c r="V825">
        <v>5.0251999999999998E-2</v>
      </c>
      <c r="W825">
        <v>8.0029999999999997E-3</v>
      </c>
    </row>
    <row r="826" spans="1:23" x14ac:dyDescent="0.35">
      <c r="A826" t="s">
        <v>1</v>
      </c>
      <c r="B826">
        <v>5000</v>
      </c>
      <c r="C826">
        <v>18</v>
      </c>
      <c r="D826">
        <v>3447</v>
      </c>
      <c r="E826">
        <v>0</v>
      </c>
      <c r="F826">
        <v>134094979517</v>
      </c>
      <c r="G826">
        <v>178048697.30000001</v>
      </c>
      <c r="H826">
        <v>132782611832</v>
      </c>
      <c r="I826">
        <v>133489409137.53</v>
      </c>
      <c r="J826">
        <v>9.6917000000000003E-2</v>
      </c>
      <c r="K826">
        <v>3.7595000000000003E-2</v>
      </c>
      <c r="M826" t="s">
        <v>0</v>
      </c>
      <c r="N826">
        <v>5500</v>
      </c>
      <c r="O826">
        <v>16</v>
      </c>
      <c r="P826">
        <v>8668</v>
      </c>
      <c r="Q826">
        <v>0</v>
      </c>
      <c r="R826">
        <v>290921972920</v>
      </c>
      <c r="S826">
        <v>349666666.80000001</v>
      </c>
      <c r="T826">
        <v>289386396417.03998</v>
      </c>
      <c r="U826">
        <v>290473478412.45001</v>
      </c>
      <c r="V826">
        <v>4.7835000000000003E-2</v>
      </c>
      <c r="W826">
        <v>4.0689999999999997E-3</v>
      </c>
    </row>
    <row r="827" spans="1:23" x14ac:dyDescent="0.35">
      <c r="A827" t="s">
        <v>1</v>
      </c>
      <c r="B827">
        <v>5000</v>
      </c>
      <c r="C827">
        <v>16</v>
      </c>
      <c r="D827">
        <v>8813</v>
      </c>
      <c r="E827">
        <v>0</v>
      </c>
      <c r="F827">
        <v>341525254142</v>
      </c>
      <c r="G827">
        <v>449298672.33999997</v>
      </c>
      <c r="H827">
        <v>338994901964</v>
      </c>
      <c r="I827">
        <v>340532327233.16998</v>
      </c>
      <c r="J827">
        <v>7.0719000000000004E-2</v>
      </c>
      <c r="K827">
        <v>1.8935E-2</v>
      </c>
      <c r="M827" t="s">
        <v>1</v>
      </c>
      <c r="N827">
        <v>5500</v>
      </c>
      <c r="O827">
        <v>16</v>
      </c>
      <c r="P827">
        <v>9862</v>
      </c>
      <c r="Q827">
        <v>0</v>
      </c>
      <c r="R827">
        <v>395035619200</v>
      </c>
      <c r="S827">
        <v>476137423.68000001</v>
      </c>
      <c r="T827">
        <v>389690956663.48999</v>
      </c>
      <c r="U827">
        <v>393919723014.64001</v>
      </c>
      <c r="V827">
        <v>0.138267</v>
      </c>
      <c r="W827">
        <v>1.9262000000000001E-2</v>
      </c>
    </row>
    <row r="828" spans="1:23" x14ac:dyDescent="0.35">
      <c r="A828" t="s">
        <v>0</v>
      </c>
      <c r="B828">
        <v>5250</v>
      </c>
      <c r="C828">
        <v>16</v>
      </c>
      <c r="D828">
        <v>10244</v>
      </c>
      <c r="E828">
        <v>0</v>
      </c>
      <c r="F828">
        <v>362760826707</v>
      </c>
      <c r="G828">
        <v>456915650.51999998</v>
      </c>
      <c r="H828">
        <v>360676261403</v>
      </c>
      <c r="I828">
        <v>362044047846.13</v>
      </c>
      <c r="J828">
        <v>5.2533000000000003E-2</v>
      </c>
      <c r="K828">
        <v>8.5620000000000002E-3</v>
      </c>
      <c r="M828" t="s">
        <v>2</v>
      </c>
      <c r="N828">
        <v>5500</v>
      </c>
      <c r="O828">
        <v>16</v>
      </c>
      <c r="P828">
        <v>385</v>
      </c>
      <c r="Q828">
        <v>0</v>
      </c>
      <c r="R828">
        <v>8413469379</v>
      </c>
      <c r="S828">
        <v>10113957.789999999</v>
      </c>
      <c r="T828">
        <v>8403355421.21</v>
      </c>
      <c r="U828">
        <v>8403355421.21</v>
      </c>
      <c r="V828">
        <v>0</v>
      </c>
      <c r="W828">
        <v>0</v>
      </c>
    </row>
    <row r="829" spans="1:23" x14ac:dyDescent="0.35">
      <c r="A829" t="s">
        <v>2</v>
      </c>
      <c r="B829">
        <v>5250</v>
      </c>
      <c r="C829">
        <v>18</v>
      </c>
      <c r="D829">
        <v>162</v>
      </c>
      <c r="E829">
        <v>0</v>
      </c>
      <c r="F829">
        <v>3906396211</v>
      </c>
      <c r="G829">
        <v>4960785.01</v>
      </c>
      <c r="H829">
        <v>3900815766</v>
      </c>
      <c r="I829">
        <v>3900815766</v>
      </c>
      <c r="J829">
        <v>1.902E-3</v>
      </c>
      <c r="K829">
        <v>1.902E-3</v>
      </c>
      <c r="M829" t="s">
        <v>0</v>
      </c>
      <c r="N829">
        <v>5750</v>
      </c>
      <c r="O829">
        <v>16</v>
      </c>
      <c r="P829">
        <v>32310</v>
      </c>
      <c r="Q829">
        <v>0</v>
      </c>
      <c r="R829">
        <v>1122506023969</v>
      </c>
      <c r="S829">
        <v>1294044740.8499999</v>
      </c>
      <c r="T829">
        <v>1114554655905.9099</v>
      </c>
      <c r="U829">
        <v>1120491283045.1001</v>
      </c>
      <c r="V829">
        <v>6.8892999999999996E-2</v>
      </c>
      <c r="W829">
        <v>7.6769999999999998E-3</v>
      </c>
    </row>
    <row r="830" spans="1:23" x14ac:dyDescent="0.35">
      <c r="A830" t="s">
        <v>2</v>
      </c>
      <c r="B830">
        <v>5250</v>
      </c>
      <c r="C830">
        <v>16</v>
      </c>
      <c r="D830">
        <v>284</v>
      </c>
      <c r="E830">
        <v>0</v>
      </c>
      <c r="F830">
        <v>6695313206</v>
      </c>
      <c r="G830">
        <v>8435203.3800000008</v>
      </c>
      <c r="H830">
        <v>6644241760</v>
      </c>
      <c r="I830">
        <v>6670995175.46</v>
      </c>
      <c r="J830">
        <v>7.3796E-2</v>
      </c>
      <c r="K830">
        <v>2.8098000000000001E-2</v>
      </c>
      <c r="M830" t="s">
        <v>2</v>
      </c>
      <c r="N830">
        <v>5750</v>
      </c>
      <c r="O830">
        <v>16</v>
      </c>
      <c r="P830">
        <v>1069</v>
      </c>
      <c r="Q830">
        <v>0</v>
      </c>
      <c r="R830">
        <v>23279818863</v>
      </c>
      <c r="S830">
        <v>26906318.32</v>
      </c>
      <c r="T830">
        <v>23252912544.68</v>
      </c>
      <c r="U830">
        <v>23252912544.68</v>
      </c>
      <c r="V830">
        <v>0</v>
      </c>
      <c r="W830">
        <v>0</v>
      </c>
    </row>
    <row r="831" spans="1:23" x14ac:dyDescent="0.35">
      <c r="A831" t="s">
        <v>0</v>
      </c>
      <c r="B831">
        <v>5500</v>
      </c>
      <c r="C831">
        <v>16</v>
      </c>
      <c r="D831">
        <v>7218</v>
      </c>
      <c r="E831">
        <v>0</v>
      </c>
      <c r="F831">
        <v>236321148167</v>
      </c>
      <c r="G831">
        <v>284394820.63999999</v>
      </c>
      <c r="H831">
        <v>234434356336</v>
      </c>
      <c r="I831">
        <v>235479169145.45001</v>
      </c>
      <c r="J831">
        <v>7.8399999999999997E-2</v>
      </c>
      <c r="K831">
        <v>2.7949000000000002E-2</v>
      </c>
      <c r="M831" t="s">
        <v>2</v>
      </c>
      <c r="N831">
        <v>6000</v>
      </c>
      <c r="O831">
        <v>16</v>
      </c>
      <c r="P831">
        <v>704</v>
      </c>
      <c r="Q831">
        <v>0</v>
      </c>
      <c r="R831">
        <v>13721627203</v>
      </c>
      <c r="S831">
        <v>15103395.699999999</v>
      </c>
      <c r="T831">
        <v>13647941251.299999</v>
      </c>
      <c r="U831">
        <v>13688551163.33</v>
      </c>
      <c r="V831">
        <v>5.0046E-2</v>
      </c>
      <c r="W831">
        <v>1.5605000000000001E-2</v>
      </c>
    </row>
    <row r="832" spans="1:23" x14ac:dyDescent="0.35">
      <c r="A832" t="s">
        <v>0</v>
      </c>
      <c r="B832">
        <v>5750</v>
      </c>
      <c r="C832">
        <v>16</v>
      </c>
      <c r="D832">
        <v>28995</v>
      </c>
      <c r="E832">
        <v>0</v>
      </c>
      <c r="F832">
        <v>982457265141</v>
      </c>
      <c r="G832">
        <v>1133837423.8499999</v>
      </c>
      <c r="H832">
        <v>975951360135</v>
      </c>
      <c r="I832">
        <v>980133315657.23999</v>
      </c>
      <c r="J832">
        <v>6.3677999999999998E-2</v>
      </c>
      <c r="K832">
        <v>1.444E-2</v>
      </c>
      <c r="M832" t="s">
        <v>0</v>
      </c>
      <c r="N832">
        <v>6000</v>
      </c>
      <c r="O832">
        <v>16</v>
      </c>
      <c r="P832">
        <v>9176</v>
      </c>
      <c r="Q832">
        <v>0</v>
      </c>
      <c r="R832">
        <v>265686999648</v>
      </c>
      <c r="S832">
        <v>292652109.95999998</v>
      </c>
      <c r="T832">
        <v>263519914584.10001</v>
      </c>
      <c r="U832">
        <v>265297477183.39999</v>
      </c>
      <c r="V832">
        <v>8.1450999999999996E-2</v>
      </c>
      <c r="W832">
        <v>4.3660000000000001E-3</v>
      </c>
    </row>
    <row r="833" spans="1:23" x14ac:dyDescent="0.35">
      <c r="A833" t="s">
        <v>2</v>
      </c>
      <c r="B833">
        <v>5750</v>
      </c>
      <c r="C833">
        <v>16</v>
      </c>
      <c r="D833">
        <v>1032</v>
      </c>
      <c r="E833">
        <v>0</v>
      </c>
      <c r="F833">
        <v>22182824185</v>
      </c>
      <c r="G833">
        <v>25672819.809999999</v>
      </c>
      <c r="H833">
        <v>22146822612</v>
      </c>
      <c r="I833">
        <v>22146822612</v>
      </c>
      <c r="J833">
        <v>5.5729999999999998E-3</v>
      </c>
      <c r="K833">
        <v>5.5729999999999998E-3</v>
      </c>
      <c r="M833" t="s">
        <v>1</v>
      </c>
      <c r="N833">
        <v>6250</v>
      </c>
      <c r="O833">
        <v>16</v>
      </c>
      <c r="P833">
        <v>10349</v>
      </c>
      <c r="Q833">
        <v>0</v>
      </c>
      <c r="R833">
        <v>350501713196</v>
      </c>
      <c r="S833">
        <v>370175289.70999998</v>
      </c>
      <c r="T833">
        <v>332754913868.96997</v>
      </c>
      <c r="U833">
        <v>348487317430.34998</v>
      </c>
      <c r="V833">
        <v>0.45674199999999998</v>
      </c>
      <c r="W833">
        <v>5.4863000000000002E-2</v>
      </c>
    </row>
    <row r="834" spans="1:23" x14ac:dyDescent="0.35">
      <c r="A834" t="s">
        <v>0</v>
      </c>
      <c r="B834">
        <v>6000</v>
      </c>
      <c r="C834">
        <v>16</v>
      </c>
      <c r="D834">
        <v>10203</v>
      </c>
      <c r="E834">
        <v>0</v>
      </c>
      <c r="F834">
        <v>295964579575</v>
      </c>
      <c r="G834">
        <v>326251890.75</v>
      </c>
      <c r="H834">
        <v>292760804047</v>
      </c>
      <c r="I834">
        <v>295165323569.53998</v>
      </c>
      <c r="J834">
        <v>0.11062900000000001</v>
      </c>
      <c r="K834">
        <v>1.9009999999999999E-2</v>
      </c>
      <c r="M834" t="s">
        <v>0</v>
      </c>
      <c r="N834">
        <v>6250</v>
      </c>
      <c r="O834">
        <v>16</v>
      </c>
      <c r="P834">
        <v>25282</v>
      </c>
      <c r="Q834">
        <v>0</v>
      </c>
      <c r="R834">
        <v>768424637348</v>
      </c>
      <c r="S834">
        <v>810776534.44000006</v>
      </c>
      <c r="T834">
        <v>752031422754.09998</v>
      </c>
      <c r="U834">
        <v>766306347809.88</v>
      </c>
      <c r="V834">
        <v>0.21795400000000001</v>
      </c>
      <c r="W834">
        <v>2.0229E-2</v>
      </c>
    </row>
    <row r="835" spans="1:23" x14ac:dyDescent="0.35">
      <c r="A835" t="s">
        <v>0</v>
      </c>
      <c r="B835">
        <v>6250</v>
      </c>
      <c r="C835">
        <v>16</v>
      </c>
      <c r="D835">
        <v>25756</v>
      </c>
      <c r="E835">
        <v>0</v>
      </c>
      <c r="F835">
        <v>794925937423</v>
      </c>
      <c r="G835">
        <v>838084206.66999996</v>
      </c>
      <c r="H835">
        <v>780622322320</v>
      </c>
      <c r="I835">
        <v>791871949819.69995</v>
      </c>
      <c r="J835">
        <v>0.185364</v>
      </c>
      <c r="K835">
        <v>3.2943E-2</v>
      </c>
      <c r="M835" t="s">
        <v>1</v>
      </c>
      <c r="N835">
        <v>6250</v>
      </c>
      <c r="O835">
        <v>18</v>
      </c>
      <c r="P835">
        <v>15649</v>
      </c>
      <c r="Q835">
        <v>0</v>
      </c>
      <c r="R835">
        <v>590860752946</v>
      </c>
      <c r="S835">
        <v>630476155.10000002</v>
      </c>
      <c r="T835">
        <v>559212968265.80005</v>
      </c>
      <c r="U835">
        <v>588863739348.84998</v>
      </c>
      <c r="V835">
        <v>0.47642699999999999</v>
      </c>
      <c r="W835">
        <v>2.7403E-2</v>
      </c>
    </row>
    <row r="836" spans="1:23" x14ac:dyDescent="0.35">
      <c r="A836" t="s">
        <v>0</v>
      </c>
      <c r="B836">
        <v>7000</v>
      </c>
      <c r="C836">
        <v>16</v>
      </c>
      <c r="D836">
        <v>3568</v>
      </c>
      <c r="E836">
        <v>0</v>
      </c>
      <c r="F836">
        <v>93779386964</v>
      </c>
      <c r="G836">
        <v>86070881.739999995</v>
      </c>
      <c r="H836">
        <v>91534196402</v>
      </c>
      <c r="I836">
        <v>93257414666.160004</v>
      </c>
      <c r="J836">
        <v>0.24384600000000001</v>
      </c>
      <c r="K836">
        <v>5.4373999999999999E-2</v>
      </c>
      <c r="M836" t="s">
        <v>1</v>
      </c>
      <c r="N836">
        <v>4750</v>
      </c>
      <c r="O836">
        <v>16</v>
      </c>
      <c r="P836">
        <v>2647</v>
      </c>
      <c r="Q836">
        <v>0</v>
      </c>
      <c r="R836">
        <v>115904183190</v>
      </c>
      <c r="S836">
        <v>158531770.27000001</v>
      </c>
      <c r="T836">
        <v>114707403170.36</v>
      </c>
      <c r="U836">
        <v>115470792259.69</v>
      </c>
      <c r="V836">
        <v>0.102353</v>
      </c>
      <c r="W836">
        <v>2.8088999999999999E-2</v>
      </c>
    </row>
    <row r="837" spans="1:23" x14ac:dyDescent="0.35">
      <c r="A837" t="s">
        <v>0</v>
      </c>
      <c r="B837">
        <v>7250</v>
      </c>
      <c r="C837">
        <v>16</v>
      </c>
      <c r="D837">
        <v>3719</v>
      </c>
      <c r="E837">
        <v>0</v>
      </c>
      <c r="F837">
        <v>96744847602</v>
      </c>
      <c r="G837">
        <v>84806223.430000007</v>
      </c>
      <c r="H837">
        <v>94169530217</v>
      </c>
      <c r="I837">
        <v>95981443285.649994</v>
      </c>
      <c r="J837">
        <v>0.26872299999999999</v>
      </c>
      <c r="K837">
        <v>8.0999000000000002E-2</v>
      </c>
      <c r="M837" t="s">
        <v>0</v>
      </c>
      <c r="N837">
        <v>4750</v>
      </c>
      <c r="O837">
        <v>16</v>
      </c>
      <c r="P837">
        <v>2371</v>
      </c>
      <c r="Q837">
        <v>0</v>
      </c>
      <c r="R837">
        <v>83804439736</v>
      </c>
      <c r="S837">
        <v>114903904.81999999</v>
      </c>
      <c r="T837">
        <v>83466729284.589996</v>
      </c>
      <c r="U837">
        <v>83666014916.360001</v>
      </c>
      <c r="V837">
        <v>3.1440999999999997E-2</v>
      </c>
      <c r="W837">
        <v>3.3630000000000001E-3</v>
      </c>
    </row>
    <row r="838" spans="1:23" x14ac:dyDescent="0.35">
      <c r="A838" t="s">
        <v>0</v>
      </c>
      <c r="B838">
        <v>6750</v>
      </c>
      <c r="C838">
        <v>16</v>
      </c>
      <c r="D838">
        <v>14489</v>
      </c>
      <c r="E838">
        <v>0</v>
      </c>
      <c r="F838">
        <v>395712654404</v>
      </c>
      <c r="G838">
        <v>381533046.10000002</v>
      </c>
      <c r="H838">
        <v>386629932362</v>
      </c>
      <c r="I838">
        <v>393372759431.04999</v>
      </c>
      <c r="J838">
        <v>0.23418</v>
      </c>
      <c r="K838">
        <v>5.7797000000000001E-2</v>
      </c>
      <c r="M838" t="s">
        <v>0</v>
      </c>
      <c r="N838">
        <v>5000</v>
      </c>
      <c r="O838">
        <v>16</v>
      </c>
      <c r="P838">
        <v>7029</v>
      </c>
      <c r="Q838">
        <v>0</v>
      </c>
      <c r="R838">
        <v>244607633810</v>
      </c>
      <c r="S838">
        <v>321672589.38999999</v>
      </c>
      <c r="T838">
        <v>243397162656.63</v>
      </c>
      <c r="U838">
        <v>244096597289.98001</v>
      </c>
      <c r="V838">
        <v>4.2742000000000002E-2</v>
      </c>
      <c r="W838">
        <v>9.2499999999999995E-3</v>
      </c>
    </row>
    <row r="839" spans="1:23" x14ac:dyDescent="0.35">
      <c r="A839" t="s">
        <v>2</v>
      </c>
      <c r="B839">
        <v>5000</v>
      </c>
      <c r="C839">
        <v>16</v>
      </c>
      <c r="D839">
        <v>156</v>
      </c>
      <c r="E839">
        <v>0</v>
      </c>
      <c r="F839">
        <v>3768688798</v>
      </c>
      <c r="G839">
        <v>4952697.2</v>
      </c>
      <c r="H839">
        <v>3736206400</v>
      </c>
      <c r="I839">
        <v>3763914519.7800002</v>
      </c>
      <c r="J839">
        <v>8.4221000000000004E-2</v>
      </c>
      <c r="K839">
        <v>-5.6800000000000004E-4</v>
      </c>
      <c r="M839" t="s">
        <v>1</v>
      </c>
      <c r="N839">
        <v>5000</v>
      </c>
      <c r="O839">
        <v>16</v>
      </c>
      <c r="P839">
        <v>8345</v>
      </c>
      <c r="Q839">
        <v>0</v>
      </c>
      <c r="R839">
        <v>326870285804</v>
      </c>
      <c r="S839">
        <v>429138428.63999999</v>
      </c>
      <c r="T839">
        <v>323882731657.95001</v>
      </c>
      <c r="U839">
        <v>325700171232.59003</v>
      </c>
      <c r="V839">
        <v>8.9983999999999995E-2</v>
      </c>
      <c r="W839">
        <v>2.6866000000000001E-2</v>
      </c>
    </row>
    <row r="840" spans="1:23" x14ac:dyDescent="0.35">
      <c r="A840" t="s">
        <v>1</v>
      </c>
      <c r="B840">
        <v>5250</v>
      </c>
      <c r="C840">
        <v>16</v>
      </c>
      <c r="D840">
        <v>15064</v>
      </c>
      <c r="E840">
        <v>0</v>
      </c>
      <c r="F840">
        <v>617121772322</v>
      </c>
      <c r="G840">
        <v>777612958.54999995</v>
      </c>
      <c r="H840">
        <v>609770438163</v>
      </c>
      <c r="I840">
        <v>614664300795.79004</v>
      </c>
      <c r="J840">
        <v>0.120597</v>
      </c>
      <c r="K840">
        <v>3.218E-2</v>
      </c>
      <c r="M840" t="s">
        <v>1</v>
      </c>
      <c r="N840">
        <v>5250</v>
      </c>
      <c r="O840">
        <v>16</v>
      </c>
      <c r="P840">
        <v>17063</v>
      </c>
      <c r="Q840">
        <v>0</v>
      </c>
      <c r="R840">
        <v>713712084620</v>
      </c>
      <c r="S840">
        <v>897523648.25</v>
      </c>
      <c r="T840">
        <v>706385103205.94995</v>
      </c>
      <c r="U840">
        <v>711755533423.23999</v>
      </c>
      <c r="V840">
        <v>0.10290299999999999</v>
      </c>
      <c r="W840">
        <v>1.7661E-2</v>
      </c>
    </row>
    <row r="841" spans="1:23" x14ac:dyDescent="0.35">
      <c r="A841" t="s">
        <v>2</v>
      </c>
      <c r="B841">
        <v>5500</v>
      </c>
      <c r="C841">
        <v>16</v>
      </c>
      <c r="D841">
        <v>374</v>
      </c>
      <c r="E841">
        <v>0</v>
      </c>
      <c r="F841">
        <v>8064663013</v>
      </c>
      <c r="G841">
        <v>9715956.4700000007</v>
      </c>
      <c r="H841">
        <v>8054387951</v>
      </c>
      <c r="I841">
        <v>8054387951</v>
      </c>
      <c r="J841">
        <v>8.3199999999999995E-4</v>
      </c>
      <c r="K841">
        <v>8.3199999999999995E-4</v>
      </c>
      <c r="M841" t="s">
        <v>2</v>
      </c>
      <c r="N841">
        <v>5250</v>
      </c>
      <c r="O841">
        <v>16</v>
      </c>
      <c r="P841">
        <v>324</v>
      </c>
      <c r="Q841">
        <v>0</v>
      </c>
      <c r="R841">
        <v>7701667191</v>
      </c>
      <c r="S841">
        <v>9689481.9100000001</v>
      </c>
      <c r="T841">
        <v>7691977709.0900002</v>
      </c>
      <c r="U841">
        <v>7691977709.0900002</v>
      </c>
      <c r="V841">
        <v>0</v>
      </c>
      <c r="W841">
        <v>0</v>
      </c>
    </row>
    <row r="842" spans="1:23" x14ac:dyDescent="0.35">
      <c r="A842" t="s">
        <v>2</v>
      </c>
      <c r="B842">
        <v>6750</v>
      </c>
      <c r="C842">
        <v>20</v>
      </c>
      <c r="D842">
        <v>1412</v>
      </c>
      <c r="E842">
        <v>0</v>
      </c>
      <c r="F842">
        <v>26534356544</v>
      </c>
      <c r="G842">
        <v>26245198.109999999</v>
      </c>
      <c r="H842">
        <v>26190976302</v>
      </c>
      <c r="I842">
        <v>26441517572.360001</v>
      </c>
      <c r="J842">
        <v>0.13436000000000001</v>
      </c>
      <c r="K842">
        <v>2.9704000000000001E-2</v>
      </c>
      <c r="M842" t="s">
        <v>1</v>
      </c>
      <c r="N842">
        <v>5750</v>
      </c>
      <c r="O842">
        <v>16</v>
      </c>
      <c r="P842">
        <v>26639</v>
      </c>
      <c r="Q842">
        <v>0</v>
      </c>
      <c r="R842">
        <v>1047402026454</v>
      </c>
      <c r="S842">
        <v>1209654777.49</v>
      </c>
      <c r="T842">
        <v>1017377284108.62</v>
      </c>
      <c r="U842">
        <v>1043994188599</v>
      </c>
      <c r="V842">
        <v>0.28448899999999999</v>
      </c>
      <c r="W842">
        <v>2.4896000000000001E-2</v>
      </c>
    </row>
    <row r="843" spans="1:23" x14ac:dyDescent="0.35">
      <c r="A843" t="s">
        <v>1</v>
      </c>
      <c r="B843">
        <v>6000</v>
      </c>
      <c r="C843">
        <v>16</v>
      </c>
      <c r="D843">
        <v>4760</v>
      </c>
      <c r="E843">
        <v>0</v>
      </c>
      <c r="F843">
        <v>167287577872</v>
      </c>
      <c r="G843">
        <v>184329881.33000001</v>
      </c>
      <c r="H843">
        <v>162565365265</v>
      </c>
      <c r="I843">
        <v>166544522124.64999</v>
      </c>
      <c r="J843">
        <v>0.281084</v>
      </c>
      <c r="K843">
        <v>3.9350999999999997E-2</v>
      </c>
      <c r="M843" t="s">
        <v>1</v>
      </c>
      <c r="N843">
        <v>6000</v>
      </c>
      <c r="O843">
        <v>16</v>
      </c>
      <c r="P843">
        <v>5168</v>
      </c>
      <c r="Q843">
        <v>0</v>
      </c>
      <c r="R843">
        <v>172476159763</v>
      </c>
      <c r="S843">
        <v>190049690.58000001</v>
      </c>
      <c r="T843">
        <v>164773875648.45001</v>
      </c>
      <c r="U843">
        <v>171975723201.04001</v>
      </c>
      <c r="V843">
        <v>0.41397099999999998</v>
      </c>
      <c r="W843">
        <v>2.1382999999999999E-2</v>
      </c>
    </row>
    <row r="844" spans="1:23" x14ac:dyDescent="0.35">
      <c r="A844" t="s">
        <v>2</v>
      </c>
      <c r="B844">
        <v>6000</v>
      </c>
      <c r="C844">
        <v>16</v>
      </c>
      <c r="D844">
        <v>819</v>
      </c>
      <c r="E844">
        <v>0</v>
      </c>
      <c r="F844">
        <v>16381111436</v>
      </c>
      <c r="G844">
        <v>18039379.48</v>
      </c>
      <c r="H844">
        <v>16330566827</v>
      </c>
      <c r="I844">
        <v>16361116015.07</v>
      </c>
      <c r="J844">
        <v>2.3553999999999999E-2</v>
      </c>
      <c r="K844">
        <v>1.4319999999999999E-3</v>
      </c>
      <c r="M844" t="s">
        <v>0</v>
      </c>
      <c r="N844">
        <v>6500</v>
      </c>
      <c r="O844">
        <v>14</v>
      </c>
      <c r="P844">
        <v>9150</v>
      </c>
      <c r="Q844">
        <v>0</v>
      </c>
      <c r="R844">
        <v>249627877223</v>
      </c>
      <c r="S844">
        <v>247655012.18000001</v>
      </c>
      <c r="T844">
        <v>244646771507.45999</v>
      </c>
      <c r="U844">
        <v>249196677125.42999</v>
      </c>
      <c r="V844">
        <v>0.20525099999999999</v>
      </c>
      <c r="W844">
        <v>8.7880000000000007E-3</v>
      </c>
    </row>
    <row r="845" spans="1:23" x14ac:dyDescent="0.35">
      <c r="A845" t="s">
        <v>0</v>
      </c>
      <c r="B845">
        <v>6000</v>
      </c>
      <c r="C845">
        <v>14</v>
      </c>
      <c r="D845">
        <v>9725</v>
      </c>
      <c r="E845">
        <v>0</v>
      </c>
      <c r="F845">
        <v>306076283746</v>
      </c>
      <c r="G845">
        <v>333322764.27999997</v>
      </c>
      <c r="H845">
        <v>302827204410</v>
      </c>
      <c r="I845">
        <v>305487802360.35999</v>
      </c>
      <c r="J845">
        <v>0.108512</v>
      </c>
      <c r="K845">
        <v>9.9579999999999998E-3</v>
      </c>
      <c r="M845" t="s">
        <v>0</v>
      </c>
      <c r="N845">
        <v>6750</v>
      </c>
      <c r="O845">
        <v>14</v>
      </c>
      <c r="P845">
        <v>19298</v>
      </c>
      <c r="Q845">
        <v>0</v>
      </c>
      <c r="R845">
        <v>541789758000</v>
      </c>
      <c r="S845">
        <v>515398100.31999999</v>
      </c>
      <c r="T845">
        <v>528301319201.53998</v>
      </c>
      <c r="U845">
        <v>539993147556.39001</v>
      </c>
      <c r="V845">
        <v>0.25235999999999997</v>
      </c>
      <c r="W845">
        <v>2.8011000000000001E-2</v>
      </c>
    </row>
    <row r="846" spans="1:23" x14ac:dyDescent="0.35">
      <c r="A846" t="s">
        <v>1</v>
      </c>
      <c r="B846">
        <v>6750</v>
      </c>
      <c r="C846">
        <v>16</v>
      </c>
      <c r="D846">
        <v>3481</v>
      </c>
      <c r="E846">
        <v>0</v>
      </c>
      <c r="F846">
        <v>104456437484</v>
      </c>
      <c r="G846">
        <v>100860051.04000001</v>
      </c>
      <c r="H846">
        <v>99186804740</v>
      </c>
      <c r="I846">
        <v>103431079323.38</v>
      </c>
      <c r="J846">
        <v>0.456098</v>
      </c>
      <c r="K846">
        <v>0.101186</v>
      </c>
      <c r="M846" t="s">
        <v>0</v>
      </c>
      <c r="N846">
        <v>7000</v>
      </c>
      <c r="O846">
        <v>14</v>
      </c>
      <c r="P846">
        <v>4889</v>
      </c>
      <c r="Q846">
        <v>0</v>
      </c>
      <c r="R846">
        <v>129083610715</v>
      </c>
      <c r="S846">
        <v>116858755.23</v>
      </c>
      <c r="T846">
        <v>126383212874.8</v>
      </c>
      <c r="U846">
        <v>128429830464.24001</v>
      </c>
      <c r="V846">
        <v>0.215422</v>
      </c>
      <c r="W846">
        <v>4.8787999999999998E-2</v>
      </c>
    </row>
    <row r="847" spans="1:23" x14ac:dyDescent="0.35">
      <c r="A847" t="s">
        <v>0</v>
      </c>
      <c r="B847">
        <v>6750</v>
      </c>
      <c r="C847">
        <v>14</v>
      </c>
      <c r="D847">
        <v>19713</v>
      </c>
      <c r="E847">
        <v>0</v>
      </c>
      <c r="F847">
        <v>557590037993</v>
      </c>
      <c r="G847">
        <v>530599063.14999998</v>
      </c>
      <c r="H847">
        <v>542383087580</v>
      </c>
      <c r="I847">
        <v>554629407514.92004</v>
      </c>
      <c r="J847">
        <v>0.27391199999999999</v>
      </c>
      <c r="K847">
        <v>5.1062000000000003E-2</v>
      </c>
      <c r="M847" t="s">
        <v>1</v>
      </c>
      <c r="N847">
        <v>5000</v>
      </c>
      <c r="O847">
        <v>14</v>
      </c>
      <c r="P847">
        <v>4281</v>
      </c>
      <c r="Q847">
        <v>0</v>
      </c>
      <c r="R847">
        <v>164427747392</v>
      </c>
      <c r="S847">
        <v>213871099.16999999</v>
      </c>
      <c r="T847">
        <v>163299943539.82001</v>
      </c>
      <c r="U847">
        <v>164016990670.70999</v>
      </c>
      <c r="V847">
        <v>6.4697000000000005E-2</v>
      </c>
      <c r="W847">
        <v>1.4274999999999999E-2</v>
      </c>
    </row>
    <row r="848" spans="1:23" x14ac:dyDescent="0.35">
      <c r="A848" t="s">
        <v>1</v>
      </c>
      <c r="B848">
        <v>7000</v>
      </c>
      <c r="C848">
        <v>16</v>
      </c>
      <c r="D848">
        <v>492</v>
      </c>
      <c r="E848">
        <v>0</v>
      </c>
      <c r="F848">
        <v>14083980166</v>
      </c>
      <c r="G848">
        <v>12967601.52</v>
      </c>
      <c r="H848">
        <v>13500337050</v>
      </c>
      <c r="I848">
        <v>13916116074.77</v>
      </c>
      <c r="J848">
        <v>0.39125700000000002</v>
      </c>
      <c r="K848">
        <v>0.124279</v>
      </c>
      <c r="M848" t="s">
        <v>2</v>
      </c>
      <c r="N848">
        <v>5000</v>
      </c>
      <c r="O848">
        <v>16</v>
      </c>
      <c r="P848">
        <v>171</v>
      </c>
      <c r="Q848">
        <v>0</v>
      </c>
      <c r="R848">
        <v>4156750345</v>
      </c>
      <c r="S848">
        <v>5465381.7400000002</v>
      </c>
      <c r="T848">
        <v>4151284963.2600002</v>
      </c>
      <c r="U848">
        <v>4151284963.2600002</v>
      </c>
      <c r="V848">
        <v>0</v>
      </c>
      <c r="W848">
        <v>0</v>
      </c>
    </row>
    <row r="849" spans="1:23" x14ac:dyDescent="0.35">
      <c r="A849" t="s">
        <v>1</v>
      </c>
      <c r="B849">
        <v>7000</v>
      </c>
      <c r="C849">
        <v>14</v>
      </c>
      <c r="D849">
        <v>779</v>
      </c>
      <c r="E849">
        <v>0</v>
      </c>
      <c r="F849">
        <v>20898262367</v>
      </c>
      <c r="G849">
        <v>19020989.050000001</v>
      </c>
      <c r="H849">
        <v>19692248971</v>
      </c>
      <c r="I849">
        <v>20405226017.990002</v>
      </c>
      <c r="J849">
        <v>0.50426099999999996</v>
      </c>
      <c r="K849">
        <v>0.24067</v>
      </c>
      <c r="M849" t="s">
        <v>2</v>
      </c>
      <c r="N849">
        <v>5250</v>
      </c>
      <c r="O849">
        <v>14</v>
      </c>
      <c r="P849">
        <v>127</v>
      </c>
      <c r="Q849">
        <v>0</v>
      </c>
      <c r="R849">
        <v>2937100527</v>
      </c>
      <c r="S849">
        <v>3653144.89</v>
      </c>
      <c r="T849">
        <v>2933447382.1100001</v>
      </c>
      <c r="U849">
        <v>2933447382.1100001</v>
      </c>
      <c r="V849">
        <v>0</v>
      </c>
      <c r="W849">
        <v>0</v>
      </c>
    </row>
    <row r="850" spans="1:23" x14ac:dyDescent="0.35">
      <c r="A850" t="s">
        <v>2</v>
      </c>
      <c r="B850">
        <v>4500</v>
      </c>
      <c r="C850">
        <v>18</v>
      </c>
      <c r="D850">
        <v>67</v>
      </c>
      <c r="E850">
        <v>0</v>
      </c>
      <c r="F850">
        <v>1663718080</v>
      </c>
      <c r="G850">
        <v>2404498</v>
      </c>
      <c r="H850">
        <v>1661455462</v>
      </c>
      <c r="I850">
        <v>1661455462</v>
      </c>
      <c r="J850">
        <v>-1.024E-3</v>
      </c>
      <c r="K850">
        <v>-1.024E-3</v>
      </c>
      <c r="M850" t="s">
        <v>0</v>
      </c>
      <c r="N850">
        <v>5250</v>
      </c>
      <c r="O850">
        <v>14</v>
      </c>
      <c r="P850">
        <v>4487</v>
      </c>
      <c r="Q850">
        <v>0</v>
      </c>
      <c r="R850">
        <v>153380573697</v>
      </c>
      <c r="S850">
        <v>190981979.38</v>
      </c>
      <c r="T850">
        <v>152489359222.63</v>
      </c>
      <c r="U850">
        <v>153107091208.56</v>
      </c>
      <c r="V850">
        <v>5.3428999999999997E-2</v>
      </c>
      <c r="W850">
        <v>6.4359999999999999E-3</v>
      </c>
    </row>
    <row r="851" spans="1:23" x14ac:dyDescent="0.35">
      <c r="A851" t="s">
        <v>0</v>
      </c>
      <c r="B851">
        <v>4500</v>
      </c>
      <c r="C851">
        <v>18</v>
      </c>
      <c r="D851">
        <v>1750</v>
      </c>
      <c r="E851">
        <v>0</v>
      </c>
      <c r="F851">
        <v>57070013579</v>
      </c>
      <c r="G851">
        <v>82402077.379999995</v>
      </c>
      <c r="H851">
        <v>56950543640</v>
      </c>
      <c r="I851">
        <v>56979186759.339996</v>
      </c>
      <c r="J851">
        <v>7.7660000000000003E-3</v>
      </c>
      <c r="K851">
        <v>1.7700000000000001E-3</v>
      </c>
      <c r="M851" t="s">
        <v>1</v>
      </c>
      <c r="N851">
        <v>5250</v>
      </c>
      <c r="O851">
        <v>14</v>
      </c>
      <c r="P851">
        <v>5682</v>
      </c>
      <c r="Q851">
        <v>0</v>
      </c>
      <c r="R851">
        <v>222442161393</v>
      </c>
      <c r="S851">
        <v>277104604.04000002</v>
      </c>
      <c r="T851">
        <v>220278748100.35999</v>
      </c>
      <c r="U851">
        <v>221736313441.78</v>
      </c>
      <c r="V851">
        <v>9.7145999999999996E-2</v>
      </c>
      <c r="W851">
        <v>2.2886E-2</v>
      </c>
    </row>
    <row r="852" spans="1:23" x14ac:dyDescent="0.35">
      <c r="A852" t="s">
        <v>0</v>
      </c>
      <c r="B852">
        <v>5500</v>
      </c>
      <c r="C852">
        <v>14</v>
      </c>
      <c r="D852">
        <v>3528</v>
      </c>
      <c r="E852">
        <v>0</v>
      </c>
      <c r="F852">
        <v>116812327926</v>
      </c>
      <c r="G852">
        <v>139214473.87</v>
      </c>
      <c r="H852">
        <v>116041011327</v>
      </c>
      <c r="I852">
        <v>116580106207.05</v>
      </c>
      <c r="J852">
        <v>6.3036999999999996E-2</v>
      </c>
      <c r="K852">
        <v>9.5130000000000006E-3</v>
      </c>
      <c r="M852" t="s">
        <v>0</v>
      </c>
      <c r="N852">
        <v>5500</v>
      </c>
      <c r="O852">
        <v>14</v>
      </c>
      <c r="P852">
        <v>4843</v>
      </c>
      <c r="Q852">
        <v>0</v>
      </c>
      <c r="R852">
        <v>159526347719</v>
      </c>
      <c r="S852">
        <v>189871634.41</v>
      </c>
      <c r="T852">
        <v>158527038465.22</v>
      </c>
      <c r="U852">
        <v>159289953860.63</v>
      </c>
      <c r="V852">
        <v>5.9216999999999999E-2</v>
      </c>
      <c r="W852">
        <v>3.4940000000000001E-3</v>
      </c>
    </row>
    <row r="853" spans="1:23" x14ac:dyDescent="0.35">
      <c r="A853" t="s">
        <v>2</v>
      </c>
      <c r="B853">
        <v>5500</v>
      </c>
      <c r="C853">
        <v>14</v>
      </c>
      <c r="D853">
        <v>144</v>
      </c>
      <c r="E853">
        <v>0</v>
      </c>
      <c r="F853">
        <v>3245704764</v>
      </c>
      <c r="G853">
        <v>3856329.78</v>
      </c>
      <c r="H853">
        <v>3241781454</v>
      </c>
      <c r="I853">
        <v>3241781454</v>
      </c>
      <c r="J853">
        <v>2.4800000000000001E-4</v>
      </c>
      <c r="K853">
        <v>2.4800000000000001E-4</v>
      </c>
      <c r="M853" t="s">
        <v>2</v>
      </c>
      <c r="N853">
        <v>6750</v>
      </c>
      <c r="O853">
        <v>18</v>
      </c>
      <c r="P853">
        <v>1266</v>
      </c>
      <c r="Q853">
        <v>0</v>
      </c>
      <c r="R853">
        <v>23426647257</v>
      </c>
      <c r="S853">
        <v>22912670.66</v>
      </c>
      <c r="T853">
        <v>23154882494.720001</v>
      </c>
      <c r="U853">
        <v>23386562572.200001</v>
      </c>
      <c r="V853">
        <v>0.120281</v>
      </c>
      <c r="W853">
        <v>8.7609999999999997E-3</v>
      </c>
    </row>
    <row r="854" spans="1:23" x14ac:dyDescent="0.35">
      <c r="A854" t="s">
        <v>1</v>
      </c>
      <c r="B854">
        <v>4500</v>
      </c>
      <c r="C854">
        <v>14</v>
      </c>
      <c r="D854">
        <v>813</v>
      </c>
      <c r="E854">
        <v>0</v>
      </c>
      <c r="F854">
        <v>27615492882</v>
      </c>
      <c r="G854">
        <v>39111016.07</v>
      </c>
      <c r="H854">
        <v>27539021470</v>
      </c>
      <c r="I854">
        <v>27572743334.560001</v>
      </c>
      <c r="J854">
        <v>1.6114E-2</v>
      </c>
      <c r="K854">
        <v>1.58E-3</v>
      </c>
      <c r="M854" t="s">
        <v>0</v>
      </c>
      <c r="N854">
        <v>6000</v>
      </c>
      <c r="O854">
        <v>14</v>
      </c>
      <c r="P854">
        <v>10931</v>
      </c>
      <c r="Q854">
        <v>0</v>
      </c>
      <c r="R854">
        <v>334414503281</v>
      </c>
      <c r="S854">
        <v>364032337.00999999</v>
      </c>
      <c r="T854">
        <v>330120947976.09998</v>
      </c>
      <c r="U854">
        <v>333818187489.88</v>
      </c>
      <c r="V854">
        <v>0.13224</v>
      </c>
      <c r="W854">
        <v>8.3029999999999996E-3</v>
      </c>
    </row>
    <row r="855" spans="1:23" x14ac:dyDescent="0.35">
      <c r="A855" t="s">
        <v>2</v>
      </c>
      <c r="B855">
        <v>4500</v>
      </c>
      <c r="C855">
        <v>14</v>
      </c>
      <c r="D855">
        <v>84</v>
      </c>
      <c r="E855">
        <v>0</v>
      </c>
      <c r="F855">
        <v>2224830430</v>
      </c>
      <c r="G855">
        <v>3146542.69</v>
      </c>
      <c r="H855">
        <v>2221712926</v>
      </c>
      <c r="I855">
        <v>2221712926</v>
      </c>
      <c r="J855">
        <v>-1.5699999999999999E-4</v>
      </c>
      <c r="K855">
        <v>-1.5699999999999999E-4</v>
      </c>
      <c r="M855" t="s">
        <v>1</v>
      </c>
      <c r="N855">
        <v>6000</v>
      </c>
      <c r="O855">
        <v>14</v>
      </c>
      <c r="P855">
        <v>5952</v>
      </c>
      <c r="Q855">
        <v>0</v>
      </c>
      <c r="R855">
        <v>224827802238</v>
      </c>
      <c r="S855">
        <v>244782145.31</v>
      </c>
      <c r="T855">
        <v>216131559292.54999</v>
      </c>
      <c r="U855">
        <v>224351543474.45001</v>
      </c>
      <c r="V855">
        <v>0.36858200000000002</v>
      </c>
      <c r="W855">
        <v>1.2285000000000001E-2</v>
      </c>
    </row>
    <row r="856" spans="1:23" x14ac:dyDescent="0.35">
      <c r="A856" t="s">
        <v>0</v>
      </c>
      <c r="B856">
        <v>4500</v>
      </c>
      <c r="C856">
        <v>14</v>
      </c>
      <c r="D856">
        <v>1980</v>
      </c>
      <c r="E856">
        <v>0</v>
      </c>
      <c r="F856">
        <v>63994306548</v>
      </c>
      <c r="G856">
        <v>90601904.319999993</v>
      </c>
      <c r="H856">
        <v>63898118901</v>
      </c>
      <c r="I856">
        <v>63898118901</v>
      </c>
      <c r="J856">
        <v>1.047E-3</v>
      </c>
      <c r="K856">
        <v>1.047E-3</v>
      </c>
      <c r="M856" t="s">
        <v>2</v>
      </c>
      <c r="N856">
        <v>6000</v>
      </c>
      <c r="O856">
        <v>14</v>
      </c>
      <c r="P856">
        <v>674</v>
      </c>
      <c r="Q856">
        <v>0</v>
      </c>
      <c r="R856">
        <v>13964806980</v>
      </c>
      <c r="S856">
        <v>15207340.27</v>
      </c>
      <c r="T856">
        <v>13867112977.299999</v>
      </c>
      <c r="U856">
        <v>13935336126.02</v>
      </c>
      <c r="V856">
        <v>6.8623000000000003E-2</v>
      </c>
      <c r="W856">
        <v>1.2187999999999999E-2</v>
      </c>
    </row>
    <row r="857" spans="1:23" x14ac:dyDescent="0.35">
      <c r="A857" t="s">
        <v>0</v>
      </c>
      <c r="B857">
        <v>5000</v>
      </c>
      <c r="C857">
        <v>8</v>
      </c>
      <c r="D857">
        <v>2743</v>
      </c>
      <c r="E857">
        <v>0</v>
      </c>
      <c r="F857">
        <v>98386538924</v>
      </c>
      <c r="G857">
        <v>124202612.31</v>
      </c>
      <c r="H857">
        <v>98070500926</v>
      </c>
      <c r="I857">
        <v>98180090349.229996</v>
      </c>
      <c r="J857">
        <v>2.3147999999999998E-2</v>
      </c>
      <c r="K857">
        <v>9.9850000000000008E-3</v>
      </c>
      <c r="M857" t="s">
        <v>1</v>
      </c>
      <c r="N857">
        <v>6750</v>
      </c>
      <c r="O857">
        <v>14</v>
      </c>
      <c r="P857">
        <v>5566</v>
      </c>
      <c r="Q857">
        <v>0</v>
      </c>
      <c r="R857">
        <v>174164383096</v>
      </c>
      <c r="S857">
        <v>165819451.24000001</v>
      </c>
      <c r="T857">
        <v>162725722764.60001</v>
      </c>
      <c r="U857">
        <v>172717008611.76999</v>
      </c>
      <c r="V857">
        <v>0.55200800000000005</v>
      </c>
      <c r="W857">
        <v>8.4811999999999999E-2</v>
      </c>
    </row>
    <row r="858" spans="1:23" x14ac:dyDescent="0.35">
      <c r="A858" t="s">
        <v>2</v>
      </c>
      <c r="B858">
        <v>5000</v>
      </c>
      <c r="C858">
        <v>8</v>
      </c>
      <c r="D858">
        <v>52</v>
      </c>
      <c r="E858">
        <v>0</v>
      </c>
      <c r="F858">
        <v>1465072017</v>
      </c>
      <c r="G858">
        <v>1846656.7</v>
      </c>
      <c r="H858">
        <v>1462862969</v>
      </c>
      <c r="I858">
        <v>1462862969</v>
      </c>
      <c r="J858">
        <v>2.9640000000000001E-3</v>
      </c>
      <c r="K858">
        <v>2.9640000000000001E-3</v>
      </c>
      <c r="M858" t="s">
        <v>1</v>
      </c>
      <c r="N858">
        <v>7000</v>
      </c>
      <c r="O858">
        <v>14</v>
      </c>
      <c r="P858">
        <v>770</v>
      </c>
      <c r="Q858">
        <v>0</v>
      </c>
      <c r="R858">
        <v>20233572327</v>
      </c>
      <c r="S858">
        <v>18342993.100000001</v>
      </c>
      <c r="T858">
        <v>19121031577.549999</v>
      </c>
      <c r="U858">
        <v>20073539949.16</v>
      </c>
      <c r="V858">
        <v>0.48682900000000001</v>
      </c>
      <c r="W858">
        <v>8.0869999999999997E-2</v>
      </c>
    </row>
    <row r="859" spans="1:23" x14ac:dyDescent="0.35">
      <c r="A859" t="s">
        <v>1</v>
      </c>
      <c r="B859">
        <v>5000</v>
      </c>
      <c r="C859">
        <v>8</v>
      </c>
      <c r="D859">
        <v>1155</v>
      </c>
      <c r="E859">
        <v>0</v>
      </c>
      <c r="F859">
        <v>45072447710</v>
      </c>
      <c r="G859">
        <v>56857476.590000004</v>
      </c>
      <c r="H859">
        <v>44966757069</v>
      </c>
      <c r="I859">
        <v>44966757069</v>
      </c>
      <c r="J859">
        <v>1.2924E-2</v>
      </c>
      <c r="K859">
        <v>1.2924E-2</v>
      </c>
      <c r="M859" t="s">
        <v>0</v>
      </c>
      <c r="N859">
        <v>7250</v>
      </c>
      <c r="O859">
        <v>14</v>
      </c>
      <c r="P859">
        <v>5166</v>
      </c>
      <c r="Q859">
        <v>0</v>
      </c>
      <c r="R859">
        <v>136218530649</v>
      </c>
      <c r="S859">
        <v>117874958.65000001</v>
      </c>
      <c r="T859">
        <v>131649330097.32001</v>
      </c>
      <c r="U859">
        <v>135443115657.99001</v>
      </c>
      <c r="V859">
        <v>0.32879700000000001</v>
      </c>
      <c r="W859">
        <v>5.6411999999999997E-2</v>
      </c>
    </row>
    <row r="860" spans="1:23" x14ac:dyDescent="0.35">
      <c r="A860" t="s">
        <v>1</v>
      </c>
      <c r="B860">
        <v>5500</v>
      </c>
      <c r="C860">
        <v>8</v>
      </c>
      <c r="D860">
        <v>820</v>
      </c>
      <c r="E860">
        <v>0</v>
      </c>
      <c r="F860">
        <v>32493673576</v>
      </c>
      <c r="G860">
        <v>37440020.100000001</v>
      </c>
      <c r="H860">
        <v>31995081298</v>
      </c>
      <c r="I860">
        <v>32396571040.740002</v>
      </c>
      <c r="J860">
        <v>0.15762100000000001</v>
      </c>
      <c r="K860">
        <v>2.1812000000000002E-2</v>
      </c>
      <c r="M860" t="s">
        <v>0</v>
      </c>
      <c r="N860">
        <v>5000</v>
      </c>
      <c r="O860">
        <v>18</v>
      </c>
      <c r="P860">
        <v>4569</v>
      </c>
      <c r="Q860">
        <v>0</v>
      </c>
      <c r="R860">
        <v>154519960031</v>
      </c>
      <c r="S860">
        <v>205123002.58000001</v>
      </c>
      <c r="T860">
        <v>154039322361.92001</v>
      </c>
      <c r="U860">
        <v>154277655233.14001</v>
      </c>
      <c r="V860">
        <v>2.1187999999999999E-2</v>
      </c>
      <c r="W860">
        <v>2.8839999999999998E-3</v>
      </c>
    </row>
    <row r="861" spans="1:23" x14ac:dyDescent="0.35">
      <c r="A861" t="s">
        <v>0</v>
      </c>
      <c r="B861">
        <v>5500</v>
      </c>
      <c r="C861">
        <v>8</v>
      </c>
      <c r="D861">
        <v>1290</v>
      </c>
      <c r="E861">
        <v>0</v>
      </c>
      <c r="F861">
        <v>45021800638</v>
      </c>
      <c r="G861">
        <v>51973663.450000003</v>
      </c>
      <c r="H861">
        <v>44826911318</v>
      </c>
      <c r="I861">
        <v>44961733506.949997</v>
      </c>
      <c r="J861">
        <v>3.7434000000000002E-2</v>
      </c>
      <c r="K861">
        <v>2.1549999999999998E-3</v>
      </c>
      <c r="M861" t="s">
        <v>1</v>
      </c>
      <c r="N861">
        <v>5000</v>
      </c>
      <c r="O861">
        <v>18</v>
      </c>
      <c r="P861">
        <v>1829</v>
      </c>
      <c r="Q861">
        <v>0</v>
      </c>
      <c r="R861">
        <v>68349866305</v>
      </c>
      <c r="S861">
        <v>90791037.900000006</v>
      </c>
      <c r="T861">
        <v>67944760164.139999</v>
      </c>
      <c r="U861">
        <v>68104259584.510002</v>
      </c>
      <c r="V861">
        <v>5.3809000000000003E-2</v>
      </c>
      <c r="W861">
        <v>2.6845000000000001E-2</v>
      </c>
    </row>
    <row r="862" spans="1:23" x14ac:dyDescent="0.35">
      <c r="A862" t="s">
        <v>2</v>
      </c>
      <c r="B862">
        <v>5500</v>
      </c>
      <c r="C862">
        <v>9</v>
      </c>
      <c r="D862">
        <v>50</v>
      </c>
      <c r="E862">
        <v>0</v>
      </c>
      <c r="F862">
        <v>1129041310</v>
      </c>
      <c r="G862">
        <v>1309934.17</v>
      </c>
      <c r="H862">
        <v>1103747379</v>
      </c>
      <c r="I862">
        <v>1127691269.3399999</v>
      </c>
      <c r="J862">
        <v>0.22714200000000001</v>
      </c>
      <c r="K862">
        <v>4.26E-4</v>
      </c>
      <c r="M862" t="s">
        <v>2</v>
      </c>
      <c r="N862">
        <v>4500</v>
      </c>
      <c r="O862">
        <v>16</v>
      </c>
      <c r="P862">
        <v>63</v>
      </c>
      <c r="Q862">
        <v>0</v>
      </c>
      <c r="R862">
        <v>1602547126</v>
      </c>
      <c r="S862">
        <v>2296996.35</v>
      </c>
      <c r="T862">
        <v>1600250129.6500001</v>
      </c>
      <c r="U862">
        <v>1600250129.6500001</v>
      </c>
      <c r="V862">
        <v>0</v>
      </c>
      <c r="W862">
        <v>0</v>
      </c>
    </row>
    <row r="863" spans="1:23" x14ac:dyDescent="0.35">
      <c r="A863" t="s">
        <v>0</v>
      </c>
      <c r="B863">
        <v>6000</v>
      </c>
      <c r="C863">
        <v>12</v>
      </c>
      <c r="D863">
        <v>10728</v>
      </c>
      <c r="E863">
        <v>0</v>
      </c>
      <c r="F863">
        <v>352222004225</v>
      </c>
      <c r="G863">
        <v>378770475.99000001</v>
      </c>
      <c r="H863">
        <v>348424562773</v>
      </c>
      <c r="I863">
        <v>351525181990.06</v>
      </c>
      <c r="J863">
        <v>0.11045099999999999</v>
      </c>
      <c r="K863">
        <v>1.0782E-2</v>
      </c>
      <c r="M863" t="s">
        <v>0</v>
      </c>
      <c r="N863">
        <v>4500</v>
      </c>
      <c r="O863">
        <v>16</v>
      </c>
      <c r="P863">
        <v>1793</v>
      </c>
      <c r="Q863">
        <v>0</v>
      </c>
      <c r="R863">
        <v>60103483661</v>
      </c>
      <c r="S863">
        <v>86014973.319999993</v>
      </c>
      <c r="T863">
        <v>60006354677.349998</v>
      </c>
      <c r="U863">
        <v>60017468687.68</v>
      </c>
      <c r="V863">
        <v>2.2169999999999998E-3</v>
      </c>
      <c r="W863">
        <v>0</v>
      </c>
    </row>
    <row r="864" spans="1:23" x14ac:dyDescent="0.35">
      <c r="A864" t="s">
        <v>0</v>
      </c>
      <c r="B864">
        <v>6000</v>
      </c>
      <c r="C864">
        <v>9</v>
      </c>
      <c r="D864">
        <v>7167</v>
      </c>
      <c r="E864">
        <v>0</v>
      </c>
      <c r="F864">
        <v>233069652577</v>
      </c>
      <c r="G864">
        <v>246857176.05000001</v>
      </c>
      <c r="H864">
        <v>230791749138</v>
      </c>
      <c r="I864">
        <v>232741025381.01999</v>
      </c>
      <c r="J864">
        <v>9.9703E-2</v>
      </c>
      <c r="K864">
        <v>4.202E-3</v>
      </c>
      <c r="M864" t="s">
        <v>2</v>
      </c>
      <c r="N864">
        <v>5500</v>
      </c>
      <c r="O864">
        <v>14</v>
      </c>
      <c r="P864">
        <v>221</v>
      </c>
      <c r="Q864">
        <v>0</v>
      </c>
      <c r="R864">
        <v>4775530469</v>
      </c>
      <c r="S864">
        <v>5677208.4500000002</v>
      </c>
      <c r="T864">
        <v>4745356666.2600002</v>
      </c>
      <c r="U864">
        <v>4769853260.5500002</v>
      </c>
      <c r="V864">
        <v>5.9847999999999998E-2</v>
      </c>
      <c r="W864">
        <v>0</v>
      </c>
    </row>
    <row r="865" spans="1:23" x14ac:dyDescent="0.35">
      <c r="A865" t="s">
        <v>0</v>
      </c>
      <c r="B865">
        <v>6000</v>
      </c>
      <c r="C865">
        <v>8</v>
      </c>
      <c r="D865">
        <v>5651</v>
      </c>
      <c r="E865">
        <v>0</v>
      </c>
      <c r="F865">
        <v>182052105594</v>
      </c>
      <c r="G865">
        <v>191919069.22999999</v>
      </c>
      <c r="H865">
        <v>180039944579</v>
      </c>
      <c r="I865">
        <v>181767394061.41</v>
      </c>
      <c r="J865">
        <v>0.11359900000000001</v>
      </c>
      <c r="K865">
        <v>6.0990000000000003E-3</v>
      </c>
      <c r="M865" t="s">
        <v>1</v>
      </c>
      <c r="N865">
        <v>4500</v>
      </c>
      <c r="O865">
        <v>12</v>
      </c>
      <c r="P865">
        <v>674</v>
      </c>
      <c r="Q865">
        <v>0</v>
      </c>
      <c r="R865">
        <v>22249960456</v>
      </c>
      <c r="S865">
        <v>31168657.879999999</v>
      </c>
      <c r="T865">
        <v>22157797726.07</v>
      </c>
      <c r="U865">
        <v>22218791798.119999</v>
      </c>
      <c r="V865">
        <v>3.2404000000000002E-2</v>
      </c>
      <c r="W865">
        <v>0</v>
      </c>
    </row>
    <row r="866" spans="1:23" x14ac:dyDescent="0.35">
      <c r="A866" t="s">
        <v>1</v>
      </c>
      <c r="B866">
        <v>6000</v>
      </c>
      <c r="C866">
        <v>8</v>
      </c>
      <c r="D866">
        <v>4391</v>
      </c>
      <c r="E866">
        <v>0</v>
      </c>
      <c r="F866">
        <v>182072074057</v>
      </c>
      <c r="G866">
        <v>191655199.15000001</v>
      </c>
      <c r="H866">
        <v>174577322545</v>
      </c>
      <c r="I866">
        <v>181742277204.03</v>
      </c>
      <c r="J866">
        <v>0.38813999999999999</v>
      </c>
      <c r="K866">
        <v>9.0670000000000004E-3</v>
      </c>
      <c r="M866" t="s">
        <v>2</v>
      </c>
      <c r="N866">
        <v>4500</v>
      </c>
      <c r="O866">
        <v>12</v>
      </c>
      <c r="P866">
        <v>87</v>
      </c>
      <c r="Q866">
        <v>0</v>
      </c>
      <c r="R866">
        <v>2389820115</v>
      </c>
      <c r="S866">
        <v>3341993.57</v>
      </c>
      <c r="T866">
        <v>2386478121.4299998</v>
      </c>
      <c r="U866">
        <v>2386478121.4299998</v>
      </c>
      <c r="V866">
        <v>0</v>
      </c>
      <c r="W866">
        <v>0</v>
      </c>
    </row>
    <row r="867" spans="1:23" x14ac:dyDescent="0.35">
      <c r="A867" t="s">
        <v>2</v>
      </c>
      <c r="B867">
        <v>5500</v>
      </c>
      <c r="C867">
        <v>7</v>
      </c>
      <c r="D867">
        <v>43</v>
      </c>
      <c r="E867">
        <v>0</v>
      </c>
      <c r="F867">
        <v>1044457981</v>
      </c>
      <c r="G867">
        <v>1196225.48</v>
      </c>
      <c r="H867">
        <v>1043170313</v>
      </c>
      <c r="I867">
        <v>1043170313</v>
      </c>
      <c r="J867">
        <v>1.0499999999999999E-3</v>
      </c>
      <c r="K867">
        <v>1.0499999999999999E-3</v>
      </c>
      <c r="M867" t="s">
        <v>0</v>
      </c>
      <c r="N867">
        <v>4500</v>
      </c>
      <c r="O867">
        <v>14</v>
      </c>
      <c r="P867">
        <v>2216</v>
      </c>
      <c r="Q867">
        <v>0</v>
      </c>
      <c r="R867">
        <v>74167894871</v>
      </c>
      <c r="S867">
        <v>105006792.04000001</v>
      </c>
      <c r="T867">
        <v>74016380853.949997</v>
      </c>
      <c r="U867">
        <v>74062888078.960007</v>
      </c>
      <c r="V867">
        <v>7.4989999999999996E-3</v>
      </c>
      <c r="W867">
        <v>0</v>
      </c>
    </row>
    <row r="868" spans="1:23" x14ac:dyDescent="0.35">
      <c r="A868" t="s">
        <v>0</v>
      </c>
      <c r="B868">
        <v>5500</v>
      </c>
      <c r="C868">
        <v>7</v>
      </c>
      <c r="D868">
        <v>1354</v>
      </c>
      <c r="E868">
        <v>0</v>
      </c>
      <c r="F868">
        <v>46527651922</v>
      </c>
      <c r="G868">
        <v>53431272.960000001</v>
      </c>
      <c r="H868">
        <v>46303733250</v>
      </c>
      <c r="I868">
        <v>46466742153.589996</v>
      </c>
      <c r="J868">
        <v>4.3095000000000001E-2</v>
      </c>
      <c r="K868">
        <v>1.9269999999999999E-3</v>
      </c>
      <c r="M868" t="s">
        <v>2</v>
      </c>
      <c r="N868">
        <v>4500</v>
      </c>
      <c r="O868">
        <v>14</v>
      </c>
      <c r="P868">
        <v>73</v>
      </c>
      <c r="Q868">
        <v>0</v>
      </c>
      <c r="R868">
        <v>1839082417</v>
      </c>
      <c r="S868">
        <v>2601250</v>
      </c>
      <c r="T868">
        <v>1836481167</v>
      </c>
      <c r="U868">
        <v>1836481167</v>
      </c>
      <c r="V868">
        <v>0</v>
      </c>
      <c r="W868">
        <v>0</v>
      </c>
    </row>
    <row r="869" spans="1:23" x14ac:dyDescent="0.35">
      <c r="A869" t="s">
        <v>1</v>
      </c>
      <c r="B869">
        <v>5500</v>
      </c>
      <c r="C869">
        <v>7</v>
      </c>
      <c r="D869">
        <v>862</v>
      </c>
      <c r="E869">
        <v>0</v>
      </c>
      <c r="F869">
        <v>35357197243</v>
      </c>
      <c r="G869">
        <v>40577477.600000001</v>
      </c>
      <c r="H869">
        <v>34935113094</v>
      </c>
      <c r="I869">
        <v>35296180821.970001</v>
      </c>
      <c r="J869">
        <v>0.12206699999999999</v>
      </c>
      <c r="K869">
        <v>6.9150000000000001E-3</v>
      </c>
      <c r="M869" t="s">
        <v>0</v>
      </c>
      <c r="N869">
        <v>4500</v>
      </c>
      <c r="O869">
        <v>12</v>
      </c>
      <c r="P869">
        <v>1869</v>
      </c>
      <c r="Q869">
        <v>0</v>
      </c>
      <c r="R869">
        <v>58945627335</v>
      </c>
      <c r="S869">
        <v>82507544.239999995</v>
      </c>
      <c r="T869">
        <v>58863119790.760002</v>
      </c>
      <c r="U869">
        <v>58863119790.760002</v>
      </c>
      <c r="V869">
        <v>0</v>
      </c>
      <c r="W869">
        <v>0</v>
      </c>
    </row>
    <row r="870" spans="1:23" x14ac:dyDescent="0.35">
      <c r="A870" t="s">
        <v>0</v>
      </c>
      <c r="B870">
        <v>6000</v>
      </c>
      <c r="C870">
        <v>7</v>
      </c>
      <c r="D870">
        <v>6746</v>
      </c>
      <c r="E870">
        <v>0</v>
      </c>
      <c r="F870">
        <v>219194332325</v>
      </c>
      <c r="G870">
        <v>229667227.34999999</v>
      </c>
      <c r="H870">
        <v>216581592071</v>
      </c>
      <c r="I870">
        <v>218826150758.37</v>
      </c>
      <c r="J870">
        <v>0.12293800000000001</v>
      </c>
      <c r="K870">
        <v>7.5570000000000003E-3</v>
      </c>
      <c r="M870" t="s">
        <v>0</v>
      </c>
      <c r="N870">
        <v>5000</v>
      </c>
      <c r="O870">
        <v>7</v>
      </c>
      <c r="P870">
        <v>2748</v>
      </c>
      <c r="Q870">
        <v>0</v>
      </c>
      <c r="R870">
        <v>98757736431</v>
      </c>
      <c r="S870">
        <v>124002165.84999999</v>
      </c>
      <c r="T870">
        <v>98531415372.380005</v>
      </c>
      <c r="U870">
        <v>98573918342.690002</v>
      </c>
      <c r="V870">
        <v>1.2362E-2</v>
      </c>
      <c r="W870">
        <v>7.2439999999999996E-3</v>
      </c>
    </row>
    <row r="871" spans="1:23" x14ac:dyDescent="0.35">
      <c r="A871" t="s">
        <v>1</v>
      </c>
      <c r="B871">
        <v>6000</v>
      </c>
      <c r="C871">
        <v>7</v>
      </c>
      <c r="D871">
        <v>5616</v>
      </c>
      <c r="E871">
        <v>0</v>
      </c>
      <c r="F871">
        <v>242087033916</v>
      </c>
      <c r="G871">
        <v>253563971.53999999</v>
      </c>
      <c r="H871">
        <v>217719739334</v>
      </c>
      <c r="I871">
        <v>241431910786.54001</v>
      </c>
      <c r="J871">
        <v>0.71609</v>
      </c>
      <c r="K871">
        <v>1.9723999999999998E-2</v>
      </c>
      <c r="M871" t="s">
        <v>2</v>
      </c>
      <c r="N871">
        <v>5000</v>
      </c>
      <c r="O871">
        <v>7</v>
      </c>
      <c r="P871">
        <v>52</v>
      </c>
      <c r="Q871">
        <v>0</v>
      </c>
      <c r="R871">
        <v>1467252020</v>
      </c>
      <c r="S871">
        <v>1839461.4</v>
      </c>
      <c r="T871">
        <v>1465412558.5999999</v>
      </c>
      <c r="U871">
        <v>1465412558.5999999</v>
      </c>
      <c r="V871">
        <v>0</v>
      </c>
      <c r="W871">
        <v>0</v>
      </c>
    </row>
    <row r="872" spans="1:23" x14ac:dyDescent="0.35">
      <c r="A872" t="s">
        <v>0</v>
      </c>
      <c r="B872">
        <v>6000</v>
      </c>
      <c r="C872">
        <v>6</v>
      </c>
      <c r="D872">
        <v>8083</v>
      </c>
      <c r="E872">
        <v>0</v>
      </c>
      <c r="F872">
        <v>261508785029</v>
      </c>
      <c r="G872">
        <v>272377993.07999998</v>
      </c>
      <c r="H872">
        <v>259493078853</v>
      </c>
      <c r="I872">
        <v>260856409128.64999</v>
      </c>
      <c r="J872">
        <v>7.7128000000000002E-2</v>
      </c>
      <c r="K872">
        <v>1.7298000000000001E-2</v>
      </c>
      <c r="M872" t="s">
        <v>1</v>
      </c>
      <c r="N872">
        <v>5000</v>
      </c>
      <c r="O872">
        <v>7</v>
      </c>
      <c r="P872">
        <v>1156</v>
      </c>
      <c r="Q872">
        <v>0</v>
      </c>
      <c r="R872">
        <v>45161971382</v>
      </c>
      <c r="S872">
        <v>56664660.840000004</v>
      </c>
      <c r="T872">
        <v>45088811422.150002</v>
      </c>
      <c r="U872">
        <v>45105306721.160004</v>
      </c>
      <c r="V872">
        <v>4.3740000000000003E-3</v>
      </c>
      <c r="W872">
        <v>0</v>
      </c>
    </row>
    <row r="873" spans="1:23" x14ac:dyDescent="0.35">
      <c r="A873" t="s">
        <v>2</v>
      </c>
      <c r="B873">
        <v>7000</v>
      </c>
      <c r="C873">
        <v>16</v>
      </c>
      <c r="D873">
        <v>288</v>
      </c>
      <c r="E873">
        <v>0</v>
      </c>
      <c r="F873">
        <v>4292476089</v>
      </c>
      <c r="G873">
        <v>3938869.66</v>
      </c>
      <c r="H873">
        <v>4219438189</v>
      </c>
      <c r="I873">
        <v>4253379556.5700002</v>
      </c>
      <c r="J873">
        <v>0.176955</v>
      </c>
      <c r="K873">
        <v>9.3977000000000005E-2</v>
      </c>
      <c r="M873" t="s">
        <v>1</v>
      </c>
      <c r="N873">
        <v>5500</v>
      </c>
      <c r="O873">
        <v>7</v>
      </c>
      <c r="P873">
        <v>826</v>
      </c>
      <c r="Q873">
        <v>0</v>
      </c>
      <c r="R873">
        <v>32781862691</v>
      </c>
      <c r="S873">
        <v>37559058.850000001</v>
      </c>
      <c r="T873">
        <v>32507488215.110001</v>
      </c>
      <c r="U873">
        <v>32744303632.150002</v>
      </c>
      <c r="V873">
        <v>8.3324999999999996E-2</v>
      </c>
      <c r="W873">
        <v>0</v>
      </c>
    </row>
    <row r="874" spans="1:23" x14ac:dyDescent="0.35">
      <c r="A874" t="s">
        <v>1</v>
      </c>
      <c r="B874">
        <v>6000</v>
      </c>
      <c r="C874">
        <v>14</v>
      </c>
      <c r="D874">
        <v>5574</v>
      </c>
      <c r="E874">
        <v>0</v>
      </c>
      <c r="F874">
        <v>213857560119</v>
      </c>
      <c r="G874">
        <v>232756698.72999999</v>
      </c>
      <c r="H874">
        <v>206894891874</v>
      </c>
      <c r="I874">
        <v>213023654005.57001</v>
      </c>
      <c r="J874">
        <v>0.318664</v>
      </c>
      <c r="K874">
        <v>3.3215000000000001E-2</v>
      </c>
      <c r="M874" t="s">
        <v>0</v>
      </c>
      <c r="N874">
        <v>5500</v>
      </c>
      <c r="O874">
        <v>7</v>
      </c>
      <c r="P874">
        <v>1296</v>
      </c>
      <c r="Q874">
        <v>0</v>
      </c>
      <c r="R874">
        <v>45257815511</v>
      </c>
      <c r="S874">
        <v>51950806.009999998</v>
      </c>
      <c r="T874">
        <v>45031798324.120003</v>
      </c>
      <c r="U874">
        <v>45205864704.989998</v>
      </c>
      <c r="V874">
        <v>4.5189E-2</v>
      </c>
      <c r="W874">
        <v>0</v>
      </c>
    </row>
    <row r="875" spans="1:23" x14ac:dyDescent="0.35">
      <c r="A875" t="s">
        <v>2</v>
      </c>
      <c r="B875">
        <v>6000</v>
      </c>
      <c r="C875">
        <v>14</v>
      </c>
      <c r="D875">
        <v>445</v>
      </c>
      <c r="E875">
        <v>0</v>
      </c>
      <c r="F875">
        <v>9463741558</v>
      </c>
      <c r="G875">
        <v>10295890.41</v>
      </c>
      <c r="H875">
        <v>9393636593</v>
      </c>
      <c r="I875">
        <v>9452471601.9599991</v>
      </c>
      <c r="J875">
        <v>7.3256000000000002E-2</v>
      </c>
      <c r="K875">
        <v>1.2340000000000001E-3</v>
      </c>
      <c r="M875" t="s">
        <v>2</v>
      </c>
      <c r="N875">
        <v>5500</v>
      </c>
      <c r="O875">
        <v>8</v>
      </c>
      <c r="P875">
        <v>50</v>
      </c>
      <c r="Q875">
        <v>0</v>
      </c>
      <c r="R875">
        <v>1130401521</v>
      </c>
      <c r="S875">
        <v>1304065.0900000001</v>
      </c>
      <c r="T875">
        <v>1129097455.9100001</v>
      </c>
      <c r="U875">
        <v>1129097455.9100001</v>
      </c>
      <c r="V875">
        <v>0</v>
      </c>
      <c r="W875">
        <v>0</v>
      </c>
    </row>
    <row r="876" spans="1:23" x14ac:dyDescent="0.35">
      <c r="A876" t="s">
        <v>0</v>
      </c>
      <c r="B876">
        <v>6500</v>
      </c>
      <c r="C876">
        <v>14</v>
      </c>
      <c r="D876">
        <v>9644</v>
      </c>
      <c r="E876">
        <v>0</v>
      </c>
      <c r="F876">
        <v>269283044173</v>
      </c>
      <c r="G876">
        <v>267204482.28</v>
      </c>
      <c r="H876">
        <v>263878382620</v>
      </c>
      <c r="I876">
        <v>268308406407.22</v>
      </c>
      <c r="J876">
        <v>0.20638100000000001</v>
      </c>
      <c r="K876">
        <v>3.1074000000000001E-2</v>
      </c>
      <c r="M876" t="s">
        <v>0</v>
      </c>
      <c r="N876">
        <v>6000</v>
      </c>
      <c r="O876">
        <v>10</v>
      </c>
      <c r="P876">
        <v>6786</v>
      </c>
      <c r="Q876">
        <v>0</v>
      </c>
      <c r="R876">
        <v>223630444585</v>
      </c>
      <c r="S876">
        <v>238454523.44999999</v>
      </c>
      <c r="T876">
        <v>221461992244.26999</v>
      </c>
      <c r="U876">
        <v>223345790762.28</v>
      </c>
      <c r="V876">
        <v>9.8785999999999999E-2</v>
      </c>
      <c r="W876">
        <v>2.4759999999999999E-3</v>
      </c>
    </row>
    <row r="877" spans="1:23" x14ac:dyDescent="0.35">
      <c r="A877" t="s">
        <v>1</v>
      </c>
      <c r="B877">
        <v>6500</v>
      </c>
      <c r="C877">
        <v>14</v>
      </c>
      <c r="D877">
        <v>2827</v>
      </c>
      <c r="E877">
        <v>0</v>
      </c>
      <c r="F877">
        <v>94403370839</v>
      </c>
      <c r="G877">
        <v>93887759.790000007</v>
      </c>
      <c r="H877">
        <v>90038087966</v>
      </c>
      <c r="I877">
        <v>93882693169.190002</v>
      </c>
      <c r="J877">
        <v>0.426284</v>
      </c>
      <c r="K877">
        <v>5.2921999999999997E-2</v>
      </c>
      <c r="M877" t="s">
        <v>0</v>
      </c>
      <c r="N877">
        <v>6000</v>
      </c>
      <c r="O877">
        <v>8</v>
      </c>
      <c r="P877">
        <v>7234</v>
      </c>
      <c r="Q877">
        <v>0</v>
      </c>
      <c r="R877">
        <v>235819567353</v>
      </c>
      <c r="S877">
        <v>248280096.41</v>
      </c>
      <c r="T877">
        <v>233112915170.82999</v>
      </c>
      <c r="U877">
        <v>235530789663.34</v>
      </c>
      <c r="V877">
        <v>0.118168</v>
      </c>
      <c r="W877">
        <v>2.0590000000000001E-3</v>
      </c>
    </row>
    <row r="878" spans="1:23" x14ac:dyDescent="0.35">
      <c r="A878" t="s">
        <v>2</v>
      </c>
      <c r="B878">
        <v>6500</v>
      </c>
      <c r="C878">
        <v>14</v>
      </c>
      <c r="D878">
        <v>826</v>
      </c>
      <c r="E878">
        <v>0</v>
      </c>
      <c r="F878">
        <v>15958968125</v>
      </c>
      <c r="G878">
        <v>15863132.199999999</v>
      </c>
      <c r="H878">
        <v>15902725384</v>
      </c>
      <c r="I878">
        <v>15918600724.450001</v>
      </c>
      <c r="J878">
        <v>2.9943999999999998E-2</v>
      </c>
      <c r="K878">
        <v>1.8270999999999999E-2</v>
      </c>
      <c r="M878" t="s">
        <v>0</v>
      </c>
      <c r="N878">
        <v>6000</v>
      </c>
      <c r="O878">
        <v>7</v>
      </c>
      <c r="P878">
        <v>5712</v>
      </c>
      <c r="Q878">
        <v>0</v>
      </c>
      <c r="R878">
        <v>184196279717</v>
      </c>
      <c r="S878">
        <v>193025992.13</v>
      </c>
      <c r="T878">
        <v>182097150003.60999</v>
      </c>
      <c r="U878">
        <v>184003253724.87</v>
      </c>
      <c r="V878">
        <v>0.11734899999999999</v>
      </c>
      <c r="W878">
        <v>0</v>
      </c>
    </row>
    <row r="879" spans="1:23" x14ac:dyDescent="0.35">
      <c r="A879" t="s">
        <v>0</v>
      </c>
      <c r="B879">
        <v>7000</v>
      </c>
      <c r="C879">
        <v>14</v>
      </c>
      <c r="D879">
        <v>5324</v>
      </c>
      <c r="E879">
        <v>0</v>
      </c>
      <c r="F879">
        <v>138264267257</v>
      </c>
      <c r="G879">
        <v>125308925.48999999</v>
      </c>
      <c r="H879">
        <v>134969217788</v>
      </c>
      <c r="I879">
        <v>137213879145.48</v>
      </c>
      <c r="J879">
        <v>0.24293400000000001</v>
      </c>
      <c r="K879">
        <v>7.7397999999999995E-2</v>
      </c>
      <c r="M879" t="s">
        <v>1</v>
      </c>
      <c r="N879">
        <v>6000</v>
      </c>
      <c r="O879">
        <v>7</v>
      </c>
      <c r="P879">
        <v>4921</v>
      </c>
      <c r="Q879">
        <v>0</v>
      </c>
      <c r="R879">
        <v>207849206108</v>
      </c>
      <c r="S879">
        <v>217494878.11000001</v>
      </c>
      <c r="T879">
        <v>182243352965.39001</v>
      </c>
      <c r="U879">
        <v>207420488653.82999</v>
      </c>
      <c r="V879">
        <v>0.79056199999999999</v>
      </c>
      <c r="W879">
        <v>1.2127000000000001E-2</v>
      </c>
    </row>
    <row r="880" spans="1:23" x14ac:dyDescent="0.35">
      <c r="A880" t="s">
        <v>1</v>
      </c>
      <c r="B880">
        <v>6000</v>
      </c>
      <c r="C880">
        <v>12</v>
      </c>
      <c r="D880">
        <v>7044</v>
      </c>
      <c r="E880">
        <v>0</v>
      </c>
      <c r="F880">
        <v>280894197301</v>
      </c>
      <c r="G880">
        <v>301710640.94999999</v>
      </c>
      <c r="H880">
        <v>272526699045</v>
      </c>
      <c r="I880">
        <v>279848562759.19</v>
      </c>
      <c r="J880">
        <v>0.29504399999999997</v>
      </c>
      <c r="K880">
        <v>3.1322000000000003E-2</v>
      </c>
      <c r="M880" t="s">
        <v>2</v>
      </c>
      <c r="N880">
        <v>5500</v>
      </c>
      <c r="O880">
        <v>6</v>
      </c>
      <c r="P880">
        <v>43</v>
      </c>
      <c r="Q880">
        <v>0</v>
      </c>
      <c r="R880">
        <v>1047594025</v>
      </c>
      <c r="S880">
        <v>1193018.78</v>
      </c>
      <c r="T880">
        <v>1046401006.22</v>
      </c>
      <c r="U880">
        <v>1046401006.22</v>
      </c>
      <c r="V880">
        <v>0</v>
      </c>
      <c r="W880">
        <v>0</v>
      </c>
    </row>
    <row r="881" spans="1:23" x14ac:dyDescent="0.35">
      <c r="A881" t="s">
        <v>2</v>
      </c>
      <c r="B881">
        <v>6000</v>
      </c>
      <c r="C881">
        <v>12</v>
      </c>
      <c r="D881">
        <v>431</v>
      </c>
      <c r="E881">
        <v>0</v>
      </c>
      <c r="F881">
        <v>9678444638</v>
      </c>
      <c r="G881">
        <v>10413180.48</v>
      </c>
      <c r="H881">
        <v>9642589796</v>
      </c>
      <c r="I881">
        <v>9667031064.0100002</v>
      </c>
      <c r="J881">
        <v>3.1092000000000002E-2</v>
      </c>
      <c r="K881">
        <v>1.24E-3</v>
      </c>
      <c r="M881" t="s">
        <v>0</v>
      </c>
      <c r="N881">
        <v>5500</v>
      </c>
      <c r="O881">
        <v>6</v>
      </c>
      <c r="P881">
        <v>1358</v>
      </c>
      <c r="Q881">
        <v>0</v>
      </c>
      <c r="R881">
        <v>46752229331</v>
      </c>
      <c r="S881">
        <v>53384409.810000002</v>
      </c>
      <c r="T881">
        <v>46614484789.75</v>
      </c>
      <c r="U881">
        <v>46679766592.389999</v>
      </c>
      <c r="V881">
        <v>2.1439E-2</v>
      </c>
      <c r="W881">
        <v>4.8859999999999997E-3</v>
      </c>
    </row>
    <row r="882" spans="1:23" x14ac:dyDescent="0.35">
      <c r="A882" t="s">
        <v>1</v>
      </c>
      <c r="B882">
        <v>6500</v>
      </c>
      <c r="C882">
        <v>12</v>
      </c>
      <c r="D882">
        <v>4619</v>
      </c>
      <c r="E882">
        <v>0</v>
      </c>
      <c r="F882">
        <v>159030362113</v>
      </c>
      <c r="G882">
        <v>155913290.65000001</v>
      </c>
      <c r="H882">
        <v>150184094422</v>
      </c>
      <c r="I882">
        <v>158402370326.98001</v>
      </c>
      <c r="J882">
        <v>0.490512</v>
      </c>
      <c r="K882">
        <v>3.5046000000000001E-2</v>
      </c>
      <c r="M882" t="s">
        <v>1</v>
      </c>
      <c r="N882">
        <v>5500</v>
      </c>
      <c r="O882">
        <v>6</v>
      </c>
      <c r="P882">
        <v>862</v>
      </c>
      <c r="Q882">
        <v>0</v>
      </c>
      <c r="R882">
        <v>35467035400</v>
      </c>
      <c r="S882">
        <v>40473291.479999997</v>
      </c>
      <c r="T882">
        <v>35426562108.519997</v>
      </c>
      <c r="U882">
        <v>35426562108.519997</v>
      </c>
      <c r="V882">
        <v>0</v>
      </c>
      <c r="W882">
        <v>0</v>
      </c>
    </row>
    <row r="883" spans="1:23" x14ac:dyDescent="0.35">
      <c r="A883" t="s">
        <v>0</v>
      </c>
      <c r="B883">
        <v>6500</v>
      </c>
      <c r="C883">
        <v>12</v>
      </c>
      <c r="D883">
        <v>15063</v>
      </c>
      <c r="E883">
        <v>0</v>
      </c>
      <c r="F883">
        <v>451210295850</v>
      </c>
      <c r="G883">
        <v>442173954.83999997</v>
      </c>
      <c r="H883">
        <v>439042499781</v>
      </c>
      <c r="I883">
        <v>449541062868.59003</v>
      </c>
      <c r="J883">
        <v>0.27091700000000002</v>
      </c>
      <c r="K883">
        <v>3.2149999999999998E-2</v>
      </c>
      <c r="M883" t="s">
        <v>0</v>
      </c>
      <c r="N883">
        <v>6000</v>
      </c>
      <c r="O883">
        <v>6</v>
      </c>
      <c r="P883">
        <v>6793</v>
      </c>
      <c r="Q883">
        <v>0</v>
      </c>
      <c r="R883">
        <v>221094671523</v>
      </c>
      <c r="S883">
        <v>230269331.62</v>
      </c>
      <c r="T883">
        <v>219575869337.34</v>
      </c>
      <c r="U883">
        <v>220848019516.41</v>
      </c>
      <c r="V883">
        <v>6.7737000000000006E-2</v>
      </c>
      <c r="W883">
        <v>8.8900000000000003E-4</v>
      </c>
    </row>
    <row r="884" spans="1:23" x14ac:dyDescent="0.35">
      <c r="A884" t="s">
        <v>2</v>
      </c>
      <c r="B884">
        <v>6500</v>
      </c>
      <c r="C884">
        <v>12</v>
      </c>
      <c r="D884">
        <v>1102</v>
      </c>
      <c r="E884">
        <v>0</v>
      </c>
      <c r="F884">
        <v>22552907468</v>
      </c>
      <c r="G884">
        <v>22164986.710000001</v>
      </c>
      <c r="H884">
        <v>22452195001</v>
      </c>
      <c r="I884">
        <v>22528496831.279999</v>
      </c>
      <c r="J884">
        <v>4.1001999999999997E-2</v>
      </c>
      <c r="K884">
        <v>1.194E-3</v>
      </c>
      <c r="M884" t="s">
        <v>1</v>
      </c>
      <c r="N884">
        <v>6000</v>
      </c>
      <c r="O884">
        <v>6</v>
      </c>
      <c r="P884">
        <v>5632</v>
      </c>
      <c r="Q884">
        <v>0</v>
      </c>
      <c r="R884">
        <v>243592549796</v>
      </c>
      <c r="S884">
        <v>253616665.49000001</v>
      </c>
      <c r="T884">
        <v>242606044675.07001</v>
      </c>
      <c r="U884">
        <v>243160670930.04999</v>
      </c>
      <c r="V884">
        <v>3.5512000000000002E-2</v>
      </c>
      <c r="W884">
        <v>8.7460000000000003E-3</v>
      </c>
    </row>
    <row r="885" spans="1:23" x14ac:dyDescent="0.35">
      <c r="A885" t="s">
        <v>0</v>
      </c>
      <c r="B885">
        <v>6000</v>
      </c>
      <c r="C885">
        <v>10</v>
      </c>
      <c r="D885">
        <v>8800</v>
      </c>
      <c r="E885">
        <v>0</v>
      </c>
      <c r="F885">
        <v>283209900478</v>
      </c>
      <c r="G885">
        <v>301759490.89999998</v>
      </c>
      <c r="H885">
        <v>279818584604</v>
      </c>
      <c r="I885">
        <v>282735521186.35999</v>
      </c>
      <c r="J885">
        <v>0.123333</v>
      </c>
      <c r="K885">
        <v>7.2899999999999996E-3</v>
      </c>
      <c r="M885" t="s">
        <v>0</v>
      </c>
      <c r="N885">
        <v>6000</v>
      </c>
      <c r="O885">
        <v>5</v>
      </c>
      <c r="P885">
        <v>68574</v>
      </c>
      <c r="Q885">
        <v>0</v>
      </c>
      <c r="R885">
        <v>2151713600000</v>
      </c>
      <c r="S885">
        <v>2195084950.1900001</v>
      </c>
      <c r="T885">
        <v>2146732581499.6001</v>
      </c>
      <c r="U885">
        <v>2149374361045.3899</v>
      </c>
      <c r="V885">
        <v>1.5427E-2</v>
      </c>
      <c r="W885">
        <v>8.0400000000000003E-4</v>
      </c>
    </row>
    <row r="886" spans="1:23" x14ac:dyDescent="0.35">
      <c r="A886" t="s">
        <v>2</v>
      </c>
      <c r="B886">
        <v>6000</v>
      </c>
      <c r="C886">
        <v>10</v>
      </c>
      <c r="D886">
        <v>438</v>
      </c>
      <c r="E886">
        <v>0</v>
      </c>
      <c r="F886">
        <v>9352866463</v>
      </c>
      <c r="G886">
        <v>9974649.1199999992</v>
      </c>
      <c r="H886">
        <v>9322568917</v>
      </c>
      <c r="I886">
        <v>9342163269.9099998</v>
      </c>
      <c r="J886">
        <v>2.5765E-2</v>
      </c>
      <c r="K886">
        <v>9.3400000000000004E-4</v>
      </c>
      <c r="M886" t="s">
        <v>0</v>
      </c>
      <c r="N886">
        <v>7750</v>
      </c>
      <c r="O886">
        <v>18</v>
      </c>
      <c r="P886">
        <v>2988</v>
      </c>
      <c r="Q886">
        <v>0</v>
      </c>
      <c r="R886">
        <v>76758010483</v>
      </c>
      <c r="S886">
        <v>62134511.210000001</v>
      </c>
      <c r="T886">
        <v>74946545125.619995</v>
      </c>
      <c r="U886">
        <v>76013432935.5</v>
      </c>
      <c r="V886">
        <v>0.241678</v>
      </c>
      <c r="W886">
        <v>0.10162499999999999</v>
      </c>
    </row>
    <row r="887" spans="1:23" x14ac:dyDescent="0.35">
      <c r="A887" t="s">
        <v>0</v>
      </c>
      <c r="B887">
        <v>6500</v>
      </c>
      <c r="C887">
        <v>10</v>
      </c>
      <c r="D887">
        <v>9885</v>
      </c>
      <c r="E887">
        <v>0</v>
      </c>
      <c r="F887">
        <v>291724269874</v>
      </c>
      <c r="G887">
        <v>283723885.44999999</v>
      </c>
      <c r="H887">
        <v>285100814768</v>
      </c>
      <c r="I887">
        <v>290568333665.03003</v>
      </c>
      <c r="J887">
        <v>0.231764</v>
      </c>
      <c r="K887">
        <v>3.5293999999999999E-2</v>
      </c>
      <c r="M887" t="s">
        <v>1</v>
      </c>
      <c r="N887">
        <v>7000</v>
      </c>
      <c r="O887">
        <v>16</v>
      </c>
      <c r="P887">
        <v>403</v>
      </c>
      <c r="Q887">
        <v>0</v>
      </c>
      <c r="R887">
        <v>11752582314</v>
      </c>
      <c r="S887">
        <v>10852073.5</v>
      </c>
      <c r="T887">
        <v>11073684266.92</v>
      </c>
      <c r="U887">
        <v>11673552534.459999</v>
      </c>
      <c r="V887">
        <v>0.50453800000000004</v>
      </c>
      <c r="W887">
        <v>6.7433999999999994E-2</v>
      </c>
    </row>
    <row r="888" spans="1:23" x14ac:dyDescent="0.35">
      <c r="A888" t="s">
        <v>2</v>
      </c>
      <c r="B888">
        <v>6500</v>
      </c>
      <c r="C888">
        <v>10</v>
      </c>
      <c r="D888">
        <v>646</v>
      </c>
      <c r="E888">
        <v>0</v>
      </c>
      <c r="F888">
        <v>12718650106</v>
      </c>
      <c r="G888">
        <v>12396372.189999999</v>
      </c>
      <c r="H888">
        <v>12670729613</v>
      </c>
      <c r="I888">
        <v>12670729613</v>
      </c>
      <c r="J888">
        <v>3.3007000000000002E-2</v>
      </c>
      <c r="K888">
        <v>3.3007000000000002E-2</v>
      </c>
      <c r="M888" t="s">
        <v>2</v>
      </c>
      <c r="N888">
        <v>6500</v>
      </c>
      <c r="O888">
        <v>14</v>
      </c>
      <c r="P888">
        <v>791</v>
      </c>
      <c r="Q888">
        <v>0</v>
      </c>
      <c r="R888">
        <v>15122030852</v>
      </c>
      <c r="S888">
        <v>15037040.15</v>
      </c>
      <c r="T888">
        <v>15044925107.540001</v>
      </c>
      <c r="U888">
        <v>15071134083.99</v>
      </c>
      <c r="V888">
        <v>4.8156999999999998E-2</v>
      </c>
      <c r="W888">
        <v>2.8087999999999998E-2</v>
      </c>
    </row>
    <row r="889" spans="1:23" x14ac:dyDescent="0.35">
      <c r="A889" t="s">
        <v>2</v>
      </c>
      <c r="B889">
        <v>6000</v>
      </c>
      <c r="C889">
        <v>9</v>
      </c>
      <c r="D889">
        <v>367</v>
      </c>
      <c r="E889">
        <v>0</v>
      </c>
      <c r="F889">
        <v>8253239471</v>
      </c>
      <c r="G889">
        <v>8739334.7599999998</v>
      </c>
      <c r="H889">
        <v>8243921719</v>
      </c>
      <c r="I889">
        <v>8243921719</v>
      </c>
      <c r="J889">
        <v>8.4099999999999995E-4</v>
      </c>
      <c r="K889">
        <v>8.4099999999999995E-4</v>
      </c>
      <c r="M889" t="s">
        <v>1</v>
      </c>
      <c r="N889">
        <v>6500</v>
      </c>
      <c r="O889">
        <v>14</v>
      </c>
      <c r="P889">
        <v>2247</v>
      </c>
      <c r="Q889">
        <v>0</v>
      </c>
      <c r="R889">
        <v>74111770528</v>
      </c>
      <c r="S889">
        <v>73681908.159999996</v>
      </c>
      <c r="T889">
        <v>69032562652.020004</v>
      </c>
      <c r="U889">
        <v>73733269992.559998</v>
      </c>
      <c r="V889">
        <v>0.56792299999999996</v>
      </c>
      <c r="W889">
        <v>4.8253999999999998E-2</v>
      </c>
    </row>
    <row r="890" spans="1:23" x14ac:dyDescent="0.35">
      <c r="A890" t="s">
        <v>1</v>
      </c>
      <c r="B890">
        <v>6000</v>
      </c>
      <c r="C890">
        <v>10</v>
      </c>
      <c r="D890">
        <v>6950</v>
      </c>
      <c r="E890">
        <v>0</v>
      </c>
      <c r="F890">
        <v>281934685161</v>
      </c>
      <c r="G890">
        <v>300531936.83999997</v>
      </c>
      <c r="H890">
        <v>274239049731</v>
      </c>
      <c r="I890">
        <v>280978486247.23999</v>
      </c>
      <c r="J890">
        <v>0.27309499999999998</v>
      </c>
      <c r="K890">
        <v>2.7553000000000001E-2</v>
      </c>
      <c r="M890" t="s">
        <v>2</v>
      </c>
      <c r="N890">
        <v>7000</v>
      </c>
      <c r="O890">
        <v>14</v>
      </c>
      <c r="P890">
        <v>464</v>
      </c>
      <c r="Q890">
        <v>0</v>
      </c>
      <c r="R890">
        <v>7241774565</v>
      </c>
      <c r="S890">
        <v>6582570.1500000004</v>
      </c>
      <c r="T890">
        <v>7147093200.9899998</v>
      </c>
      <c r="U890">
        <v>7177497124.0100002</v>
      </c>
      <c r="V890">
        <v>0.136602</v>
      </c>
      <c r="W890">
        <v>9.1523999999999994E-2</v>
      </c>
    </row>
    <row r="891" spans="1:23" x14ac:dyDescent="0.35">
      <c r="A891" t="s">
        <v>1</v>
      </c>
      <c r="B891">
        <v>6000</v>
      </c>
      <c r="C891">
        <v>9</v>
      </c>
      <c r="D891">
        <v>5924</v>
      </c>
      <c r="E891">
        <v>0</v>
      </c>
      <c r="F891">
        <v>236861930469</v>
      </c>
      <c r="G891">
        <v>250969041.94999999</v>
      </c>
      <c r="H891">
        <v>229526601695</v>
      </c>
      <c r="I891">
        <v>236338059479.29999</v>
      </c>
      <c r="J891">
        <v>0.30537799999999998</v>
      </c>
      <c r="K891">
        <v>1.3738999999999999E-2</v>
      </c>
      <c r="M891" t="s">
        <v>0</v>
      </c>
      <c r="N891">
        <v>6000</v>
      </c>
      <c r="O891">
        <v>12</v>
      </c>
      <c r="P891">
        <v>8361</v>
      </c>
      <c r="Q891">
        <v>0</v>
      </c>
      <c r="R891">
        <v>267994468164</v>
      </c>
      <c r="S891">
        <v>288409987.11000001</v>
      </c>
      <c r="T891">
        <v>264705508842.04001</v>
      </c>
      <c r="U891">
        <v>267646725434.42999</v>
      </c>
      <c r="V891">
        <v>0.126383</v>
      </c>
      <c r="W891">
        <v>2.6540000000000001E-3</v>
      </c>
    </row>
    <row r="892" spans="1:23" x14ac:dyDescent="0.35">
      <c r="A892" t="s">
        <v>2</v>
      </c>
      <c r="B892">
        <v>6000</v>
      </c>
      <c r="C892">
        <v>8</v>
      </c>
      <c r="D892">
        <v>266</v>
      </c>
      <c r="E892">
        <v>0</v>
      </c>
      <c r="F892">
        <v>6020425975</v>
      </c>
      <c r="G892">
        <v>6341814.1600000001</v>
      </c>
      <c r="H892">
        <v>6013508795</v>
      </c>
      <c r="I892">
        <v>6013508795</v>
      </c>
      <c r="J892">
        <v>1.1460000000000001E-3</v>
      </c>
      <c r="K892">
        <v>1.1460000000000001E-3</v>
      </c>
      <c r="M892" t="s">
        <v>2</v>
      </c>
      <c r="N892">
        <v>6000</v>
      </c>
      <c r="O892">
        <v>12</v>
      </c>
      <c r="P892">
        <v>375</v>
      </c>
      <c r="Q892">
        <v>0</v>
      </c>
      <c r="R892">
        <v>8485607861</v>
      </c>
      <c r="S892">
        <v>9128374.9000000004</v>
      </c>
      <c r="T892">
        <v>8457549561.1199999</v>
      </c>
      <c r="U892">
        <v>8476479486.1000004</v>
      </c>
      <c r="V892">
        <v>2.6443999999999999E-2</v>
      </c>
      <c r="W892">
        <v>0</v>
      </c>
    </row>
    <row r="893" spans="1:23" x14ac:dyDescent="0.35">
      <c r="A893" t="s">
        <v>0</v>
      </c>
      <c r="B893">
        <v>6500</v>
      </c>
      <c r="C893">
        <v>9</v>
      </c>
      <c r="D893">
        <v>11422</v>
      </c>
      <c r="E893">
        <v>0</v>
      </c>
      <c r="F893">
        <v>346202845691</v>
      </c>
      <c r="G893">
        <v>334518602.38</v>
      </c>
      <c r="H893">
        <v>339958523362</v>
      </c>
      <c r="I893">
        <v>345539727285.66998</v>
      </c>
      <c r="J893">
        <v>0.186665</v>
      </c>
      <c r="K893">
        <v>1.1331000000000001E-2</v>
      </c>
      <c r="M893" t="s">
        <v>1</v>
      </c>
      <c r="N893">
        <v>6000</v>
      </c>
      <c r="O893">
        <v>12</v>
      </c>
      <c r="P893">
        <v>5057</v>
      </c>
      <c r="Q893">
        <v>0</v>
      </c>
      <c r="R893">
        <v>196930764697</v>
      </c>
      <c r="S893">
        <v>211712454.41999999</v>
      </c>
      <c r="T893">
        <v>186243443834.76999</v>
      </c>
      <c r="U893">
        <v>196388888085.31</v>
      </c>
      <c r="V893">
        <v>0.481045</v>
      </c>
      <c r="W893">
        <v>1.9934E-2</v>
      </c>
    </row>
    <row r="894" spans="1:23" x14ac:dyDescent="0.35">
      <c r="A894" t="s">
        <v>0</v>
      </c>
      <c r="B894">
        <v>6500</v>
      </c>
      <c r="C894">
        <v>8</v>
      </c>
      <c r="D894">
        <v>12327</v>
      </c>
      <c r="E894">
        <v>0</v>
      </c>
      <c r="F894">
        <v>380721367046</v>
      </c>
      <c r="G894">
        <v>365354737.18000001</v>
      </c>
      <c r="H894">
        <v>370595995686</v>
      </c>
      <c r="I894">
        <v>379831638665.15002</v>
      </c>
      <c r="J894">
        <v>0.26775399999999999</v>
      </c>
      <c r="K894">
        <v>1.6403000000000001E-2</v>
      </c>
      <c r="M894" t="s">
        <v>0</v>
      </c>
      <c r="N894">
        <v>6500</v>
      </c>
      <c r="O894">
        <v>12</v>
      </c>
      <c r="P894">
        <v>11718</v>
      </c>
      <c r="Q894">
        <v>0</v>
      </c>
      <c r="R894">
        <v>346957686117</v>
      </c>
      <c r="S894">
        <v>339857203.50999999</v>
      </c>
      <c r="T894">
        <v>337152777778.25</v>
      </c>
      <c r="U894">
        <v>346227751578.77002</v>
      </c>
      <c r="V894">
        <v>0.28244799999999998</v>
      </c>
      <c r="W894">
        <v>1.3408E-2</v>
      </c>
    </row>
    <row r="895" spans="1:23" x14ac:dyDescent="0.35">
      <c r="A895" t="s">
        <v>1</v>
      </c>
      <c r="B895">
        <v>6500</v>
      </c>
      <c r="C895">
        <v>8</v>
      </c>
      <c r="D895">
        <v>4987</v>
      </c>
      <c r="E895">
        <v>0</v>
      </c>
      <c r="F895">
        <v>184920457005</v>
      </c>
      <c r="G895">
        <v>177223065.53999999</v>
      </c>
      <c r="H895">
        <v>168981237422</v>
      </c>
      <c r="I895">
        <v>184473985965.92999</v>
      </c>
      <c r="J895">
        <v>0.65667500000000001</v>
      </c>
      <c r="K895">
        <v>1.7333000000000001E-2</v>
      </c>
      <c r="M895" t="s">
        <v>2</v>
      </c>
      <c r="N895">
        <v>6500</v>
      </c>
      <c r="O895">
        <v>12</v>
      </c>
      <c r="P895">
        <v>891</v>
      </c>
      <c r="Q895">
        <v>0</v>
      </c>
      <c r="R895">
        <v>18169973556</v>
      </c>
      <c r="S895">
        <v>17837397.219999999</v>
      </c>
      <c r="T895">
        <v>18045947975.220001</v>
      </c>
      <c r="U895">
        <v>18134508812.509998</v>
      </c>
      <c r="V895">
        <v>6.7918999999999993E-2</v>
      </c>
      <c r="W895">
        <v>1.158E-2</v>
      </c>
    </row>
    <row r="896" spans="1:23" x14ac:dyDescent="0.35">
      <c r="A896" t="s">
        <v>2</v>
      </c>
      <c r="B896">
        <v>6500</v>
      </c>
      <c r="C896">
        <v>9</v>
      </c>
      <c r="D896">
        <v>672</v>
      </c>
      <c r="E896">
        <v>0</v>
      </c>
      <c r="F896">
        <v>13525984227</v>
      </c>
      <c r="G896">
        <v>13097331.390000001</v>
      </c>
      <c r="H896">
        <v>13436196040</v>
      </c>
      <c r="I896">
        <v>13511432466.66</v>
      </c>
      <c r="J896">
        <v>6.5957000000000002E-2</v>
      </c>
      <c r="K896">
        <v>1.2899999999999999E-3</v>
      </c>
      <c r="M896" t="s">
        <v>1</v>
      </c>
      <c r="N896">
        <v>6500</v>
      </c>
      <c r="O896">
        <v>12</v>
      </c>
      <c r="P896">
        <v>4173</v>
      </c>
      <c r="Q896">
        <v>0</v>
      </c>
      <c r="R896">
        <v>146369449474</v>
      </c>
      <c r="S896">
        <v>143589284.41</v>
      </c>
      <c r="T896">
        <v>133796829098.72</v>
      </c>
      <c r="U896">
        <v>145859857138.63</v>
      </c>
      <c r="V896">
        <v>0.65522599999999998</v>
      </c>
      <c r="W896">
        <v>2.9596999999999998E-2</v>
      </c>
    </row>
    <row r="897" spans="1:23" x14ac:dyDescent="0.35">
      <c r="A897" t="s">
        <v>2</v>
      </c>
      <c r="B897">
        <v>6000</v>
      </c>
      <c r="C897">
        <v>7</v>
      </c>
      <c r="D897">
        <v>294</v>
      </c>
      <c r="E897">
        <v>0</v>
      </c>
      <c r="F897">
        <v>6867103143</v>
      </c>
      <c r="G897">
        <v>7194114.2999999998</v>
      </c>
      <c r="H897">
        <v>6844341982</v>
      </c>
      <c r="I897">
        <v>6858868938.1599998</v>
      </c>
      <c r="J897">
        <v>2.6866000000000001E-2</v>
      </c>
      <c r="K897">
        <v>1.8159999999999999E-3</v>
      </c>
      <c r="M897" t="s">
        <v>1</v>
      </c>
      <c r="N897">
        <v>6000</v>
      </c>
      <c r="O897">
        <v>10</v>
      </c>
      <c r="P897">
        <v>4991</v>
      </c>
      <c r="Q897">
        <v>0</v>
      </c>
      <c r="R897">
        <v>202826995056</v>
      </c>
      <c r="S897">
        <v>216088195.56</v>
      </c>
      <c r="T897">
        <v>190921996463.48999</v>
      </c>
      <c r="U897">
        <v>202229078911.79999</v>
      </c>
      <c r="V897">
        <v>0.50947900000000002</v>
      </c>
      <c r="W897">
        <v>2.2357999999999999E-2</v>
      </c>
    </row>
    <row r="898" spans="1:23" x14ac:dyDescent="0.35">
      <c r="A898" t="s">
        <v>0</v>
      </c>
      <c r="B898">
        <v>6500</v>
      </c>
      <c r="C898">
        <v>7</v>
      </c>
      <c r="D898">
        <v>11733</v>
      </c>
      <c r="E898">
        <v>0</v>
      </c>
      <c r="F898">
        <v>359843963646</v>
      </c>
      <c r="G898">
        <v>343332873.69999999</v>
      </c>
      <c r="H898">
        <v>348529850835</v>
      </c>
      <c r="I898">
        <v>358864569462.59003</v>
      </c>
      <c r="J898">
        <v>0.31033100000000002</v>
      </c>
      <c r="K898">
        <v>2.1006E-2</v>
      </c>
      <c r="M898" t="s">
        <v>2</v>
      </c>
      <c r="N898">
        <v>6000</v>
      </c>
      <c r="O898">
        <v>10</v>
      </c>
      <c r="P898">
        <v>261</v>
      </c>
      <c r="Q898">
        <v>0</v>
      </c>
      <c r="R898">
        <v>5665367070</v>
      </c>
      <c r="S898">
        <v>6043664.1200000001</v>
      </c>
      <c r="T898">
        <v>5649338499.75</v>
      </c>
      <c r="U898">
        <v>5659323405.8800001</v>
      </c>
      <c r="V898">
        <v>2.0945999999999999E-2</v>
      </c>
      <c r="W898">
        <v>0</v>
      </c>
    </row>
    <row r="899" spans="1:23" x14ac:dyDescent="0.35">
      <c r="A899" t="s">
        <v>2</v>
      </c>
      <c r="B899">
        <v>6500</v>
      </c>
      <c r="C899">
        <v>7</v>
      </c>
      <c r="D899">
        <v>834</v>
      </c>
      <c r="E899">
        <v>0</v>
      </c>
      <c r="F899">
        <v>16750927409</v>
      </c>
      <c r="G899">
        <v>16032618</v>
      </c>
      <c r="H899">
        <v>16632869658</v>
      </c>
      <c r="I899">
        <v>16708443340.049999</v>
      </c>
      <c r="J899">
        <v>7.0689000000000002E-2</v>
      </c>
      <c r="K899">
        <v>1.8786000000000001E-2</v>
      </c>
      <c r="M899" t="s">
        <v>0</v>
      </c>
      <c r="N899">
        <v>6000</v>
      </c>
      <c r="O899">
        <v>9</v>
      </c>
      <c r="P899">
        <v>8880</v>
      </c>
      <c r="Q899">
        <v>0</v>
      </c>
      <c r="R899">
        <v>286550549964</v>
      </c>
      <c r="S899">
        <v>303488718.10000002</v>
      </c>
      <c r="T899">
        <v>283187671669.84998</v>
      </c>
      <c r="U899">
        <v>286182976914.73999</v>
      </c>
      <c r="V899">
        <v>0.12085700000000001</v>
      </c>
      <c r="W899">
        <v>2.6800000000000001E-3</v>
      </c>
    </row>
    <row r="900" spans="1:23" x14ac:dyDescent="0.35">
      <c r="A900" t="s">
        <v>1</v>
      </c>
      <c r="B900">
        <v>6250</v>
      </c>
      <c r="C900">
        <v>16</v>
      </c>
      <c r="D900">
        <v>9740</v>
      </c>
      <c r="E900">
        <v>0</v>
      </c>
      <c r="F900">
        <v>335084270005</v>
      </c>
      <c r="G900">
        <v>353256247.45999998</v>
      </c>
      <c r="H900">
        <v>323019417456</v>
      </c>
      <c r="I900">
        <v>333081050196.46002</v>
      </c>
      <c r="J900">
        <v>0.34748400000000002</v>
      </c>
      <c r="K900">
        <v>5.7514000000000003E-2</v>
      </c>
      <c r="M900" t="s">
        <v>2</v>
      </c>
      <c r="N900">
        <v>6000</v>
      </c>
      <c r="O900">
        <v>9</v>
      </c>
      <c r="P900">
        <v>438</v>
      </c>
      <c r="Q900">
        <v>0</v>
      </c>
      <c r="R900">
        <v>9364419810</v>
      </c>
      <c r="S900">
        <v>9927116.8699999992</v>
      </c>
      <c r="T900">
        <v>9354492693.1299992</v>
      </c>
      <c r="U900">
        <v>9354492693.1299992</v>
      </c>
      <c r="V900">
        <v>0</v>
      </c>
      <c r="W900">
        <v>0</v>
      </c>
    </row>
    <row r="901" spans="1:23" x14ac:dyDescent="0.35">
      <c r="A901" t="s">
        <v>1</v>
      </c>
      <c r="B901">
        <v>5750</v>
      </c>
      <c r="C901">
        <v>16</v>
      </c>
      <c r="D901">
        <v>20360</v>
      </c>
      <c r="E901">
        <v>0</v>
      </c>
      <c r="F901">
        <v>789991612874</v>
      </c>
      <c r="G901">
        <v>912697098.14999998</v>
      </c>
      <c r="H901">
        <v>772454874758</v>
      </c>
      <c r="I901">
        <v>787341000647.88</v>
      </c>
      <c r="J901">
        <v>0.22525000000000001</v>
      </c>
      <c r="K901">
        <v>2.6082000000000001E-2</v>
      </c>
      <c r="M901" t="s">
        <v>0</v>
      </c>
      <c r="N901">
        <v>6500</v>
      </c>
      <c r="O901">
        <v>10</v>
      </c>
      <c r="P901">
        <v>8560</v>
      </c>
      <c r="Q901">
        <v>0</v>
      </c>
      <c r="R901">
        <v>255913983606</v>
      </c>
      <c r="S901">
        <v>248536713.06999999</v>
      </c>
      <c r="T901">
        <v>249518890150.72</v>
      </c>
      <c r="U901">
        <v>255256180992.63</v>
      </c>
      <c r="V901">
        <v>0.25303300000000001</v>
      </c>
      <c r="W901">
        <v>1.9023000000000002E-2</v>
      </c>
    </row>
    <row r="902" spans="1:23" x14ac:dyDescent="0.35">
      <c r="A902" t="s">
        <v>2</v>
      </c>
      <c r="B902">
        <v>6750</v>
      </c>
      <c r="C902">
        <v>16</v>
      </c>
      <c r="D902">
        <v>685</v>
      </c>
      <c r="E902">
        <v>0</v>
      </c>
      <c r="F902">
        <v>11530251748</v>
      </c>
      <c r="G902">
        <v>11113791.130000001</v>
      </c>
      <c r="H902">
        <v>11410558055</v>
      </c>
      <c r="I902">
        <v>11519092563.120001</v>
      </c>
      <c r="J902">
        <v>0.107331</v>
      </c>
      <c r="K902">
        <v>4.6999999999999997E-5</v>
      </c>
      <c r="M902" t="s">
        <v>0</v>
      </c>
      <c r="N902">
        <v>6500</v>
      </c>
      <c r="O902">
        <v>9</v>
      </c>
      <c r="P902">
        <v>10092</v>
      </c>
      <c r="Q902">
        <v>0</v>
      </c>
      <c r="R902">
        <v>299001472848</v>
      </c>
      <c r="S902">
        <v>288978445.63999999</v>
      </c>
      <c r="T902">
        <v>291830345105.64001</v>
      </c>
      <c r="U902">
        <v>298304644750.13</v>
      </c>
      <c r="V902">
        <v>0.243788</v>
      </c>
      <c r="W902">
        <v>1.6246E-2</v>
      </c>
    </row>
    <row r="903" spans="1:23" x14ac:dyDescent="0.35">
      <c r="A903" t="s">
        <v>1</v>
      </c>
      <c r="B903">
        <v>5500</v>
      </c>
      <c r="C903">
        <v>16</v>
      </c>
      <c r="D903">
        <v>7761</v>
      </c>
      <c r="E903">
        <v>0</v>
      </c>
      <c r="F903">
        <v>306959016473</v>
      </c>
      <c r="G903">
        <v>370571722.77999997</v>
      </c>
      <c r="H903">
        <v>302992397040</v>
      </c>
      <c r="I903">
        <v>305712659167.15002</v>
      </c>
      <c r="J903">
        <v>0.13186700000000001</v>
      </c>
      <c r="K903">
        <v>3.3704999999999999E-2</v>
      </c>
      <c r="M903" t="s">
        <v>2</v>
      </c>
      <c r="N903">
        <v>6500</v>
      </c>
      <c r="O903">
        <v>9</v>
      </c>
      <c r="P903">
        <v>646</v>
      </c>
      <c r="Q903">
        <v>0</v>
      </c>
      <c r="R903">
        <v>12731148967</v>
      </c>
      <c r="S903">
        <v>12330403.99</v>
      </c>
      <c r="T903">
        <v>12718818563.01</v>
      </c>
      <c r="U903">
        <v>12718818563.01</v>
      </c>
      <c r="V903">
        <v>0</v>
      </c>
      <c r="W903">
        <v>0</v>
      </c>
    </row>
    <row r="904" spans="1:23" x14ac:dyDescent="0.35">
      <c r="A904" t="s">
        <v>0</v>
      </c>
      <c r="B904">
        <v>5000</v>
      </c>
      <c r="C904">
        <v>14</v>
      </c>
      <c r="D904">
        <v>4402</v>
      </c>
      <c r="E904">
        <v>0</v>
      </c>
      <c r="F904">
        <v>156807674291</v>
      </c>
      <c r="G904">
        <v>204220077.13999999</v>
      </c>
      <c r="H904">
        <v>156375929057</v>
      </c>
      <c r="I904">
        <v>156541610165.54001</v>
      </c>
      <c r="J904">
        <v>1.7274000000000001E-2</v>
      </c>
      <c r="K904">
        <v>4.7219999999999996E-3</v>
      </c>
      <c r="M904" t="s">
        <v>2</v>
      </c>
      <c r="N904">
        <v>6500</v>
      </c>
      <c r="O904">
        <v>10</v>
      </c>
      <c r="P904">
        <v>627</v>
      </c>
      <c r="Q904">
        <v>0</v>
      </c>
      <c r="R904">
        <v>12535602290</v>
      </c>
      <c r="S904">
        <v>12213570.73</v>
      </c>
      <c r="T904">
        <v>12480270286.83</v>
      </c>
      <c r="U904">
        <v>12501250445.040001</v>
      </c>
      <c r="V904">
        <v>4.0503999999999998E-2</v>
      </c>
      <c r="W904">
        <v>2.0988E-2</v>
      </c>
    </row>
    <row r="905" spans="1:23" x14ac:dyDescent="0.35">
      <c r="A905" t="s">
        <v>1</v>
      </c>
      <c r="B905">
        <v>5500</v>
      </c>
      <c r="C905">
        <v>14</v>
      </c>
      <c r="D905">
        <v>2438</v>
      </c>
      <c r="E905">
        <v>0</v>
      </c>
      <c r="F905">
        <v>97553696432</v>
      </c>
      <c r="G905">
        <v>116339225.72</v>
      </c>
      <c r="H905">
        <v>96069625953</v>
      </c>
      <c r="I905">
        <v>97131523796.289993</v>
      </c>
      <c r="J905">
        <v>0.155858</v>
      </c>
      <c r="K905">
        <v>3.6977999999999997E-2</v>
      </c>
      <c r="M905" t="s">
        <v>2</v>
      </c>
      <c r="N905">
        <v>6000</v>
      </c>
      <c r="O905">
        <v>8</v>
      </c>
      <c r="P905">
        <v>369</v>
      </c>
      <c r="Q905">
        <v>0</v>
      </c>
      <c r="R905">
        <v>8281193367</v>
      </c>
      <c r="S905">
        <v>8716445.4499999993</v>
      </c>
      <c r="T905">
        <v>8254067270.2200003</v>
      </c>
      <c r="U905">
        <v>8272476921.5500002</v>
      </c>
      <c r="V905">
        <v>2.6353000000000001E-2</v>
      </c>
      <c r="W905">
        <v>0</v>
      </c>
    </row>
    <row r="906" spans="1:23" x14ac:dyDescent="0.35">
      <c r="A906" t="s">
        <v>0</v>
      </c>
      <c r="B906">
        <v>5750</v>
      </c>
      <c r="C906">
        <v>14</v>
      </c>
      <c r="D906">
        <v>11158</v>
      </c>
      <c r="E906">
        <v>0</v>
      </c>
      <c r="F906">
        <v>374116489557</v>
      </c>
      <c r="G906">
        <v>426289395.97000003</v>
      </c>
      <c r="H906">
        <v>370872668259</v>
      </c>
      <c r="I906">
        <v>373284588259.15997</v>
      </c>
      <c r="J906">
        <v>8.6722999999999995E-2</v>
      </c>
      <c r="K906">
        <v>1.2933E-2</v>
      </c>
      <c r="M906" t="s">
        <v>1</v>
      </c>
      <c r="N906">
        <v>6000</v>
      </c>
      <c r="O906">
        <v>9</v>
      </c>
      <c r="P906">
        <v>7285</v>
      </c>
      <c r="Q906">
        <v>0</v>
      </c>
      <c r="R906">
        <v>297749413325</v>
      </c>
      <c r="S906">
        <v>315509501.94999999</v>
      </c>
      <c r="T906">
        <v>282036246687.85999</v>
      </c>
      <c r="U906">
        <v>296943278567.65002</v>
      </c>
      <c r="V906">
        <v>0.47122000000000003</v>
      </c>
      <c r="W906">
        <v>1.9595000000000001E-2</v>
      </c>
    </row>
    <row r="907" spans="1:23" x14ac:dyDescent="0.35">
      <c r="A907" t="s">
        <v>1</v>
      </c>
      <c r="B907">
        <v>5750</v>
      </c>
      <c r="C907">
        <v>14</v>
      </c>
      <c r="D907">
        <v>8250</v>
      </c>
      <c r="E907">
        <v>0</v>
      </c>
      <c r="F907">
        <v>328128178296</v>
      </c>
      <c r="G907">
        <v>373382598.55000001</v>
      </c>
      <c r="H907">
        <v>320365513113</v>
      </c>
      <c r="I907">
        <v>326605324159.45001</v>
      </c>
      <c r="J907">
        <v>0.239153</v>
      </c>
      <c r="K907">
        <v>4.1237000000000003E-2</v>
      </c>
      <c r="M907" t="s">
        <v>1</v>
      </c>
      <c r="N907">
        <v>6000</v>
      </c>
      <c r="O907">
        <v>8</v>
      </c>
      <c r="P907">
        <v>6279</v>
      </c>
      <c r="Q907">
        <v>0</v>
      </c>
      <c r="R907">
        <v>253794853385</v>
      </c>
      <c r="S907">
        <v>267294641.86000001</v>
      </c>
      <c r="T907">
        <v>236989854526.62</v>
      </c>
      <c r="U907">
        <v>253258216758.35999</v>
      </c>
      <c r="V907">
        <v>0.55450999999999995</v>
      </c>
      <c r="W907">
        <v>1.2661E-2</v>
      </c>
    </row>
    <row r="908" spans="1:23" x14ac:dyDescent="0.35">
      <c r="A908" t="s">
        <v>2</v>
      </c>
      <c r="B908">
        <v>5750</v>
      </c>
      <c r="C908">
        <v>14</v>
      </c>
      <c r="D908">
        <v>358</v>
      </c>
      <c r="E908">
        <v>0</v>
      </c>
      <c r="F908">
        <v>7868879947</v>
      </c>
      <c r="G908">
        <v>8958411.4600000009</v>
      </c>
      <c r="H908">
        <v>7821134836</v>
      </c>
      <c r="I908">
        <v>7821134836</v>
      </c>
      <c r="J908">
        <v>5.7571999999999998E-2</v>
      </c>
      <c r="K908">
        <v>5.7571999999999998E-2</v>
      </c>
      <c r="M908" t="s">
        <v>2</v>
      </c>
      <c r="N908">
        <v>6000</v>
      </c>
      <c r="O908">
        <v>7</v>
      </c>
      <c r="P908">
        <v>266</v>
      </c>
      <c r="Q908">
        <v>0</v>
      </c>
      <c r="R908">
        <v>6027530422</v>
      </c>
      <c r="S908">
        <v>6311336.3600000003</v>
      </c>
      <c r="T908">
        <v>6021219085.6400003</v>
      </c>
      <c r="U908">
        <v>6021219085.6400003</v>
      </c>
      <c r="V908">
        <v>0</v>
      </c>
      <c r="W908">
        <v>0</v>
      </c>
    </row>
    <row r="909" spans="1:23" x14ac:dyDescent="0.35">
      <c r="A909" t="s">
        <v>0</v>
      </c>
      <c r="B909">
        <v>6250</v>
      </c>
      <c r="C909">
        <v>14</v>
      </c>
      <c r="D909">
        <v>24307</v>
      </c>
      <c r="E909">
        <v>0</v>
      </c>
      <c r="F909">
        <v>795084557180</v>
      </c>
      <c r="G909">
        <v>827597293.21000004</v>
      </c>
      <c r="H909">
        <v>779057415076</v>
      </c>
      <c r="I909">
        <v>792898740312.60999</v>
      </c>
      <c r="J909">
        <v>0.20675499999999999</v>
      </c>
      <c r="K909">
        <v>2.0308E-2</v>
      </c>
      <c r="M909" t="s">
        <v>0</v>
      </c>
      <c r="N909">
        <v>6500</v>
      </c>
      <c r="O909">
        <v>8</v>
      </c>
      <c r="P909">
        <v>11667</v>
      </c>
      <c r="Q909">
        <v>0</v>
      </c>
      <c r="R909">
        <v>355276844042</v>
      </c>
      <c r="S909">
        <v>341118993.29000002</v>
      </c>
      <c r="T909">
        <v>346071248112.06</v>
      </c>
      <c r="U909">
        <v>354859800281.27002</v>
      </c>
      <c r="V909">
        <v>0.26155600000000001</v>
      </c>
      <c r="W909">
        <v>2.5609999999999999E-3</v>
      </c>
    </row>
    <row r="910" spans="1:23" x14ac:dyDescent="0.35">
      <c r="A910" t="s">
        <v>1</v>
      </c>
      <c r="B910">
        <v>6250</v>
      </c>
      <c r="C910">
        <v>14</v>
      </c>
      <c r="D910">
        <v>11811</v>
      </c>
      <c r="E910">
        <v>0</v>
      </c>
      <c r="F910">
        <v>440303843110</v>
      </c>
      <c r="G910">
        <v>458744626.68000001</v>
      </c>
      <c r="H910">
        <v>425520403961</v>
      </c>
      <c r="I910">
        <v>438450233485.77002</v>
      </c>
      <c r="J910">
        <v>0.327596</v>
      </c>
      <c r="K910">
        <v>3.7359999999999997E-2</v>
      </c>
      <c r="M910" t="s">
        <v>0</v>
      </c>
      <c r="N910">
        <v>6500</v>
      </c>
      <c r="O910">
        <v>7</v>
      </c>
      <c r="P910">
        <v>12658</v>
      </c>
      <c r="Q910">
        <v>0</v>
      </c>
      <c r="R910">
        <v>394094598928</v>
      </c>
      <c r="S910">
        <v>375806733.50999999</v>
      </c>
      <c r="T910">
        <v>380745980574.53003</v>
      </c>
      <c r="U910">
        <v>393469985676.04999</v>
      </c>
      <c r="V910">
        <v>0.33079399999999998</v>
      </c>
      <c r="W910">
        <v>7.5500000000000003E-3</v>
      </c>
    </row>
    <row r="911" spans="1:23" x14ac:dyDescent="0.35">
      <c r="A911" t="s">
        <v>2</v>
      </c>
      <c r="B911">
        <v>5250</v>
      </c>
      <c r="C911">
        <v>14</v>
      </c>
      <c r="D911">
        <v>58</v>
      </c>
      <c r="E911">
        <v>0</v>
      </c>
      <c r="F911">
        <v>1280356485</v>
      </c>
      <c r="G911">
        <v>1594277.16</v>
      </c>
      <c r="H911">
        <v>1278450841</v>
      </c>
      <c r="I911">
        <v>1278450841</v>
      </c>
      <c r="J911">
        <v>2.9139999999999999E-3</v>
      </c>
      <c r="K911">
        <v>2.9139999999999999E-3</v>
      </c>
      <c r="M911" t="s">
        <v>1</v>
      </c>
      <c r="N911">
        <v>6500</v>
      </c>
      <c r="O911">
        <v>7</v>
      </c>
      <c r="P911">
        <v>6410</v>
      </c>
      <c r="Q911">
        <v>0</v>
      </c>
      <c r="R911">
        <v>249891386200</v>
      </c>
      <c r="S911">
        <v>237950040.28999999</v>
      </c>
      <c r="T911">
        <v>185021890381.07001</v>
      </c>
      <c r="U911">
        <v>249481722757.94</v>
      </c>
      <c r="V911">
        <v>0.97243500000000005</v>
      </c>
      <c r="W911">
        <v>8.2150000000000001E-3</v>
      </c>
    </row>
    <row r="912" spans="1:23" x14ac:dyDescent="0.35">
      <c r="A912" t="s">
        <v>1</v>
      </c>
      <c r="B912">
        <v>6750</v>
      </c>
      <c r="C912">
        <v>14</v>
      </c>
      <c r="D912">
        <v>5711</v>
      </c>
      <c r="E912">
        <v>0</v>
      </c>
      <c r="F912">
        <v>178781342992</v>
      </c>
      <c r="G912">
        <v>170170595.75</v>
      </c>
      <c r="H912">
        <v>169837443418</v>
      </c>
      <c r="I912">
        <v>177708898825.16</v>
      </c>
      <c r="J912">
        <v>0.45329399999999997</v>
      </c>
      <c r="K912">
        <v>5.8909000000000003E-2</v>
      </c>
      <c r="M912" t="s">
        <v>2</v>
      </c>
      <c r="N912">
        <v>6500</v>
      </c>
      <c r="O912">
        <v>8</v>
      </c>
      <c r="P912">
        <v>672</v>
      </c>
      <c r="Q912">
        <v>0</v>
      </c>
      <c r="R912">
        <v>13539591231</v>
      </c>
      <c r="S912">
        <v>13028013.119999999</v>
      </c>
      <c r="T912">
        <v>13526563217.879999</v>
      </c>
      <c r="U912">
        <v>13526563217.879999</v>
      </c>
      <c r="V912">
        <v>0</v>
      </c>
      <c r="W912">
        <v>0</v>
      </c>
    </row>
    <row r="913" spans="1:23" x14ac:dyDescent="0.35">
      <c r="A913" t="s">
        <v>0</v>
      </c>
      <c r="B913">
        <v>7250</v>
      </c>
      <c r="C913">
        <v>14</v>
      </c>
      <c r="D913">
        <v>5324</v>
      </c>
      <c r="E913">
        <v>0</v>
      </c>
      <c r="F913">
        <v>139348549218</v>
      </c>
      <c r="G913">
        <v>120740975.77</v>
      </c>
      <c r="H913">
        <v>134739162995</v>
      </c>
      <c r="I913">
        <v>138384432228</v>
      </c>
      <c r="J913">
        <v>0.324905</v>
      </c>
      <c r="K913">
        <v>7.0258000000000001E-2</v>
      </c>
      <c r="M913" t="s">
        <v>2</v>
      </c>
      <c r="N913">
        <v>6000</v>
      </c>
      <c r="O913">
        <v>6</v>
      </c>
      <c r="P913">
        <v>295</v>
      </c>
      <c r="Q913">
        <v>0</v>
      </c>
      <c r="R913">
        <v>6923576626</v>
      </c>
      <c r="S913">
        <v>7209646.5800000001</v>
      </c>
      <c r="T913">
        <v>6875776301.5299997</v>
      </c>
      <c r="U913">
        <v>6916366979.4200001</v>
      </c>
      <c r="V913">
        <v>6.8126999999999993E-2</v>
      </c>
      <c r="W913">
        <v>0</v>
      </c>
    </row>
    <row r="914" spans="1:23" x14ac:dyDescent="0.35">
      <c r="A914" t="s">
        <v>2</v>
      </c>
      <c r="B914">
        <v>6250</v>
      </c>
      <c r="C914">
        <v>16</v>
      </c>
      <c r="D914">
        <v>1407</v>
      </c>
      <c r="E914">
        <v>0</v>
      </c>
      <c r="F914">
        <v>27080626609</v>
      </c>
      <c r="G914">
        <v>28557109.350000001</v>
      </c>
      <c r="H914">
        <v>26954094536</v>
      </c>
      <c r="I914">
        <v>27030790945.189999</v>
      </c>
      <c r="J914">
        <v>4.2561000000000002E-2</v>
      </c>
      <c r="K914">
        <v>9.3880000000000005E-3</v>
      </c>
      <c r="M914" t="s">
        <v>0</v>
      </c>
      <c r="N914">
        <v>6500</v>
      </c>
      <c r="O914">
        <v>6</v>
      </c>
      <c r="P914">
        <v>11961</v>
      </c>
      <c r="Q914">
        <v>0</v>
      </c>
      <c r="R914">
        <v>368896468064</v>
      </c>
      <c r="S914">
        <v>349806892.62</v>
      </c>
      <c r="T914">
        <v>360163443877.88</v>
      </c>
      <c r="U914">
        <v>368205829900.96002</v>
      </c>
      <c r="V914">
        <v>0.24107200000000001</v>
      </c>
      <c r="W914">
        <v>1.1030999999999999E-2</v>
      </c>
    </row>
    <row r="915" spans="1:23" x14ac:dyDescent="0.35">
      <c r="A915" t="s">
        <v>0</v>
      </c>
      <c r="B915">
        <v>7500</v>
      </c>
      <c r="C915">
        <v>16</v>
      </c>
      <c r="D915">
        <v>790</v>
      </c>
      <c r="E915">
        <v>0</v>
      </c>
      <c r="F915">
        <v>19808705715</v>
      </c>
      <c r="G915">
        <v>16615910.300000001</v>
      </c>
      <c r="H915">
        <v>19382295738</v>
      </c>
      <c r="I915">
        <v>19596808865.23</v>
      </c>
      <c r="J915">
        <v>0.22186500000000001</v>
      </c>
      <c r="K915">
        <v>0.112092</v>
      </c>
      <c r="M915" t="s">
        <v>2</v>
      </c>
      <c r="N915">
        <v>6500</v>
      </c>
      <c r="O915">
        <v>6</v>
      </c>
      <c r="P915">
        <v>836</v>
      </c>
      <c r="Q915">
        <v>0</v>
      </c>
      <c r="R915">
        <v>16822604683</v>
      </c>
      <c r="S915">
        <v>16000051.210000001</v>
      </c>
      <c r="T915">
        <v>16760903454.26</v>
      </c>
      <c r="U915">
        <v>16786943155.110001</v>
      </c>
      <c r="V915">
        <v>3.2117E-2</v>
      </c>
      <c r="W915">
        <v>1.3934999999999999E-2</v>
      </c>
    </row>
    <row r="916" spans="1:23" x14ac:dyDescent="0.35">
      <c r="A916" t="s">
        <v>2</v>
      </c>
      <c r="B916">
        <v>6750</v>
      </c>
      <c r="C916">
        <v>14</v>
      </c>
      <c r="D916">
        <v>1115</v>
      </c>
      <c r="E916">
        <v>0</v>
      </c>
      <c r="F916">
        <v>19467697703</v>
      </c>
      <c r="G916">
        <v>18552575.890000001</v>
      </c>
      <c r="H916">
        <v>19235057793</v>
      </c>
      <c r="I916">
        <v>19390074282.799999</v>
      </c>
      <c r="J916">
        <v>0.124268</v>
      </c>
      <c r="K916">
        <v>3.5810000000000002E-2</v>
      </c>
      <c r="M916" t="s">
        <v>2</v>
      </c>
      <c r="N916">
        <v>6250</v>
      </c>
      <c r="O916">
        <v>16</v>
      </c>
      <c r="P916">
        <v>1384</v>
      </c>
      <c r="Q916">
        <v>0</v>
      </c>
      <c r="R916">
        <v>26077262491</v>
      </c>
      <c r="S916">
        <v>27523851.43</v>
      </c>
      <c r="T916">
        <v>25842183665.360001</v>
      </c>
      <c r="U916">
        <v>25975709611.75</v>
      </c>
      <c r="V916">
        <v>9.1439000000000006E-2</v>
      </c>
      <c r="W916">
        <v>3.3538999999999999E-2</v>
      </c>
    </row>
    <row r="917" spans="1:23" x14ac:dyDescent="0.35">
      <c r="A917" t="s">
        <v>0</v>
      </c>
      <c r="B917">
        <v>7500</v>
      </c>
      <c r="C917">
        <v>14</v>
      </c>
      <c r="D917">
        <v>1335</v>
      </c>
      <c r="E917">
        <v>0</v>
      </c>
      <c r="F917">
        <v>34107929192</v>
      </c>
      <c r="G917">
        <v>28152478.870000001</v>
      </c>
      <c r="H917">
        <v>33034349177</v>
      </c>
      <c r="I917">
        <v>33767085929.59</v>
      </c>
      <c r="J917">
        <v>0.31172100000000003</v>
      </c>
      <c r="K917">
        <v>0.104631</v>
      </c>
      <c r="M917" t="s">
        <v>2</v>
      </c>
      <c r="N917">
        <v>6750</v>
      </c>
      <c r="O917">
        <v>16</v>
      </c>
      <c r="P917">
        <v>688</v>
      </c>
      <c r="Q917">
        <v>0</v>
      </c>
      <c r="R917">
        <v>11066002497</v>
      </c>
      <c r="S917">
        <v>10684521.49</v>
      </c>
      <c r="T917">
        <v>10999969295.34</v>
      </c>
      <c r="U917">
        <v>11038667197.32</v>
      </c>
      <c r="V917">
        <v>5.8396000000000003E-2</v>
      </c>
      <c r="W917">
        <v>1.7906999999999999E-2</v>
      </c>
    </row>
    <row r="918" spans="1:23" x14ac:dyDescent="0.35">
      <c r="A918" t="s">
        <v>0</v>
      </c>
      <c r="B918">
        <v>7750</v>
      </c>
      <c r="C918">
        <v>16</v>
      </c>
      <c r="D918">
        <v>1161</v>
      </c>
      <c r="E918">
        <v>0</v>
      </c>
      <c r="F918">
        <v>30869578857</v>
      </c>
      <c r="G918">
        <v>24546959.48</v>
      </c>
      <c r="H918">
        <v>30119656476</v>
      </c>
      <c r="I918">
        <v>30624806028.889999</v>
      </c>
      <c r="J918">
        <v>0.24824299999999999</v>
      </c>
      <c r="K918">
        <v>8.2327999999999998E-2</v>
      </c>
      <c r="M918" t="s">
        <v>1</v>
      </c>
      <c r="N918">
        <v>6750</v>
      </c>
      <c r="O918">
        <v>16</v>
      </c>
      <c r="P918">
        <v>3104</v>
      </c>
      <c r="Q918">
        <v>0</v>
      </c>
      <c r="R918">
        <v>88937750230</v>
      </c>
      <c r="S918">
        <v>85896172.549999997</v>
      </c>
      <c r="T918">
        <v>83934798762.850006</v>
      </c>
      <c r="U918">
        <v>88152224166.589996</v>
      </c>
      <c r="V918">
        <v>0.494639</v>
      </c>
      <c r="W918">
        <v>9.0418999999999999E-2</v>
      </c>
    </row>
    <row r="919" spans="1:23" x14ac:dyDescent="0.35">
      <c r="A919" t="s">
        <v>0</v>
      </c>
      <c r="B919">
        <v>7750</v>
      </c>
      <c r="C919">
        <v>14</v>
      </c>
      <c r="D919">
        <v>1648</v>
      </c>
      <c r="E919">
        <v>0</v>
      </c>
      <c r="F919">
        <v>43859789369</v>
      </c>
      <c r="G919">
        <v>34434146.280000001</v>
      </c>
      <c r="H919">
        <v>42542661214</v>
      </c>
      <c r="I919">
        <v>43343496361.120003</v>
      </c>
      <c r="J919">
        <v>0.29965199999999997</v>
      </c>
      <c r="K919">
        <v>0.124155</v>
      </c>
      <c r="M919" t="s">
        <v>2</v>
      </c>
      <c r="N919">
        <v>5750</v>
      </c>
      <c r="O919">
        <v>14</v>
      </c>
      <c r="P919">
        <v>543</v>
      </c>
      <c r="Q919">
        <v>0</v>
      </c>
      <c r="R919">
        <v>11754361115</v>
      </c>
      <c r="S919">
        <v>13399466.4</v>
      </c>
      <c r="T919">
        <v>11694645161.309999</v>
      </c>
      <c r="U919">
        <v>11740961648.6</v>
      </c>
      <c r="V919">
        <v>4.6273000000000002E-2</v>
      </c>
      <c r="W919">
        <v>0</v>
      </c>
    </row>
    <row r="920" spans="1:23" x14ac:dyDescent="0.35">
      <c r="A920" t="s">
        <v>1</v>
      </c>
      <c r="B920">
        <v>7250</v>
      </c>
      <c r="C920">
        <v>14</v>
      </c>
      <c r="D920">
        <v>1117</v>
      </c>
      <c r="E920">
        <v>0</v>
      </c>
      <c r="F920">
        <v>29324432245</v>
      </c>
      <c r="G920">
        <v>25452647.059999999</v>
      </c>
      <c r="H920">
        <v>27709758733</v>
      </c>
      <c r="I920">
        <v>28944924717.139999</v>
      </c>
      <c r="J920">
        <v>0.48758400000000002</v>
      </c>
      <c r="K920">
        <v>0.13564000000000001</v>
      </c>
      <c r="M920" t="s">
        <v>1</v>
      </c>
      <c r="N920">
        <v>5750</v>
      </c>
      <c r="O920">
        <v>14</v>
      </c>
      <c r="P920">
        <v>12627</v>
      </c>
      <c r="Q920">
        <v>0</v>
      </c>
      <c r="R920">
        <v>495966401924</v>
      </c>
      <c r="S920">
        <v>565157561.07000005</v>
      </c>
      <c r="T920">
        <v>477470674273.35999</v>
      </c>
      <c r="U920">
        <v>494301104280.03003</v>
      </c>
      <c r="V920">
        <v>0.35716700000000001</v>
      </c>
      <c r="W920">
        <v>2.6296E-2</v>
      </c>
    </row>
    <row r="921" spans="1:23" x14ac:dyDescent="0.35">
      <c r="A921" t="s">
        <v>0</v>
      </c>
      <c r="B921">
        <v>7000</v>
      </c>
      <c r="C921">
        <v>12</v>
      </c>
      <c r="D921">
        <v>6865</v>
      </c>
      <c r="E921">
        <v>0</v>
      </c>
      <c r="F921">
        <v>179449624533</v>
      </c>
      <c r="G921">
        <v>160689210.50999999</v>
      </c>
      <c r="H921">
        <v>174557315328</v>
      </c>
      <c r="I921">
        <v>178072107676.45001</v>
      </c>
      <c r="J921">
        <v>0.27432600000000001</v>
      </c>
      <c r="K921">
        <v>7.8403E-2</v>
      </c>
      <c r="M921" t="s">
        <v>0</v>
      </c>
      <c r="N921">
        <v>6250</v>
      </c>
      <c r="O921">
        <v>14</v>
      </c>
      <c r="P921">
        <v>27957</v>
      </c>
      <c r="Q921">
        <v>0</v>
      </c>
      <c r="R921">
        <v>909150345469</v>
      </c>
      <c r="S921">
        <v>945627959.16999996</v>
      </c>
      <c r="T921">
        <v>888742809222.29004</v>
      </c>
      <c r="U921">
        <v>907183000098.27002</v>
      </c>
      <c r="V921">
        <v>0.22869400000000001</v>
      </c>
      <c r="W921">
        <v>1.3403E-2</v>
      </c>
    </row>
    <row r="922" spans="1:23" x14ac:dyDescent="0.35">
      <c r="A922" t="s">
        <v>0</v>
      </c>
      <c r="B922">
        <v>7250</v>
      </c>
      <c r="C922">
        <v>12</v>
      </c>
      <c r="D922">
        <v>6417</v>
      </c>
      <c r="E922">
        <v>0</v>
      </c>
      <c r="F922">
        <v>167090075576</v>
      </c>
      <c r="G922">
        <v>142830890.81</v>
      </c>
      <c r="H922">
        <v>160634508020</v>
      </c>
      <c r="I922">
        <v>165946382360.98999</v>
      </c>
      <c r="J922">
        <v>0.37007299999999999</v>
      </c>
      <c r="K922">
        <v>6.9557999999999995E-2</v>
      </c>
      <c r="M922" t="s">
        <v>1</v>
      </c>
      <c r="N922">
        <v>5500</v>
      </c>
      <c r="O922">
        <v>14</v>
      </c>
      <c r="P922">
        <v>4118</v>
      </c>
      <c r="Q922">
        <v>0</v>
      </c>
      <c r="R922">
        <v>164608500073</v>
      </c>
      <c r="S922">
        <v>196417330.47999999</v>
      </c>
      <c r="T922">
        <v>162238119344.19</v>
      </c>
      <c r="U922">
        <v>164089253275.13</v>
      </c>
      <c r="V922">
        <v>0.14746300000000001</v>
      </c>
      <c r="W922">
        <v>2.3282000000000001E-2</v>
      </c>
    </row>
    <row r="923" spans="1:23" x14ac:dyDescent="0.35">
      <c r="A923" t="s">
        <v>0</v>
      </c>
      <c r="B923">
        <v>6750</v>
      </c>
      <c r="C923">
        <v>12</v>
      </c>
      <c r="D923">
        <v>24009</v>
      </c>
      <c r="E923">
        <v>0</v>
      </c>
      <c r="F923">
        <v>698556789790</v>
      </c>
      <c r="G923">
        <v>656934560.79999995</v>
      </c>
      <c r="H923">
        <v>678047961210</v>
      </c>
      <c r="I923">
        <v>695176527921.77002</v>
      </c>
      <c r="J923">
        <v>0.29246</v>
      </c>
      <c r="K923">
        <v>4.5791999999999999E-2</v>
      </c>
      <c r="M923" t="s">
        <v>0</v>
      </c>
      <c r="N923">
        <v>5750</v>
      </c>
      <c r="O923">
        <v>14</v>
      </c>
      <c r="P923">
        <v>17684</v>
      </c>
      <c r="Q923">
        <v>0</v>
      </c>
      <c r="R923">
        <v>594548679193</v>
      </c>
      <c r="S923">
        <v>677241931.03999996</v>
      </c>
      <c r="T923">
        <v>589688517193.09998</v>
      </c>
      <c r="U923">
        <v>593581038357.09998</v>
      </c>
      <c r="V923">
        <v>8.1234000000000001E-2</v>
      </c>
      <c r="W923">
        <v>5.8459999999999996E-3</v>
      </c>
    </row>
    <row r="924" spans="1:23" x14ac:dyDescent="0.35">
      <c r="A924" t="s">
        <v>1</v>
      </c>
      <c r="B924">
        <v>7250</v>
      </c>
      <c r="C924">
        <v>12</v>
      </c>
      <c r="D924">
        <v>1359</v>
      </c>
      <c r="E924">
        <v>0</v>
      </c>
      <c r="F924">
        <v>35850445092</v>
      </c>
      <c r="G924">
        <v>30786853.809999999</v>
      </c>
      <c r="H924">
        <v>33024538809</v>
      </c>
      <c r="I924">
        <v>35404038623.309998</v>
      </c>
      <c r="J924">
        <v>0.62246000000000001</v>
      </c>
      <c r="K924">
        <v>0.130581</v>
      </c>
      <c r="M924" t="s">
        <v>0</v>
      </c>
      <c r="N924">
        <v>5000</v>
      </c>
      <c r="O924">
        <v>14</v>
      </c>
      <c r="P924">
        <v>5197</v>
      </c>
      <c r="Q924">
        <v>0</v>
      </c>
      <c r="R924">
        <v>184094587560</v>
      </c>
      <c r="S924">
        <v>239438838.31999999</v>
      </c>
      <c r="T924">
        <v>183568945399.10999</v>
      </c>
      <c r="U924">
        <v>183800265077.22</v>
      </c>
      <c r="V924">
        <v>1.8497E-2</v>
      </c>
      <c r="W924">
        <v>3.5720000000000001E-3</v>
      </c>
    </row>
    <row r="925" spans="1:23" x14ac:dyDescent="0.35">
      <c r="A925" t="s">
        <v>0</v>
      </c>
      <c r="B925">
        <v>7500</v>
      </c>
      <c r="C925">
        <v>12</v>
      </c>
      <c r="D925">
        <v>1909</v>
      </c>
      <c r="E925">
        <v>0</v>
      </c>
      <c r="F925">
        <v>46807418940</v>
      </c>
      <c r="G925">
        <v>38110769.710000001</v>
      </c>
      <c r="H925">
        <v>44994825756</v>
      </c>
      <c r="I925">
        <v>46518658970.279999</v>
      </c>
      <c r="J925">
        <v>0.37109199999999998</v>
      </c>
      <c r="K925">
        <v>6.2399999999999997E-2</v>
      </c>
      <c r="M925" t="s">
        <v>1</v>
      </c>
      <c r="N925">
        <v>6250</v>
      </c>
      <c r="O925">
        <v>14</v>
      </c>
      <c r="P925">
        <v>12819</v>
      </c>
      <c r="Q925">
        <v>0</v>
      </c>
      <c r="R925">
        <v>474920302706</v>
      </c>
      <c r="S925">
        <v>494380558.81999999</v>
      </c>
      <c r="T925">
        <v>449802468941.69</v>
      </c>
      <c r="U925">
        <v>473027648589.44</v>
      </c>
      <c r="V925">
        <v>0.47211700000000001</v>
      </c>
      <c r="W925">
        <v>3.4764000000000003E-2</v>
      </c>
    </row>
    <row r="926" spans="1:23" x14ac:dyDescent="0.35">
      <c r="A926" t="s">
        <v>1</v>
      </c>
      <c r="B926">
        <v>5500</v>
      </c>
      <c r="C926">
        <v>12</v>
      </c>
      <c r="D926">
        <v>2177</v>
      </c>
      <c r="E926">
        <v>0</v>
      </c>
      <c r="F926">
        <v>90392873316</v>
      </c>
      <c r="G926">
        <v>106262203.95999999</v>
      </c>
      <c r="H926">
        <v>89544409035</v>
      </c>
      <c r="I926">
        <v>90187699308.240005</v>
      </c>
      <c r="J926">
        <v>9.4200000000000006E-2</v>
      </c>
      <c r="K926">
        <v>1.3051999999999999E-2</v>
      </c>
      <c r="M926" t="s">
        <v>0</v>
      </c>
      <c r="N926">
        <v>6750</v>
      </c>
      <c r="O926">
        <v>12</v>
      </c>
      <c r="P926">
        <v>21043</v>
      </c>
      <c r="Q926">
        <v>0</v>
      </c>
      <c r="R926">
        <v>612743664059</v>
      </c>
      <c r="S926">
        <v>575492442.67999995</v>
      </c>
      <c r="T926">
        <v>590996359077.32996</v>
      </c>
      <c r="U926">
        <v>610998281696.12</v>
      </c>
      <c r="V926">
        <v>0.34424100000000002</v>
      </c>
      <c r="W926">
        <v>2.2672000000000001E-2</v>
      </c>
    </row>
    <row r="927" spans="1:23" x14ac:dyDescent="0.35">
      <c r="A927" t="s">
        <v>1</v>
      </c>
      <c r="B927">
        <v>5750</v>
      </c>
      <c r="C927">
        <v>12</v>
      </c>
      <c r="D927">
        <v>6657</v>
      </c>
      <c r="E927">
        <v>0</v>
      </c>
      <c r="F927">
        <v>277004766245</v>
      </c>
      <c r="G927">
        <v>312406558.19</v>
      </c>
      <c r="H927">
        <v>270528069585</v>
      </c>
      <c r="I927">
        <v>275666786769.12</v>
      </c>
      <c r="J927">
        <v>0.23666400000000001</v>
      </c>
      <c r="K927">
        <v>4.3534999999999997E-2</v>
      </c>
      <c r="M927" t="s">
        <v>0</v>
      </c>
      <c r="N927">
        <v>7000</v>
      </c>
      <c r="O927">
        <v>12</v>
      </c>
      <c r="P927">
        <v>6483</v>
      </c>
      <c r="Q927">
        <v>0</v>
      </c>
      <c r="R927">
        <v>169681747392</v>
      </c>
      <c r="S927">
        <v>151724855.31</v>
      </c>
      <c r="T927">
        <v>164179102021.70999</v>
      </c>
      <c r="U927">
        <v>168720340017.41</v>
      </c>
      <c r="V927">
        <v>0.31922</v>
      </c>
      <c r="W927">
        <v>5.5781999999999998E-2</v>
      </c>
    </row>
    <row r="928" spans="1:23" x14ac:dyDescent="0.35">
      <c r="A928" t="s">
        <v>2</v>
      </c>
      <c r="B928">
        <v>6250</v>
      </c>
      <c r="C928">
        <v>12</v>
      </c>
      <c r="D928">
        <v>1101</v>
      </c>
      <c r="E928">
        <v>0</v>
      </c>
      <c r="F928">
        <v>23158879023</v>
      </c>
      <c r="G928">
        <v>23815174.34</v>
      </c>
      <c r="H928">
        <v>23080327305</v>
      </c>
      <c r="I928">
        <v>23133359529</v>
      </c>
      <c r="J928">
        <v>2.7996E-2</v>
      </c>
      <c r="K928">
        <v>8.83E-4</v>
      </c>
      <c r="M928" t="s">
        <v>1</v>
      </c>
      <c r="N928">
        <v>5500</v>
      </c>
      <c r="O928">
        <v>12</v>
      </c>
      <c r="P928">
        <v>1463</v>
      </c>
      <c r="Q928">
        <v>0</v>
      </c>
      <c r="R928">
        <v>57572572768</v>
      </c>
      <c r="S928">
        <v>67828084.859999999</v>
      </c>
      <c r="T928">
        <v>56967746843.239998</v>
      </c>
      <c r="U928">
        <v>57504744683.139999</v>
      </c>
      <c r="V928">
        <v>0.106361</v>
      </c>
      <c r="W928">
        <v>0</v>
      </c>
    </row>
    <row r="929" spans="1:23" x14ac:dyDescent="0.35">
      <c r="A929" t="s">
        <v>0</v>
      </c>
      <c r="B929">
        <v>6250</v>
      </c>
      <c r="C929">
        <v>12</v>
      </c>
      <c r="D929">
        <v>21528</v>
      </c>
      <c r="E929">
        <v>0</v>
      </c>
      <c r="F929">
        <v>716068262164</v>
      </c>
      <c r="G929">
        <v>736603084.11000001</v>
      </c>
      <c r="H929">
        <v>702397235093</v>
      </c>
      <c r="I929">
        <v>714425709503.18005</v>
      </c>
      <c r="J929">
        <v>0.196469</v>
      </c>
      <c r="K929">
        <v>1.5077E-2</v>
      </c>
      <c r="M929" t="s">
        <v>2</v>
      </c>
      <c r="N929">
        <v>5750</v>
      </c>
      <c r="O929">
        <v>12</v>
      </c>
      <c r="P929">
        <v>220</v>
      </c>
      <c r="Q929">
        <v>0</v>
      </c>
      <c r="R929">
        <v>4816808974</v>
      </c>
      <c r="S929">
        <v>5417622.4400000004</v>
      </c>
      <c r="T929">
        <v>4811391351.5600004</v>
      </c>
      <c r="U929">
        <v>4811391351.5600004</v>
      </c>
      <c r="V929">
        <v>0</v>
      </c>
      <c r="W929">
        <v>0</v>
      </c>
    </row>
    <row r="930" spans="1:23" x14ac:dyDescent="0.35">
      <c r="A930" t="s">
        <v>1</v>
      </c>
      <c r="B930">
        <v>6250</v>
      </c>
      <c r="C930">
        <v>12</v>
      </c>
      <c r="D930">
        <v>12923</v>
      </c>
      <c r="E930">
        <v>0</v>
      </c>
      <c r="F930">
        <v>489010387821</v>
      </c>
      <c r="G930">
        <v>503101444.36000001</v>
      </c>
      <c r="H930">
        <v>469453518332</v>
      </c>
      <c r="I930">
        <v>487474425312.03003</v>
      </c>
      <c r="J930">
        <v>0.37930799999999998</v>
      </c>
      <c r="K930">
        <v>2.5052999999999999E-2</v>
      </c>
      <c r="M930" t="s">
        <v>0</v>
      </c>
      <c r="N930">
        <v>5750</v>
      </c>
      <c r="O930">
        <v>12</v>
      </c>
      <c r="P930">
        <v>6742</v>
      </c>
      <c r="Q930">
        <v>0</v>
      </c>
      <c r="R930">
        <v>223282327069</v>
      </c>
      <c r="S930">
        <v>251675186.78999999</v>
      </c>
      <c r="T930">
        <v>221415746566.81</v>
      </c>
      <c r="U930">
        <v>222860111534.88</v>
      </c>
      <c r="V930">
        <v>8.3419999999999994E-2</v>
      </c>
      <c r="W930">
        <v>9.1269999999999997E-3</v>
      </c>
    </row>
    <row r="931" spans="1:23" x14ac:dyDescent="0.35">
      <c r="A931" t="s">
        <v>1</v>
      </c>
      <c r="B931">
        <v>7000</v>
      </c>
      <c r="C931">
        <v>12</v>
      </c>
      <c r="D931">
        <v>1031</v>
      </c>
      <c r="E931">
        <v>0</v>
      </c>
      <c r="F931">
        <v>28794283826</v>
      </c>
      <c r="G931">
        <v>25788196.18</v>
      </c>
      <c r="H931">
        <v>27223714738</v>
      </c>
      <c r="I931">
        <v>28655000863.02</v>
      </c>
      <c r="J931">
        <v>0.48402600000000001</v>
      </c>
      <c r="K931">
        <v>4.6287000000000002E-2</v>
      </c>
      <c r="M931" t="s">
        <v>0</v>
      </c>
      <c r="N931">
        <v>6250</v>
      </c>
      <c r="O931">
        <v>12</v>
      </c>
      <c r="P931">
        <v>19374</v>
      </c>
      <c r="Q931">
        <v>0</v>
      </c>
      <c r="R931">
        <v>634591277181</v>
      </c>
      <c r="S931">
        <v>652394597.09000003</v>
      </c>
      <c r="T931">
        <v>619208657700.35999</v>
      </c>
      <c r="U931">
        <v>633346664948.88</v>
      </c>
      <c r="V931">
        <v>0.24559800000000001</v>
      </c>
      <c r="W931">
        <v>1.1141E-2</v>
      </c>
    </row>
    <row r="932" spans="1:23" x14ac:dyDescent="0.35">
      <c r="A932" t="s">
        <v>2</v>
      </c>
      <c r="B932">
        <v>6250</v>
      </c>
      <c r="C932">
        <v>14</v>
      </c>
      <c r="D932">
        <v>1127</v>
      </c>
      <c r="E932">
        <v>0</v>
      </c>
      <c r="F932">
        <v>23092707008</v>
      </c>
      <c r="G932">
        <v>24069847.510000002</v>
      </c>
      <c r="H932">
        <v>22929640647</v>
      </c>
      <c r="I932">
        <v>23051074323.799999</v>
      </c>
      <c r="J932">
        <v>6.9885000000000003E-2</v>
      </c>
      <c r="K932">
        <v>9.0880000000000006E-3</v>
      </c>
      <c r="M932" t="s">
        <v>1</v>
      </c>
      <c r="N932">
        <v>6750</v>
      </c>
      <c r="O932">
        <v>12</v>
      </c>
      <c r="P932">
        <v>7151</v>
      </c>
      <c r="Q932">
        <v>0</v>
      </c>
      <c r="R932">
        <v>235086292763</v>
      </c>
      <c r="S932">
        <v>221134245.46000001</v>
      </c>
      <c r="T932">
        <v>214177012785.39001</v>
      </c>
      <c r="U932">
        <v>233755527237.28</v>
      </c>
      <c r="V932">
        <v>0.66892600000000002</v>
      </c>
      <c r="W932">
        <v>5.5194E-2</v>
      </c>
    </row>
    <row r="933" spans="1:23" x14ac:dyDescent="0.35">
      <c r="A933" t="s">
        <v>2</v>
      </c>
      <c r="B933">
        <v>7500</v>
      </c>
      <c r="C933">
        <v>14</v>
      </c>
      <c r="D933">
        <v>23</v>
      </c>
      <c r="E933">
        <v>0</v>
      </c>
      <c r="F933">
        <v>357758265</v>
      </c>
      <c r="G933">
        <v>296032.19</v>
      </c>
      <c r="H933">
        <v>357488598</v>
      </c>
      <c r="I933">
        <v>357488598</v>
      </c>
      <c r="J933">
        <v>-8.8500000000000004E-4</v>
      </c>
      <c r="K933">
        <v>-8.8500000000000004E-4</v>
      </c>
      <c r="M933" t="s">
        <v>2</v>
      </c>
      <c r="N933">
        <v>6250</v>
      </c>
      <c r="O933">
        <v>14</v>
      </c>
      <c r="P933">
        <v>1299</v>
      </c>
      <c r="Q933">
        <v>0</v>
      </c>
      <c r="R933">
        <v>26415162684</v>
      </c>
      <c r="S933">
        <v>27517005.829999998</v>
      </c>
      <c r="T933">
        <v>26205985807.189999</v>
      </c>
      <c r="U933">
        <v>26360245259.349998</v>
      </c>
      <c r="V933">
        <v>7.9474000000000003E-2</v>
      </c>
      <c r="W933">
        <v>1.2377000000000001E-2</v>
      </c>
    </row>
    <row r="934" spans="1:23" x14ac:dyDescent="0.35">
      <c r="A934" t="s">
        <v>1</v>
      </c>
      <c r="B934">
        <v>6500</v>
      </c>
      <c r="C934">
        <v>10</v>
      </c>
      <c r="D934">
        <v>2368</v>
      </c>
      <c r="E934">
        <v>0</v>
      </c>
      <c r="F934">
        <v>77414448843</v>
      </c>
      <c r="G934">
        <v>75089123.010000005</v>
      </c>
      <c r="H934">
        <v>73867677760</v>
      </c>
      <c r="I934">
        <v>77197237726.660004</v>
      </c>
      <c r="J934">
        <v>0.42338700000000001</v>
      </c>
      <c r="K934">
        <v>2.1808999999999999E-2</v>
      </c>
      <c r="M934" t="s">
        <v>0</v>
      </c>
      <c r="N934">
        <v>7500</v>
      </c>
      <c r="O934">
        <v>14</v>
      </c>
      <c r="P934">
        <v>1101</v>
      </c>
      <c r="Q934">
        <v>0</v>
      </c>
      <c r="R934">
        <v>28828982095</v>
      </c>
      <c r="S934">
        <v>23800791.199999999</v>
      </c>
      <c r="T934">
        <v>28194411366.77</v>
      </c>
      <c r="U934">
        <v>28550689352.849998</v>
      </c>
      <c r="V934">
        <v>0.226603</v>
      </c>
      <c r="W934">
        <v>0.100937</v>
      </c>
    </row>
    <row r="935" spans="1:23" x14ac:dyDescent="0.35">
      <c r="A935" t="s">
        <v>0</v>
      </c>
      <c r="B935">
        <v>6750</v>
      </c>
      <c r="C935">
        <v>10</v>
      </c>
      <c r="D935">
        <v>12286</v>
      </c>
      <c r="E935">
        <v>0</v>
      </c>
      <c r="F935">
        <v>358369540133</v>
      </c>
      <c r="G935">
        <v>334544783.02999997</v>
      </c>
      <c r="H935">
        <v>350250257447</v>
      </c>
      <c r="I935">
        <v>357132367060.42999</v>
      </c>
      <c r="J935">
        <v>0.23167699999999999</v>
      </c>
      <c r="K935">
        <v>2.9808999999999999E-2</v>
      </c>
      <c r="M935" t="s">
        <v>2</v>
      </c>
      <c r="N935">
        <v>6750</v>
      </c>
      <c r="O935">
        <v>14</v>
      </c>
      <c r="P935">
        <v>1012</v>
      </c>
      <c r="Q935">
        <v>0</v>
      </c>
      <c r="R935">
        <v>17661425770</v>
      </c>
      <c r="S935">
        <v>16807920.699999999</v>
      </c>
      <c r="T935">
        <v>17557182220.700001</v>
      </c>
      <c r="U935">
        <v>17637692220.41</v>
      </c>
      <c r="V935">
        <v>5.7817E-2</v>
      </c>
      <c r="W935">
        <v>4.6950000000000004E-3</v>
      </c>
    </row>
    <row r="936" spans="1:23" x14ac:dyDescent="0.35">
      <c r="A936" t="s">
        <v>0</v>
      </c>
      <c r="B936">
        <v>7000</v>
      </c>
      <c r="C936">
        <v>10</v>
      </c>
      <c r="D936">
        <v>3819</v>
      </c>
      <c r="E936">
        <v>0</v>
      </c>
      <c r="F936">
        <v>102226215561</v>
      </c>
      <c r="G936">
        <v>90802900.640000001</v>
      </c>
      <c r="H936">
        <v>99423597298</v>
      </c>
      <c r="I936">
        <v>101715632783.49001</v>
      </c>
      <c r="J936">
        <v>0.275758</v>
      </c>
      <c r="K936">
        <v>4.8179E-2</v>
      </c>
      <c r="M936" t="s">
        <v>0</v>
      </c>
      <c r="N936">
        <v>7750</v>
      </c>
      <c r="O936">
        <v>14</v>
      </c>
      <c r="P936">
        <v>1558</v>
      </c>
      <c r="Q936">
        <v>0</v>
      </c>
      <c r="R936">
        <v>41146549395</v>
      </c>
      <c r="S936">
        <v>32262639.539999999</v>
      </c>
      <c r="T936">
        <v>40374626654.480003</v>
      </c>
      <c r="U936">
        <v>40950168380.080002</v>
      </c>
      <c r="V936">
        <v>0.19561500000000001</v>
      </c>
      <c r="W936">
        <v>4.6827000000000001E-2</v>
      </c>
    </row>
    <row r="937" spans="1:23" x14ac:dyDescent="0.35">
      <c r="A937" t="s">
        <v>1</v>
      </c>
      <c r="B937">
        <v>7000</v>
      </c>
      <c r="C937">
        <v>10</v>
      </c>
      <c r="D937">
        <v>522</v>
      </c>
      <c r="E937">
        <v>0</v>
      </c>
      <c r="F937">
        <v>15267814953</v>
      </c>
      <c r="G937">
        <v>13531500.18</v>
      </c>
      <c r="H937">
        <v>13834509029</v>
      </c>
      <c r="I937">
        <v>15110360081.780001</v>
      </c>
      <c r="J937">
        <v>0.69001699999999999</v>
      </c>
      <c r="K937">
        <v>0.107435</v>
      </c>
      <c r="M937" t="s">
        <v>2</v>
      </c>
      <c r="N937">
        <v>6750</v>
      </c>
      <c r="O937">
        <v>12</v>
      </c>
      <c r="P937">
        <v>1100</v>
      </c>
      <c r="Q937">
        <v>0</v>
      </c>
      <c r="R937">
        <v>20236592426</v>
      </c>
      <c r="S937">
        <v>19006882.460000001</v>
      </c>
      <c r="T937">
        <v>19976365354.360001</v>
      </c>
      <c r="U937">
        <v>20183953537.32</v>
      </c>
      <c r="V937">
        <v>0.13402500000000001</v>
      </c>
      <c r="W937">
        <v>1.9761999999999998E-2</v>
      </c>
    </row>
    <row r="938" spans="1:23" x14ac:dyDescent="0.35">
      <c r="A938" t="s">
        <v>0</v>
      </c>
      <c r="B938">
        <v>7000</v>
      </c>
      <c r="C938">
        <v>9</v>
      </c>
      <c r="D938">
        <v>6425</v>
      </c>
      <c r="E938">
        <v>0</v>
      </c>
      <c r="F938">
        <v>179559861100</v>
      </c>
      <c r="G938">
        <v>158516353.34999999</v>
      </c>
      <c r="H938">
        <v>175360453174</v>
      </c>
      <c r="I938">
        <v>178820337361.51999</v>
      </c>
      <c r="J938">
        <v>0.239012</v>
      </c>
      <c r="K938">
        <v>3.8144999999999998E-2</v>
      </c>
      <c r="M938" t="s">
        <v>0</v>
      </c>
      <c r="N938">
        <v>7250</v>
      </c>
      <c r="O938">
        <v>12</v>
      </c>
      <c r="P938">
        <v>5899</v>
      </c>
      <c r="Q938">
        <v>0</v>
      </c>
      <c r="R938">
        <v>156036133483</v>
      </c>
      <c r="S938">
        <v>133339381.16</v>
      </c>
      <c r="T938">
        <v>149585069400.70001</v>
      </c>
      <c r="U938">
        <v>155084803341.73999</v>
      </c>
      <c r="V938">
        <v>0.39102399999999998</v>
      </c>
      <c r="W938">
        <v>6.1124999999999999E-2</v>
      </c>
    </row>
    <row r="939" spans="1:23" x14ac:dyDescent="0.35">
      <c r="A939" t="s">
        <v>2</v>
      </c>
      <c r="B939">
        <v>6000</v>
      </c>
      <c r="C939">
        <v>6</v>
      </c>
      <c r="D939">
        <v>346</v>
      </c>
      <c r="E939">
        <v>0</v>
      </c>
      <c r="F939">
        <v>8287318634</v>
      </c>
      <c r="G939">
        <v>8626958.7799999993</v>
      </c>
      <c r="H939">
        <v>8271997044</v>
      </c>
      <c r="I939">
        <v>8271997044</v>
      </c>
      <c r="J939">
        <v>9.6509999999999999E-3</v>
      </c>
      <c r="K939">
        <v>9.6509999999999999E-3</v>
      </c>
      <c r="M939" t="s">
        <v>1</v>
      </c>
      <c r="N939">
        <v>7250</v>
      </c>
      <c r="O939">
        <v>12</v>
      </c>
      <c r="P939">
        <v>1341</v>
      </c>
      <c r="Q939">
        <v>0</v>
      </c>
      <c r="R939">
        <v>36256657211</v>
      </c>
      <c r="S939">
        <v>31024262.149999999</v>
      </c>
      <c r="T939">
        <v>32587467338.560001</v>
      </c>
      <c r="U939">
        <v>35701572401.959999</v>
      </c>
      <c r="V939">
        <v>0.718866</v>
      </c>
      <c r="W939">
        <v>0.160305</v>
      </c>
    </row>
    <row r="940" spans="1:23" x14ac:dyDescent="0.35">
      <c r="A940" t="s">
        <v>2</v>
      </c>
      <c r="B940">
        <v>5750</v>
      </c>
      <c r="C940">
        <v>6</v>
      </c>
      <c r="D940">
        <v>184</v>
      </c>
      <c r="E940">
        <v>0</v>
      </c>
      <c r="F940">
        <v>4107958541</v>
      </c>
      <c r="G940">
        <v>4477130.2300000004</v>
      </c>
      <c r="H940">
        <v>4097719018</v>
      </c>
      <c r="I940">
        <v>4097719018</v>
      </c>
      <c r="J940">
        <v>1.6704E-2</v>
      </c>
      <c r="K940">
        <v>1.6704E-2</v>
      </c>
      <c r="M940" t="s">
        <v>0</v>
      </c>
      <c r="N940">
        <v>7500</v>
      </c>
      <c r="O940">
        <v>12</v>
      </c>
      <c r="P940">
        <v>1612</v>
      </c>
      <c r="Q940">
        <v>0</v>
      </c>
      <c r="R940">
        <v>40402174345</v>
      </c>
      <c r="S940">
        <v>32891889.120000001</v>
      </c>
      <c r="T940">
        <v>38858594069.190002</v>
      </c>
      <c r="U940">
        <v>40219251257.400002</v>
      </c>
      <c r="V940">
        <v>0.36700899999999997</v>
      </c>
      <c r="W940">
        <v>4.3661999999999999E-2</v>
      </c>
    </row>
    <row r="941" spans="1:23" x14ac:dyDescent="0.35">
      <c r="A941" t="s">
        <v>0</v>
      </c>
      <c r="B941">
        <v>5750</v>
      </c>
      <c r="C941">
        <v>7</v>
      </c>
      <c r="D941">
        <v>2934</v>
      </c>
      <c r="E941">
        <v>0</v>
      </c>
      <c r="F941">
        <v>95638546292</v>
      </c>
      <c r="G941">
        <v>105161186.70999999</v>
      </c>
      <c r="H941">
        <v>94990021683</v>
      </c>
      <c r="I941">
        <v>95482520325.570007</v>
      </c>
      <c r="J941">
        <v>6.6087000000000007E-2</v>
      </c>
      <c r="K941">
        <v>6.3629999999999997E-3</v>
      </c>
      <c r="M941" t="s">
        <v>1</v>
      </c>
      <c r="N941">
        <v>6500</v>
      </c>
      <c r="O941">
        <v>10</v>
      </c>
      <c r="P941">
        <v>2465</v>
      </c>
      <c r="Q941">
        <v>0</v>
      </c>
      <c r="R941">
        <v>85285846138</v>
      </c>
      <c r="S941">
        <v>82726475.900000006</v>
      </c>
      <c r="T941">
        <v>78107133090.720001</v>
      </c>
      <c r="U941">
        <v>85002912538.039993</v>
      </c>
      <c r="V941">
        <v>0.647401</v>
      </c>
      <c r="W941">
        <v>2.7809E-2</v>
      </c>
    </row>
    <row r="942" spans="1:23" x14ac:dyDescent="0.35">
      <c r="A942" t="s">
        <v>0</v>
      </c>
      <c r="B942">
        <v>5750</v>
      </c>
      <c r="C942">
        <v>6</v>
      </c>
      <c r="D942">
        <v>3683</v>
      </c>
      <c r="E942">
        <v>0</v>
      </c>
      <c r="F942">
        <v>124174133694</v>
      </c>
      <c r="G942">
        <v>135766010.53999999</v>
      </c>
      <c r="H942">
        <v>123140994269</v>
      </c>
      <c r="I942">
        <v>123845102660.50999</v>
      </c>
      <c r="J942">
        <v>8.3356E-2</v>
      </c>
      <c r="K942">
        <v>1.8518E-2</v>
      </c>
      <c r="M942" t="s">
        <v>0</v>
      </c>
      <c r="N942">
        <v>6750</v>
      </c>
      <c r="O942">
        <v>10</v>
      </c>
      <c r="P942">
        <v>13223</v>
      </c>
      <c r="Q942">
        <v>0</v>
      </c>
      <c r="R942">
        <v>381980161919</v>
      </c>
      <c r="S942">
        <v>356064958.72000003</v>
      </c>
      <c r="T942">
        <v>370439709827.04999</v>
      </c>
      <c r="U942">
        <v>380683958067.41998</v>
      </c>
      <c r="V942">
        <v>0.299952</v>
      </c>
      <c r="W942">
        <v>2.9138000000000001E-2</v>
      </c>
    </row>
    <row r="943" spans="1:23" x14ac:dyDescent="0.35">
      <c r="A943" t="s">
        <v>1</v>
      </c>
      <c r="B943">
        <v>5750</v>
      </c>
      <c r="C943">
        <v>6</v>
      </c>
      <c r="D943">
        <v>4699</v>
      </c>
      <c r="E943">
        <v>0</v>
      </c>
      <c r="F943">
        <v>200175909778</v>
      </c>
      <c r="G943">
        <v>219252639.53999999</v>
      </c>
      <c r="H943">
        <v>199058601023</v>
      </c>
      <c r="I943">
        <v>199537517912.48001</v>
      </c>
      <c r="J943">
        <v>5.2526999999999997E-2</v>
      </c>
      <c r="K943">
        <v>2.4839E-2</v>
      </c>
      <c r="M943" t="s">
        <v>0</v>
      </c>
      <c r="N943">
        <v>7250</v>
      </c>
      <c r="O943">
        <v>10</v>
      </c>
      <c r="P943">
        <v>3307</v>
      </c>
      <c r="Q943">
        <v>0</v>
      </c>
      <c r="R943">
        <v>85679994028</v>
      </c>
      <c r="S943">
        <v>72489567.549999997</v>
      </c>
      <c r="T943">
        <v>82714718358.520004</v>
      </c>
      <c r="U943">
        <v>85122128735.860001</v>
      </c>
      <c r="V943">
        <v>0.33777499999999999</v>
      </c>
      <c r="W943">
        <v>6.5901000000000001E-2</v>
      </c>
    </row>
    <row r="944" spans="1:23" x14ac:dyDescent="0.35">
      <c r="A944" t="s">
        <v>1</v>
      </c>
      <c r="B944">
        <v>5750</v>
      </c>
      <c r="C944">
        <v>7</v>
      </c>
      <c r="D944">
        <v>2741</v>
      </c>
      <c r="E944">
        <v>0</v>
      </c>
      <c r="F944">
        <v>115031365795</v>
      </c>
      <c r="G944">
        <v>126410844.25</v>
      </c>
      <c r="H944">
        <v>102564598210</v>
      </c>
      <c r="I944">
        <v>114689205767.66</v>
      </c>
      <c r="J944">
        <v>0.74379099999999998</v>
      </c>
      <c r="K944">
        <v>2.2276000000000001E-2</v>
      </c>
      <c r="M944" t="s">
        <v>1</v>
      </c>
      <c r="N944">
        <v>6250</v>
      </c>
      <c r="O944">
        <v>12</v>
      </c>
      <c r="P944">
        <v>10532</v>
      </c>
      <c r="Q944">
        <v>0</v>
      </c>
      <c r="R944">
        <v>399964601554</v>
      </c>
      <c r="S944">
        <v>411323680.94</v>
      </c>
      <c r="T944">
        <v>371612680181.32001</v>
      </c>
      <c r="U944">
        <v>398120976479.29999</v>
      </c>
      <c r="V944">
        <v>0.58063399999999998</v>
      </c>
      <c r="W944">
        <v>4.2136E-2</v>
      </c>
    </row>
    <row r="945" spans="1:23" x14ac:dyDescent="0.35">
      <c r="A945" t="s">
        <v>1</v>
      </c>
      <c r="B945">
        <v>5500</v>
      </c>
      <c r="C945">
        <v>6</v>
      </c>
      <c r="D945">
        <v>1384</v>
      </c>
      <c r="E945">
        <v>0</v>
      </c>
      <c r="F945">
        <v>58710845460</v>
      </c>
      <c r="G945">
        <v>67017117.770000003</v>
      </c>
      <c r="H945">
        <v>58284565712</v>
      </c>
      <c r="I945">
        <v>58556041622.43</v>
      </c>
      <c r="J945">
        <v>7.1009000000000003E-2</v>
      </c>
      <c r="K945">
        <v>1.7795999999999999E-2</v>
      </c>
      <c r="M945" t="s">
        <v>1</v>
      </c>
      <c r="N945">
        <v>5750</v>
      </c>
      <c r="O945">
        <v>12</v>
      </c>
      <c r="P945">
        <v>5432</v>
      </c>
      <c r="Q945">
        <v>0</v>
      </c>
      <c r="R945">
        <v>216959630819</v>
      </c>
      <c r="S945">
        <v>244247585.63999999</v>
      </c>
      <c r="T945">
        <v>206665711031.60999</v>
      </c>
      <c r="U945">
        <v>216302305981.26001</v>
      </c>
      <c r="V945">
        <v>0.43398300000000001</v>
      </c>
      <c r="W945">
        <v>2.2609000000000001E-2</v>
      </c>
    </row>
    <row r="946" spans="1:23" x14ac:dyDescent="0.35">
      <c r="A946" t="s">
        <v>0</v>
      </c>
      <c r="B946">
        <v>8000</v>
      </c>
      <c r="C946">
        <v>8</v>
      </c>
      <c r="D946">
        <v>178</v>
      </c>
      <c r="E946">
        <v>0</v>
      </c>
      <c r="F946">
        <v>5206674331</v>
      </c>
      <c r="G946">
        <v>3784293.11</v>
      </c>
      <c r="H946">
        <v>5203148318</v>
      </c>
      <c r="I946">
        <v>5203148318</v>
      </c>
      <c r="J946">
        <v>-5.9500000000000004E-4</v>
      </c>
      <c r="K946">
        <v>-5.9500000000000004E-4</v>
      </c>
      <c r="M946" t="s">
        <v>2</v>
      </c>
      <c r="N946">
        <v>6250</v>
      </c>
      <c r="O946">
        <v>12</v>
      </c>
      <c r="P946">
        <v>984</v>
      </c>
      <c r="Q946">
        <v>0</v>
      </c>
      <c r="R946">
        <v>20377481666</v>
      </c>
      <c r="S946">
        <v>20953970.629999999</v>
      </c>
      <c r="T946">
        <v>20336189891.68</v>
      </c>
      <c r="U946">
        <v>20356527695.369999</v>
      </c>
      <c r="V946">
        <v>1.1911E-2</v>
      </c>
      <c r="W946">
        <v>0</v>
      </c>
    </row>
    <row r="947" spans="1:23" x14ac:dyDescent="0.35">
      <c r="A947" t="s">
        <v>0</v>
      </c>
      <c r="B947">
        <v>8000</v>
      </c>
      <c r="C947">
        <v>7</v>
      </c>
      <c r="D947">
        <v>158</v>
      </c>
      <c r="E947">
        <v>0</v>
      </c>
      <c r="F947">
        <v>4960404308</v>
      </c>
      <c r="G947">
        <v>3580520.91</v>
      </c>
      <c r="H947">
        <v>4922214200</v>
      </c>
      <c r="I947">
        <v>4957124626.04</v>
      </c>
      <c r="J947">
        <v>8.0587000000000006E-2</v>
      </c>
      <c r="K947">
        <v>-7.2800000000000002E-4</v>
      </c>
      <c r="M947" t="s">
        <v>1</v>
      </c>
      <c r="N947">
        <v>7000</v>
      </c>
      <c r="O947">
        <v>12</v>
      </c>
      <c r="P947">
        <v>1021</v>
      </c>
      <c r="Q947">
        <v>0</v>
      </c>
      <c r="R947">
        <v>28929894631</v>
      </c>
      <c r="S947">
        <v>25957244.66</v>
      </c>
      <c r="T947">
        <v>26788629244.77</v>
      </c>
      <c r="U947">
        <v>28809515099.240002</v>
      </c>
      <c r="V947">
        <v>0.59794000000000003</v>
      </c>
      <c r="W947">
        <v>3.8469999999999997E-2</v>
      </c>
    </row>
    <row r="948" spans="1:23" x14ac:dyDescent="0.35">
      <c r="A948" t="s">
        <v>0</v>
      </c>
      <c r="B948">
        <v>7500</v>
      </c>
      <c r="C948">
        <v>7</v>
      </c>
      <c r="D948">
        <v>901</v>
      </c>
      <c r="E948">
        <v>0</v>
      </c>
      <c r="F948">
        <v>24966797341</v>
      </c>
      <c r="G948">
        <v>19684798.84</v>
      </c>
      <c r="H948">
        <v>23303709618</v>
      </c>
      <c r="I948">
        <v>24910685445.580002</v>
      </c>
      <c r="J948">
        <v>0.55828</v>
      </c>
      <c r="K948">
        <v>1.7368000000000001E-2</v>
      </c>
      <c r="M948" t="s">
        <v>2</v>
      </c>
      <c r="N948">
        <v>7500</v>
      </c>
      <c r="O948">
        <v>12</v>
      </c>
      <c r="P948">
        <v>31</v>
      </c>
      <c r="Q948">
        <v>0</v>
      </c>
      <c r="R948">
        <v>453762476</v>
      </c>
      <c r="S948">
        <v>370733.01</v>
      </c>
      <c r="T948">
        <v>453391742.99000001</v>
      </c>
      <c r="U948">
        <v>453391742.99000001</v>
      </c>
      <c r="V948">
        <v>0</v>
      </c>
      <c r="W948">
        <v>0</v>
      </c>
    </row>
    <row r="949" spans="1:23" x14ac:dyDescent="0.35">
      <c r="A949" t="s">
        <v>0</v>
      </c>
      <c r="B949">
        <v>7250</v>
      </c>
      <c r="C949">
        <v>7</v>
      </c>
      <c r="D949">
        <v>4760</v>
      </c>
      <c r="E949">
        <v>0</v>
      </c>
      <c r="F949">
        <v>128216446988</v>
      </c>
      <c r="G949">
        <v>106253755.58</v>
      </c>
      <c r="H949">
        <v>120531669317</v>
      </c>
      <c r="I949">
        <v>127716515957.69</v>
      </c>
      <c r="J949">
        <v>0.51862699999999995</v>
      </c>
      <c r="K949">
        <v>3.6228999999999997E-2</v>
      </c>
      <c r="M949" t="s">
        <v>0</v>
      </c>
      <c r="N949">
        <v>7750</v>
      </c>
      <c r="O949">
        <v>12</v>
      </c>
      <c r="P949">
        <v>1617</v>
      </c>
      <c r="Q949">
        <v>0</v>
      </c>
      <c r="R949">
        <v>43176128073</v>
      </c>
      <c r="S949">
        <v>33432062.050000001</v>
      </c>
      <c r="T949">
        <v>42000730466.379997</v>
      </c>
      <c r="U949">
        <v>42952131269.830002</v>
      </c>
      <c r="V949">
        <v>0.27505600000000002</v>
      </c>
      <c r="W949">
        <v>5.1697E-2</v>
      </c>
    </row>
    <row r="950" spans="1:23" x14ac:dyDescent="0.35">
      <c r="A950" t="s">
        <v>0</v>
      </c>
      <c r="B950">
        <v>7250</v>
      </c>
      <c r="C950">
        <v>8</v>
      </c>
      <c r="D950">
        <v>4792</v>
      </c>
      <c r="E950">
        <v>0</v>
      </c>
      <c r="F950">
        <v>129477962340</v>
      </c>
      <c r="G950">
        <v>107993119.18000001</v>
      </c>
      <c r="H950">
        <v>123904310995</v>
      </c>
      <c r="I950">
        <v>129073129844.92</v>
      </c>
      <c r="J950">
        <v>0.404026</v>
      </c>
      <c r="K950">
        <v>2.7167E-2</v>
      </c>
      <c r="M950" t="s">
        <v>0</v>
      </c>
      <c r="N950">
        <v>7000</v>
      </c>
      <c r="O950">
        <v>10</v>
      </c>
      <c r="P950">
        <v>3325</v>
      </c>
      <c r="Q950">
        <v>0</v>
      </c>
      <c r="R950">
        <v>86965095017</v>
      </c>
      <c r="S950">
        <v>77168439.420000002</v>
      </c>
      <c r="T950">
        <v>84788887322.080002</v>
      </c>
      <c r="U950">
        <v>86755931989.850006</v>
      </c>
      <c r="V950">
        <v>0.25412099999999999</v>
      </c>
      <c r="W950">
        <v>1.8062000000000002E-2</v>
      </c>
    </row>
    <row r="951" spans="1:23" x14ac:dyDescent="0.35">
      <c r="A951" t="s">
        <v>0</v>
      </c>
      <c r="B951">
        <v>7250</v>
      </c>
      <c r="C951">
        <v>6</v>
      </c>
      <c r="D951">
        <v>3956</v>
      </c>
      <c r="E951">
        <v>0</v>
      </c>
      <c r="F951">
        <v>106721452743</v>
      </c>
      <c r="G951">
        <v>87850833.629999995</v>
      </c>
      <c r="H951">
        <v>100783231453</v>
      </c>
      <c r="I951">
        <v>106382500790.69</v>
      </c>
      <c r="J951">
        <v>0.49163099999999998</v>
      </c>
      <c r="K951">
        <v>2.7872000000000001E-2</v>
      </c>
      <c r="M951" t="s">
        <v>1</v>
      </c>
      <c r="N951">
        <v>6500</v>
      </c>
      <c r="O951">
        <v>9</v>
      </c>
      <c r="P951">
        <v>2572</v>
      </c>
      <c r="Q951">
        <v>0</v>
      </c>
      <c r="R951">
        <v>85350305559</v>
      </c>
      <c r="S951">
        <v>82262988.689999998</v>
      </c>
      <c r="T951">
        <v>77437143500.429993</v>
      </c>
      <c r="U951">
        <v>85013588493.300003</v>
      </c>
      <c r="V951">
        <v>0.68488800000000005</v>
      </c>
      <c r="W951">
        <v>3.5194999999999997E-2</v>
      </c>
    </row>
    <row r="952" spans="1:23" x14ac:dyDescent="0.35">
      <c r="A952" t="s">
        <v>0</v>
      </c>
      <c r="B952">
        <v>7000</v>
      </c>
      <c r="C952">
        <v>6</v>
      </c>
      <c r="D952">
        <v>5121</v>
      </c>
      <c r="E952">
        <v>0</v>
      </c>
      <c r="F952">
        <v>144563664981</v>
      </c>
      <c r="G952">
        <v>124895705.05</v>
      </c>
      <c r="H952">
        <v>138893407737</v>
      </c>
      <c r="I952">
        <v>144005772750.25</v>
      </c>
      <c r="J952">
        <v>0.37460599999999999</v>
      </c>
      <c r="K952">
        <v>3.5355999999999999E-2</v>
      </c>
      <c r="M952" t="s">
        <v>0</v>
      </c>
      <c r="N952">
        <v>6750</v>
      </c>
      <c r="O952">
        <v>9</v>
      </c>
      <c r="P952">
        <v>12603</v>
      </c>
      <c r="Q952">
        <v>0</v>
      </c>
      <c r="R952">
        <v>369768497344</v>
      </c>
      <c r="S952">
        <v>342975788.27999997</v>
      </c>
      <c r="T952">
        <v>358249020412.15997</v>
      </c>
      <c r="U952">
        <v>368633953252.03003</v>
      </c>
      <c r="V952">
        <v>0.30809199999999998</v>
      </c>
      <c r="W952">
        <v>2.5388000000000001E-2</v>
      </c>
    </row>
    <row r="953" spans="1:23" x14ac:dyDescent="0.35">
      <c r="A953" t="s">
        <v>0</v>
      </c>
      <c r="B953">
        <v>7000</v>
      </c>
      <c r="C953">
        <v>7</v>
      </c>
      <c r="D953">
        <v>6240</v>
      </c>
      <c r="E953">
        <v>0</v>
      </c>
      <c r="F953">
        <v>172245559631</v>
      </c>
      <c r="G953">
        <v>149940270.16</v>
      </c>
      <c r="H953">
        <v>164635111469</v>
      </c>
      <c r="I953">
        <v>171679067220.54001</v>
      </c>
      <c r="J953">
        <v>0.41219</v>
      </c>
      <c r="K953">
        <v>2.8636999999999999E-2</v>
      </c>
      <c r="M953" t="s">
        <v>0</v>
      </c>
      <c r="N953">
        <v>7000</v>
      </c>
      <c r="O953">
        <v>9</v>
      </c>
      <c r="P953">
        <v>3901</v>
      </c>
      <c r="Q953">
        <v>0</v>
      </c>
      <c r="R953">
        <v>105149887924</v>
      </c>
      <c r="S953">
        <v>92773833.430000007</v>
      </c>
      <c r="T953">
        <v>102150003501.31</v>
      </c>
      <c r="U953">
        <v>104900570751.72</v>
      </c>
      <c r="V953">
        <v>0.28569099999999997</v>
      </c>
      <c r="W953">
        <v>1.772E-2</v>
      </c>
    </row>
    <row r="954" spans="1:23" x14ac:dyDescent="0.35">
      <c r="A954" t="s">
        <v>0</v>
      </c>
      <c r="B954">
        <v>6250</v>
      </c>
      <c r="C954">
        <v>7</v>
      </c>
      <c r="D954">
        <v>12969</v>
      </c>
      <c r="E954">
        <v>0</v>
      </c>
      <c r="F954">
        <v>429993138107</v>
      </c>
      <c r="G954">
        <v>431408844.57999998</v>
      </c>
      <c r="H954">
        <v>418878672323</v>
      </c>
      <c r="I954">
        <v>429256051348.85999</v>
      </c>
      <c r="J954">
        <v>0.26058999999999999</v>
      </c>
      <c r="K954">
        <v>8.4969999999999993E-3</v>
      </c>
      <c r="M954" t="s">
        <v>1</v>
      </c>
      <c r="N954">
        <v>7000</v>
      </c>
      <c r="O954">
        <v>9</v>
      </c>
      <c r="P954">
        <v>575</v>
      </c>
      <c r="Q954">
        <v>0</v>
      </c>
      <c r="R954">
        <v>17232855426</v>
      </c>
      <c r="S954">
        <v>15195530.32</v>
      </c>
      <c r="T954">
        <v>15268492290.110001</v>
      </c>
      <c r="U954">
        <v>17177343743.950001</v>
      </c>
      <c r="V954">
        <v>0.76316200000000001</v>
      </c>
      <c r="W954">
        <v>2.7715E-2</v>
      </c>
    </row>
    <row r="955" spans="1:23" x14ac:dyDescent="0.35">
      <c r="A955" t="s">
        <v>0</v>
      </c>
      <c r="B955">
        <v>6250</v>
      </c>
      <c r="C955">
        <v>8</v>
      </c>
      <c r="D955">
        <v>12236</v>
      </c>
      <c r="E955">
        <v>0</v>
      </c>
      <c r="F955">
        <v>407367921702</v>
      </c>
      <c r="G955">
        <v>410362906.41000003</v>
      </c>
      <c r="H955">
        <v>399825729493</v>
      </c>
      <c r="I955">
        <v>406783731648.78998</v>
      </c>
      <c r="J955">
        <v>0.190992</v>
      </c>
      <c r="K955">
        <v>5.1079999999999997E-3</v>
      </c>
      <c r="M955" t="s">
        <v>0</v>
      </c>
      <c r="N955">
        <v>7000</v>
      </c>
      <c r="O955">
        <v>8</v>
      </c>
      <c r="P955">
        <v>6597</v>
      </c>
      <c r="Q955">
        <v>0</v>
      </c>
      <c r="R955">
        <v>185600516272</v>
      </c>
      <c r="S955">
        <v>162775336.63</v>
      </c>
      <c r="T955">
        <v>179569879275.23001</v>
      </c>
      <c r="U955">
        <v>185038186857</v>
      </c>
      <c r="V955">
        <v>0.31989899999999999</v>
      </c>
      <c r="W955">
        <v>2.5529E-2</v>
      </c>
    </row>
    <row r="956" spans="1:23" x14ac:dyDescent="0.35">
      <c r="A956" t="s">
        <v>0</v>
      </c>
      <c r="B956">
        <v>7000</v>
      </c>
      <c r="C956">
        <v>8</v>
      </c>
      <c r="D956">
        <v>6977</v>
      </c>
      <c r="E956">
        <v>0</v>
      </c>
      <c r="F956">
        <v>192489206930</v>
      </c>
      <c r="G956">
        <v>168891598.97999999</v>
      </c>
      <c r="H956">
        <v>186480531550</v>
      </c>
      <c r="I956">
        <v>191918802436.64001</v>
      </c>
      <c r="J956">
        <v>0.30905500000000002</v>
      </c>
      <c r="K956">
        <v>2.4746000000000001E-2</v>
      </c>
      <c r="M956" t="s">
        <v>2</v>
      </c>
      <c r="N956">
        <v>6000</v>
      </c>
      <c r="O956">
        <v>5</v>
      </c>
      <c r="P956">
        <v>3009</v>
      </c>
      <c r="Q956">
        <v>0</v>
      </c>
      <c r="R956">
        <v>64908500000</v>
      </c>
      <c r="S956">
        <v>66072011.439999998</v>
      </c>
      <c r="T956">
        <v>64830540122.470001</v>
      </c>
      <c r="U956">
        <v>64830540122.470001</v>
      </c>
      <c r="V956">
        <v>2.196E-3</v>
      </c>
      <c r="W956">
        <v>2.196E-3</v>
      </c>
    </row>
    <row r="957" spans="1:23" x14ac:dyDescent="0.35">
      <c r="A957" t="s">
        <v>1</v>
      </c>
      <c r="B957">
        <v>7000</v>
      </c>
      <c r="C957">
        <v>7</v>
      </c>
      <c r="D957">
        <v>1950</v>
      </c>
      <c r="E957">
        <v>0</v>
      </c>
      <c r="F957">
        <v>62839248640</v>
      </c>
      <c r="G957">
        <v>54695977.530000001</v>
      </c>
      <c r="H957">
        <v>40809122463</v>
      </c>
      <c r="I957">
        <v>62590885054.610001</v>
      </c>
      <c r="J957">
        <v>0.99428099999999997</v>
      </c>
      <c r="K957">
        <v>3.6362999999999999E-2</v>
      </c>
      <c r="M957" t="s">
        <v>2</v>
      </c>
      <c r="N957">
        <v>5750</v>
      </c>
      <c r="O957">
        <v>5</v>
      </c>
      <c r="P957">
        <v>2720</v>
      </c>
      <c r="Q957">
        <v>0</v>
      </c>
      <c r="R957">
        <v>61539000000</v>
      </c>
      <c r="S957">
        <v>65409868.380000003</v>
      </c>
      <c r="T957">
        <v>61437328925.900002</v>
      </c>
      <c r="U957">
        <v>61437328925.900002</v>
      </c>
      <c r="V957">
        <v>7.0479999999999996E-3</v>
      </c>
      <c r="W957">
        <v>7.0479999999999996E-3</v>
      </c>
    </row>
    <row r="958" spans="1:23" x14ac:dyDescent="0.35">
      <c r="A958" t="s">
        <v>0</v>
      </c>
      <c r="B958">
        <v>6750</v>
      </c>
      <c r="C958">
        <v>8</v>
      </c>
      <c r="D958">
        <v>15415</v>
      </c>
      <c r="E958">
        <v>0</v>
      </c>
      <c r="F958">
        <v>469006137475</v>
      </c>
      <c r="G958">
        <v>431726447.02999997</v>
      </c>
      <c r="H958">
        <v>452830601636</v>
      </c>
      <c r="I958">
        <v>467788595792.15002</v>
      </c>
      <c r="J958">
        <v>0.33617599999999997</v>
      </c>
      <c r="K958">
        <v>1.9921999999999999E-2</v>
      </c>
      <c r="M958" t="s">
        <v>0</v>
      </c>
      <c r="N958">
        <v>5750</v>
      </c>
      <c r="O958">
        <v>6</v>
      </c>
      <c r="P958">
        <v>2958</v>
      </c>
      <c r="Q958">
        <v>0</v>
      </c>
      <c r="R958">
        <v>96630112340</v>
      </c>
      <c r="S958">
        <v>105631682.38</v>
      </c>
      <c r="T958">
        <v>95793554460.839996</v>
      </c>
      <c r="U958">
        <v>96457467464.850006</v>
      </c>
      <c r="V958">
        <v>8.7086999999999998E-2</v>
      </c>
      <c r="W958">
        <v>8.2900000000000005E-3</v>
      </c>
    </row>
    <row r="959" spans="1:23" x14ac:dyDescent="0.35">
      <c r="A959" t="s">
        <v>0</v>
      </c>
      <c r="B959">
        <v>6750</v>
      </c>
      <c r="C959">
        <v>7</v>
      </c>
      <c r="D959">
        <v>15175</v>
      </c>
      <c r="E959">
        <v>0</v>
      </c>
      <c r="F959">
        <v>449326793760</v>
      </c>
      <c r="G959">
        <v>411161647.48000002</v>
      </c>
      <c r="H959">
        <v>429956518108</v>
      </c>
      <c r="I959">
        <v>448232752698.87</v>
      </c>
      <c r="J959">
        <v>0.40388800000000002</v>
      </c>
      <c r="K959">
        <v>1.8086000000000001E-2</v>
      </c>
      <c r="M959" t="s">
        <v>0</v>
      </c>
      <c r="N959">
        <v>5750</v>
      </c>
      <c r="O959">
        <v>5</v>
      </c>
      <c r="P959">
        <v>77843</v>
      </c>
      <c r="Q959">
        <v>0</v>
      </c>
      <c r="R959">
        <v>2745771500000</v>
      </c>
      <c r="S959">
        <v>2939950605.46</v>
      </c>
      <c r="T959">
        <v>2739897721749.5898</v>
      </c>
      <c r="U959">
        <v>2742643852793.7002</v>
      </c>
      <c r="V959">
        <v>1.2747E-2</v>
      </c>
      <c r="W959">
        <v>8.1999999999999998E-4</v>
      </c>
    </row>
    <row r="960" spans="1:23" x14ac:dyDescent="0.35">
      <c r="A960" t="s">
        <v>2</v>
      </c>
      <c r="B960">
        <v>6250</v>
      </c>
      <c r="C960">
        <v>7</v>
      </c>
      <c r="D960">
        <v>907</v>
      </c>
      <c r="E960">
        <v>0</v>
      </c>
      <c r="F960">
        <v>19721290645</v>
      </c>
      <c r="G960">
        <v>19665750.300000001</v>
      </c>
      <c r="H960">
        <v>19648704465</v>
      </c>
      <c r="I960">
        <v>19667999163.549999</v>
      </c>
      <c r="J960">
        <v>3.1730000000000001E-2</v>
      </c>
      <c r="K960">
        <v>2.027E-2</v>
      </c>
      <c r="M960" t="s">
        <v>1</v>
      </c>
      <c r="N960">
        <v>5750</v>
      </c>
      <c r="O960">
        <v>5</v>
      </c>
      <c r="P960">
        <v>97975</v>
      </c>
      <c r="Q960">
        <v>0</v>
      </c>
      <c r="R960">
        <v>4043820200000</v>
      </c>
      <c r="S960">
        <v>4332675230.9799995</v>
      </c>
      <c r="T960">
        <v>4033086800474.0498</v>
      </c>
      <c r="U960">
        <v>4038189725381.4902</v>
      </c>
      <c r="V960">
        <v>1.883E-2</v>
      </c>
      <c r="W960">
        <v>3.8440000000000002E-3</v>
      </c>
    </row>
    <row r="961" spans="1:23" x14ac:dyDescent="0.35">
      <c r="A961" t="s">
        <v>1</v>
      </c>
      <c r="B961">
        <v>6250</v>
      </c>
      <c r="C961">
        <v>7</v>
      </c>
      <c r="D961">
        <v>11176</v>
      </c>
      <c r="E961">
        <v>0</v>
      </c>
      <c r="F961">
        <v>459136716388</v>
      </c>
      <c r="G961">
        <v>460233201.54000002</v>
      </c>
      <c r="H961">
        <v>388416237056</v>
      </c>
      <c r="I961">
        <v>457772882451.29999</v>
      </c>
      <c r="J961">
        <v>0.86371900000000001</v>
      </c>
      <c r="K961">
        <v>2.3362999999999998E-2</v>
      </c>
      <c r="M961" t="s">
        <v>1</v>
      </c>
      <c r="N961">
        <v>5750</v>
      </c>
      <c r="O961">
        <v>6</v>
      </c>
      <c r="P961">
        <v>2752</v>
      </c>
      <c r="Q961">
        <v>0</v>
      </c>
      <c r="R961">
        <v>115897298607</v>
      </c>
      <c r="S961">
        <v>126618564.31</v>
      </c>
      <c r="T961">
        <v>115204499104.24001</v>
      </c>
      <c r="U961">
        <v>115709355930.13</v>
      </c>
      <c r="V961">
        <v>5.7072999999999999E-2</v>
      </c>
      <c r="W961">
        <v>6.3309999999999998E-3</v>
      </c>
    </row>
    <row r="962" spans="1:23" x14ac:dyDescent="0.35">
      <c r="A962" t="s">
        <v>0</v>
      </c>
      <c r="B962">
        <v>6250</v>
      </c>
      <c r="C962">
        <v>9</v>
      </c>
      <c r="D962">
        <v>14011</v>
      </c>
      <c r="E962">
        <v>0</v>
      </c>
      <c r="F962">
        <v>459877781175</v>
      </c>
      <c r="G962">
        <v>466363279.12</v>
      </c>
      <c r="H962">
        <v>451025743463</v>
      </c>
      <c r="I962">
        <v>459144877158.95001</v>
      </c>
      <c r="J962">
        <v>0.19815099999999999</v>
      </c>
      <c r="K962">
        <v>6.9329999999999999E-3</v>
      </c>
      <c r="M962" t="s">
        <v>1</v>
      </c>
      <c r="N962">
        <v>5500</v>
      </c>
      <c r="O962">
        <v>5</v>
      </c>
      <c r="P962">
        <v>49195</v>
      </c>
      <c r="Q962">
        <v>0</v>
      </c>
      <c r="R962">
        <v>2163225300000</v>
      </c>
      <c r="S962">
        <v>2415360185.8400002</v>
      </c>
      <c r="T962">
        <v>2158492643110.75</v>
      </c>
      <c r="U962">
        <v>2160411985213.6599</v>
      </c>
      <c r="V962">
        <v>1.2779E-2</v>
      </c>
      <c r="W962">
        <v>2.2049999999999999E-3</v>
      </c>
    </row>
    <row r="963" spans="1:23" x14ac:dyDescent="0.35">
      <c r="A963" t="s">
        <v>2</v>
      </c>
      <c r="B963">
        <v>6250</v>
      </c>
      <c r="C963">
        <v>8</v>
      </c>
      <c r="D963">
        <v>717</v>
      </c>
      <c r="E963">
        <v>0</v>
      </c>
      <c r="F963">
        <v>15593233889</v>
      </c>
      <c r="G963">
        <v>15659156.189999999</v>
      </c>
      <c r="H963">
        <v>15541951320</v>
      </c>
      <c r="I963">
        <v>15575765977.450001</v>
      </c>
      <c r="J963">
        <v>2.7073E-2</v>
      </c>
      <c r="K963">
        <v>1.3910000000000001E-3</v>
      </c>
      <c r="M963" t="s">
        <v>0</v>
      </c>
      <c r="N963">
        <v>8000</v>
      </c>
      <c r="O963">
        <v>7</v>
      </c>
      <c r="P963">
        <v>182</v>
      </c>
      <c r="Q963">
        <v>0</v>
      </c>
      <c r="R963">
        <v>5306168251</v>
      </c>
      <c r="S963">
        <v>3827258.06</v>
      </c>
      <c r="T963">
        <v>5206998480.8599997</v>
      </c>
      <c r="U963">
        <v>5302340992.9399996</v>
      </c>
      <c r="V963">
        <v>0.19553599999999999</v>
      </c>
      <c r="W963">
        <v>0</v>
      </c>
    </row>
    <row r="964" spans="1:23" x14ac:dyDescent="0.35">
      <c r="A964" t="s">
        <v>0</v>
      </c>
      <c r="B964">
        <v>5750</v>
      </c>
      <c r="C964">
        <v>8</v>
      </c>
      <c r="D964">
        <v>2837</v>
      </c>
      <c r="E964">
        <v>0</v>
      </c>
      <c r="F964">
        <v>93816532565</v>
      </c>
      <c r="G964">
        <v>103736455.51000001</v>
      </c>
      <c r="H964">
        <v>93320169262</v>
      </c>
      <c r="I964">
        <v>93578829351.179993</v>
      </c>
      <c r="J964">
        <v>4.9081E-2</v>
      </c>
      <c r="K964">
        <v>1.7002E-2</v>
      </c>
      <c r="M964" t="s">
        <v>0</v>
      </c>
      <c r="N964">
        <v>8000</v>
      </c>
      <c r="O964">
        <v>6</v>
      </c>
      <c r="P964">
        <v>158</v>
      </c>
      <c r="Q964">
        <v>0</v>
      </c>
      <c r="R964">
        <v>4968703037</v>
      </c>
      <c r="S964">
        <v>3560531.03</v>
      </c>
      <c r="T964">
        <v>4965142505.9700003</v>
      </c>
      <c r="U964">
        <v>4965142505.9700003</v>
      </c>
      <c r="V964">
        <v>0</v>
      </c>
      <c r="W964">
        <v>0</v>
      </c>
    </row>
    <row r="965" spans="1:23" x14ac:dyDescent="0.35">
      <c r="A965" t="s">
        <v>2</v>
      </c>
      <c r="B965">
        <v>5750</v>
      </c>
      <c r="C965">
        <v>7</v>
      </c>
      <c r="D965">
        <v>161</v>
      </c>
      <c r="E965">
        <v>0</v>
      </c>
      <c r="F965">
        <v>3405133025</v>
      </c>
      <c r="G965">
        <v>3724730.18</v>
      </c>
      <c r="H965">
        <v>3400780829</v>
      </c>
      <c r="I965">
        <v>3400780829</v>
      </c>
      <c r="J965">
        <v>2.209E-3</v>
      </c>
      <c r="K965">
        <v>2.209E-3</v>
      </c>
      <c r="M965" t="s">
        <v>0</v>
      </c>
      <c r="N965">
        <v>7500</v>
      </c>
      <c r="O965">
        <v>6</v>
      </c>
      <c r="P965">
        <v>951</v>
      </c>
      <c r="Q965">
        <v>0</v>
      </c>
      <c r="R965">
        <v>26776576936</v>
      </c>
      <c r="S965">
        <v>20962287.739999998</v>
      </c>
      <c r="T965">
        <v>25002290459.5</v>
      </c>
      <c r="U965">
        <v>26697021270.639999</v>
      </c>
      <c r="V965">
        <v>0.55632599999999999</v>
      </c>
      <c r="W965">
        <v>2.5944999999999999E-2</v>
      </c>
    </row>
    <row r="966" spans="1:23" x14ac:dyDescent="0.35">
      <c r="A966" t="s">
        <v>1</v>
      </c>
      <c r="B966">
        <v>5750</v>
      </c>
      <c r="C966">
        <v>8</v>
      </c>
      <c r="D966">
        <v>2072</v>
      </c>
      <c r="E966">
        <v>0</v>
      </c>
      <c r="F966">
        <v>86293435512</v>
      </c>
      <c r="G966">
        <v>95164962.290000007</v>
      </c>
      <c r="H966">
        <v>83639884201</v>
      </c>
      <c r="I966">
        <v>86048833900.289993</v>
      </c>
      <c r="J966">
        <v>0.30312600000000001</v>
      </c>
      <c r="K966">
        <v>2.0584000000000002E-2</v>
      </c>
      <c r="M966" t="s">
        <v>0</v>
      </c>
      <c r="N966">
        <v>7250</v>
      </c>
      <c r="O966">
        <v>6</v>
      </c>
      <c r="P966">
        <v>5003</v>
      </c>
      <c r="Q966">
        <v>0</v>
      </c>
      <c r="R966">
        <v>135965929591</v>
      </c>
      <c r="S966">
        <v>111929138.13</v>
      </c>
      <c r="T966">
        <v>128319316535.42</v>
      </c>
      <c r="U966">
        <v>135572955051.33</v>
      </c>
      <c r="V966">
        <v>0.49547000000000002</v>
      </c>
      <c r="W966">
        <v>2.4524000000000001E-2</v>
      </c>
    </row>
    <row r="967" spans="1:23" x14ac:dyDescent="0.35">
      <c r="A967" t="s">
        <v>2</v>
      </c>
      <c r="B967">
        <v>5750</v>
      </c>
      <c r="C967">
        <v>8</v>
      </c>
      <c r="D967">
        <v>132</v>
      </c>
      <c r="E967">
        <v>0</v>
      </c>
      <c r="F967">
        <v>2992244414</v>
      </c>
      <c r="G967">
        <v>3293452.45</v>
      </c>
      <c r="H967">
        <v>2919214307</v>
      </c>
      <c r="I967">
        <v>2988743864.54</v>
      </c>
      <c r="J967">
        <v>0.24646499999999999</v>
      </c>
      <c r="K967">
        <v>8.3000000000000001E-4</v>
      </c>
      <c r="M967" t="s">
        <v>0</v>
      </c>
      <c r="N967">
        <v>7250</v>
      </c>
      <c r="O967">
        <v>7</v>
      </c>
      <c r="P967">
        <v>5053</v>
      </c>
      <c r="Q967">
        <v>0</v>
      </c>
      <c r="R967">
        <v>138345593170</v>
      </c>
      <c r="S967">
        <v>114621544.95</v>
      </c>
      <c r="T967">
        <v>129419860684.35001</v>
      </c>
      <c r="U967">
        <v>137634520063.97</v>
      </c>
      <c r="V967">
        <v>0.54601599999999995</v>
      </c>
      <c r="W967">
        <v>5.0526000000000001E-2</v>
      </c>
    </row>
    <row r="968" spans="1:23" x14ac:dyDescent="0.35">
      <c r="A968" t="s">
        <v>0</v>
      </c>
      <c r="B968">
        <v>8000</v>
      </c>
      <c r="C968">
        <v>9</v>
      </c>
      <c r="D968">
        <v>154</v>
      </c>
      <c r="E968">
        <v>0</v>
      </c>
      <c r="F968">
        <v>4439885967</v>
      </c>
      <c r="G968">
        <v>3251623.84</v>
      </c>
      <c r="H968">
        <v>4437073944</v>
      </c>
      <c r="I968">
        <v>4437073944</v>
      </c>
      <c r="J968">
        <v>-1.189E-3</v>
      </c>
      <c r="K968">
        <v>-1.189E-3</v>
      </c>
      <c r="M968" t="s">
        <v>0</v>
      </c>
      <c r="N968">
        <v>7250</v>
      </c>
      <c r="O968">
        <v>5</v>
      </c>
      <c r="P968">
        <v>13992</v>
      </c>
      <c r="Q968">
        <v>0</v>
      </c>
      <c r="R968">
        <v>370010200000</v>
      </c>
      <c r="S968">
        <v>298776015.89999998</v>
      </c>
      <c r="T968">
        <v>367667397167.34998</v>
      </c>
      <c r="U968">
        <v>369617801283.07001</v>
      </c>
      <c r="V968">
        <v>6.4312999999999995E-2</v>
      </c>
      <c r="W968">
        <v>3.032E-3</v>
      </c>
    </row>
    <row r="969" spans="1:23" x14ac:dyDescent="0.35">
      <c r="A969" t="s">
        <v>0</v>
      </c>
      <c r="B969">
        <v>7750</v>
      </c>
      <c r="C969">
        <v>8</v>
      </c>
      <c r="D969">
        <v>1272</v>
      </c>
      <c r="E969">
        <v>0</v>
      </c>
      <c r="F969">
        <v>33319944017</v>
      </c>
      <c r="G969">
        <v>25184235.719999999</v>
      </c>
      <c r="H969">
        <v>32570809294</v>
      </c>
      <c r="I969">
        <v>33217303757.240002</v>
      </c>
      <c r="J969">
        <v>0.23172000000000001</v>
      </c>
      <c r="K969">
        <v>2.7541E-2</v>
      </c>
      <c r="M969" t="s">
        <v>0</v>
      </c>
      <c r="N969">
        <v>7000</v>
      </c>
      <c r="O969">
        <v>5</v>
      </c>
      <c r="P969">
        <v>17464</v>
      </c>
      <c r="Q969">
        <v>0</v>
      </c>
      <c r="R969">
        <v>484546900000</v>
      </c>
      <c r="S969">
        <v>411188706.44</v>
      </c>
      <c r="T969">
        <v>482072382809.75</v>
      </c>
      <c r="U969">
        <v>483824478741.03003</v>
      </c>
      <c r="V969">
        <v>4.9918999999999998E-2</v>
      </c>
      <c r="W969">
        <v>7.6810000000000003E-3</v>
      </c>
    </row>
    <row r="970" spans="1:23" x14ac:dyDescent="0.35">
      <c r="A970" t="s">
        <v>0</v>
      </c>
      <c r="B970">
        <v>7750</v>
      </c>
      <c r="C970">
        <v>7</v>
      </c>
      <c r="D970">
        <v>1115</v>
      </c>
      <c r="E970">
        <v>0</v>
      </c>
      <c r="F970">
        <v>30219188827</v>
      </c>
      <c r="G970">
        <v>22641904.670000002</v>
      </c>
      <c r="H970">
        <v>28794239554</v>
      </c>
      <c r="I970">
        <v>30141726419.889999</v>
      </c>
      <c r="J970">
        <v>0.434581</v>
      </c>
      <c r="K970">
        <v>2.1552999999999999E-2</v>
      </c>
      <c r="M970" t="s">
        <v>0</v>
      </c>
      <c r="N970">
        <v>7000</v>
      </c>
      <c r="O970">
        <v>6</v>
      </c>
      <c r="P970">
        <v>6460</v>
      </c>
      <c r="Q970">
        <v>0</v>
      </c>
      <c r="R970">
        <v>180127065426</v>
      </c>
      <c r="S970">
        <v>155787437.63999999</v>
      </c>
      <c r="T970">
        <v>172413683099.82001</v>
      </c>
      <c r="U970">
        <v>179405214764.51999</v>
      </c>
      <c r="V970">
        <v>0.40211200000000002</v>
      </c>
      <c r="W970">
        <v>3.7066000000000002E-2</v>
      </c>
    </row>
    <row r="971" spans="1:23" x14ac:dyDescent="0.35">
      <c r="A971" t="s">
        <v>0</v>
      </c>
      <c r="B971">
        <v>7500</v>
      </c>
      <c r="C971">
        <v>8</v>
      </c>
      <c r="D971">
        <v>1070</v>
      </c>
      <c r="E971">
        <v>0</v>
      </c>
      <c r="F971">
        <v>29665458461</v>
      </c>
      <c r="G971">
        <v>23561014.739999998</v>
      </c>
      <c r="H971">
        <v>28739007521</v>
      </c>
      <c r="I971">
        <v>29641899600.240002</v>
      </c>
      <c r="J971">
        <v>0.30988900000000003</v>
      </c>
      <c r="K971">
        <v>-9.9999999999999995E-7</v>
      </c>
      <c r="M971" t="s">
        <v>0</v>
      </c>
      <c r="N971">
        <v>6250</v>
      </c>
      <c r="O971">
        <v>6</v>
      </c>
      <c r="P971">
        <v>13171</v>
      </c>
      <c r="Q971">
        <v>0</v>
      </c>
      <c r="R971">
        <v>439232966069</v>
      </c>
      <c r="S971">
        <v>438006645.68000001</v>
      </c>
      <c r="T971">
        <v>430382739842.84003</v>
      </c>
      <c r="U971">
        <v>438656479904.20001</v>
      </c>
      <c r="V971">
        <v>0.207097</v>
      </c>
      <c r="W971">
        <v>3.777E-3</v>
      </c>
    </row>
    <row r="972" spans="1:23" x14ac:dyDescent="0.35">
      <c r="A972" t="s">
        <v>2</v>
      </c>
      <c r="B972">
        <v>5750</v>
      </c>
      <c r="C972">
        <v>9</v>
      </c>
      <c r="D972">
        <v>185</v>
      </c>
      <c r="E972">
        <v>0</v>
      </c>
      <c r="F972">
        <v>3869513019</v>
      </c>
      <c r="G972">
        <v>4285084.2699999996</v>
      </c>
      <c r="H972">
        <v>3864545738</v>
      </c>
      <c r="I972">
        <v>3864545738</v>
      </c>
      <c r="J972">
        <v>2.114E-3</v>
      </c>
      <c r="K972">
        <v>2.114E-3</v>
      </c>
      <c r="M972" t="s">
        <v>0</v>
      </c>
      <c r="N972">
        <v>6250</v>
      </c>
      <c r="O972">
        <v>7</v>
      </c>
      <c r="P972">
        <v>12594</v>
      </c>
      <c r="Q972">
        <v>0</v>
      </c>
      <c r="R972">
        <v>422205769771</v>
      </c>
      <c r="S972">
        <v>422675830.36000001</v>
      </c>
      <c r="T972">
        <v>407605175130.34998</v>
      </c>
      <c r="U972">
        <v>421610044044.98999</v>
      </c>
      <c r="V972">
        <v>0.33627600000000002</v>
      </c>
      <c r="W972">
        <v>4.9069999999999999E-3</v>
      </c>
    </row>
    <row r="973" spans="1:23" x14ac:dyDescent="0.35">
      <c r="A973" t="s">
        <v>0</v>
      </c>
      <c r="B973">
        <v>7250</v>
      </c>
      <c r="C973">
        <v>9</v>
      </c>
      <c r="D973">
        <v>4278</v>
      </c>
      <c r="E973">
        <v>0</v>
      </c>
      <c r="F973">
        <v>116741804972</v>
      </c>
      <c r="G973">
        <v>98073208.909999996</v>
      </c>
      <c r="H973">
        <v>112428099175</v>
      </c>
      <c r="I973">
        <v>116216947975.41</v>
      </c>
      <c r="J973">
        <v>0.35682999999999998</v>
      </c>
      <c r="K973">
        <v>4.2998000000000001E-2</v>
      </c>
      <c r="M973" t="s">
        <v>0</v>
      </c>
      <c r="N973">
        <v>7000</v>
      </c>
      <c r="O973">
        <v>7</v>
      </c>
      <c r="P973">
        <v>7233</v>
      </c>
      <c r="Q973">
        <v>0</v>
      </c>
      <c r="R973">
        <v>200732076989</v>
      </c>
      <c r="S973">
        <v>174978591.50999999</v>
      </c>
      <c r="T973">
        <v>192509396761.37</v>
      </c>
      <c r="U973">
        <v>200013426748.34</v>
      </c>
      <c r="V973">
        <v>0.38799299999999998</v>
      </c>
      <c r="W973">
        <v>3.2022000000000002E-2</v>
      </c>
    </row>
    <row r="974" spans="1:23" x14ac:dyDescent="0.35">
      <c r="A974" t="s">
        <v>1</v>
      </c>
      <c r="B974">
        <v>7250</v>
      </c>
      <c r="C974">
        <v>9</v>
      </c>
      <c r="D974">
        <v>880</v>
      </c>
      <c r="E974">
        <v>0</v>
      </c>
      <c r="F974">
        <v>26055783645</v>
      </c>
      <c r="G974">
        <v>21970771</v>
      </c>
      <c r="H974">
        <v>22716998183</v>
      </c>
      <c r="I974">
        <v>25560655108.27</v>
      </c>
      <c r="J974">
        <v>0.804836</v>
      </c>
      <c r="K974">
        <v>0.19741400000000001</v>
      </c>
      <c r="M974" t="s">
        <v>1</v>
      </c>
      <c r="N974">
        <v>7000</v>
      </c>
      <c r="O974">
        <v>6</v>
      </c>
      <c r="P974">
        <v>1964</v>
      </c>
      <c r="Q974">
        <v>0</v>
      </c>
      <c r="R974">
        <v>63593130764</v>
      </c>
      <c r="S974">
        <v>54990075.770000003</v>
      </c>
      <c r="T974">
        <v>62924788130.57</v>
      </c>
      <c r="U974">
        <v>63453189636.290001</v>
      </c>
      <c r="V974">
        <v>0.109793</v>
      </c>
      <c r="W974">
        <v>1.5913E-2</v>
      </c>
    </row>
    <row r="975" spans="1:23" x14ac:dyDescent="0.35">
      <c r="A975" t="s">
        <v>0</v>
      </c>
      <c r="B975">
        <v>6750</v>
      </c>
      <c r="C975">
        <v>9</v>
      </c>
      <c r="D975">
        <v>13853</v>
      </c>
      <c r="E975">
        <v>0</v>
      </c>
      <c r="F975">
        <v>413189499158</v>
      </c>
      <c r="G975">
        <v>382847534.20999998</v>
      </c>
      <c r="H975">
        <v>402594954850</v>
      </c>
      <c r="I975">
        <v>412301683878.42999</v>
      </c>
      <c r="J975">
        <v>0.25940299999999999</v>
      </c>
      <c r="K975">
        <v>1.4567E-2</v>
      </c>
      <c r="M975" t="s">
        <v>0</v>
      </c>
      <c r="N975">
        <v>6750</v>
      </c>
      <c r="O975">
        <v>7</v>
      </c>
      <c r="P975">
        <v>16036</v>
      </c>
      <c r="Q975">
        <v>0</v>
      </c>
      <c r="R975">
        <v>491650644158</v>
      </c>
      <c r="S975">
        <v>449670650.92000002</v>
      </c>
      <c r="T975">
        <v>469163621118.81</v>
      </c>
      <c r="U975">
        <v>490460211018.28003</v>
      </c>
      <c r="V975">
        <v>0.42322700000000002</v>
      </c>
      <c r="W975">
        <v>1.7930999999999999E-2</v>
      </c>
    </row>
    <row r="976" spans="1:23" x14ac:dyDescent="0.35">
      <c r="A976" t="s">
        <v>1</v>
      </c>
      <c r="B976">
        <v>6750</v>
      </c>
      <c r="C976">
        <v>8</v>
      </c>
      <c r="D976">
        <v>6276</v>
      </c>
      <c r="E976">
        <v>0</v>
      </c>
      <c r="F976">
        <v>221333394030</v>
      </c>
      <c r="G976">
        <v>203851944.56</v>
      </c>
      <c r="H976">
        <v>194619355557</v>
      </c>
      <c r="I976">
        <v>220297191213.29999</v>
      </c>
      <c r="J976">
        <v>0.78366599999999997</v>
      </c>
      <c r="K976">
        <v>4.4206000000000002E-2</v>
      </c>
      <c r="M976" t="s">
        <v>0</v>
      </c>
      <c r="N976">
        <v>6750</v>
      </c>
      <c r="O976">
        <v>6</v>
      </c>
      <c r="P976">
        <v>15641</v>
      </c>
      <c r="Q976">
        <v>0</v>
      </c>
      <c r="R976">
        <v>466723376513</v>
      </c>
      <c r="S976">
        <v>424326930.42000002</v>
      </c>
      <c r="T976">
        <v>449909993353.13</v>
      </c>
      <c r="U976">
        <v>465625872398.70001</v>
      </c>
      <c r="V976">
        <v>0.34881299999999998</v>
      </c>
      <c r="W976">
        <v>1.7172E-2</v>
      </c>
    </row>
    <row r="977" spans="1:23" x14ac:dyDescent="0.35">
      <c r="A977" t="s">
        <v>2</v>
      </c>
      <c r="B977">
        <v>6250</v>
      </c>
      <c r="C977">
        <v>9</v>
      </c>
      <c r="D977">
        <v>809</v>
      </c>
      <c r="E977">
        <v>0</v>
      </c>
      <c r="F977">
        <v>16960569514</v>
      </c>
      <c r="G977">
        <v>17182387.629999999</v>
      </c>
      <c r="H977">
        <v>16823452173</v>
      </c>
      <c r="I977">
        <v>16942954177.24</v>
      </c>
      <c r="J977">
        <v>8.1632999999999997E-2</v>
      </c>
      <c r="K977">
        <v>3.0600000000000001E-4</v>
      </c>
      <c r="M977" t="s">
        <v>0</v>
      </c>
      <c r="N977">
        <v>6250</v>
      </c>
      <c r="O977">
        <v>10</v>
      </c>
      <c r="P977">
        <v>13068</v>
      </c>
      <c r="Q977">
        <v>0</v>
      </c>
      <c r="R977">
        <v>437021304444</v>
      </c>
      <c r="S977">
        <v>446011883.13999999</v>
      </c>
      <c r="T977">
        <v>428062785142.67999</v>
      </c>
      <c r="U977">
        <v>436483815050.47998</v>
      </c>
      <c r="V977">
        <v>0.210257</v>
      </c>
      <c r="W977">
        <v>2.5089999999999999E-3</v>
      </c>
    </row>
    <row r="978" spans="1:23" x14ac:dyDescent="0.35">
      <c r="A978" t="s">
        <v>1</v>
      </c>
      <c r="B978">
        <v>6250</v>
      </c>
      <c r="C978">
        <v>9</v>
      </c>
      <c r="D978">
        <v>9522</v>
      </c>
      <c r="E978">
        <v>0</v>
      </c>
      <c r="F978">
        <v>370100224756</v>
      </c>
      <c r="G978">
        <v>375338932.31999999</v>
      </c>
      <c r="H978">
        <v>354347806645</v>
      </c>
      <c r="I978">
        <v>369045590443.84998</v>
      </c>
      <c r="J978">
        <v>0.39904499999999998</v>
      </c>
      <c r="K978">
        <v>2.1804E-2</v>
      </c>
      <c r="M978" t="s">
        <v>2</v>
      </c>
      <c r="N978">
        <v>6250</v>
      </c>
      <c r="O978">
        <v>6</v>
      </c>
      <c r="P978">
        <v>908</v>
      </c>
      <c r="Q978">
        <v>0</v>
      </c>
      <c r="R978">
        <v>19783698923</v>
      </c>
      <c r="S978">
        <v>19607288.059999999</v>
      </c>
      <c r="T978">
        <v>19741609279.939999</v>
      </c>
      <c r="U978">
        <v>19764091634.939999</v>
      </c>
      <c r="V978">
        <v>1.3552E-2</v>
      </c>
      <c r="W978">
        <v>0</v>
      </c>
    </row>
    <row r="979" spans="1:23" x14ac:dyDescent="0.35">
      <c r="A979" t="s">
        <v>0</v>
      </c>
      <c r="B979">
        <v>5750</v>
      </c>
      <c r="C979">
        <v>9</v>
      </c>
      <c r="D979">
        <v>4507</v>
      </c>
      <c r="E979">
        <v>0</v>
      </c>
      <c r="F979">
        <v>153617021970</v>
      </c>
      <c r="G979">
        <v>170602889.44</v>
      </c>
      <c r="H979">
        <v>152338349924</v>
      </c>
      <c r="I979">
        <v>153280471246.67001</v>
      </c>
      <c r="J979">
        <v>8.3206000000000002E-2</v>
      </c>
      <c r="K979">
        <v>1.2886E-2</v>
      </c>
      <c r="M979" t="s">
        <v>1</v>
      </c>
      <c r="N979">
        <v>6250</v>
      </c>
      <c r="O979">
        <v>6</v>
      </c>
      <c r="P979">
        <v>11228</v>
      </c>
      <c r="Q979">
        <v>0</v>
      </c>
      <c r="R979">
        <v>463161116213</v>
      </c>
      <c r="S979">
        <v>461470642.69</v>
      </c>
      <c r="T979">
        <v>460186827095.01001</v>
      </c>
      <c r="U979">
        <v>462020464344.07001</v>
      </c>
      <c r="V979">
        <v>6.3196000000000002E-2</v>
      </c>
      <c r="W979">
        <v>1.7455999999999999E-2</v>
      </c>
    </row>
    <row r="980" spans="1:23" x14ac:dyDescent="0.35">
      <c r="A980" t="s">
        <v>0</v>
      </c>
      <c r="B980">
        <v>5750</v>
      </c>
      <c r="C980">
        <v>10</v>
      </c>
      <c r="D980">
        <v>6320</v>
      </c>
      <c r="E980">
        <v>0</v>
      </c>
      <c r="F980">
        <v>218865954167</v>
      </c>
      <c r="G980">
        <v>244710628.99000001</v>
      </c>
      <c r="H980">
        <v>217569950353</v>
      </c>
      <c r="I980">
        <v>218564657404.60001</v>
      </c>
      <c r="J980">
        <v>5.6141999999999997E-2</v>
      </c>
      <c r="K980">
        <v>3.0980000000000001E-3</v>
      </c>
      <c r="M980" t="s">
        <v>0</v>
      </c>
      <c r="N980">
        <v>6250</v>
      </c>
      <c r="O980">
        <v>8</v>
      </c>
      <c r="P980">
        <v>14350</v>
      </c>
      <c r="Q980">
        <v>0</v>
      </c>
      <c r="R980">
        <v>473458206454</v>
      </c>
      <c r="S980">
        <v>477215477.23000002</v>
      </c>
      <c r="T980">
        <v>459954081309.46002</v>
      </c>
      <c r="U980">
        <v>472815253362.84998</v>
      </c>
      <c r="V980">
        <v>0.28451900000000002</v>
      </c>
      <c r="W980">
        <v>4.1929999999999997E-3</v>
      </c>
    </row>
    <row r="981" spans="1:23" x14ac:dyDescent="0.35">
      <c r="A981" t="s">
        <v>1</v>
      </c>
      <c r="B981">
        <v>5750</v>
      </c>
      <c r="C981">
        <v>9</v>
      </c>
      <c r="D981">
        <v>5143</v>
      </c>
      <c r="E981">
        <v>0</v>
      </c>
      <c r="F981">
        <v>216542607030</v>
      </c>
      <c r="G981">
        <v>240509551.55000001</v>
      </c>
      <c r="H981">
        <v>210726971908</v>
      </c>
      <c r="I981">
        <v>215938874037.54999</v>
      </c>
      <c r="J981">
        <v>0.26874999999999999</v>
      </c>
      <c r="K981">
        <v>1.9944E-2</v>
      </c>
      <c r="M981" t="s">
        <v>2</v>
      </c>
      <c r="N981">
        <v>6250</v>
      </c>
      <c r="O981">
        <v>7</v>
      </c>
      <c r="P981">
        <v>717</v>
      </c>
      <c r="Q981">
        <v>0</v>
      </c>
      <c r="R981">
        <v>15611894944</v>
      </c>
      <c r="S981">
        <v>15581624.689999999</v>
      </c>
      <c r="T981">
        <v>15596313319.309999</v>
      </c>
      <c r="U981">
        <v>15596313319.309999</v>
      </c>
      <c r="V981">
        <v>0</v>
      </c>
      <c r="W981">
        <v>0</v>
      </c>
    </row>
    <row r="982" spans="1:23" x14ac:dyDescent="0.35">
      <c r="A982" t="s">
        <v>0</v>
      </c>
      <c r="B982">
        <v>5500</v>
      </c>
      <c r="C982">
        <v>9</v>
      </c>
      <c r="D982">
        <v>2056</v>
      </c>
      <c r="E982">
        <v>0</v>
      </c>
      <c r="F982">
        <v>69849544687</v>
      </c>
      <c r="G982">
        <v>81130383.829999998</v>
      </c>
      <c r="H982">
        <v>69438687132</v>
      </c>
      <c r="I982">
        <v>69695711947.440002</v>
      </c>
      <c r="J982">
        <v>5.5198999999999998E-2</v>
      </c>
      <c r="K982">
        <v>1.2418999999999999E-2</v>
      </c>
      <c r="M982" t="s">
        <v>0</v>
      </c>
      <c r="N982">
        <v>5750</v>
      </c>
      <c r="O982">
        <v>7</v>
      </c>
      <c r="P982">
        <v>2858</v>
      </c>
      <c r="Q982">
        <v>0</v>
      </c>
      <c r="R982">
        <v>94584000362</v>
      </c>
      <c r="S982">
        <v>103971317.62</v>
      </c>
      <c r="T982">
        <v>93862024884.369995</v>
      </c>
      <c r="U982">
        <v>94459702120.089996</v>
      </c>
      <c r="V982">
        <v>7.5649999999999995E-2</v>
      </c>
      <c r="W982">
        <v>2.5760000000000002E-3</v>
      </c>
    </row>
    <row r="983" spans="1:23" x14ac:dyDescent="0.35">
      <c r="A983" t="s">
        <v>1</v>
      </c>
      <c r="B983">
        <v>5500</v>
      </c>
      <c r="C983">
        <v>9</v>
      </c>
      <c r="D983">
        <v>1435</v>
      </c>
      <c r="E983">
        <v>0</v>
      </c>
      <c r="F983">
        <v>61343305296</v>
      </c>
      <c r="G983">
        <v>71177362.120000005</v>
      </c>
      <c r="H983">
        <v>60549532794</v>
      </c>
      <c r="I983">
        <v>60976984357.919998</v>
      </c>
      <c r="J983">
        <v>0.132547</v>
      </c>
      <c r="K983">
        <v>5.6232999999999998E-2</v>
      </c>
      <c r="M983" t="s">
        <v>2</v>
      </c>
      <c r="N983">
        <v>5750</v>
      </c>
      <c r="O983">
        <v>6</v>
      </c>
      <c r="P983">
        <v>161</v>
      </c>
      <c r="Q983">
        <v>0</v>
      </c>
      <c r="R983">
        <v>3415193225</v>
      </c>
      <c r="S983">
        <v>3713982.61</v>
      </c>
      <c r="T983">
        <v>3411479242.3899999</v>
      </c>
      <c r="U983">
        <v>3411479242.3899999</v>
      </c>
      <c r="V983">
        <v>0</v>
      </c>
      <c r="W983">
        <v>0</v>
      </c>
    </row>
    <row r="984" spans="1:23" x14ac:dyDescent="0.35">
      <c r="A984" t="s">
        <v>0</v>
      </c>
      <c r="B984">
        <v>7750</v>
      </c>
      <c r="C984">
        <v>9</v>
      </c>
      <c r="D984">
        <v>979</v>
      </c>
      <c r="E984">
        <v>0</v>
      </c>
      <c r="F984">
        <v>25664455558</v>
      </c>
      <c r="G984">
        <v>19532856.440000001</v>
      </c>
      <c r="H984">
        <v>25245261745</v>
      </c>
      <c r="I984">
        <v>25566105171.18</v>
      </c>
      <c r="J984">
        <v>0.17166799999999999</v>
      </c>
      <c r="K984">
        <v>3.6236999999999998E-2</v>
      </c>
      <c r="M984" t="s">
        <v>1</v>
      </c>
      <c r="N984">
        <v>5750</v>
      </c>
      <c r="O984">
        <v>7</v>
      </c>
      <c r="P984">
        <v>2266</v>
      </c>
      <c r="Q984">
        <v>0</v>
      </c>
      <c r="R984">
        <v>95358921769</v>
      </c>
      <c r="S984">
        <v>104567322.97</v>
      </c>
      <c r="T984">
        <v>86341352692.559998</v>
      </c>
      <c r="U984">
        <v>95170039916.539993</v>
      </c>
      <c r="V984">
        <v>0.69196599999999997</v>
      </c>
      <c r="W984">
        <v>1.0559000000000001E-2</v>
      </c>
    </row>
    <row r="985" spans="1:23" x14ac:dyDescent="0.35">
      <c r="A985" t="s">
        <v>0</v>
      </c>
      <c r="B985">
        <v>7500</v>
      </c>
      <c r="C985">
        <v>9</v>
      </c>
      <c r="D985">
        <v>847</v>
      </c>
      <c r="E985">
        <v>0</v>
      </c>
      <c r="F985">
        <v>22789175114</v>
      </c>
      <c r="G985">
        <v>18219816.25</v>
      </c>
      <c r="H985">
        <v>22397752313</v>
      </c>
      <c r="I985">
        <v>22737517491.189999</v>
      </c>
      <c r="J985">
        <v>0.17974699999999999</v>
      </c>
      <c r="K985">
        <v>1.7465999999999999E-2</v>
      </c>
      <c r="M985" t="s">
        <v>2</v>
      </c>
      <c r="N985">
        <v>5750</v>
      </c>
      <c r="O985">
        <v>7</v>
      </c>
      <c r="P985">
        <v>132</v>
      </c>
      <c r="Q985">
        <v>0</v>
      </c>
      <c r="R985">
        <v>2996708738</v>
      </c>
      <c r="S985">
        <v>3279141.36</v>
      </c>
      <c r="T985">
        <v>2993429596.6399999</v>
      </c>
      <c r="U985">
        <v>2993429596.6399999</v>
      </c>
      <c r="V985">
        <v>0</v>
      </c>
      <c r="W985">
        <v>0</v>
      </c>
    </row>
    <row r="986" spans="1:23" x14ac:dyDescent="0.35">
      <c r="A986" t="s">
        <v>0</v>
      </c>
      <c r="B986">
        <v>7750</v>
      </c>
      <c r="C986">
        <v>10</v>
      </c>
      <c r="D986">
        <v>716</v>
      </c>
      <c r="E986">
        <v>0</v>
      </c>
      <c r="F986">
        <v>19086246587</v>
      </c>
      <c r="G986">
        <v>14589443.210000001</v>
      </c>
      <c r="H986">
        <v>18704052599</v>
      </c>
      <c r="I986">
        <v>19057713931.490002</v>
      </c>
      <c r="J986">
        <v>0.208145</v>
      </c>
      <c r="K986">
        <v>8.7309999999999992E-3</v>
      </c>
      <c r="M986" t="s">
        <v>0</v>
      </c>
      <c r="N986">
        <v>8000</v>
      </c>
      <c r="O986">
        <v>8</v>
      </c>
      <c r="P986">
        <v>154</v>
      </c>
      <c r="Q986">
        <v>0</v>
      </c>
      <c r="R986">
        <v>4442920015</v>
      </c>
      <c r="S986">
        <v>3230240.12</v>
      </c>
      <c r="T986">
        <v>4439689774.8800001</v>
      </c>
      <c r="U986">
        <v>4439689774.8800001</v>
      </c>
      <c r="V986">
        <v>0</v>
      </c>
      <c r="W986">
        <v>0</v>
      </c>
    </row>
    <row r="987" spans="1:23" x14ac:dyDescent="0.35">
      <c r="A987" t="s">
        <v>0</v>
      </c>
      <c r="B987">
        <v>7500</v>
      </c>
      <c r="C987">
        <v>10</v>
      </c>
      <c r="D987">
        <v>770</v>
      </c>
      <c r="E987">
        <v>0</v>
      </c>
      <c r="F987">
        <v>18478571504</v>
      </c>
      <c r="G987">
        <v>14859686.140000001</v>
      </c>
      <c r="H987">
        <v>18050701828</v>
      </c>
      <c r="I987">
        <v>18462643399.09</v>
      </c>
      <c r="J987">
        <v>0.23757600000000001</v>
      </c>
      <c r="K987">
        <v>6.9399999999999996E-4</v>
      </c>
      <c r="M987" t="s">
        <v>0</v>
      </c>
      <c r="N987">
        <v>7750</v>
      </c>
      <c r="O987">
        <v>7</v>
      </c>
      <c r="P987">
        <v>1312</v>
      </c>
      <c r="Q987">
        <v>0</v>
      </c>
      <c r="R987">
        <v>34580031181</v>
      </c>
      <c r="S987">
        <v>25946641.84</v>
      </c>
      <c r="T987">
        <v>33225280451.869999</v>
      </c>
      <c r="U987">
        <v>34484329385.080002</v>
      </c>
      <c r="V987">
        <v>0.37513299999999999</v>
      </c>
      <c r="W987">
        <v>2.3939999999999999E-2</v>
      </c>
    </row>
    <row r="988" spans="1:23" x14ac:dyDescent="0.35">
      <c r="A988" t="s">
        <v>0</v>
      </c>
      <c r="B988">
        <v>7250</v>
      </c>
      <c r="C988">
        <v>10</v>
      </c>
      <c r="D988">
        <v>3009</v>
      </c>
      <c r="E988">
        <v>0</v>
      </c>
      <c r="F988">
        <v>78121810004</v>
      </c>
      <c r="G988">
        <v>66090776.530000001</v>
      </c>
      <c r="H988">
        <v>75208438885</v>
      </c>
      <c r="I988">
        <v>77628550512.619995</v>
      </c>
      <c r="J988">
        <v>0.35951499999999997</v>
      </c>
      <c r="K988">
        <v>6.3677999999999998E-2</v>
      </c>
      <c r="M988" t="s">
        <v>0</v>
      </c>
      <c r="N988">
        <v>7750</v>
      </c>
      <c r="O988">
        <v>6</v>
      </c>
      <c r="P988">
        <v>1160</v>
      </c>
      <c r="Q988">
        <v>0</v>
      </c>
      <c r="R988">
        <v>31900906347</v>
      </c>
      <c r="S988">
        <v>23744169.27</v>
      </c>
      <c r="T988">
        <v>30246184127.040001</v>
      </c>
      <c r="U988">
        <v>31760925329.5</v>
      </c>
      <c r="V988">
        <v>0.46727800000000003</v>
      </c>
      <c r="W988">
        <v>4.2859000000000001E-2</v>
      </c>
    </row>
    <row r="989" spans="1:23" x14ac:dyDescent="0.35">
      <c r="A989" t="s">
        <v>1</v>
      </c>
      <c r="B989">
        <v>6750</v>
      </c>
      <c r="C989">
        <v>10</v>
      </c>
      <c r="D989">
        <v>3595</v>
      </c>
      <c r="E989">
        <v>0</v>
      </c>
      <c r="F989">
        <v>113652556464</v>
      </c>
      <c r="G989">
        <v>106104660.39</v>
      </c>
      <c r="H989">
        <v>106063707695</v>
      </c>
      <c r="I989">
        <v>112835224536.99001</v>
      </c>
      <c r="J989">
        <v>0.55836600000000003</v>
      </c>
      <c r="K989">
        <v>7.2563000000000002E-2</v>
      </c>
      <c r="M989" t="s">
        <v>0</v>
      </c>
      <c r="N989">
        <v>7500</v>
      </c>
      <c r="O989">
        <v>7</v>
      </c>
      <c r="P989">
        <v>1115</v>
      </c>
      <c r="Q989">
        <v>0</v>
      </c>
      <c r="R989">
        <v>31221574635</v>
      </c>
      <c r="S989">
        <v>24625136.27</v>
      </c>
      <c r="T989">
        <v>29615740236.220001</v>
      </c>
      <c r="U989">
        <v>31158906821.59</v>
      </c>
      <c r="V989">
        <v>0.46402399999999999</v>
      </c>
      <c r="W989">
        <v>1.4524E-2</v>
      </c>
    </row>
    <row r="990" spans="1:23" x14ac:dyDescent="0.35">
      <c r="A990" t="s">
        <v>0</v>
      </c>
      <c r="B990">
        <v>6250</v>
      </c>
      <c r="C990">
        <v>10</v>
      </c>
      <c r="D990">
        <v>15750</v>
      </c>
      <c r="E990">
        <v>0</v>
      </c>
      <c r="F990">
        <v>518326590120</v>
      </c>
      <c r="G990">
        <v>529326829.88</v>
      </c>
      <c r="H990">
        <v>508995845256</v>
      </c>
      <c r="I990">
        <v>517384161528.51001</v>
      </c>
      <c r="J990">
        <v>0.18577199999999999</v>
      </c>
      <c r="K990">
        <v>9.5219999999999992E-3</v>
      </c>
      <c r="M990" t="s">
        <v>2</v>
      </c>
      <c r="N990">
        <v>5750</v>
      </c>
      <c r="O990">
        <v>8</v>
      </c>
      <c r="P990">
        <v>186</v>
      </c>
      <c r="Q990">
        <v>0</v>
      </c>
      <c r="R990">
        <v>3911016981</v>
      </c>
      <c r="S990">
        <v>4305507.49</v>
      </c>
      <c r="T990">
        <v>3869755599.54</v>
      </c>
      <c r="U990">
        <v>3906711473.5100002</v>
      </c>
      <c r="V990">
        <v>0.107679</v>
      </c>
      <c r="W990">
        <v>0</v>
      </c>
    </row>
    <row r="991" spans="1:23" x14ac:dyDescent="0.35">
      <c r="A991" t="s">
        <v>2</v>
      </c>
      <c r="B991">
        <v>5750</v>
      </c>
      <c r="C991">
        <v>10</v>
      </c>
      <c r="D991">
        <v>236</v>
      </c>
      <c r="E991">
        <v>0</v>
      </c>
      <c r="F991">
        <v>5435755061</v>
      </c>
      <c r="G991">
        <v>6055890.5899999999</v>
      </c>
      <c r="H991">
        <v>5412591765</v>
      </c>
      <c r="I991">
        <v>5429243466.2600002</v>
      </c>
      <c r="J991">
        <v>3.7118999999999999E-2</v>
      </c>
      <c r="K991">
        <v>1.0059999999999999E-3</v>
      </c>
      <c r="M991" t="s">
        <v>0</v>
      </c>
      <c r="N991">
        <v>7250</v>
      </c>
      <c r="O991">
        <v>8</v>
      </c>
      <c r="P991">
        <v>4433</v>
      </c>
      <c r="Q991">
        <v>0</v>
      </c>
      <c r="R991">
        <v>121713106410</v>
      </c>
      <c r="S991">
        <v>101566380.09</v>
      </c>
      <c r="T991">
        <v>116796306983.14999</v>
      </c>
      <c r="U991">
        <v>121345241872.55</v>
      </c>
      <c r="V991">
        <v>0.38392799999999999</v>
      </c>
      <c r="W991">
        <v>2.5940999999999999E-2</v>
      </c>
    </row>
    <row r="992" spans="1:23" x14ac:dyDescent="0.35">
      <c r="A992" t="s">
        <v>1</v>
      </c>
      <c r="B992">
        <v>5500</v>
      </c>
      <c r="C992">
        <v>10</v>
      </c>
      <c r="D992">
        <v>2275</v>
      </c>
      <c r="E992">
        <v>0</v>
      </c>
      <c r="F992">
        <v>100537545119</v>
      </c>
      <c r="G992">
        <v>117342703.87</v>
      </c>
      <c r="H992">
        <v>99758238534</v>
      </c>
      <c r="I992">
        <v>100344939024.13</v>
      </c>
      <c r="J992">
        <v>7.6212000000000002E-2</v>
      </c>
      <c r="K992">
        <v>8.9460000000000008E-3</v>
      </c>
      <c r="M992" t="s">
        <v>1</v>
      </c>
      <c r="N992">
        <v>7250</v>
      </c>
      <c r="O992">
        <v>8</v>
      </c>
      <c r="P992">
        <v>1044</v>
      </c>
      <c r="Q992">
        <v>0</v>
      </c>
      <c r="R992">
        <v>31687693234</v>
      </c>
      <c r="S992">
        <v>26524106.370000001</v>
      </c>
      <c r="T992">
        <v>26070573707.77</v>
      </c>
      <c r="U992">
        <v>31189547131.689999</v>
      </c>
      <c r="V992">
        <v>0.90263099999999996</v>
      </c>
      <c r="W992">
        <v>0.164683</v>
      </c>
    </row>
    <row r="993" spans="1:23" x14ac:dyDescent="0.35">
      <c r="A993" t="s">
        <v>0</v>
      </c>
      <c r="B993">
        <v>5500</v>
      </c>
      <c r="C993">
        <v>10</v>
      </c>
      <c r="D993">
        <v>2762</v>
      </c>
      <c r="E993">
        <v>0</v>
      </c>
      <c r="F993">
        <v>93043605395</v>
      </c>
      <c r="G993">
        <v>108756548.94</v>
      </c>
      <c r="H993">
        <v>92553421050</v>
      </c>
      <c r="I993">
        <v>92808918088.190002</v>
      </c>
      <c r="J993">
        <v>4.8099000000000003E-2</v>
      </c>
      <c r="K993">
        <v>1.6121E-2</v>
      </c>
      <c r="M993" t="s">
        <v>0</v>
      </c>
      <c r="N993">
        <v>6750</v>
      </c>
      <c r="O993">
        <v>8</v>
      </c>
      <c r="P993">
        <v>14364</v>
      </c>
      <c r="Q993">
        <v>0</v>
      </c>
      <c r="R993">
        <v>431350608533</v>
      </c>
      <c r="S993">
        <v>397106983.60000002</v>
      </c>
      <c r="T993">
        <v>413141286579.15002</v>
      </c>
      <c r="U993">
        <v>430134800486.03003</v>
      </c>
      <c r="V993">
        <v>0.39712799999999998</v>
      </c>
      <c r="W993">
        <v>2.2540000000000001E-2</v>
      </c>
    </row>
    <row r="994" spans="1:23" x14ac:dyDescent="0.35">
      <c r="A994" t="s">
        <v>1</v>
      </c>
      <c r="B994">
        <v>5250</v>
      </c>
      <c r="C994">
        <v>9</v>
      </c>
      <c r="D994">
        <v>692</v>
      </c>
      <c r="E994">
        <v>0</v>
      </c>
      <c r="F994">
        <v>28366717044</v>
      </c>
      <c r="G994">
        <v>34387682.509999998</v>
      </c>
      <c r="H994">
        <v>28182932108</v>
      </c>
      <c r="I994">
        <v>28319939104.830002</v>
      </c>
      <c r="J994">
        <v>6.1400999999999997E-2</v>
      </c>
      <c r="K994">
        <v>5.2290000000000001E-3</v>
      </c>
      <c r="M994" t="s">
        <v>1</v>
      </c>
      <c r="N994">
        <v>6750</v>
      </c>
      <c r="O994">
        <v>7</v>
      </c>
      <c r="P994">
        <v>8626</v>
      </c>
      <c r="Q994">
        <v>0</v>
      </c>
      <c r="R994">
        <v>320559037369</v>
      </c>
      <c r="S994">
        <v>293645834.44999999</v>
      </c>
      <c r="T994">
        <v>221548008481.82999</v>
      </c>
      <c r="U994">
        <v>319820184077.34998</v>
      </c>
      <c r="V994">
        <v>0.98793200000000003</v>
      </c>
      <c r="W994">
        <v>1.6539000000000002E-2</v>
      </c>
    </row>
    <row r="995" spans="1:23" x14ac:dyDescent="0.35">
      <c r="A995" t="s">
        <v>1</v>
      </c>
      <c r="B995">
        <v>6750</v>
      </c>
      <c r="C995">
        <v>12</v>
      </c>
      <c r="D995">
        <v>7917</v>
      </c>
      <c r="E995">
        <v>0</v>
      </c>
      <c r="F995">
        <v>259725146220</v>
      </c>
      <c r="G995">
        <v>244802005.12</v>
      </c>
      <c r="H995">
        <v>243686724719</v>
      </c>
      <c r="I995">
        <v>258217624771.01999</v>
      </c>
      <c r="J995">
        <v>0.52897099999999997</v>
      </c>
      <c r="K995">
        <v>5.6806000000000002E-2</v>
      </c>
      <c r="M995" t="s">
        <v>2</v>
      </c>
      <c r="N995">
        <v>6250</v>
      </c>
      <c r="O995">
        <v>8</v>
      </c>
      <c r="P995">
        <v>811</v>
      </c>
      <c r="Q995">
        <v>0</v>
      </c>
      <c r="R995">
        <v>17024496082</v>
      </c>
      <c r="S995">
        <v>17140832.949999999</v>
      </c>
      <c r="T995">
        <v>16961855876.43</v>
      </c>
      <c r="U995">
        <v>17007355249.049999</v>
      </c>
      <c r="V995">
        <v>3.1604E-2</v>
      </c>
      <c r="W995">
        <v>0</v>
      </c>
    </row>
    <row r="996" spans="1:23" x14ac:dyDescent="0.35">
      <c r="A996" t="s">
        <v>1</v>
      </c>
      <c r="B996">
        <v>5750</v>
      </c>
      <c r="C996">
        <v>10</v>
      </c>
      <c r="D996">
        <v>8505</v>
      </c>
      <c r="E996">
        <v>0</v>
      </c>
      <c r="F996">
        <v>360394409917</v>
      </c>
      <c r="G996">
        <v>403351535.08999997</v>
      </c>
      <c r="H996">
        <v>351992446406</v>
      </c>
      <c r="I996">
        <v>358934362330.52002</v>
      </c>
      <c r="J996">
        <v>0.23610800000000001</v>
      </c>
      <c r="K996">
        <v>3.4623000000000001E-2</v>
      </c>
      <c r="M996" t="s">
        <v>1</v>
      </c>
      <c r="N996">
        <v>6250</v>
      </c>
      <c r="O996">
        <v>8</v>
      </c>
      <c r="P996">
        <v>10329</v>
      </c>
      <c r="Q996">
        <v>0</v>
      </c>
      <c r="R996">
        <v>407063231369</v>
      </c>
      <c r="S996">
        <v>410286217.61000001</v>
      </c>
      <c r="T996">
        <v>370406678949.47998</v>
      </c>
      <c r="U996">
        <v>406107615357.15002</v>
      </c>
      <c r="V996">
        <v>0.67343299999999995</v>
      </c>
      <c r="W996">
        <v>1.5958E-2</v>
      </c>
    </row>
    <row r="997" spans="1:23" x14ac:dyDescent="0.35">
      <c r="A997" t="s">
        <v>2</v>
      </c>
      <c r="B997">
        <v>7000</v>
      </c>
      <c r="C997">
        <v>12</v>
      </c>
      <c r="D997">
        <v>450</v>
      </c>
      <c r="E997">
        <v>0</v>
      </c>
      <c r="F997">
        <v>7598636442</v>
      </c>
      <c r="G997">
        <v>6828400.8499999996</v>
      </c>
      <c r="H997">
        <v>7451135796</v>
      </c>
      <c r="I997">
        <v>7591657233.1599998</v>
      </c>
      <c r="J997">
        <v>0.200873</v>
      </c>
      <c r="K997">
        <v>2.3800000000000001E-4</v>
      </c>
      <c r="M997" t="s">
        <v>0</v>
      </c>
      <c r="N997">
        <v>5750</v>
      </c>
      <c r="O997">
        <v>8</v>
      </c>
      <c r="P997">
        <v>4537</v>
      </c>
      <c r="Q997">
        <v>0</v>
      </c>
      <c r="R997">
        <v>154751299138</v>
      </c>
      <c r="S997">
        <v>170865051.22999999</v>
      </c>
      <c r="T997">
        <v>153632667957.48999</v>
      </c>
      <c r="U997">
        <v>154544831718.01001</v>
      </c>
      <c r="V997">
        <v>7.1068000000000006E-2</v>
      </c>
      <c r="W997">
        <v>2.7569999999999999E-3</v>
      </c>
    </row>
    <row r="998" spans="1:23" x14ac:dyDescent="0.35">
      <c r="A998" t="s">
        <v>2</v>
      </c>
      <c r="B998">
        <v>6750</v>
      </c>
      <c r="C998">
        <v>12</v>
      </c>
      <c r="D998">
        <v>1286</v>
      </c>
      <c r="E998">
        <v>0</v>
      </c>
      <c r="F998">
        <v>24077341084</v>
      </c>
      <c r="G998">
        <v>22631016.800000001</v>
      </c>
      <c r="H998">
        <v>23749723166</v>
      </c>
      <c r="I998">
        <v>24007287378.060001</v>
      </c>
      <c r="J998">
        <v>0.141848</v>
      </c>
      <c r="K998">
        <v>2.3380999999999999E-2</v>
      </c>
      <c r="M998" t="s">
        <v>0</v>
      </c>
      <c r="N998">
        <v>5750</v>
      </c>
      <c r="O998">
        <v>9</v>
      </c>
      <c r="P998">
        <v>6352</v>
      </c>
      <c r="Q998">
        <v>0</v>
      </c>
      <c r="R998">
        <v>220053007304</v>
      </c>
      <c r="S998">
        <v>244606494.75</v>
      </c>
      <c r="T998">
        <v>218837893688.20999</v>
      </c>
      <c r="U998">
        <v>219808400809.25</v>
      </c>
      <c r="V998">
        <v>5.1658999999999997E-2</v>
      </c>
      <c r="W998">
        <v>0</v>
      </c>
    </row>
    <row r="999" spans="1:23" x14ac:dyDescent="0.35">
      <c r="A999" t="s">
        <v>0</v>
      </c>
      <c r="B999">
        <v>5750</v>
      </c>
      <c r="C999">
        <v>12</v>
      </c>
      <c r="D999">
        <v>7194</v>
      </c>
      <c r="E999">
        <v>0</v>
      </c>
      <c r="F999">
        <v>243887017943</v>
      </c>
      <c r="G999">
        <v>274770834.26999998</v>
      </c>
      <c r="H999">
        <v>242065871844</v>
      </c>
      <c r="I999">
        <v>243499089090.82999</v>
      </c>
      <c r="J999">
        <v>7.3487999999999998E-2</v>
      </c>
      <c r="K999">
        <v>5.5539999999999999E-3</v>
      </c>
      <c r="M999" t="s">
        <v>1</v>
      </c>
      <c r="N999">
        <v>5750</v>
      </c>
      <c r="O999">
        <v>8</v>
      </c>
      <c r="P999">
        <v>5464</v>
      </c>
      <c r="Q999">
        <v>0</v>
      </c>
      <c r="R999">
        <v>230551426462</v>
      </c>
      <c r="S999">
        <v>254539053.11000001</v>
      </c>
      <c r="T999">
        <v>216526958446.19</v>
      </c>
      <c r="U999">
        <v>230040269195.26999</v>
      </c>
      <c r="V999">
        <v>0.52241300000000002</v>
      </c>
      <c r="W999">
        <v>1.3275E-2</v>
      </c>
    </row>
    <row r="1000" spans="1:23" x14ac:dyDescent="0.35">
      <c r="A1000" t="s">
        <v>0</v>
      </c>
      <c r="B1000">
        <v>5500</v>
      </c>
      <c r="C1000">
        <v>12</v>
      </c>
      <c r="D1000">
        <v>4063</v>
      </c>
      <c r="E1000">
        <v>0</v>
      </c>
      <c r="F1000">
        <v>132950191226</v>
      </c>
      <c r="G1000">
        <v>156483095.81</v>
      </c>
      <c r="H1000">
        <v>132163050374</v>
      </c>
      <c r="I1000">
        <v>132711098201.05</v>
      </c>
      <c r="J1000">
        <v>5.5461000000000003E-2</v>
      </c>
      <c r="K1000">
        <v>7.4310000000000001E-3</v>
      </c>
      <c r="M1000" t="s">
        <v>0</v>
      </c>
      <c r="N1000">
        <v>5500</v>
      </c>
      <c r="O1000">
        <v>8</v>
      </c>
      <c r="P1000">
        <v>2062</v>
      </c>
      <c r="Q1000">
        <v>0</v>
      </c>
      <c r="R1000">
        <v>70107345134</v>
      </c>
      <c r="S1000">
        <v>80969964.969999999</v>
      </c>
      <c r="T1000">
        <v>69784365945.979996</v>
      </c>
      <c r="U1000">
        <v>70026375169.029999</v>
      </c>
      <c r="V1000">
        <v>4.0646000000000002E-2</v>
      </c>
      <c r="W1000">
        <v>0</v>
      </c>
    </row>
    <row r="1001" spans="1:23" x14ac:dyDescent="0.35">
      <c r="A1001" t="s">
        <v>0</v>
      </c>
      <c r="B1001">
        <v>7750</v>
      </c>
      <c r="C1001">
        <v>12</v>
      </c>
      <c r="D1001">
        <v>1563</v>
      </c>
      <c r="E1001">
        <v>0</v>
      </c>
      <c r="F1001">
        <v>41021568388</v>
      </c>
      <c r="G1001">
        <v>31748210.399999999</v>
      </c>
      <c r="H1001">
        <v>39756393928</v>
      </c>
      <c r="I1001">
        <v>40803880538.470001</v>
      </c>
      <c r="J1001">
        <v>0.30673899999999998</v>
      </c>
      <c r="K1001">
        <v>5.3057E-2</v>
      </c>
      <c r="M1001" t="s">
        <v>1</v>
      </c>
      <c r="N1001">
        <v>5500</v>
      </c>
      <c r="O1001">
        <v>8</v>
      </c>
      <c r="P1001">
        <v>1448</v>
      </c>
      <c r="Q1001">
        <v>0</v>
      </c>
      <c r="R1001">
        <v>61979399955</v>
      </c>
      <c r="S1001">
        <v>71505034.370000005</v>
      </c>
      <c r="T1001">
        <v>61362283486.43</v>
      </c>
      <c r="U1001">
        <v>61849097775.709999</v>
      </c>
      <c r="V1001">
        <v>0.10067</v>
      </c>
      <c r="W1001">
        <v>1.1325E-2</v>
      </c>
    </row>
    <row r="1002" spans="1:23" x14ac:dyDescent="0.35">
      <c r="A1002" t="s">
        <v>2</v>
      </c>
      <c r="B1002">
        <v>6750</v>
      </c>
      <c r="C1002">
        <v>10</v>
      </c>
      <c r="D1002">
        <v>636</v>
      </c>
      <c r="E1002">
        <v>0</v>
      </c>
      <c r="F1002">
        <v>11502374052</v>
      </c>
      <c r="G1002">
        <v>10734015.77</v>
      </c>
      <c r="H1002">
        <v>11411738812</v>
      </c>
      <c r="I1002">
        <v>11427241737.290001</v>
      </c>
      <c r="J1002">
        <v>8.0245999999999998E-2</v>
      </c>
      <c r="K1002">
        <v>6.5154000000000004E-2</v>
      </c>
      <c r="M1002" t="s">
        <v>0</v>
      </c>
      <c r="N1002">
        <v>7750</v>
      </c>
      <c r="O1002">
        <v>8</v>
      </c>
      <c r="P1002">
        <v>1005</v>
      </c>
      <c r="Q1002">
        <v>0</v>
      </c>
      <c r="R1002">
        <v>26591628903</v>
      </c>
      <c r="S1002">
        <v>20090583.82</v>
      </c>
      <c r="T1002">
        <v>25764442010.490002</v>
      </c>
      <c r="U1002">
        <v>26558150574.75</v>
      </c>
      <c r="V1002">
        <v>0.30916900000000003</v>
      </c>
      <c r="W1002">
        <v>6.025E-3</v>
      </c>
    </row>
    <row r="1003" spans="1:23" x14ac:dyDescent="0.35">
      <c r="A1003" t="s">
        <v>1</v>
      </c>
      <c r="B1003">
        <v>6500</v>
      </c>
      <c r="C1003">
        <v>9</v>
      </c>
      <c r="D1003">
        <v>3310</v>
      </c>
      <c r="E1003">
        <v>0</v>
      </c>
      <c r="F1003">
        <v>115540697603</v>
      </c>
      <c r="G1003">
        <v>111336071.16</v>
      </c>
      <c r="H1003">
        <v>109875126666</v>
      </c>
      <c r="I1003">
        <v>115157625179.07001</v>
      </c>
      <c r="J1003">
        <v>0.44633</v>
      </c>
      <c r="K1003">
        <v>2.7859999999999999E-2</v>
      </c>
      <c r="M1003" t="s">
        <v>0</v>
      </c>
      <c r="N1003">
        <v>7500</v>
      </c>
      <c r="O1003">
        <v>8</v>
      </c>
      <c r="P1003">
        <v>880</v>
      </c>
      <c r="Q1003">
        <v>0</v>
      </c>
      <c r="R1003">
        <v>23927900582</v>
      </c>
      <c r="S1003">
        <v>18995905.449999999</v>
      </c>
      <c r="T1003">
        <v>22811374237.139999</v>
      </c>
      <c r="U1003">
        <v>23885890598.57</v>
      </c>
      <c r="V1003">
        <v>0.43075400000000003</v>
      </c>
      <c r="W1003">
        <v>1.1481E-2</v>
      </c>
    </row>
    <row r="1004" spans="1:23" x14ac:dyDescent="0.35">
      <c r="A1004" t="s">
        <v>1</v>
      </c>
      <c r="B1004">
        <v>6750</v>
      </c>
      <c r="C1004">
        <v>9</v>
      </c>
      <c r="D1004">
        <v>4887</v>
      </c>
      <c r="E1004">
        <v>0</v>
      </c>
      <c r="F1004">
        <v>164784196541</v>
      </c>
      <c r="G1004">
        <v>152770168.30000001</v>
      </c>
      <c r="H1004">
        <v>151262700899</v>
      </c>
      <c r="I1004">
        <v>163854932004.53</v>
      </c>
      <c r="J1004">
        <v>0.63771</v>
      </c>
      <c r="K1004">
        <v>5.5104E-2</v>
      </c>
      <c r="M1004" t="s">
        <v>0</v>
      </c>
      <c r="N1004">
        <v>7750</v>
      </c>
      <c r="O1004">
        <v>9</v>
      </c>
      <c r="P1004">
        <v>726</v>
      </c>
      <c r="Q1004">
        <v>0</v>
      </c>
      <c r="R1004">
        <v>19380623970</v>
      </c>
      <c r="S1004">
        <v>14707900.460000001</v>
      </c>
      <c r="T1004">
        <v>19050197643.439999</v>
      </c>
      <c r="U1004">
        <v>19331456094.419998</v>
      </c>
      <c r="V1004">
        <v>0.17888699999999999</v>
      </c>
      <c r="W1004">
        <v>2.1128999999999998E-2</v>
      </c>
    </row>
    <row r="1005" spans="1:23" x14ac:dyDescent="0.35">
      <c r="A1005" t="s">
        <v>2</v>
      </c>
      <c r="B1005">
        <v>6750</v>
      </c>
      <c r="C1005">
        <v>9</v>
      </c>
      <c r="D1005">
        <v>686</v>
      </c>
      <c r="E1005">
        <v>0</v>
      </c>
      <c r="F1005">
        <v>12648032016</v>
      </c>
      <c r="G1005">
        <v>11697096.33</v>
      </c>
      <c r="H1005">
        <v>12606834031</v>
      </c>
      <c r="I1005">
        <v>12617746902.67</v>
      </c>
      <c r="J1005">
        <v>2.7633000000000001E-2</v>
      </c>
      <c r="K1005">
        <v>1.7493999999999999E-2</v>
      </c>
      <c r="M1005" t="s">
        <v>0</v>
      </c>
      <c r="N1005">
        <v>7500</v>
      </c>
      <c r="O1005">
        <v>9</v>
      </c>
      <c r="P1005">
        <v>793</v>
      </c>
      <c r="Q1005">
        <v>0</v>
      </c>
      <c r="R1005">
        <v>19181698436</v>
      </c>
      <c r="S1005">
        <v>15314474.970000001</v>
      </c>
      <c r="T1005">
        <v>18427059068.669998</v>
      </c>
      <c r="U1005">
        <v>19086905430.5</v>
      </c>
      <c r="V1005">
        <v>0.37603999999999999</v>
      </c>
      <c r="W1005">
        <v>4.8604000000000001E-2</v>
      </c>
    </row>
    <row r="1006" spans="1:23" x14ac:dyDescent="0.35">
      <c r="A1006" t="s">
        <v>2</v>
      </c>
      <c r="B1006">
        <v>6750</v>
      </c>
      <c r="C1006">
        <v>8</v>
      </c>
      <c r="D1006">
        <v>679</v>
      </c>
      <c r="E1006">
        <v>0</v>
      </c>
      <c r="F1006">
        <v>12683044881</v>
      </c>
      <c r="G1006">
        <v>11647704.359999999</v>
      </c>
      <c r="H1006">
        <v>12597661438</v>
      </c>
      <c r="I1006">
        <v>12653338391.51</v>
      </c>
      <c r="J1006">
        <v>6.7576999999999998E-2</v>
      </c>
      <c r="K1006">
        <v>1.6952999999999999E-2</v>
      </c>
      <c r="M1006" t="s">
        <v>0</v>
      </c>
      <c r="N1006">
        <v>7250</v>
      </c>
      <c r="O1006">
        <v>9</v>
      </c>
      <c r="P1006">
        <v>3106</v>
      </c>
      <c r="Q1006">
        <v>0</v>
      </c>
      <c r="R1006">
        <v>80989368630</v>
      </c>
      <c r="S1006">
        <v>68052398.599999994</v>
      </c>
      <c r="T1006">
        <v>78098192147.990005</v>
      </c>
      <c r="U1006">
        <v>80691866908.270004</v>
      </c>
      <c r="V1006">
        <v>0.34672700000000001</v>
      </c>
      <c r="W1006">
        <v>3.3472000000000002E-2</v>
      </c>
    </row>
    <row r="1007" spans="1:23" x14ac:dyDescent="0.35">
      <c r="A1007" t="s">
        <v>1</v>
      </c>
      <c r="B1007">
        <v>6250</v>
      </c>
      <c r="C1007">
        <v>10</v>
      </c>
      <c r="D1007">
        <v>9582</v>
      </c>
      <c r="E1007">
        <v>0</v>
      </c>
      <c r="F1007">
        <v>358537692742</v>
      </c>
      <c r="G1007">
        <v>366395501.69999999</v>
      </c>
      <c r="H1007">
        <v>344013957859</v>
      </c>
      <c r="I1007">
        <v>356826169327.21002</v>
      </c>
      <c r="J1007">
        <v>0.38334499999999999</v>
      </c>
      <c r="K1007">
        <v>4.4103000000000003E-2</v>
      </c>
      <c r="M1007" t="s">
        <v>1</v>
      </c>
      <c r="N1007">
        <v>6750</v>
      </c>
      <c r="O1007">
        <v>9</v>
      </c>
      <c r="P1007">
        <v>3954</v>
      </c>
      <c r="Q1007">
        <v>0</v>
      </c>
      <c r="R1007">
        <v>127002621734</v>
      </c>
      <c r="S1007">
        <v>117879828.87</v>
      </c>
      <c r="T1007">
        <v>113714960460.85001</v>
      </c>
      <c r="U1007">
        <v>126047267654.36</v>
      </c>
      <c r="V1007">
        <v>0.731182</v>
      </c>
      <c r="W1007">
        <v>7.6322000000000001E-2</v>
      </c>
    </row>
    <row r="1008" spans="1:23" x14ac:dyDescent="0.35">
      <c r="A1008" t="s">
        <v>2</v>
      </c>
      <c r="B1008">
        <v>7000</v>
      </c>
      <c r="C1008">
        <v>8</v>
      </c>
      <c r="D1008">
        <v>272</v>
      </c>
      <c r="E1008">
        <v>0</v>
      </c>
      <c r="F1008">
        <v>4452521650</v>
      </c>
      <c r="G1008">
        <v>3907734.39</v>
      </c>
      <c r="H1008">
        <v>4448308415</v>
      </c>
      <c r="I1008">
        <v>4448308415</v>
      </c>
      <c r="J1008">
        <v>8.2299999999999995E-4</v>
      </c>
      <c r="K1008">
        <v>8.2299999999999995E-4</v>
      </c>
      <c r="M1008" t="s">
        <v>0</v>
      </c>
      <c r="N1008">
        <v>6250</v>
      </c>
      <c r="O1008">
        <v>9</v>
      </c>
      <c r="P1008">
        <v>16053</v>
      </c>
      <c r="Q1008">
        <v>0</v>
      </c>
      <c r="R1008">
        <v>530109210514</v>
      </c>
      <c r="S1008">
        <v>538053491.23000002</v>
      </c>
      <c r="T1008">
        <v>518397577473.19</v>
      </c>
      <c r="U1008">
        <v>529280634219</v>
      </c>
      <c r="V1008">
        <v>0.225578</v>
      </c>
      <c r="W1008">
        <v>6.5570000000000003E-3</v>
      </c>
    </row>
    <row r="1009" spans="1:23" x14ac:dyDescent="0.35">
      <c r="A1009" t="s">
        <v>0</v>
      </c>
      <c r="B1009">
        <v>6500</v>
      </c>
      <c r="C1009">
        <v>6</v>
      </c>
      <c r="D1009">
        <v>11395</v>
      </c>
      <c r="E1009">
        <v>0</v>
      </c>
      <c r="F1009">
        <v>343149287874</v>
      </c>
      <c r="G1009">
        <v>325639709.39999998</v>
      </c>
      <c r="H1009">
        <v>336845368685</v>
      </c>
      <c r="I1009">
        <v>341939995971.26001</v>
      </c>
      <c r="J1009">
        <v>0.19014800000000001</v>
      </c>
      <c r="K1009">
        <v>3.0467999999999999E-2</v>
      </c>
      <c r="M1009" t="s">
        <v>2</v>
      </c>
      <c r="N1009">
        <v>5750</v>
      </c>
      <c r="O1009">
        <v>9</v>
      </c>
      <c r="P1009">
        <v>236</v>
      </c>
      <c r="Q1009">
        <v>0</v>
      </c>
      <c r="R1009">
        <v>5441987173</v>
      </c>
      <c r="S1009">
        <v>6027414.5</v>
      </c>
      <c r="T1009">
        <v>5435959758.5</v>
      </c>
      <c r="U1009">
        <v>5435959758.5</v>
      </c>
      <c r="V1009">
        <v>0</v>
      </c>
      <c r="W1009">
        <v>0</v>
      </c>
    </row>
    <row r="1010" spans="1:23" x14ac:dyDescent="0.35">
      <c r="A1010" t="s">
        <v>2</v>
      </c>
      <c r="B1010">
        <v>6500</v>
      </c>
      <c r="C1010">
        <v>6</v>
      </c>
      <c r="D1010">
        <v>747</v>
      </c>
      <c r="E1010">
        <v>0</v>
      </c>
      <c r="F1010">
        <v>15477281927</v>
      </c>
      <c r="G1010">
        <v>14707090.93</v>
      </c>
      <c r="H1010">
        <v>15438270846</v>
      </c>
      <c r="I1010">
        <v>15454786124.290001</v>
      </c>
      <c r="J1010">
        <v>1.8682000000000001E-2</v>
      </c>
      <c r="K1010">
        <v>6.0219999999999996E-3</v>
      </c>
      <c r="M1010" t="s">
        <v>1</v>
      </c>
      <c r="N1010">
        <v>5500</v>
      </c>
      <c r="O1010">
        <v>9</v>
      </c>
      <c r="P1010">
        <v>2302</v>
      </c>
      <c r="Q1010">
        <v>0</v>
      </c>
      <c r="R1010">
        <v>101921155081</v>
      </c>
      <c r="S1010">
        <v>118276403.7</v>
      </c>
      <c r="T1010">
        <v>100563802072.75999</v>
      </c>
      <c r="U1010">
        <v>101802878677.3</v>
      </c>
      <c r="V1010">
        <v>0.136517</v>
      </c>
      <c r="W1010">
        <v>0</v>
      </c>
    </row>
    <row r="1011" spans="1:23" x14ac:dyDescent="0.35">
      <c r="A1011" t="s">
        <v>1</v>
      </c>
      <c r="B1011">
        <v>6500</v>
      </c>
      <c r="C1011">
        <v>7</v>
      </c>
      <c r="D1011">
        <v>6196</v>
      </c>
      <c r="E1011">
        <v>0</v>
      </c>
      <c r="F1011">
        <v>228389164906</v>
      </c>
      <c r="G1011">
        <v>217504213.19999999</v>
      </c>
      <c r="H1011">
        <v>181895943976</v>
      </c>
      <c r="I1011">
        <v>227758943248.04001</v>
      </c>
      <c r="J1011">
        <v>0.93393099999999996</v>
      </c>
      <c r="K1011">
        <v>2.1471000000000001E-2</v>
      </c>
      <c r="M1011" t="s">
        <v>0</v>
      </c>
      <c r="N1011">
        <v>5500</v>
      </c>
      <c r="O1011">
        <v>9</v>
      </c>
      <c r="P1011">
        <v>2773</v>
      </c>
      <c r="Q1011">
        <v>0</v>
      </c>
      <c r="R1011">
        <v>93566580219</v>
      </c>
      <c r="S1011">
        <v>108749738.84</v>
      </c>
      <c r="T1011">
        <v>93133263405.259995</v>
      </c>
      <c r="U1011">
        <v>93418938359.589996</v>
      </c>
      <c r="V1011">
        <v>4.0841000000000002E-2</v>
      </c>
      <c r="W1011">
        <v>4.9769999999999997E-3</v>
      </c>
    </row>
    <row r="1012" spans="1:23" x14ac:dyDescent="0.35">
      <c r="A1012" t="s">
        <v>0</v>
      </c>
      <c r="B1012">
        <v>6000</v>
      </c>
      <c r="C1012">
        <v>5</v>
      </c>
      <c r="D1012">
        <v>72892</v>
      </c>
      <c r="E1012">
        <v>0</v>
      </c>
      <c r="F1012">
        <v>2286442800000</v>
      </c>
      <c r="G1012">
        <v>2333577183.8299999</v>
      </c>
      <c r="H1012">
        <v>2281714333608</v>
      </c>
      <c r="I1012">
        <v>2284568001466.4302</v>
      </c>
      <c r="J1012">
        <v>1.2496999999999999E-2</v>
      </c>
      <c r="K1012">
        <v>-2.4099999999999998E-3</v>
      </c>
      <c r="M1012" t="s">
        <v>1</v>
      </c>
      <c r="N1012">
        <v>5250</v>
      </c>
      <c r="O1012">
        <v>8</v>
      </c>
      <c r="P1012">
        <v>695</v>
      </c>
      <c r="Q1012">
        <v>0</v>
      </c>
      <c r="R1012">
        <v>28523160020</v>
      </c>
      <c r="S1012">
        <v>34385214.420000002</v>
      </c>
      <c r="T1012">
        <v>28369347254.740002</v>
      </c>
      <c r="U1012">
        <v>28488774805.580002</v>
      </c>
      <c r="V1012">
        <v>4.9103000000000001E-2</v>
      </c>
      <c r="W1012">
        <v>0</v>
      </c>
    </row>
    <row r="1013" spans="1:23" x14ac:dyDescent="0.35">
      <c r="A1013" t="s">
        <v>2</v>
      </c>
      <c r="B1013">
        <v>6000</v>
      </c>
      <c r="C1013">
        <v>5</v>
      </c>
      <c r="D1013">
        <v>3360</v>
      </c>
      <c r="E1013">
        <v>0</v>
      </c>
      <c r="F1013">
        <v>71313900000</v>
      </c>
      <c r="G1013">
        <v>72578669.530000001</v>
      </c>
      <c r="H1013">
        <v>71262314371</v>
      </c>
      <c r="I1013">
        <v>71262314371</v>
      </c>
      <c r="J1013">
        <v>-3.5379999999999999E-3</v>
      </c>
      <c r="K1013">
        <v>-3.5379999999999999E-3</v>
      </c>
      <c r="M1013" t="s">
        <v>1</v>
      </c>
      <c r="N1013">
        <v>6750</v>
      </c>
      <c r="O1013">
        <v>10</v>
      </c>
      <c r="P1013">
        <v>4437</v>
      </c>
      <c r="Q1013">
        <v>0</v>
      </c>
      <c r="R1013">
        <v>145487517354</v>
      </c>
      <c r="S1013">
        <v>135864728.47</v>
      </c>
      <c r="T1013">
        <v>132870299527.17999</v>
      </c>
      <c r="U1013">
        <v>144282364481.42999</v>
      </c>
      <c r="V1013">
        <v>0.65915900000000005</v>
      </c>
      <c r="W1013">
        <v>8.4717000000000001E-2</v>
      </c>
    </row>
    <row r="1014" spans="1:23" x14ac:dyDescent="0.35">
      <c r="A1014" t="s">
        <v>1</v>
      </c>
      <c r="B1014">
        <v>6000</v>
      </c>
      <c r="C1014">
        <v>5</v>
      </c>
      <c r="D1014">
        <v>36230</v>
      </c>
      <c r="E1014">
        <v>0</v>
      </c>
      <c r="F1014">
        <v>1382604900000</v>
      </c>
      <c r="G1014">
        <v>1412445568.9300001</v>
      </c>
      <c r="H1014">
        <v>1375858367205</v>
      </c>
      <c r="I1014">
        <v>1378932111913.7</v>
      </c>
      <c r="J1014">
        <v>4.5325999999999998E-2</v>
      </c>
      <c r="K1014">
        <v>1.9442999999999998E-2</v>
      </c>
      <c r="M1014" t="s">
        <v>1</v>
      </c>
      <c r="N1014">
        <v>5750</v>
      </c>
      <c r="O1014">
        <v>9</v>
      </c>
      <c r="P1014">
        <v>8893</v>
      </c>
      <c r="Q1014">
        <v>0</v>
      </c>
      <c r="R1014">
        <v>378106725536</v>
      </c>
      <c r="S1014">
        <v>420750656.19999999</v>
      </c>
      <c r="T1014">
        <v>360573038152.33002</v>
      </c>
      <c r="U1014">
        <v>376971303754.33002</v>
      </c>
      <c r="V1014">
        <v>0.42637999999999998</v>
      </c>
      <c r="W1014">
        <v>2.2447000000000002E-2</v>
      </c>
    </row>
    <row r="1015" spans="1:23" x14ac:dyDescent="0.35">
      <c r="A1015" t="s">
        <v>0</v>
      </c>
      <c r="B1015">
        <v>6500</v>
      </c>
      <c r="C1015">
        <v>5</v>
      </c>
      <c r="D1015">
        <v>37184</v>
      </c>
      <c r="E1015">
        <v>0</v>
      </c>
      <c r="F1015">
        <v>1035218300000</v>
      </c>
      <c r="G1015">
        <v>964067198.67999995</v>
      </c>
      <c r="H1015">
        <v>1031269344857</v>
      </c>
      <c r="I1015">
        <v>1033648810521.51</v>
      </c>
      <c r="J1015">
        <v>3.4056999999999997E-2</v>
      </c>
      <c r="K1015">
        <v>6.9950000000000003E-3</v>
      </c>
      <c r="M1015" t="s">
        <v>1</v>
      </c>
      <c r="N1015">
        <v>5750</v>
      </c>
      <c r="O1015">
        <v>10</v>
      </c>
      <c r="P1015">
        <v>5182</v>
      </c>
      <c r="Q1015">
        <v>0</v>
      </c>
      <c r="R1015">
        <v>220574066480</v>
      </c>
      <c r="S1015">
        <v>247150154.31</v>
      </c>
      <c r="T1015">
        <v>208533685194.13</v>
      </c>
      <c r="U1015">
        <v>219583170465.81</v>
      </c>
      <c r="V1015">
        <v>0.48282900000000001</v>
      </c>
      <c r="W1015">
        <v>3.9719999999999998E-2</v>
      </c>
    </row>
    <row r="1016" spans="1:23" x14ac:dyDescent="0.35">
      <c r="A1016" t="s">
        <v>1</v>
      </c>
      <c r="B1016">
        <v>6500</v>
      </c>
      <c r="C1016">
        <v>5</v>
      </c>
      <c r="D1016">
        <v>9837</v>
      </c>
      <c r="E1016">
        <v>0</v>
      </c>
      <c r="F1016">
        <v>330850900000</v>
      </c>
      <c r="G1016">
        <v>308457822.68000001</v>
      </c>
      <c r="H1016">
        <v>328601454717</v>
      </c>
      <c r="I1016">
        <v>329798837703.33002</v>
      </c>
      <c r="J1016">
        <v>6.8171999999999996E-2</v>
      </c>
      <c r="K1016">
        <v>2.664E-2</v>
      </c>
      <c r="M1016" t="s">
        <v>2</v>
      </c>
      <c r="N1016">
        <v>7000</v>
      </c>
      <c r="O1016">
        <v>10</v>
      </c>
      <c r="P1016">
        <v>226</v>
      </c>
      <c r="Q1016">
        <v>0</v>
      </c>
      <c r="R1016">
        <v>3786300759</v>
      </c>
      <c r="S1016">
        <v>3370855.56</v>
      </c>
      <c r="T1016">
        <v>3765448335.8499999</v>
      </c>
      <c r="U1016">
        <v>3782929903.4400001</v>
      </c>
      <c r="V1016">
        <v>5.4018999999999998E-2</v>
      </c>
      <c r="W1016">
        <v>0</v>
      </c>
    </row>
    <row r="1017" spans="1:23" x14ac:dyDescent="0.35">
      <c r="A1017" t="s">
        <v>2</v>
      </c>
      <c r="B1017">
        <v>6500</v>
      </c>
      <c r="C1017">
        <v>5</v>
      </c>
      <c r="D1017">
        <v>1708</v>
      </c>
      <c r="E1017">
        <v>0</v>
      </c>
      <c r="F1017">
        <v>31315500000</v>
      </c>
      <c r="G1017">
        <v>29195487.120000001</v>
      </c>
      <c r="H1017">
        <v>31235115656</v>
      </c>
      <c r="I1017">
        <v>31271382033.369999</v>
      </c>
      <c r="J1017">
        <v>1.9439999999999999E-2</v>
      </c>
      <c r="K1017">
        <v>5.7029999999999997E-3</v>
      </c>
      <c r="M1017" t="s">
        <v>2</v>
      </c>
      <c r="N1017">
        <v>6750</v>
      </c>
      <c r="O1017">
        <v>10</v>
      </c>
      <c r="P1017">
        <v>696</v>
      </c>
      <c r="Q1017">
        <v>0</v>
      </c>
      <c r="R1017">
        <v>12934981514</v>
      </c>
      <c r="S1017">
        <v>12049988.449999999</v>
      </c>
      <c r="T1017">
        <v>12840687069.719999</v>
      </c>
      <c r="U1017">
        <v>12922931525.549999</v>
      </c>
      <c r="V1017">
        <v>7.3687000000000002E-2</v>
      </c>
      <c r="W1017">
        <v>0</v>
      </c>
    </row>
    <row r="1018" spans="1:23" x14ac:dyDescent="0.35">
      <c r="A1018" t="s">
        <v>0</v>
      </c>
      <c r="B1018">
        <v>5500</v>
      </c>
      <c r="C1018">
        <v>5</v>
      </c>
      <c r="D1018">
        <v>33592</v>
      </c>
      <c r="E1018">
        <v>0</v>
      </c>
      <c r="F1018">
        <v>1181183300000</v>
      </c>
      <c r="G1018">
        <v>1319460841.3099999</v>
      </c>
      <c r="H1018">
        <v>1179160483639</v>
      </c>
      <c r="I1018">
        <v>1180634424120.1299</v>
      </c>
      <c r="J1018">
        <v>7.1219999999999999E-3</v>
      </c>
      <c r="K1018">
        <v>-7.8569999999999994E-3</v>
      </c>
      <c r="M1018" t="s">
        <v>1</v>
      </c>
      <c r="N1018">
        <v>6250</v>
      </c>
      <c r="O1018">
        <v>10</v>
      </c>
      <c r="P1018">
        <v>8621</v>
      </c>
      <c r="Q1018">
        <v>0</v>
      </c>
      <c r="R1018">
        <v>326197008616</v>
      </c>
      <c r="S1018">
        <v>332979604.23000002</v>
      </c>
      <c r="T1018">
        <v>304196940648.97998</v>
      </c>
      <c r="U1018">
        <v>325166957792.72998</v>
      </c>
      <c r="V1018">
        <v>0.56167100000000003</v>
      </c>
      <c r="W1018">
        <v>2.5343999999999998E-2</v>
      </c>
    </row>
    <row r="1019" spans="1:23" x14ac:dyDescent="0.35">
      <c r="A1019" t="s">
        <v>1</v>
      </c>
      <c r="B1019">
        <v>5500</v>
      </c>
      <c r="C1019">
        <v>5</v>
      </c>
      <c r="D1019">
        <v>58995</v>
      </c>
      <c r="E1019">
        <v>0</v>
      </c>
      <c r="F1019">
        <v>2599670200000</v>
      </c>
      <c r="G1019">
        <v>2907175558.4200001</v>
      </c>
      <c r="H1019">
        <v>2595520313756</v>
      </c>
      <c r="I1019">
        <v>2598043973891.6001</v>
      </c>
      <c r="J1019">
        <v>5.7210000000000004E-3</v>
      </c>
      <c r="K1019">
        <v>-5.9290000000000002E-3</v>
      </c>
      <c r="M1019" t="s">
        <v>0</v>
      </c>
      <c r="N1019">
        <v>5750</v>
      </c>
      <c r="O1019">
        <v>10</v>
      </c>
      <c r="P1019">
        <v>4684</v>
      </c>
      <c r="Q1019">
        <v>0</v>
      </c>
      <c r="R1019">
        <v>161141034079</v>
      </c>
      <c r="S1019">
        <v>180161879.91</v>
      </c>
      <c r="T1019">
        <v>160266329168.54001</v>
      </c>
      <c r="U1019">
        <v>160816743456.91</v>
      </c>
      <c r="V1019">
        <v>5.0513000000000002E-2</v>
      </c>
      <c r="W1019">
        <v>1.068E-2</v>
      </c>
    </row>
    <row r="1020" spans="1:23" x14ac:dyDescent="0.35">
      <c r="A1020" t="s">
        <v>2</v>
      </c>
      <c r="B1020">
        <v>5500</v>
      </c>
      <c r="C1020">
        <v>5</v>
      </c>
      <c r="D1020">
        <v>1239</v>
      </c>
      <c r="E1020">
        <v>0</v>
      </c>
      <c r="F1020">
        <v>30009200000</v>
      </c>
      <c r="G1020">
        <v>33350640.649999999</v>
      </c>
      <c r="H1020">
        <v>29996441884</v>
      </c>
      <c r="I1020">
        <v>29996441884</v>
      </c>
      <c r="J1020">
        <v>-8.2660000000000008E-3</v>
      </c>
      <c r="K1020">
        <v>-8.2660000000000008E-3</v>
      </c>
      <c r="M1020" t="s">
        <v>0</v>
      </c>
      <c r="N1020">
        <v>5500</v>
      </c>
      <c r="O1020">
        <v>10</v>
      </c>
      <c r="P1020">
        <v>2767</v>
      </c>
      <c r="Q1020">
        <v>0</v>
      </c>
      <c r="R1020">
        <v>90270240095</v>
      </c>
      <c r="S1020">
        <v>105471474.12</v>
      </c>
      <c r="T1020">
        <v>89959654654.649994</v>
      </c>
      <c r="U1020">
        <v>90164768620.880005</v>
      </c>
      <c r="V1020">
        <v>2.6928000000000001E-2</v>
      </c>
      <c r="W1020">
        <v>0</v>
      </c>
    </row>
    <row r="1021" spans="1:23" x14ac:dyDescent="0.35">
      <c r="A1021" t="s">
        <v>1</v>
      </c>
      <c r="B1021">
        <v>7000</v>
      </c>
      <c r="C1021">
        <v>9</v>
      </c>
      <c r="D1021">
        <v>1136</v>
      </c>
      <c r="E1021">
        <v>0</v>
      </c>
      <c r="F1021">
        <v>33305848209</v>
      </c>
      <c r="G1021">
        <v>29329662.739999998</v>
      </c>
      <c r="H1021">
        <v>30379373071</v>
      </c>
      <c r="I1021">
        <v>33082221987.549999</v>
      </c>
      <c r="J1021">
        <v>0.66447199999999995</v>
      </c>
      <c r="K1021">
        <v>6.7801E-2</v>
      </c>
      <c r="M1021" t="s">
        <v>0</v>
      </c>
      <c r="N1021">
        <v>7500</v>
      </c>
      <c r="O1021">
        <v>10</v>
      </c>
      <c r="P1021">
        <v>1071</v>
      </c>
      <c r="Q1021">
        <v>0</v>
      </c>
      <c r="R1021">
        <v>26108912738</v>
      </c>
      <c r="S1021">
        <v>21033772.140000001</v>
      </c>
      <c r="T1021">
        <v>25318430213.369999</v>
      </c>
      <c r="U1021">
        <v>26068863506.919998</v>
      </c>
      <c r="V1021">
        <v>0.30160100000000001</v>
      </c>
      <c r="W1021">
        <v>8.7049999999999992E-3</v>
      </c>
    </row>
    <row r="1022" spans="1:23" x14ac:dyDescent="0.35">
      <c r="A1022" t="s">
        <v>1</v>
      </c>
      <c r="B1022">
        <v>7000</v>
      </c>
      <c r="C1022">
        <v>8</v>
      </c>
      <c r="D1022">
        <v>1514</v>
      </c>
      <c r="E1022">
        <v>0</v>
      </c>
      <c r="F1022">
        <v>45003480963</v>
      </c>
      <c r="G1022">
        <v>39351975.43</v>
      </c>
      <c r="H1022">
        <v>38761180673</v>
      </c>
      <c r="I1022">
        <v>44768518349.529999</v>
      </c>
      <c r="J1022">
        <v>0.83130599999999999</v>
      </c>
      <c r="K1022">
        <v>5.0930000000000003E-2</v>
      </c>
      <c r="M1022" t="s">
        <v>0</v>
      </c>
      <c r="N1022">
        <v>7750</v>
      </c>
      <c r="O1022">
        <v>10</v>
      </c>
      <c r="P1022">
        <v>768</v>
      </c>
      <c r="Q1022">
        <v>0</v>
      </c>
      <c r="R1022">
        <v>19963015746</v>
      </c>
      <c r="S1022">
        <v>15259308.050000001</v>
      </c>
      <c r="T1022">
        <v>19502724794.369999</v>
      </c>
      <c r="U1022">
        <v>19886097499.02</v>
      </c>
      <c r="V1022">
        <v>0.23703299999999999</v>
      </c>
      <c r="W1022">
        <v>3.6441000000000001E-2</v>
      </c>
    </row>
    <row r="1023" spans="1:23" x14ac:dyDescent="0.35">
      <c r="A1023" t="s">
        <v>1</v>
      </c>
      <c r="B1023">
        <v>7250</v>
      </c>
      <c r="C1023">
        <v>8</v>
      </c>
      <c r="D1023">
        <v>1158</v>
      </c>
      <c r="E1023">
        <v>0</v>
      </c>
      <c r="F1023">
        <v>33709768288</v>
      </c>
      <c r="G1023">
        <v>28247036.649999999</v>
      </c>
      <c r="H1023">
        <v>27936366826</v>
      </c>
      <c r="I1023">
        <v>33429031414.029999</v>
      </c>
      <c r="J1023">
        <v>0.89377300000000004</v>
      </c>
      <c r="K1023">
        <v>8.6268999999999998E-2</v>
      </c>
      <c r="M1023" t="s">
        <v>2</v>
      </c>
      <c r="N1023">
        <v>6250</v>
      </c>
      <c r="O1023">
        <v>10</v>
      </c>
      <c r="P1023">
        <v>644</v>
      </c>
      <c r="Q1023">
        <v>0</v>
      </c>
      <c r="R1023">
        <v>13594402927</v>
      </c>
      <c r="S1023">
        <v>13875460.109999999</v>
      </c>
      <c r="T1023">
        <v>13515832235.219999</v>
      </c>
      <c r="U1023">
        <v>13544274865.26</v>
      </c>
      <c r="V1023">
        <v>5.5635999999999998E-2</v>
      </c>
      <c r="W1023">
        <v>3.1536000000000002E-2</v>
      </c>
    </row>
    <row r="1024" spans="1:23" x14ac:dyDescent="0.35">
      <c r="A1024" t="s">
        <v>0</v>
      </c>
      <c r="B1024">
        <v>6750</v>
      </c>
      <c r="C1024">
        <v>6</v>
      </c>
      <c r="D1024">
        <v>13369</v>
      </c>
      <c r="E1024">
        <v>0</v>
      </c>
      <c r="F1024">
        <v>385071478139</v>
      </c>
      <c r="G1024">
        <v>350277763.75999999</v>
      </c>
      <c r="H1024">
        <v>373216752213</v>
      </c>
      <c r="I1024">
        <v>383540862748.82001</v>
      </c>
      <c r="J1024">
        <v>0.30509399999999998</v>
      </c>
      <c r="K1024">
        <v>3.6169E-2</v>
      </c>
      <c r="M1024" t="s">
        <v>2</v>
      </c>
      <c r="N1024">
        <v>6750</v>
      </c>
      <c r="O1024">
        <v>9</v>
      </c>
      <c r="P1024">
        <v>638</v>
      </c>
      <c r="Q1024">
        <v>0</v>
      </c>
      <c r="R1024">
        <v>11541847136</v>
      </c>
      <c r="S1024">
        <v>10701321.220000001</v>
      </c>
      <c r="T1024">
        <v>11502132743.200001</v>
      </c>
      <c r="U1024">
        <v>11531145814.780001</v>
      </c>
      <c r="V1024">
        <v>2.9751E-2</v>
      </c>
      <c r="W1024">
        <v>0</v>
      </c>
    </row>
    <row r="1025" spans="1:23" x14ac:dyDescent="0.35">
      <c r="A1025" t="s">
        <v>1</v>
      </c>
      <c r="B1025">
        <v>6000</v>
      </c>
      <c r="C1025">
        <v>6</v>
      </c>
      <c r="D1025">
        <v>6880</v>
      </c>
      <c r="E1025">
        <v>0</v>
      </c>
      <c r="F1025">
        <v>290194595945</v>
      </c>
      <c r="G1025">
        <v>302273545</v>
      </c>
      <c r="H1025">
        <v>288823105685</v>
      </c>
      <c r="I1025">
        <v>289368018647.31</v>
      </c>
      <c r="J1025">
        <v>4.3328999999999999E-2</v>
      </c>
      <c r="K1025">
        <v>2.1467E-2</v>
      </c>
      <c r="M1025" t="s">
        <v>1</v>
      </c>
      <c r="N1025">
        <v>6500</v>
      </c>
      <c r="O1025">
        <v>8</v>
      </c>
      <c r="P1025">
        <v>3676</v>
      </c>
      <c r="Q1025">
        <v>0</v>
      </c>
      <c r="R1025">
        <v>131248235964</v>
      </c>
      <c r="S1025">
        <v>125665690.31999999</v>
      </c>
      <c r="T1025">
        <v>115501249284.59</v>
      </c>
      <c r="U1025">
        <v>131065439249.34</v>
      </c>
      <c r="V1025">
        <v>0.78143300000000004</v>
      </c>
      <c r="W1025">
        <v>5.2110000000000004E-3</v>
      </c>
    </row>
    <row r="1026" spans="1:23" x14ac:dyDescent="0.35">
      <c r="A1026" t="s">
        <v>2</v>
      </c>
      <c r="B1026">
        <v>6750</v>
      </c>
      <c r="C1026">
        <v>5</v>
      </c>
      <c r="D1026">
        <v>1587</v>
      </c>
      <c r="E1026">
        <v>0</v>
      </c>
      <c r="F1026">
        <v>26431700000</v>
      </c>
      <c r="G1026">
        <v>23614404.370000001</v>
      </c>
      <c r="H1026">
        <v>26375452333</v>
      </c>
      <c r="I1026">
        <v>26382246256.34</v>
      </c>
      <c r="J1026">
        <v>1.4715000000000001E-2</v>
      </c>
      <c r="K1026">
        <v>1.1668E-2</v>
      </c>
      <c r="M1026" t="s">
        <v>1</v>
      </c>
      <c r="N1026">
        <v>6750</v>
      </c>
      <c r="O1026">
        <v>8</v>
      </c>
      <c r="P1026">
        <v>5564</v>
      </c>
      <c r="Q1026">
        <v>0</v>
      </c>
      <c r="R1026">
        <v>191026372234</v>
      </c>
      <c r="S1026">
        <v>175958542.15000001</v>
      </c>
      <c r="T1026">
        <v>164843190881.01001</v>
      </c>
      <c r="U1026">
        <v>190410636114.51001</v>
      </c>
      <c r="V1026">
        <v>0.82730000000000004</v>
      </c>
      <c r="W1026">
        <v>2.7279000000000001E-2</v>
      </c>
    </row>
    <row r="1027" spans="1:23" x14ac:dyDescent="0.35">
      <c r="A1027" t="s">
        <v>0</v>
      </c>
      <c r="B1027">
        <v>6750</v>
      </c>
      <c r="C1027">
        <v>5</v>
      </c>
      <c r="D1027">
        <v>41754</v>
      </c>
      <c r="E1027">
        <v>0</v>
      </c>
      <c r="F1027">
        <v>1169121300000</v>
      </c>
      <c r="G1027">
        <v>1043244327.3099999</v>
      </c>
      <c r="H1027">
        <v>1164767710914</v>
      </c>
      <c r="I1027">
        <v>1167560394130.4399</v>
      </c>
      <c r="J1027">
        <v>3.3453999999999998E-2</v>
      </c>
      <c r="K1027">
        <v>5.3E-3</v>
      </c>
      <c r="M1027" t="s">
        <v>2</v>
      </c>
      <c r="N1027">
        <v>6750</v>
      </c>
      <c r="O1027">
        <v>8</v>
      </c>
      <c r="P1027">
        <v>692</v>
      </c>
      <c r="Q1027">
        <v>0</v>
      </c>
      <c r="R1027">
        <v>12857255311</v>
      </c>
      <c r="S1027">
        <v>11813451.91</v>
      </c>
      <c r="T1027">
        <v>12673878132.1</v>
      </c>
      <c r="U1027">
        <v>12845441859.09</v>
      </c>
      <c r="V1027">
        <v>0.14888000000000001</v>
      </c>
      <c r="W1027">
        <v>0</v>
      </c>
    </row>
    <row r="1028" spans="1:23" x14ac:dyDescent="0.35">
      <c r="A1028" t="s">
        <v>2</v>
      </c>
      <c r="B1028">
        <v>7500</v>
      </c>
      <c r="C1028">
        <v>8</v>
      </c>
      <c r="D1028">
        <v>47</v>
      </c>
      <c r="E1028">
        <v>0</v>
      </c>
      <c r="F1028">
        <v>718133854</v>
      </c>
      <c r="G1028">
        <v>577227.71</v>
      </c>
      <c r="H1028">
        <v>707233686</v>
      </c>
      <c r="I1028">
        <v>717367062.70000005</v>
      </c>
      <c r="J1028">
        <v>0.15949099999999999</v>
      </c>
      <c r="K1028">
        <v>3.163E-3</v>
      </c>
      <c r="M1028" t="s">
        <v>2</v>
      </c>
      <c r="N1028">
        <v>6750</v>
      </c>
      <c r="O1028">
        <v>7</v>
      </c>
      <c r="P1028">
        <v>682</v>
      </c>
      <c r="Q1028">
        <v>0</v>
      </c>
      <c r="R1028">
        <v>12754854043</v>
      </c>
      <c r="S1028">
        <v>11638032.49</v>
      </c>
      <c r="T1028">
        <v>12658776005.360001</v>
      </c>
      <c r="U1028">
        <v>12727477105.77</v>
      </c>
      <c r="V1028">
        <v>7.6613000000000001E-2</v>
      </c>
      <c r="W1028">
        <v>1.4707E-2</v>
      </c>
    </row>
    <row r="1029" spans="1:23" x14ac:dyDescent="0.35">
      <c r="A1029" t="s">
        <v>2</v>
      </c>
      <c r="B1029">
        <v>6750</v>
      </c>
      <c r="C1029">
        <v>7</v>
      </c>
      <c r="D1029">
        <v>747</v>
      </c>
      <c r="E1029">
        <v>0</v>
      </c>
      <c r="F1029">
        <v>13655368191</v>
      </c>
      <c r="G1029">
        <v>12474956.74</v>
      </c>
      <c r="H1029">
        <v>13524431382</v>
      </c>
      <c r="I1029">
        <v>13617333538.84</v>
      </c>
      <c r="J1029">
        <v>9.9275000000000002E-2</v>
      </c>
      <c r="K1029">
        <v>2.2231000000000001E-2</v>
      </c>
      <c r="M1029" t="s">
        <v>1</v>
      </c>
      <c r="N1029">
        <v>6250</v>
      </c>
      <c r="O1029">
        <v>9</v>
      </c>
      <c r="P1029">
        <v>10162</v>
      </c>
      <c r="Q1029">
        <v>0</v>
      </c>
      <c r="R1029">
        <v>384948254524</v>
      </c>
      <c r="S1029">
        <v>390971343.11000001</v>
      </c>
      <c r="T1029">
        <v>358606414080.96997</v>
      </c>
      <c r="U1029">
        <v>383981221813.84003</v>
      </c>
      <c r="V1029">
        <v>0.56721999999999995</v>
      </c>
      <c r="W1029">
        <v>1.7811E-2</v>
      </c>
    </row>
    <row r="1030" spans="1:23" x14ac:dyDescent="0.35">
      <c r="A1030" t="s">
        <v>2</v>
      </c>
      <c r="B1030">
        <v>6250</v>
      </c>
      <c r="C1030">
        <v>10</v>
      </c>
      <c r="D1030">
        <v>830</v>
      </c>
      <c r="E1030">
        <v>0</v>
      </c>
      <c r="F1030">
        <v>17882547046</v>
      </c>
      <c r="G1030">
        <v>18244667.77</v>
      </c>
      <c r="H1030">
        <v>17814373912</v>
      </c>
      <c r="I1030">
        <v>17837738231.080002</v>
      </c>
      <c r="J1030">
        <v>3.2994999999999997E-2</v>
      </c>
      <c r="K1030">
        <v>1.7680999999999999E-2</v>
      </c>
      <c r="M1030" t="s">
        <v>2</v>
      </c>
      <c r="N1030">
        <v>7000</v>
      </c>
      <c r="O1030">
        <v>7</v>
      </c>
      <c r="P1030">
        <v>274</v>
      </c>
      <c r="Q1030">
        <v>0</v>
      </c>
      <c r="R1030">
        <v>4526645347</v>
      </c>
      <c r="S1030">
        <v>3946550</v>
      </c>
      <c r="T1030">
        <v>4416883590.1099997</v>
      </c>
      <c r="U1030">
        <v>4522698797</v>
      </c>
      <c r="V1030">
        <v>0.247116</v>
      </c>
      <c r="W1030">
        <v>0</v>
      </c>
    </row>
    <row r="1031" spans="1:23" x14ac:dyDescent="0.35">
      <c r="A1031" t="s">
        <v>2</v>
      </c>
      <c r="B1031">
        <v>7500</v>
      </c>
      <c r="C1031">
        <v>7</v>
      </c>
      <c r="D1031">
        <v>37</v>
      </c>
      <c r="E1031">
        <v>0</v>
      </c>
      <c r="F1031">
        <v>595909945</v>
      </c>
      <c r="G1031">
        <v>472792.45</v>
      </c>
      <c r="H1031">
        <v>569675815</v>
      </c>
      <c r="I1031">
        <v>595344986.30999994</v>
      </c>
      <c r="J1031">
        <v>0.411578</v>
      </c>
      <c r="K1031">
        <v>1.854E-3</v>
      </c>
      <c r="M1031" t="s">
        <v>0</v>
      </c>
      <c r="N1031">
        <v>6500</v>
      </c>
      <c r="O1031">
        <v>5</v>
      </c>
      <c r="P1031">
        <v>44016</v>
      </c>
      <c r="Q1031">
        <v>0</v>
      </c>
      <c r="R1031">
        <v>1257352500000</v>
      </c>
      <c r="S1031">
        <v>1172093294.6600001</v>
      </c>
      <c r="T1031">
        <v>1252158671416.21</v>
      </c>
      <c r="U1031">
        <v>1255577470865.3701</v>
      </c>
      <c r="V1031">
        <v>3.7714999999999999E-2</v>
      </c>
      <c r="W1031">
        <v>5.7390000000000002E-3</v>
      </c>
    </row>
    <row r="1032" spans="1:23" x14ac:dyDescent="0.35">
      <c r="A1032" t="s">
        <v>2</v>
      </c>
      <c r="B1032">
        <v>6750</v>
      </c>
      <c r="C1032">
        <v>6</v>
      </c>
      <c r="D1032">
        <v>692</v>
      </c>
      <c r="E1032">
        <v>0</v>
      </c>
      <c r="F1032">
        <v>12976747171</v>
      </c>
      <c r="G1032">
        <v>11793869.529999999</v>
      </c>
      <c r="H1032">
        <v>12899391336</v>
      </c>
      <c r="I1032">
        <v>12956898432.950001</v>
      </c>
      <c r="J1032">
        <v>5.8971000000000003E-2</v>
      </c>
      <c r="K1032">
        <v>7.4229999999999999E-3</v>
      </c>
      <c r="M1032" t="s">
        <v>2</v>
      </c>
      <c r="N1032">
        <v>6500</v>
      </c>
      <c r="O1032">
        <v>5</v>
      </c>
      <c r="P1032">
        <v>2328</v>
      </c>
      <c r="Q1032">
        <v>0</v>
      </c>
      <c r="R1032">
        <v>44561000000</v>
      </c>
      <c r="S1032">
        <v>41616572.939999998</v>
      </c>
      <c r="T1032">
        <v>44505196827.239998</v>
      </c>
      <c r="U1032">
        <v>44505196827.239998</v>
      </c>
      <c r="V1032">
        <v>3.8140000000000001E-3</v>
      </c>
      <c r="W1032">
        <v>3.8140000000000001E-3</v>
      </c>
    </row>
    <row r="1033" spans="1:23" x14ac:dyDescent="0.35">
      <c r="A1033" t="s">
        <v>1</v>
      </c>
      <c r="B1033">
        <v>6750</v>
      </c>
      <c r="C1033">
        <v>6</v>
      </c>
      <c r="D1033">
        <v>6267</v>
      </c>
      <c r="E1033">
        <v>0</v>
      </c>
      <c r="F1033">
        <v>221319936571</v>
      </c>
      <c r="G1033">
        <v>201653925.61000001</v>
      </c>
      <c r="H1033">
        <v>219047027203</v>
      </c>
      <c r="I1033">
        <v>220097828079.16</v>
      </c>
      <c r="J1033">
        <v>0.1067</v>
      </c>
      <c r="K1033">
        <v>5.3947000000000002E-2</v>
      </c>
      <c r="M1033" t="s">
        <v>1</v>
      </c>
      <c r="N1033">
        <v>6500</v>
      </c>
      <c r="O1033">
        <v>6</v>
      </c>
      <c r="P1033">
        <v>6237</v>
      </c>
      <c r="Q1033">
        <v>0</v>
      </c>
      <c r="R1033">
        <v>230645340265</v>
      </c>
      <c r="S1033">
        <v>218266597.97999999</v>
      </c>
      <c r="T1033">
        <v>229194420106.73999</v>
      </c>
      <c r="U1033">
        <v>230282408638.94</v>
      </c>
      <c r="V1033">
        <v>6.2280000000000002E-2</v>
      </c>
      <c r="W1033">
        <v>7.5009999999999999E-3</v>
      </c>
    </row>
    <row r="1034" spans="1:23" x14ac:dyDescent="0.35">
      <c r="A1034" t="s">
        <v>0</v>
      </c>
      <c r="B1034">
        <v>7500</v>
      </c>
      <c r="C1034">
        <v>6</v>
      </c>
      <c r="D1034">
        <v>694</v>
      </c>
      <c r="E1034">
        <v>0</v>
      </c>
      <c r="F1034">
        <v>19956403212</v>
      </c>
      <c r="G1034">
        <v>15603393.17</v>
      </c>
      <c r="H1034">
        <v>18761309231</v>
      </c>
      <c r="I1034">
        <v>19838072074.669998</v>
      </c>
      <c r="J1034">
        <v>0.51860300000000004</v>
      </c>
      <c r="K1034">
        <v>6.0052000000000001E-2</v>
      </c>
      <c r="M1034" t="s">
        <v>1</v>
      </c>
      <c r="N1034">
        <v>6000</v>
      </c>
      <c r="O1034">
        <v>5</v>
      </c>
      <c r="P1034">
        <v>38794</v>
      </c>
      <c r="Q1034">
        <v>0</v>
      </c>
      <c r="R1034">
        <v>1515329200000</v>
      </c>
      <c r="S1034">
        <v>1548252742.45</v>
      </c>
      <c r="T1034">
        <v>1510701500048.1001</v>
      </c>
      <c r="U1034">
        <v>1513423610575.78</v>
      </c>
      <c r="V1034">
        <v>2.4115999999999999E-2</v>
      </c>
      <c r="W1034">
        <v>2.826E-3</v>
      </c>
    </row>
    <row r="1035" spans="1:23" x14ac:dyDescent="0.35">
      <c r="A1035" t="s">
        <v>0</v>
      </c>
      <c r="B1035">
        <v>6250</v>
      </c>
      <c r="C1035">
        <v>6</v>
      </c>
      <c r="D1035">
        <v>13430</v>
      </c>
      <c r="E1035">
        <v>0</v>
      </c>
      <c r="F1035">
        <v>443180709807</v>
      </c>
      <c r="G1035">
        <v>442021925.81999999</v>
      </c>
      <c r="H1035">
        <v>437496929469</v>
      </c>
      <c r="I1035">
        <v>442290600504.96997</v>
      </c>
      <c r="J1035">
        <v>0.133053</v>
      </c>
      <c r="K1035">
        <v>1.2066E-2</v>
      </c>
      <c r="M1035" t="s">
        <v>1</v>
      </c>
      <c r="N1035">
        <v>6500</v>
      </c>
      <c r="O1035">
        <v>5</v>
      </c>
      <c r="P1035">
        <v>14930</v>
      </c>
      <c r="Q1035">
        <v>0</v>
      </c>
      <c r="R1035">
        <v>522233100000</v>
      </c>
      <c r="S1035">
        <v>487525352.36000001</v>
      </c>
      <c r="T1035">
        <v>520077333020.45001</v>
      </c>
      <c r="U1035">
        <v>521404394475.14001</v>
      </c>
      <c r="V1035">
        <v>3.7666999999999999E-2</v>
      </c>
      <c r="W1035">
        <v>7.8120000000000004E-3</v>
      </c>
    </row>
    <row r="1036" spans="1:23" x14ac:dyDescent="0.35">
      <c r="A1036" t="s">
        <v>1</v>
      </c>
      <c r="B1036">
        <v>6250</v>
      </c>
      <c r="C1036">
        <v>6</v>
      </c>
      <c r="D1036">
        <v>10723</v>
      </c>
      <c r="E1036">
        <v>0</v>
      </c>
      <c r="F1036">
        <v>428812133707</v>
      </c>
      <c r="G1036">
        <v>427693483.49000001</v>
      </c>
      <c r="H1036">
        <v>425555776331</v>
      </c>
      <c r="I1036">
        <v>426898411175.20001</v>
      </c>
      <c r="J1036">
        <v>7.6347999999999999E-2</v>
      </c>
      <c r="K1036">
        <v>4.0801999999999998E-2</v>
      </c>
      <c r="M1036" t="s">
        <v>1</v>
      </c>
      <c r="N1036">
        <v>7000</v>
      </c>
      <c r="O1036">
        <v>8</v>
      </c>
      <c r="P1036">
        <v>1331</v>
      </c>
      <c r="Q1036">
        <v>0</v>
      </c>
      <c r="R1036">
        <v>39859863067</v>
      </c>
      <c r="S1036">
        <v>34866407.170000002</v>
      </c>
      <c r="T1036">
        <v>33307887348.990002</v>
      </c>
      <c r="U1036">
        <v>39642961776.370003</v>
      </c>
      <c r="V1036">
        <v>0.88262200000000002</v>
      </c>
      <c r="W1036">
        <v>5.3447000000000001E-2</v>
      </c>
    </row>
    <row r="1037" spans="1:23" x14ac:dyDescent="0.35">
      <c r="A1037" t="s">
        <v>1</v>
      </c>
      <c r="B1037">
        <v>5750</v>
      </c>
      <c r="C1037">
        <v>5</v>
      </c>
      <c r="D1037">
        <v>111341</v>
      </c>
      <c r="E1037">
        <v>0</v>
      </c>
      <c r="F1037">
        <v>4570080900000</v>
      </c>
      <c r="G1037">
        <v>4906011654.46</v>
      </c>
      <c r="H1037">
        <v>4559257655822</v>
      </c>
      <c r="I1037">
        <v>4566350610542.6602</v>
      </c>
      <c r="J1037">
        <v>1.5427E-2</v>
      </c>
      <c r="K1037">
        <v>-3.0920000000000001E-3</v>
      </c>
      <c r="M1037" t="s">
        <v>1</v>
      </c>
      <c r="N1037">
        <v>7000</v>
      </c>
      <c r="O1037">
        <v>7</v>
      </c>
      <c r="P1037">
        <v>2194</v>
      </c>
      <c r="Q1037">
        <v>0</v>
      </c>
      <c r="R1037">
        <v>69332962556</v>
      </c>
      <c r="S1037">
        <v>60269937.670000002</v>
      </c>
      <c r="T1037">
        <v>45074908198.290001</v>
      </c>
      <c r="U1037">
        <v>68893903118.279999</v>
      </c>
      <c r="V1037">
        <v>0.99420699999999995</v>
      </c>
      <c r="W1037">
        <v>6.3626000000000002E-2</v>
      </c>
    </row>
    <row r="1038" spans="1:23" x14ac:dyDescent="0.35">
      <c r="A1038" t="s">
        <v>0</v>
      </c>
      <c r="B1038">
        <v>5750</v>
      </c>
      <c r="C1038">
        <v>5</v>
      </c>
      <c r="D1038">
        <v>92749</v>
      </c>
      <c r="E1038">
        <v>0</v>
      </c>
      <c r="F1038">
        <v>3268684900000</v>
      </c>
      <c r="G1038">
        <v>3506600270.1999998</v>
      </c>
      <c r="H1038">
        <v>3263485662669</v>
      </c>
      <c r="I1038">
        <v>3267282551732.2998</v>
      </c>
      <c r="J1038">
        <v>6.1960000000000001E-3</v>
      </c>
      <c r="K1038">
        <v>-7.7530000000000003E-3</v>
      </c>
      <c r="M1038" t="s">
        <v>1</v>
      </c>
      <c r="N1038">
        <v>7250</v>
      </c>
      <c r="O1038">
        <v>7</v>
      </c>
      <c r="P1038">
        <v>1903</v>
      </c>
      <c r="Q1038">
        <v>0</v>
      </c>
      <c r="R1038">
        <v>59998681959</v>
      </c>
      <c r="S1038">
        <v>50043091.710000001</v>
      </c>
      <c r="T1038">
        <v>33743784114.009998</v>
      </c>
      <c r="U1038">
        <v>59524402058.279999</v>
      </c>
      <c r="V1038">
        <v>0.99898100000000001</v>
      </c>
      <c r="W1038">
        <v>8.1626000000000004E-2</v>
      </c>
    </row>
    <row r="1039" spans="1:23" x14ac:dyDescent="0.35">
      <c r="A1039" t="s">
        <v>2</v>
      </c>
      <c r="B1039">
        <v>5750</v>
      </c>
      <c r="C1039">
        <v>5</v>
      </c>
      <c r="D1039">
        <v>3528</v>
      </c>
      <c r="E1039">
        <v>0</v>
      </c>
      <c r="F1039">
        <v>80146300000</v>
      </c>
      <c r="G1039">
        <v>85229539.340000004</v>
      </c>
      <c r="H1039">
        <v>80120680594</v>
      </c>
      <c r="I1039">
        <v>80120680594</v>
      </c>
      <c r="J1039">
        <v>-8.9619999999999995E-3</v>
      </c>
      <c r="K1039">
        <v>-8.9619999999999995E-3</v>
      </c>
      <c r="M1039" t="s">
        <v>0</v>
      </c>
      <c r="N1039">
        <v>6750</v>
      </c>
      <c r="O1039">
        <v>5</v>
      </c>
      <c r="P1039">
        <v>50812</v>
      </c>
      <c r="Q1039">
        <v>0</v>
      </c>
      <c r="R1039">
        <v>1433245300000</v>
      </c>
      <c r="S1039">
        <v>1280076264.29</v>
      </c>
      <c r="T1039">
        <v>1427914780001.6799</v>
      </c>
      <c r="U1039">
        <v>1431303321380.78</v>
      </c>
      <c r="V1039">
        <v>3.3390999999999997E-2</v>
      </c>
      <c r="W1039">
        <v>5.5279999999999999E-3</v>
      </c>
    </row>
    <row r="1040" spans="1:23" x14ac:dyDescent="0.35">
      <c r="A1040" t="s">
        <v>0</v>
      </c>
      <c r="B1040">
        <v>6250</v>
      </c>
      <c r="C1040">
        <v>5</v>
      </c>
      <c r="D1040">
        <v>86556</v>
      </c>
      <c r="E1040">
        <v>0</v>
      </c>
      <c r="F1040">
        <v>2709531000000</v>
      </c>
      <c r="G1040">
        <v>2662669477.1100001</v>
      </c>
      <c r="H1040">
        <v>2703162947410</v>
      </c>
      <c r="I1040">
        <v>2707320531807.73</v>
      </c>
      <c r="J1040">
        <v>1.6288E-2</v>
      </c>
      <c r="K1040">
        <v>-2.0049999999999998E-3</v>
      </c>
      <c r="M1040" t="s">
        <v>2</v>
      </c>
      <c r="N1040">
        <v>6750</v>
      </c>
      <c r="O1040">
        <v>5</v>
      </c>
      <c r="P1040">
        <v>2143</v>
      </c>
      <c r="Q1040">
        <v>0</v>
      </c>
      <c r="R1040">
        <v>37368500000</v>
      </c>
      <c r="S1040">
        <v>33412491.280000001</v>
      </c>
      <c r="T1040">
        <v>37272943634.470001</v>
      </c>
      <c r="U1040">
        <v>37310309564.400002</v>
      </c>
      <c r="V1040">
        <v>1.9774E-2</v>
      </c>
      <c r="W1040">
        <v>7.9279999999999993E-3</v>
      </c>
    </row>
    <row r="1041" spans="1:23" x14ac:dyDescent="0.35">
      <c r="A1041" t="s">
        <v>2</v>
      </c>
      <c r="B1041">
        <v>6250</v>
      </c>
      <c r="C1041">
        <v>6</v>
      </c>
      <c r="D1041">
        <v>866</v>
      </c>
      <c r="E1041">
        <v>0</v>
      </c>
      <c r="F1041">
        <v>19110796928</v>
      </c>
      <c r="G1041">
        <v>18976349.920000002</v>
      </c>
      <c r="H1041">
        <v>19079317257</v>
      </c>
      <c r="I1041">
        <v>19079317257</v>
      </c>
      <c r="J1041">
        <v>7.8230000000000001E-3</v>
      </c>
      <c r="K1041">
        <v>7.8230000000000001E-3</v>
      </c>
      <c r="M1041" t="s">
        <v>2</v>
      </c>
      <c r="N1041">
        <v>7500</v>
      </c>
      <c r="O1041">
        <v>7</v>
      </c>
      <c r="P1041">
        <v>47</v>
      </c>
      <c r="Q1041">
        <v>0</v>
      </c>
      <c r="R1041">
        <v>718580553</v>
      </c>
      <c r="S1041">
        <v>573590.30000000005</v>
      </c>
      <c r="T1041">
        <v>718006962.70000005</v>
      </c>
      <c r="U1041">
        <v>718006962.70000005</v>
      </c>
      <c r="V1041">
        <v>0</v>
      </c>
      <c r="W1041">
        <v>0</v>
      </c>
    </row>
    <row r="1042" spans="1:23" x14ac:dyDescent="0.35">
      <c r="A1042" t="s">
        <v>0</v>
      </c>
      <c r="B1042">
        <v>7000</v>
      </c>
      <c r="C1042">
        <v>5</v>
      </c>
      <c r="D1042">
        <v>14013</v>
      </c>
      <c r="E1042">
        <v>0</v>
      </c>
      <c r="F1042">
        <v>387211300000</v>
      </c>
      <c r="G1042">
        <v>328145875.61000001</v>
      </c>
      <c r="H1042">
        <v>385589979306</v>
      </c>
      <c r="I1042">
        <v>386875772372.15002</v>
      </c>
      <c r="J1042">
        <v>3.9349000000000002E-2</v>
      </c>
      <c r="K1042">
        <v>2.2900000000000001E-4</v>
      </c>
      <c r="M1042" t="s">
        <v>2</v>
      </c>
      <c r="N1042">
        <v>6750</v>
      </c>
      <c r="O1042">
        <v>6</v>
      </c>
      <c r="P1042">
        <v>747</v>
      </c>
      <c r="Q1042">
        <v>0</v>
      </c>
      <c r="R1042">
        <v>13674258902</v>
      </c>
      <c r="S1042">
        <v>12411800.529999999</v>
      </c>
      <c r="T1042">
        <v>13661847101.469999</v>
      </c>
      <c r="U1042">
        <v>13661847101.469999</v>
      </c>
      <c r="V1042">
        <v>0</v>
      </c>
      <c r="W1042">
        <v>0</v>
      </c>
    </row>
    <row r="1043" spans="1:23" x14ac:dyDescent="0.35">
      <c r="A1043" t="s">
        <v>1</v>
      </c>
      <c r="B1043">
        <v>7000</v>
      </c>
      <c r="C1043">
        <v>5</v>
      </c>
      <c r="D1043">
        <v>4455</v>
      </c>
      <c r="E1043">
        <v>0</v>
      </c>
      <c r="F1043">
        <v>135350000000</v>
      </c>
      <c r="G1043">
        <v>114457187.98</v>
      </c>
      <c r="H1043">
        <v>134666091299</v>
      </c>
      <c r="I1043">
        <v>135037375644.72</v>
      </c>
      <c r="J1043">
        <v>4.9334999999999997E-2</v>
      </c>
      <c r="K1043">
        <v>1.7429E-2</v>
      </c>
      <c r="M1043" t="s">
        <v>2</v>
      </c>
      <c r="N1043">
        <v>6250</v>
      </c>
      <c r="O1043">
        <v>9</v>
      </c>
      <c r="P1043">
        <v>830</v>
      </c>
      <c r="Q1043">
        <v>0</v>
      </c>
      <c r="R1043">
        <v>17901538601</v>
      </c>
      <c r="S1043">
        <v>18151872.75</v>
      </c>
      <c r="T1043">
        <v>17883386728.25</v>
      </c>
      <c r="U1043">
        <v>17883386728.25</v>
      </c>
      <c r="V1043">
        <v>0</v>
      </c>
      <c r="W1043">
        <v>0</v>
      </c>
    </row>
    <row r="1044" spans="1:23" x14ac:dyDescent="0.35">
      <c r="A1044" t="s">
        <v>0</v>
      </c>
      <c r="B1044">
        <v>7250</v>
      </c>
      <c r="C1044">
        <v>5</v>
      </c>
      <c r="D1044">
        <v>11004</v>
      </c>
      <c r="E1044">
        <v>0</v>
      </c>
      <c r="F1044">
        <v>289643200000</v>
      </c>
      <c r="G1044">
        <v>233574029.53</v>
      </c>
      <c r="H1044">
        <v>288660269895</v>
      </c>
      <c r="I1044">
        <v>289259485030.14001</v>
      </c>
      <c r="J1044">
        <v>3.0608E-2</v>
      </c>
      <c r="K1044">
        <v>6.2030000000000002E-3</v>
      </c>
      <c r="M1044" t="s">
        <v>2</v>
      </c>
      <c r="N1044">
        <v>7500</v>
      </c>
      <c r="O1044">
        <v>6</v>
      </c>
      <c r="P1044">
        <v>37</v>
      </c>
      <c r="Q1044">
        <v>0</v>
      </c>
      <c r="R1044">
        <v>596345372</v>
      </c>
      <c r="S1044">
        <v>469864.45</v>
      </c>
      <c r="T1044">
        <v>595875507.54999995</v>
      </c>
      <c r="U1044">
        <v>595875507.54999995</v>
      </c>
      <c r="V1044">
        <v>0</v>
      </c>
      <c r="W1044">
        <v>0</v>
      </c>
    </row>
    <row r="1045" spans="1:23" x14ac:dyDescent="0.35">
      <c r="A1045" t="s">
        <v>2</v>
      </c>
      <c r="B1045">
        <v>6250</v>
      </c>
      <c r="C1045">
        <v>5</v>
      </c>
      <c r="D1045">
        <v>3738</v>
      </c>
      <c r="E1045">
        <v>0</v>
      </c>
      <c r="F1045">
        <v>74458600000</v>
      </c>
      <c r="G1045">
        <v>72537345.989999995</v>
      </c>
      <c r="H1045">
        <v>74348128006</v>
      </c>
      <c r="I1045">
        <v>74368308133.179993</v>
      </c>
      <c r="J1045">
        <v>6.097E-3</v>
      </c>
      <c r="K1045">
        <v>2.8579999999999999E-3</v>
      </c>
      <c r="M1045" t="s">
        <v>1</v>
      </c>
      <c r="N1045">
        <v>6750</v>
      </c>
      <c r="O1045">
        <v>5</v>
      </c>
      <c r="P1045">
        <v>20879</v>
      </c>
      <c r="Q1045">
        <v>0</v>
      </c>
      <c r="R1045">
        <v>692688400000</v>
      </c>
      <c r="S1045">
        <v>620840159.70000005</v>
      </c>
      <c r="T1045">
        <v>690106023218.72998</v>
      </c>
      <c r="U1045">
        <v>691558916853.22998</v>
      </c>
      <c r="V1045">
        <v>3.3457000000000001E-2</v>
      </c>
      <c r="W1045">
        <v>8.7760000000000008E-3</v>
      </c>
    </row>
    <row r="1046" spans="1:23" x14ac:dyDescent="0.35">
      <c r="A1046" t="s">
        <v>0</v>
      </c>
      <c r="B1046">
        <v>7500</v>
      </c>
      <c r="C1046">
        <v>5</v>
      </c>
      <c r="D1046">
        <v>1084</v>
      </c>
      <c r="E1046">
        <v>0</v>
      </c>
      <c r="F1046">
        <v>34437600000</v>
      </c>
      <c r="G1046">
        <v>26391297.600000001</v>
      </c>
      <c r="H1046">
        <v>34248106045</v>
      </c>
      <c r="I1046">
        <v>34410780537.410004</v>
      </c>
      <c r="J1046">
        <v>5.5377000000000003E-2</v>
      </c>
      <c r="K1046">
        <v>1.4899999999999999E-4</v>
      </c>
      <c r="M1046" t="s">
        <v>0</v>
      </c>
      <c r="N1046">
        <v>7500</v>
      </c>
      <c r="O1046">
        <v>5</v>
      </c>
      <c r="P1046">
        <v>1717</v>
      </c>
      <c r="Q1046">
        <v>0</v>
      </c>
      <c r="R1046">
        <v>52135800000</v>
      </c>
      <c r="S1046">
        <v>40053643.979999997</v>
      </c>
      <c r="T1046">
        <v>51913788458.620003</v>
      </c>
      <c r="U1046">
        <v>52095746356.019997</v>
      </c>
      <c r="V1046">
        <v>4.1085999999999998E-2</v>
      </c>
      <c r="W1046">
        <v>0</v>
      </c>
    </row>
    <row r="1047" spans="1:23" x14ac:dyDescent="0.35">
      <c r="A1047" t="s">
        <v>1</v>
      </c>
      <c r="B1047">
        <v>5250</v>
      </c>
      <c r="C1047">
        <v>5</v>
      </c>
      <c r="D1047">
        <v>42987</v>
      </c>
      <c r="E1047">
        <v>0</v>
      </c>
      <c r="F1047">
        <v>1927876400000</v>
      </c>
      <c r="G1047">
        <v>2250464589.9200001</v>
      </c>
      <c r="H1047">
        <v>1925189212289</v>
      </c>
      <c r="I1047">
        <v>1927175482423.9399</v>
      </c>
      <c r="J1047">
        <v>2.715E-3</v>
      </c>
      <c r="K1047">
        <v>-9.6880000000000004E-3</v>
      </c>
      <c r="M1047" t="s">
        <v>0</v>
      </c>
      <c r="N1047">
        <v>6250</v>
      </c>
      <c r="O1047">
        <v>5</v>
      </c>
      <c r="P1047">
        <v>88885</v>
      </c>
      <c r="Q1047">
        <v>0</v>
      </c>
      <c r="R1047">
        <v>2809822800000</v>
      </c>
      <c r="S1047">
        <v>2757061152.3400002</v>
      </c>
      <c r="T1047">
        <v>2802276594464.9102</v>
      </c>
      <c r="U1047">
        <v>2806844656449.1699</v>
      </c>
      <c r="V1047">
        <v>2.0263E-2</v>
      </c>
      <c r="W1047">
        <v>9.4399999999999996E-4</v>
      </c>
    </row>
    <row r="1048" spans="1:23" x14ac:dyDescent="0.35">
      <c r="A1048" t="s">
        <v>1</v>
      </c>
      <c r="B1048">
        <v>6250</v>
      </c>
      <c r="C1048">
        <v>5</v>
      </c>
      <c r="D1048">
        <v>45477</v>
      </c>
      <c r="E1048">
        <v>0</v>
      </c>
      <c r="F1048">
        <v>1648287200000</v>
      </c>
      <c r="G1048">
        <v>1617212480.95</v>
      </c>
      <c r="H1048">
        <v>1641301263529</v>
      </c>
      <c r="I1048">
        <v>1644673143508.49</v>
      </c>
      <c r="J1048">
        <v>3.8392999999999997E-2</v>
      </c>
      <c r="K1048">
        <v>1.4441000000000001E-2</v>
      </c>
      <c r="M1048" t="s">
        <v>1</v>
      </c>
      <c r="N1048">
        <v>6250</v>
      </c>
      <c r="O1048">
        <v>5</v>
      </c>
      <c r="P1048">
        <v>51127</v>
      </c>
      <c r="Q1048">
        <v>0</v>
      </c>
      <c r="R1048">
        <v>1903554400000</v>
      </c>
      <c r="S1048">
        <v>1866845358.45</v>
      </c>
      <c r="T1048">
        <v>1897826973727.04</v>
      </c>
      <c r="U1048">
        <v>1901274261941.51</v>
      </c>
      <c r="V1048">
        <v>2.4067000000000002E-2</v>
      </c>
      <c r="W1048">
        <v>2.6020000000000001E-3</v>
      </c>
    </row>
    <row r="1049" spans="1:23" x14ac:dyDescent="0.35">
      <c r="A1049" t="s">
        <v>1</v>
      </c>
      <c r="B1049">
        <v>6750</v>
      </c>
      <c r="C1049">
        <v>5</v>
      </c>
      <c r="D1049">
        <v>16547</v>
      </c>
      <c r="E1049">
        <v>0</v>
      </c>
      <c r="F1049">
        <v>531467200000</v>
      </c>
      <c r="G1049">
        <v>475675960.5</v>
      </c>
      <c r="H1049">
        <v>529063996057</v>
      </c>
      <c r="I1049">
        <v>530243837616.34003</v>
      </c>
      <c r="J1049">
        <v>4.2664000000000001E-2</v>
      </c>
      <c r="K1049">
        <v>1.6752E-2</v>
      </c>
      <c r="M1049" t="s">
        <v>0</v>
      </c>
      <c r="N1049">
        <v>5500</v>
      </c>
      <c r="O1049">
        <v>5</v>
      </c>
      <c r="P1049">
        <v>28119</v>
      </c>
      <c r="Q1049">
        <v>0</v>
      </c>
      <c r="R1049">
        <v>989083300000</v>
      </c>
      <c r="S1049">
        <v>1103989544.3599999</v>
      </c>
      <c r="T1049">
        <v>987058638917.01001</v>
      </c>
      <c r="U1049">
        <v>987859244705.27002</v>
      </c>
      <c r="V1049">
        <v>1.1113E-2</v>
      </c>
      <c r="W1049">
        <v>1.456E-3</v>
      </c>
    </row>
    <row r="1050" spans="1:23" x14ac:dyDescent="0.35">
      <c r="A1050" t="s">
        <v>0</v>
      </c>
      <c r="B1050">
        <v>5000</v>
      </c>
      <c r="C1050">
        <v>5</v>
      </c>
      <c r="D1050">
        <v>16637</v>
      </c>
      <c r="E1050">
        <v>0</v>
      </c>
      <c r="F1050">
        <v>591919900000</v>
      </c>
      <c r="G1050">
        <v>725547088.23000002</v>
      </c>
      <c r="H1050">
        <v>591316274762</v>
      </c>
      <c r="I1050">
        <v>591515326300.65002</v>
      </c>
      <c r="J1050">
        <v>-2.4750000000000002E-3</v>
      </c>
      <c r="K1050">
        <v>-6.5269999999999998E-3</v>
      </c>
      <c r="M1050" t="s">
        <v>2</v>
      </c>
      <c r="N1050">
        <v>6250</v>
      </c>
      <c r="O1050">
        <v>5</v>
      </c>
      <c r="P1050">
        <v>4119</v>
      </c>
      <c r="Q1050">
        <v>0</v>
      </c>
      <c r="R1050">
        <v>84539300000</v>
      </c>
      <c r="S1050">
        <v>82364182.590000004</v>
      </c>
      <c r="T1050">
        <v>84415876033.660004</v>
      </c>
      <c r="U1050">
        <v>84456935817.410004</v>
      </c>
      <c r="V1050">
        <v>5.8129999999999996E-3</v>
      </c>
      <c r="W1050">
        <v>0</v>
      </c>
    </row>
    <row r="1051" spans="1:23" x14ac:dyDescent="0.35">
      <c r="A1051" t="s">
        <v>1</v>
      </c>
      <c r="B1051">
        <v>5000</v>
      </c>
      <c r="C1051">
        <v>5</v>
      </c>
      <c r="D1051">
        <v>14028</v>
      </c>
      <c r="E1051">
        <v>0</v>
      </c>
      <c r="F1051">
        <v>600384800000</v>
      </c>
      <c r="G1051">
        <v>732840280.32000005</v>
      </c>
      <c r="H1051">
        <v>599601105384</v>
      </c>
      <c r="I1051">
        <v>599850498990.81995</v>
      </c>
      <c r="J1051">
        <v>1.016E-3</v>
      </c>
      <c r="K1051">
        <v>-3.9750000000000002E-3</v>
      </c>
      <c r="M1051" t="s">
        <v>1</v>
      </c>
      <c r="N1051">
        <v>7000</v>
      </c>
      <c r="O1051">
        <v>5</v>
      </c>
      <c r="P1051">
        <v>5309</v>
      </c>
      <c r="Q1051">
        <v>0</v>
      </c>
      <c r="R1051">
        <v>162488600000</v>
      </c>
      <c r="S1051">
        <v>137549079.81</v>
      </c>
      <c r="T1051">
        <v>162164208922.92999</v>
      </c>
      <c r="U1051">
        <v>162241443821.29001</v>
      </c>
      <c r="V1051">
        <v>1.3712E-2</v>
      </c>
      <c r="W1051">
        <v>8.0649999999999993E-3</v>
      </c>
    </row>
    <row r="1052" spans="1:23" x14ac:dyDescent="0.35">
      <c r="A1052" t="s">
        <v>2</v>
      </c>
      <c r="B1052">
        <v>5000</v>
      </c>
      <c r="C1052">
        <v>5</v>
      </c>
      <c r="D1052">
        <v>396</v>
      </c>
      <c r="E1052">
        <v>0</v>
      </c>
      <c r="F1052">
        <v>11278700000</v>
      </c>
      <c r="G1052">
        <v>13771123.59</v>
      </c>
      <c r="H1052">
        <v>11270940264</v>
      </c>
      <c r="I1052">
        <v>11270940264</v>
      </c>
      <c r="J1052">
        <v>-6.4149999999999997E-3</v>
      </c>
      <c r="K1052">
        <v>-6.4149999999999997E-3</v>
      </c>
      <c r="M1052" t="s">
        <v>1</v>
      </c>
      <c r="N1052">
        <v>5250</v>
      </c>
      <c r="O1052">
        <v>5</v>
      </c>
      <c r="P1052">
        <v>32829</v>
      </c>
      <c r="Q1052">
        <v>0</v>
      </c>
      <c r="R1052">
        <v>1485755700000</v>
      </c>
      <c r="S1052">
        <v>1731173242.5899999</v>
      </c>
      <c r="T1052">
        <v>1481924876129.3899</v>
      </c>
      <c r="U1052">
        <v>1483301370836.52</v>
      </c>
      <c r="V1052">
        <v>1.6827000000000002E-2</v>
      </c>
      <c r="W1052">
        <v>5.8250000000000003E-3</v>
      </c>
    </row>
    <row r="1053" spans="1:23" x14ac:dyDescent="0.35">
      <c r="A1053" t="s">
        <v>0</v>
      </c>
      <c r="B1053">
        <v>5250</v>
      </c>
      <c r="C1053">
        <v>5</v>
      </c>
      <c r="D1053">
        <v>18124</v>
      </c>
      <c r="E1053">
        <v>0</v>
      </c>
      <c r="F1053">
        <v>644591700000</v>
      </c>
      <c r="G1053">
        <v>754621596.14999998</v>
      </c>
      <c r="H1053">
        <v>643779587165</v>
      </c>
      <c r="I1053">
        <v>644287589764.31995</v>
      </c>
      <c r="J1053">
        <v>1.07E-3</v>
      </c>
      <c r="K1053">
        <v>-8.4189999999999994E-3</v>
      </c>
      <c r="M1053" t="s">
        <v>2</v>
      </c>
      <c r="N1053">
        <v>5500</v>
      </c>
      <c r="O1053">
        <v>5</v>
      </c>
      <c r="P1053">
        <v>894</v>
      </c>
      <c r="Q1053">
        <v>0</v>
      </c>
      <c r="R1053">
        <v>21693100000</v>
      </c>
      <c r="S1053">
        <v>24136536.379999999</v>
      </c>
      <c r="T1053">
        <v>21668963463.619999</v>
      </c>
      <c r="U1053">
        <v>21668963463.619999</v>
      </c>
      <c r="V1053">
        <v>0</v>
      </c>
      <c r="W1053">
        <v>0</v>
      </c>
    </row>
    <row r="1054" spans="1:23" x14ac:dyDescent="0.35">
      <c r="A1054" t="s">
        <v>1</v>
      </c>
      <c r="B1054">
        <v>8250</v>
      </c>
      <c r="C1054">
        <v>360</v>
      </c>
      <c r="D1054">
        <v>30</v>
      </c>
      <c r="E1054">
        <v>0</v>
      </c>
      <c r="F1054">
        <v>16071042</v>
      </c>
      <c r="G1054">
        <v>1075183.2</v>
      </c>
      <c r="H1054">
        <v>14263666</v>
      </c>
      <c r="I1054">
        <v>14454160.880000001</v>
      </c>
      <c r="J1054">
        <v>0.42854100000000001</v>
      </c>
      <c r="K1054">
        <v>0.337312</v>
      </c>
      <c r="M1054" t="s">
        <v>0</v>
      </c>
      <c r="N1054">
        <v>5000</v>
      </c>
      <c r="O1054">
        <v>5</v>
      </c>
      <c r="P1054">
        <v>16030</v>
      </c>
      <c r="Q1054">
        <v>0</v>
      </c>
      <c r="R1054">
        <v>571224800000</v>
      </c>
      <c r="S1054">
        <v>699819515.05999994</v>
      </c>
      <c r="T1054">
        <v>570324527020.64001</v>
      </c>
      <c r="U1054">
        <v>570524980484.93994</v>
      </c>
      <c r="V1054">
        <v>4.2030000000000001E-3</v>
      </c>
      <c r="W1054">
        <v>0</v>
      </c>
    </row>
    <row r="1055" spans="1:23" x14ac:dyDescent="0.35">
      <c r="A1055" t="s">
        <v>2</v>
      </c>
      <c r="B1055">
        <v>20000</v>
      </c>
      <c r="C1055">
        <v>360</v>
      </c>
      <c r="D1055">
        <v>1</v>
      </c>
      <c r="E1055">
        <v>0</v>
      </c>
      <c r="F1055">
        <v>379830</v>
      </c>
      <c r="G1055">
        <v>23983.64</v>
      </c>
      <c r="H1055">
        <v>341212</v>
      </c>
      <c r="I1055">
        <v>341212</v>
      </c>
      <c r="J1055">
        <v>0.37592599999999998</v>
      </c>
      <c r="K1055">
        <v>0.37592599999999998</v>
      </c>
      <c r="M1055" t="s">
        <v>1</v>
      </c>
      <c r="N1055">
        <v>5000</v>
      </c>
      <c r="O1055">
        <v>5</v>
      </c>
      <c r="P1055">
        <v>11344</v>
      </c>
      <c r="Q1055">
        <v>0</v>
      </c>
      <c r="R1055">
        <v>478723700000</v>
      </c>
      <c r="S1055">
        <v>584529264.09000003</v>
      </c>
      <c r="T1055">
        <v>477361522382.66998</v>
      </c>
      <c r="U1055">
        <v>478011625643.16998</v>
      </c>
      <c r="V1055">
        <v>1.932E-2</v>
      </c>
      <c r="W1055">
        <v>3.192E-3</v>
      </c>
    </row>
    <row r="1056" spans="1:23" x14ac:dyDescent="0.35">
      <c r="A1056" t="s">
        <v>1</v>
      </c>
      <c r="B1056">
        <v>20000</v>
      </c>
      <c r="C1056">
        <v>320</v>
      </c>
      <c r="D1056">
        <v>3</v>
      </c>
      <c r="E1056">
        <v>0</v>
      </c>
      <c r="F1056">
        <v>4699816</v>
      </c>
      <c r="G1056">
        <v>71187.3</v>
      </c>
      <c r="H1056">
        <v>4619461</v>
      </c>
      <c r="I1056">
        <v>4619461</v>
      </c>
      <c r="J1056">
        <v>2.3158000000000002E-2</v>
      </c>
      <c r="K1056">
        <v>2.3158000000000002E-2</v>
      </c>
      <c r="M1056" t="s">
        <v>2</v>
      </c>
      <c r="N1056">
        <v>5000</v>
      </c>
      <c r="O1056">
        <v>5</v>
      </c>
      <c r="P1056">
        <v>371</v>
      </c>
      <c r="Q1056">
        <v>0</v>
      </c>
      <c r="R1056">
        <v>10622200000</v>
      </c>
      <c r="S1056">
        <v>12976018.300000001</v>
      </c>
      <c r="T1056">
        <v>10609223981.700001</v>
      </c>
      <c r="U1056">
        <v>10609223981.700001</v>
      </c>
      <c r="V1056">
        <v>0</v>
      </c>
      <c r="W1056">
        <v>0</v>
      </c>
    </row>
    <row r="1057" spans="1:23" x14ac:dyDescent="0.35">
      <c r="A1057" t="s">
        <v>3</v>
      </c>
      <c r="B1057">
        <v>9000</v>
      </c>
      <c r="C1057">
        <v>320</v>
      </c>
      <c r="D1057">
        <v>1</v>
      </c>
      <c r="E1057">
        <v>0</v>
      </c>
      <c r="F1057">
        <v>617430</v>
      </c>
      <c r="G1057">
        <v>10250.89</v>
      </c>
      <c r="H1057">
        <v>514239</v>
      </c>
      <c r="I1057">
        <v>514239</v>
      </c>
      <c r="J1057">
        <v>0.85881399999999997</v>
      </c>
      <c r="K1057">
        <v>0.85881399999999997</v>
      </c>
      <c r="M1057" t="s">
        <v>1</v>
      </c>
      <c r="N1057">
        <v>8250</v>
      </c>
      <c r="O1057">
        <v>360</v>
      </c>
      <c r="P1057">
        <v>33</v>
      </c>
      <c r="Q1057">
        <v>0</v>
      </c>
      <c r="R1057">
        <v>17859573</v>
      </c>
      <c r="S1057">
        <v>1156816.71</v>
      </c>
      <c r="T1057">
        <v>16631951.380000001</v>
      </c>
      <c r="U1057">
        <v>16702756.289999999</v>
      </c>
      <c r="V1057">
        <v>4.6551000000000002E-2</v>
      </c>
      <c r="W1057">
        <v>0</v>
      </c>
    </row>
    <row r="1058" spans="1:23" x14ac:dyDescent="0.35">
      <c r="A1058" t="s">
        <v>3</v>
      </c>
      <c r="B1058">
        <v>7250</v>
      </c>
      <c r="C1058">
        <v>320</v>
      </c>
      <c r="D1058">
        <v>1</v>
      </c>
      <c r="E1058">
        <v>0</v>
      </c>
      <c r="F1058">
        <v>3949037</v>
      </c>
      <c r="G1058">
        <v>43374.93</v>
      </c>
      <c r="H1058">
        <v>3849304</v>
      </c>
      <c r="I1058">
        <v>3849304</v>
      </c>
      <c r="J1058">
        <v>0.15843299999999999</v>
      </c>
      <c r="K1058">
        <v>0.15843299999999999</v>
      </c>
      <c r="M1058" t="s">
        <v>2</v>
      </c>
      <c r="N1058">
        <v>20000</v>
      </c>
      <c r="O1058">
        <v>360</v>
      </c>
      <c r="P1058">
        <v>1</v>
      </c>
      <c r="Q1058">
        <v>0</v>
      </c>
      <c r="R1058">
        <v>418153</v>
      </c>
      <c r="S1058">
        <v>24656.52</v>
      </c>
      <c r="T1058">
        <v>393496.48</v>
      </c>
      <c r="U1058">
        <v>393496.48</v>
      </c>
      <c r="V1058">
        <v>0</v>
      </c>
      <c r="W1058">
        <v>0</v>
      </c>
    </row>
    <row r="1059" spans="1:23" x14ac:dyDescent="0.35">
      <c r="A1059" t="s">
        <v>3</v>
      </c>
      <c r="B1059">
        <v>6250</v>
      </c>
      <c r="C1059">
        <v>320</v>
      </c>
      <c r="D1059">
        <v>34</v>
      </c>
      <c r="E1059">
        <v>0</v>
      </c>
      <c r="F1059">
        <v>162236998</v>
      </c>
      <c r="G1059">
        <v>1113699.99</v>
      </c>
      <c r="H1059">
        <v>160870148</v>
      </c>
      <c r="I1059">
        <v>160870148</v>
      </c>
      <c r="J1059">
        <v>1.8565000000000002E-2</v>
      </c>
      <c r="K1059">
        <v>1.8565000000000002E-2</v>
      </c>
      <c r="M1059" t="s">
        <v>1</v>
      </c>
      <c r="N1059">
        <v>20000</v>
      </c>
      <c r="O1059">
        <v>320</v>
      </c>
      <c r="P1059">
        <v>3</v>
      </c>
      <c r="Q1059">
        <v>0</v>
      </c>
      <c r="R1059">
        <v>4779555</v>
      </c>
      <c r="S1059">
        <v>70765.7</v>
      </c>
      <c r="T1059">
        <v>4708789.3</v>
      </c>
      <c r="U1059">
        <v>4708789.3</v>
      </c>
      <c r="V1059">
        <v>0</v>
      </c>
      <c r="W1059">
        <v>0</v>
      </c>
    </row>
    <row r="1060" spans="1:23" x14ac:dyDescent="0.35">
      <c r="A1060" t="s">
        <v>3</v>
      </c>
      <c r="B1060">
        <v>5750</v>
      </c>
      <c r="C1060">
        <v>320</v>
      </c>
      <c r="D1060">
        <v>14</v>
      </c>
      <c r="E1060">
        <v>0</v>
      </c>
      <c r="F1060">
        <v>58584378</v>
      </c>
      <c r="G1060">
        <v>417051.78</v>
      </c>
      <c r="H1060">
        <v>57898150</v>
      </c>
      <c r="I1060">
        <v>57898150</v>
      </c>
      <c r="J1060">
        <v>5.3763999999999999E-2</v>
      </c>
      <c r="K1060">
        <v>5.3763999999999999E-2</v>
      </c>
      <c r="M1060" t="s">
        <v>3</v>
      </c>
      <c r="N1060">
        <v>9000</v>
      </c>
      <c r="O1060">
        <v>320</v>
      </c>
      <c r="P1060">
        <v>1</v>
      </c>
      <c r="Q1060">
        <v>0</v>
      </c>
      <c r="R1060">
        <v>617430</v>
      </c>
      <c r="S1060">
        <v>10010.65</v>
      </c>
      <c r="T1060">
        <v>607419.35</v>
      </c>
      <c r="U1060">
        <v>607419.35</v>
      </c>
      <c r="V1060">
        <v>0</v>
      </c>
      <c r="W1060">
        <v>0</v>
      </c>
    </row>
    <row r="1061" spans="1:23" x14ac:dyDescent="0.35">
      <c r="A1061" t="s">
        <v>1</v>
      </c>
      <c r="B1061">
        <v>4250</v>
      </c>
      <c r="C1061">
        <v>320</v>
      </c>
      <c r="D1061">
        <v>56</v>
      </c>
      <c r="E1061">
        <v>0</v>
      </c>
      <c r="F1061">
        <v>276513553</v>
      </c>
      <c r="G1061">
        <v>2261800.16</v>
      </c>
      <c r="H1061">
        <v>272548883</v>
      </c>
      <c r="I1061">
        <v>272548883</v>
      </c>
      <c r="J1061">
        <v>7.1447999999999998E-2</v>
      </c>
      <c r="K1061">
        <v>7.1447999999999998E-2</v>
      </c>
      <c r="M1061" t="s">
        <v>3</v>
      </c>
      <c r="N1061">
        <v>7250</v>
      </c>
      <c r="O1061">
        <v>320</v>
      </c>
      <c r="P1061">
        <v>1</v>
      </c>
      <c r="Q1061">
        <v>0</v>
      </c>
      <c r="R1061">
        <v>3949037</v>
      </c>
      <c r="S1061">
        <v>42653.19</v>
      </c>
      <c r="T1061">
        <v>3906383.81</v>
      </c>
      <c r="U1061">
        <v>3906383.81</v>
      </c>
      <c r="V1061">
        <v>0</v>
      </c>
      <c r="W1061">
        <v>0</v>
      </c>
    </row>
    <row r="1062" spans="1:23" x14ac:dyDescent="0.35">
      <c r="A1062" t="s">
        <v>3</v>
      </c>
      <c r="B1062">
        <v>6750</v>
      </c>
      <c r="C1062">
        <v>320</v>
      </c>
      <c r="D1062">
        <v>4</v>
      </c>
      <c r="E1062">
        <v>0</v>
      </c>
      <c r="F1062">
        <v>14859486</v>
      </c>
      <c r="G1062">
        <v>100813.7</v>
      </c>
      <c r="H1062">
        <v>14773816</v>
      </c>
      <c r="I1062">
        <v>14773816</v>
      </c>
      <c r="J1062">
        <v>-1.2298E-2</v>
      </c>
      <c r="K1062">
        <v>-1.2298E-2</v>
      </c>
      <c r="M1062" t="s">
        <v>3</v>
      </c>
      <c r="N1062">
        <v>6250</v>
      </c>
      <c r="O1062">
        <v>320</v>
      </c>
      <c r="P1062">
        <v>32</v>
      </c>
      <c r="Q1062">
        <v>0</v>
      </c>
      <c r="R1062">
        <v>129312181</v>
      </c>
      <c r="S1062">
        <v>903515.1</v>
      </c>
      <c r="T1062">
        <v>128408665.90000001</v>
      </c>
      <c r="U1062">
        <v>128408665.90000001</v>
      </c>
      <c r="V1062">
        <v>0</v>
      </c>
      <c r="W1062">
        <v>0</v>
      </c>
    </row>
    <row r="1063" spans="1:23" x14ac:dyDescent="0.35">
      <c r="A1063" t="s">
        <v>0</v>
      </c>
      <c r="B1063">
        <v>7250</v>
      </c>
      <c r="C1063">
        <v>240</v>
      </c>
      <c r="D1063">
        <v>1044</v>
      </c>
      <c r="E1063">
        <v>0</v>
      </c>
      <c r="F1063">
        <v>5066138821</v>
      </c>
      <c r="G1063">
        <v>24551050.379999999</v>
      </c>
      <c r="H1063">
        <v>4980593990</v>
      </c>
      <c r="I1063">
        <v>5021817087.9399996</v>
      </c>
      <c r="J1063">
        <v>0.13528100000000001</v>
      </c>
      <c r="K1063">
        <v>4.5837999999999997E-2</v>
      </c>
      <c r="M1063" t="s">
        <v>3</v>
      </c>
      <c r="N1063">
        <v>5750</v>
      </c>
      <c r="O1063">
        <v>320</v>
      </c>
      <c r="P1063">
        <v>14</v>
      </c>
      <c r="Q1063">
        <v>0</v>
      </c>
      <c r="R1063">
        <v>59114163</v>
      </c>
      <c r="S1063">
        <v>415852.39</v>
      </c>
      <c r="T1063">
        <v>58698310.609999999</v>
      </c>
      <c r="U1063">
        <v>58698310.609999999</v>
      </c>
      <c r="V1063">
        <v>0</v>
      </c>
      <c r="W1063">
        <v>0</v>
      </c>
    </row>
    <row r="1064" spans="1:23" x14ac:dyDescent="0.35">
      <c r="A1064" t="s">
        <v>3</v>
      </c>
      <c r="B1064">
        <v>6750</v>
      </c>
      <c r="C1064">
        <v>240</v>
      </c>
      <c r="D1064">
        <v>23</v>
      </c>
      <c r="E1064">
        <v>0</v>
      </c>
      <c r="F1064">
        <v>114871662</v>
      </c>
      <c r="G1064">
        <v>576538.74</v>
      </c>
      <c r="H1064">
        <v>114045438</v>
      </c>
      <c r="I1064">
        <v>114045438</v>
      </c>
      <c r="J1064">
        <v>2.5773999999999998E-2</v>
      </c>
      <c r="K1064">
        <v>2.5773999999999998E-2</v>
      </c>
      <c r="M1064" t="s">
        <v>1</v>
      </c>
      <c r="N1064">
        <v>4250</v>
      </c>
      <c r="O1064">
        <v>320</v>
      </c>
      <c r="P1064">
        <v>53</v>
      </c>
      <c r="Q1064">
        <v>0</v>
      </c>
      <c r="R1064">
        <v>260008771</v>
      </c>
      <c r="S1064">
        <v>2129528.89</v>
      </c>
      <c r="T1064">
        <v>255251189.44999999</v>
      </c>
      <c r="U1064">
        <v>257879242.11000001</v>
      </c>
      <c r="V1064">
        <v>0.11477</v>
      </c>
      <c r="W1064">
        <v>0</v>
      </c>
    </row>
    <row r="1065" spans="1:23" x14ac:dyDescent="0.35">
      <c r="A1065" t="s">
        <v>2</v>
      </c>
      <c r="B1065">
        <v>7250</v>
      </c>
      <c r="C1065">
        <v>240</v>
      </c>
      <c r="D1065">
        <v>196</v>
      </c>
      <c r="E1065">
        <v>0</v>
      </c>
      <c r="F1065">
        <v>764769681</v>
      </c>
      <c r="G1065">
        <v>3794493.8</v>
      </c>
      <c r="H1065">
        <v>747660385</v>
      </c>
      <c r="I1065">
        <v>760155481.52999997</v>
      </c>
      <c r="J1065">
        <v>0.19003400000000001</v>
      </c>
      <c r="K1065">
        <v>1.2786E-2</v>
      </c>
      <c r="M1065" t="s">
        <v>3</v>
      </c>
      <c r="N1065">
        <v>6750</v>
      </c>
      <c r="O1065">
        <v>320</v>
      </c>
      <c r="P1065">
        <v>4</v>
      </c>
      <c r="Q1065">
        <v>0</v>
      </c>
      <c r="R1065">
        <v>15000112</v>
      </c>
      <c r="S1065">
        <v>100568.01</v>
      </c>
      <c r="T1065">
        <v>14899543.99</v>
      </c>
      <c r="U1065">
        <v>14899543.99</v>
      </c>
      <c r="V1065">
        <v>0</v>
      </c>
      <c r="W1065">
        <v>0</v>
      </c>
    </row>
    <row r="1066" spans="1:23" x14ac:dyDescent="0.35">
      <c r="A1066" t="s">
        <v>0</v>
      </c>
      <c r="B1066">
        <v>7750</v>
      </c>
      <c r="C1066">
        <v>240</v>
      </c>
      <c r="D1066">
        <v>61</v>
      </c>
      <c r="E1066">
        <v>0</v>
      </c>
      <c r="F1066">
        <v>243124636</v>
      </c>
      <c r="G1066">
        <v>1146262.47</v>
      </c>
      <c r="H1066">
        <v>235676406</v>
      </c>
      <c r="I1066">
        <v>235676406</v>
      </c>
      <c r="J1066">
        <v>0.27032099999999998</v>
      </c>
      <c r="K1066">
        <v>0.27032099999999998</v>
      </c>
      <c r="M1066" t="s">
        <v>0</v>
      </c>
      <c r="N1066">
        <v>7250</v>
      </c>
      <c r="O1066">
        <v>240</v>
      </c>
      <c r="P1066">
        <v>1012</v>
      </c>
      <c r="Q1066">
        <v>0</v>
      </c>
      <c r="R1066">
        <v>4911412672</v>
      </c>
      <c r="S1066">
        <v>23636766.68</v>
      </c>
      <c r="T1066">
        <v>4865452289.8299999</v>
      </c>
      <c r="U1066">
        <v>4883752576.3599997</v>
      </c>
      <c r="V1066">
        <v>5.3199999999999997E-2</v>
      </c>
      <c r="W1066">
        <v>9.7859999999999996E-3</v>
      </c>
    </row>
    <row r="1067" spans="1:23" x14ac:dyDescent="0.35">
      <c r="A1067" t="s">
        <v>1</v>
      </c>
      <c r="B1067">
        <v>7250</v>
      </c>
      <c r="C1067">
        <v>240</v>
      </c>
      <c r="D1067">
        <v>33</v>
      </c>
      <c r="E1067">
        <v>0</v>
      </c>
      <c r="F1067">
        <v>159809450</v>
      </c>
      <c r="G1067">
        <v>791131.64</v>
      </c>
      <c r="H1067">
        <v>156036877</v>
      </c>
      <c r="I1067">
        <v>158647454.65000001</v>
      </c>
      <c r="J1067">
        <v>0.20227300000000001</v>
      </c>
      <c r="K1067">
        <v>2.7494999999999999E-2</v>
      </c>
      <c r="M1067" t="s">
        <v>1</v>
      </c>
      <c r="N1067">
        <v>7250</v>
      </c>
      <c r="O1067">
        <v>240</v>
      </c>
      <c r="P1067">
        <v>33</v>
      </c>
      <c r="Q1067">
        <v>0</v>
      </c>
      <c r="R1067">
        <v>159800463</v>
      </c>
      <c r="S1067">
        <v>786089.9</v>
      </c>
      <c r="T1067">
        <v>159014373.09999999</v>
      </c>
      <c r="U1067">
        <v>159014373.09999999</v>
      </c>
      <c r="V1067">
        <v>0</v>
      </c>
      <c r="W1067">
        <v>0</v>
      </c>
    </row>
    <row r="1068" spans="1:23" x14ac:dyDescent="0.35">
      <c r="A1068" t="s">
        <v>1</v>
      </c>
      <c r="B1068">
        <v>7750</v>
      </c>
      <c r="C1068">
        <v>240</v>
      </c>
      <c r="D1068">
        <v>1</v>
      </c>
      <c r="E1068">
        <v>0</v>
      </c>
      <c r="F1068">
        <v>7964220</v>
      </c>
      <c r="G1068">
        <v>41917.58</v>
      </c>
      <c r="H1068">
        <v>7920907</v>
      </c>
      <c r="I1068">
        <v>7920907</v>
      </c>
      <c r="J1068">
        <v>2.101E-3</v>
      </c>
      <c r="K1068">
        <v>2.101E-3</v>
      </c>
      <c r="M1068" t="s">
        <v>3</v>
      </c>
      <c r="N1068">
        <v>6750</v>
      </c>
      <c r="O1068">
        <v>240</v>
      </c>
      <c r="P1068">
        <v>23</v>
      </c>
      <c r="Q1068">
        <v>0</v>
      </c>
      <c r="R1068">
        <v>115540669</v>
      </c>
      <c r="S1068">
        <v>573841.04</v>
      </c>
      <c r="T1068">
        <v>114966827.95999999</v>
      </c>
      <c r="U1068">
        <v>114966827.95999999</v>
      </c>
      <c r="V1068">
        <v>0</v>
      </c>
      <c r="W1068">
        <v>0</v>
      </c>
    </row>
    <row r="1069" spans="1:23" x14ac:dyDescent="0.35">
      <c r="A1069" t="s">
        <v>3</v>
      </c>
      <c r="B1069">
        <v>7250</v>
      </c>
      <c r="C1069">
        <v>240</v>
      </c>
      <c r="D1069">
        <v>3</v>
      </c>
      <c r="E1069">
        <v>0</v>
      </c>
      <c r="F1069">
        <v>11595003</v>
      </c>
      <c r="G1069">
        <v>54154.48</v>
      </c>
      <c r="H1069">
        <v>11532419</v>
      </c>
      <c r="I1069">
        <v>11532419</v>
      </c>
      <c r="J1069">
        <v>8.6890000000000005E-3</v>
      </c>
      <c r="K1069">
        <v>8.6890000000000005E-3</v>
      </c>
      <c r="M1069" t="s">
        <v>2</v>
      </c>
      <c r="N1069">
        <v>7250</v>
      </c>
      <c r="O1069">
        <v>240</v>
      </c>
      <c r="P1069">
        <v>196</v>
      </c>
      <c r="Q1069">
        <v>0</v>
      </c>
      <c r="R1069">
        <v>768621430</v>
      </c>
      <c r="S1069">
        <v>3775533.27</v>
      </c>
      <c r="T1069">
        <v>761832013.67999995</v>
      </c>
      <c r="U1069">
        <v>764845896.73000002</v>
      </c>
      <c r="V1069">
        <v>4.6052000000000003E-2</v>
      </c>
      <c r="W1069">
        <v>0</v>
      </c>
    </row>
    <row r="1070" spans="1:23" x14ac:dyDescent="0.35">
      <c r="A1070" t="s">
        <v>3</v>
      </c>
      <c r="B1070">
        <v>7500</v>
      </c>
      <c r="C1070">
        <v>240</v>
      </c>
      <c r="D1070">
        <v>2</v>
      </c>
      <c r="E1070">
        <v>0</v>
      </c>
      <c r="F1070">
        <v>13232839</v>
      </c>
      <c r="G1070">
        <v>61184.3</v>
      </c>
      <c r="H1070">
        <v>10735169</v>
      </c>
      <c r="I1070">
        <v>10735169</v>
      </c>
      <c r="J1070">
        <v>0.91300599999999998</v>
      </c>
      <c r="K1070">
        <v>0.91300599999999998</v>
      </c>
      <c r="M1070" t="s">
        <v>0</v>
      </c>
      <c r="N1070">
        <v>7750</v>
      </c>
      <c r="O1070">
        <v>240</v>
      </c>
      <c r="P1070">
        <v>60</v>
      </c>
      <c r="Q1070">
        <v>0</v>
      </c>
      <c r="R1070">
        <v>239474708</v>
      </c>
      <c r="S1070">
        <v>1118962.1399999999</v>
      </c>
      <c r="T1070">
        <v>238355745.86000001</v>
      </c>
      <c r="U1070">
        <v>238355745.86000001</v>
      </c>
      <c r="V1070">
        <v>0</v>
      </c>
      <c r="W1070">
        <v>0</v>
      </c>
    </row>
    <row r="1071" spans="1:23" x14ac:dyDescent="0.35">
      <c r="A1071" t="s">
        <v>0</v>
      </c>
      <c r="B1071">
        <v>8250</v>
      </c>
      <c r="C1071">
        <v>240</v>
      </c>
      <c r="D1071">
        <v>7</v>
      </c>
      <c r="E1071">
        <v>0</v>
      </c>
      <c r="F1071">
        <v>28541181</v>
      </c>
      <c r="G1071">
        <v>121177.05</v>
      </c>
      <c r="H1071">
        <v>28414137</v>
      </c>
      <c r="I1071">
        <v>28414137</v>
      </c>
      <c r="J1071">
        <v>2.464E-3</v>
      </c>
      <c r="K1071">
        <v>2.464E-3</v>
      </c>
      <c r="M1071" t="s">
        <v>1</v>
      </c>
      <c r="N1071">
        <v>7750</v>
      </c>
      <c r="O1071">
        <v>240</v>
      </c>
      <c r="P1071">
        <v>1</v>
      </c>
      <c r="Q1071">
        <v>0</v>
      </c>
      <c r="R1071">
        <v>8007260</v>
      </c>
      <c r="S1071">
        <v>41660.129999999997</v>
      </c>
      <c r="T1071">
        <v>7965599.8700000001</v>
      </c>
      <c r="U1071">
        <v>7965599.8700000001</v>
      </c>
      <c r="V1071">
        <v>0</v>
      </c>
      <c r="W1071">
        <v>0</v>
      </c>
    </row>
    <row r="1072" spans="1:23" x14ac:dyDescent="0.35">
      <c r="A1072" t="s">
        <v>0</v>
      </c>
      <c r="B1072">
        <v>7750</v>
      </c>
      <c r="C1072">
        <v>216</v>
      </c>
      <c r="D1072">
        <v>29</v>
      </c>
      <c r="E1072">
        <v>0</v>
      </c>
      <c r="F1072">
        <v>116139098</v>
      </c>
      <c r="G1072">
        <v>462195.51</v>
      </c>
      <c r="H1072">
        <v>115551536</v>
      </c>
      <c r="I1072">
        <v>115551536</v>
      </c>
      <c r="J1072">
        <v>1.2877E-2</v>
      </c>
      <c r="K1072">
        <v>1.2877E-2</v>
      </c>
      <c r="M1072" t="s">
        <v>3</v>
      </c>
      <c r="N1072">
        <v>7250</v>
      </c>
      <c r="O1072">
        <v>240</v>
      </c>
      <c r="P1072">
        <v>3</v>
      </c>
      <c r="Q1072">
        <v>0</v>
      </c>
      <c r="R1072">
        <v>11656351</v>
      </c>
      <c r="S1072">
        <v>53867.99</v>
      </c>
      <c r="T1072">
        <v>11602483.01</v>
      </c>
      <c r="U1072">
        <v>11602483.01</v>
      </c>
      <c r="V1072">
        <v>0</v>
      </c>
      <c r="W1072">
        <v>0</v>
      </c>
    </row>
    <row r="1073" spans="1:23" x14ac:dyDescent="0.35">
      <c r="A1073" t="s">
        <v>1</v>
      </c>
      <c r="B1073">
        <v>4750</v>
      </c>
      <c r="C1073">
        <v>216</v>
      </c>
      <c r="D1073">
        <v>983</v>
      </c>
      <c r="E1073">
        <v>0</v>
      </c>
      <c r="F1073">
        <v>9900757369</v>
      </c>
      <c r="G1073">
        <v>43826971.299999997</v>
      </c>
      <c r="H1073">
        <v>9787252583</v>
      </c>
      <c r="I1073">
        <v>9833051354.6100006</v>
      </c>
      <c r="J1073">
        <v>8.1257999999999997E-2</v>
      </c>
      <c r="K1073">
        <v>2.8561E-2</v>
      </c>
      <c r="M1073" t="s">
        <v>3</v>
      </c>
      <c r="N1073">
        <v>7500</v>
      </c>
      <c r="O1073">
        <v>240</v>
      </c>
      <c r="P1073">
        <v>2</v>
      </c>
      <c r="Q1073">
        <v>0</v>
      </c>
      <c r="R1073">
        <v>13527530</v>
      </c>
      <c r="S1073">
        <v>61880.43</v>
      </c>
      <c r="T1073">
        <v>13465649.57</v>
      </c>
      <c r="U1073">
        <v>13465649.57</v>
      </c>
      <c r="V1073">
        <v>0</v>
      </c>
      <c r="W1073">
        <v>0</v>
      </c>
    </row>
    <row r="1074" spans="1:23" x14ac:dyDescent="0.35">
      <c r="A1074" t="s">
        <v>3</v>
      </c>
      <c r="B1074">
        <v>5750</v>
      </c>
      <c r="C1074">
        <v>216</v>
      </c>
      <c r="D1074">
        <v>26</v>
      </c>
      <c r="E1074">
        <v>0</v>
      </c>
      <c r="F1074">
        <v>195817420</v>
      </c>
      <c r="G1074">
        <v>823594.94</v>
      </c>
      <c r="H1074">
        <v>194833329</v>
      </c>
      <c r="I1074">
        <v>194833329</v>
      </c>
      <c r="J1074">
        <v>9.7909999999999994E-3</v>
      </c>
      <c r="K1074">
        <v>9.7909999999999994E-3</v>
      </c>
      <c r="M1074" t="s">
        <v>0</v>
      </c>
      <c r="N1074">
        <v>8250</v>
      </c>
      <c r="O1074">
        <v>240</v>
      </c>
      <c r="P1074">
        <v>6</v>
      </c>
      <c r="Q1074">
        <v>0</v>
      </c>
      <c r="R1074">
        <v>24945991</v>
      </c>
      <c r="S1074">
        <v>105167.1</v>
      </c>
      <c r="T1074">
        <v>24840823.899999999</v>
      </c>
      <c r="U1074">
        <v>24840823.899999999</v>
      </c>
      <c r="V1074">
        <v>0</v>
      </c>
      <c r="W1074">
        <v>0</v>
      </c>
    </row>
    <row r="1075" spans="1:23" x14ac:dyDescent="0.35">
      <c r="A1075" t="s">
        <v>3</v>
      </c>
      <c r="B1075">
        <v>6250</v>
      </c>
      <c r="C1075">
        <v>216</v>
      </c>
      <c r="D1075">
        <v>13</v>
      </c>
      <c r="E1075">
        <v>0</v>
      </c>
      <c r="F1075">
        <v>100158872</v>
      </c>
      <c r="G1075">
        <v>441126.31</v>
      </c>
      <c r="H1075">
        <v>99488464</v>
      </c>
      <c r="I1075">
        <v>99488464</v>
      </c>
      <c r="J1075">
        <v>2.7126999999999998E-2</v>
      </c>
      <c r="K1075">
        <v>2.7126999999999998E-2</v>
      </c>
      <c r="M1075" t="s">
        <v>3</v>
      </c>
      <c r="N1075">
        <v>6250</v>
      </c>
      <c r="O1075">
        <v>216</v>
      </c>
      <c r="P1075">
        <v>16</v>
      </c>
      <c r="Q1075">
        <v>0</v>
      </c>
      <c r="R1075">
        <v>125822739</v>
      </c>
      <c r="S1075">
        <v>556852.53</v>
      </c>
      <c r="T1075">
        <v>125265886.47</v>
      </c>
      <c r="U1075">
        <v>125265886.47</v>
      </c>
      <c r="V1075">
        <v>0</v>
      </c>
      <c r="W1075">
        <v>0</v>
      </c>
    </row>
    <row r="1076" spans="1:23" x14ac:dyDescent="0.35">
      <c r="A1076" t="s">
        <v>0</v>
      </c>
      <c r="B1076">
        <v>8250</v>
      </c>
      <c r="C1076">
        <v>216</v>
      </c>
      <c r="D1076">
        <v>4</v>
      </c>
      <c r="E1076">
        <v>0</v>
      </c>
      <c r="F1076">
        <v>14425876</v>
      </c>
      <c r="G1076">
        <v>54766.68</v>
      </c>
      <c r="H1076">
        <v>14329032</v>
      </c>
      <c r="I1076">
        <v>14329032</v>
      </c>
      <c r="J1076">
        <v>3.4445000000000003E-2</v>
      </c>
      <c r="K1076">
        <v>3.4445000000000003E-2</v>
      </c>
      <c r="M1076" t="s">
        <v>0</v>
      </c>
      <c r="N1076">
        <v>7750</v>
      </c>
      <c r="O1076">
        <v>216</v>
      </c>
      <c r="P1076">
        <v>31</v>
      </c>
      <c r="Q1076">
        <v>0</v>
      </c>
      <c r="R1076">
        <v>132122071</v>
      </c>
      <c r="S1076">
        <v>520819.46</v>
      </c>
      <c r="T1076">
        <v>121545695.37</v>
      </c>
      <c r="U1076">
        <v>131601251.54000001</v>
      </c>
      <c r="V1076">
        <v>0.61322900000000002</v>
      </c>
      <c r="W1076">
        <v>0</v>
      </c>
    </row>
    <row r="1077" spans="1:23" x14ac:dyDescent="0.35">
      <c r="A1077" t="s">
        <v>1</v>
      </c>
      <c r="B1077">
        <v>4500</v>
      </c>
      <c r="C1077">
        <v>240</v>
      </c>
      <c r="D1077">
        <v>29</v>
      </c>
      <c r="E1077">
        <v>0</v>
      </c>
      <c r="F1077">
        <v>176917080</v>
      </c>
      <c r="G1077">
        <v>1080938.24</v>
      </c>
      <c r="H1077">
        <v>172753269</v>
      </c>
      <c r="I1077">
        <v>175213051</v>
      </c>
      <c r="J1077">
        <v>0.19018499999999999</v>
      </c>
      <c r="K1077">
        <v>4.1453999999999998E-2</v>
      </c>
      <c r="M1077" t="s">
        <v>1</v>
      </c>
      <c r="N1077">
        <v>4750</v>
      </c>
      <c r="O1077">
        <v>216</v>
      </c>
      <c r="P1077">
        <v>900</v>
      </c>
      <c r="Q1077">
        <v>0</v>
      </c>
      <c r="R1077">
        <v>9005719179</v>
      </c>
      <c r="S1077">
        <v>39728987.740000002</v>
      </c>
      <c r="T1077">
        <v>8903807848.9500008</v>
      </c>
      <c r="U1077">
        <v>8959814641.6800003</v>
      </c>
      <c r="V1077">
        <v>7.9782000000000006E-2</v>
      </c>
      <c r="W1077">
        <v>8.1980000000000004E-3</v>
      </c>
    </row>
    <row r="1078" spans="1:23" x14ac:dyDescent="0.35">
      <c r="A1078" t="s">
        <v>2</v>
      </c>
      <c r="B1078">
        <v>4750</v>
      </c>
      <c r="C1078">
        <v>216</v>
      </c>
      <c r="D1078">
        <v>338</v>
      </c>
      <c r="E1078">
        <v>0</v>
      </c>
      <c r="F1078">
        <v>2568448308</v>
      </c>
      <c r="G1078">
        <v>11393069.41</v>
      </c>
      <c r="H1078">
        <v>2529472117</v>
      </c>
      <c r="I1078">
        <v>2553844296.7600002</v>
      </c>
      <c r="J1078">
        <v>0.12152499999999999</v>
      </c>
      <c r="K1078">
        <v>1.4899000000000001E-2</v>
      </c>
      <c r="M1078" t="s">
        <v>3</v>
      </c>
      <c r="N1078">
        <v>5750</v>
      </c>
      <c r="O1078">
        <v>216</v>
      </c>
      <c r="P1078">
        <v>25</v>
      </c>
      <c r="Q1078">
        <v>0</v>
      </c>
      <c r="R1078">
        <v>192071536</v>
      </c>
      <c r="S1078">
        <v>802293.13</v>
      </c>
      <c r="T1078">
        <v>187499368.75999999</v>
      </c>
      <c r="U1078">
        <v>191269242.87</v>
      </c>
      <c r="V1078">
        <v>0.211696</v>
      </c>
      <c r="W1078">
        <v>0</v>
      </c>
    </row>
    <row r="1079" spans="1:23" x14ac:dyDescent="0.35">
      <c r="A1079" t="s">
        <v>0</v>
      </c>
      <c r="B1079">
        <v>8500</v>
      </c>
      <c r="C1079">
        <v>216</v>
      </c>
      <c r="D1079">
        <v>1</v>
      </c>
      <c r="E1079">
        <v>0</v>
      </c>
      <c r="F1079">
        <v>3938334</v>
      </c>
      <c r="G1079">
        <v>14951.24</v>
      </c>
      <c r="H1079">
        <v>3920346</v>
      </c>
      <c r="I1079">
        <v>3920346</v>
      </c>
      <c r="J1079">
        <v>9.214E-3</v>
      </c>
      <c r="K1079">
        <v>9.214E-3</v>
      </c>
      <c r="M1079" t="s">
        <v>0</v>
      </c>
      <c r="N1079">
        <v>8250</v>
      </c>
      <c r="O1079">
        <v>216</v>
      </c>
      <c r="P1079">
        <v>5</v>
      </c>
      <c r="Q1079">
        <v>0</v>
      </c>
      <c r="R1079">
        <v>18264719</v>
      </c>
      <c r="S1079">
        <v>69853.240000000005</v>
      </c>
      <c r="T1079">
        <v>18194865.760000002</v>
      </c>
      <c r="U1079">
        <v>18194865.760000002</v>
      </c>
      <c r="V1079">
        <v>0</v>
      </c>
      <c r="W1079">
        <v>0</v>
      </c>
    </row>
    <row r="1080" spans="1:23" x14ac:dyDescent="0.35">
      <c r="A1080" t="s">
        <v>1</v>
      </c>
      <c r="B1080">
        <v>4750</v>
      </c>
      <c r="C1080">
        <v>240</v>
      </c>
      <c r="D1080">
        <v>27</v>
      </c>
      <c r="E1080">
        <v>0</v>
      </c>
      <c r="F1080">
        <v>146336458</v>
      </c>
      <c r="G1080">
        <v>905226.75</v>
      </c>
      <c r="H1080">
        <v>145102725</v>
      </c>
      <c r="I1080">
        <v>145102725</v>
      </c>
      <c r="J1080">
        <v>2.6608E-2</v>
      </c>
      <c r="K1080">
        <v>2.6608E-2</v>
      </c>
      <c r="M1080" t="s">
        <v>1</v>
      </c>
      <c r="N1080">
        <v>4500</v>
      </c>
      <c r="O1080">
        <v>240</v>
      </c>
      <c r="P1080">
        <v>31</v>
      </c>
      <c r="Q1080">
        <v>0</v>
      </c>
      <c r="R1080">
        <v>191408363</v>
      </c>
      <c r="S1080">
        <v>1166898.5</v>
      </c>
      <c r="T1080">
        <v>182420297.78</v>
      </c>
      <c r="U1080">
        <v>190241464.5</v>
      </c>
      <c r="V1080">
        <v>0.39385300000000001</v>
      </c>
      <c r="W1080">
        <v>0</v>
      </c>
    </row>
    <row r="1081" spans="1:23" x14ac:dyDescent="0.35">
      <c r="A1081" t="s">
        <v>1</v>
      </c>
      <c r="B1081">
        <v>4250</v>
      </c>
      <c r="C1081">
        <v>216</v>
      </c>
      <c r="D1081">
        <v>73</v>
      </c>
      <c r="E1081">
        <v>0</v>
      </c>
      <c r="F1081">
        <v>832219854</v>
      </c>
      <c r="G1081">
        <v>3868159.2</v>
      </c>
      <c r="H1081">
        <v>817635087</v>
      </c>
      <c r="I1081">
        <v>825658519.08000004</v>
      </c>
      <c r="J1081">
        <v>0.144038</v>
      </c>
      <c r="K1081">
        <v>3.8150000000000003E-2</v>
      </c>
      <c r="M1081" t="s">
        <v>2</v>
      </c>
      <c r="N1081">
        <v>4750</v>
      </c>
      <c r="O1081">
        <v>216</v>
      </c>
      <c r="P1081">
        <v>308</v>
      </c>
      <c r="Q1081">
        <v>0</v>
      </c>
      <c r="R1081">
        <v>2356677780</v>
      </c>
      <c r="S1081">
        <v>10390501.140000001</v>
      </c>
      <c r="T1081">
        <v>2346176073.48</v>
      </c>
      <c r="U1081">
        <v>2346287278.8600001</v>
      </c>
      <c r="V1081">
        <v>5.6599999999999999E-4</v>
      </c>
      <c r="W1081">
        <v>0</v>
      </c>
    </row>
    <row r="1082" spans="1:23" x14ac:dyDescent="0.35">
      <c r="A1082" t="s">
        <v>3</v>
      </c>
      <c r="B1082">
        <v>5250</v>
      </c>
      <c r="C1082">
        <v>216</v>
      </c>
      <c r="D1082">
        <v>56</v>
      </c>
      <c r="E1082">
        <v>0</v>
      </c>
      <c r="F1082">
        <v>503060156</v>
      </c>
      <c r="G1082">
        <v>2117922.15</v>
      </c>
      <c r="H1082">
        <v>500162422</v>
      </c>
      <c r="I1082">
        <v>500580580.79000002</v>
      </c>
      <c r="J1082">
        <v>1.8443999999999999E-2</v>
      </c>
      <c r="K1082">
        <v>8.5929999999999999E-3</v>
      </c>
      <c r="M1082" t="s">
        <v>0</v>
      </c>
      <c r="N1082">
        <v>8500</v>
      </c>
      <c r="O1082">
        <v>216</v>
      </c>
      <c r="P1082">
        <v>1</v>
      </c>
      <c r="Q1082">
        <v>0</v>
      </c>
      <c r="R1082">
        <v>3956197</v>
      </c>
      <c r="S1082">
        <v>14858.94</v>
      </c>
      <c r="T1082">
        <v>3941338.06</v>
      </c>
      <c r="U1082">
        <v>3941338.06</v>
      </c>
      <c r="V1082">
        <v>0</v>
      </c>
      <c r="W1082">
        <v>0</v>
      </c>
    </row>
    <row r="1083" spans="1:23" x14ac:dyDescent="0.35">
      <c r="A1083" t="s">
        <v>3</v>
      </c>
      <c r="B1083">
        <v>4750</v>
      </c>
      <c r="C1083">
        <v>216</v>
      </c>
      <c r="D1083">
        <v>11</v>
      </c>
      <c r="E1083">
        <v>0</v>
      </c>
      <c r="F1083">
        <v>96633462</v>
      </c>
      <c r="G1083">
        <v>428257.04</v>
      </c>
      <c r="H1083">
        <v>95899200</v>
      </c>
      <c r="I1083">
        <v>95899200</v>
      </c>
      <c r="J1083">
        <v>3.7345000000000003E-2</v>
      </c>
      <c r="K1083">
        <v>3.7345000000000003E-2</v>
      </c>
      <c r="M1083" t="s">
        <v>1</v>
      </c>
      <c r="N1083">
        <v>4750</v>
      </c>
      <c r="O1083">
        <v>240</v>
      </c>
      <c r="P1083">
        <v>27</v>
      </c>
      <c r="Q1083">
        <v>0</v>
      </c>
      <c r="R1083">
        <v>147579151</v>
      </c>
      <c r="S1083">
        <v>903757.09</v>
      </c>
      <c r="T1083">
        <v>146675393.91</v>
      </c>
      <c r="U1083">
        <v>146675393.91</v>
      </c>
      <c r="V1083">
        <v>0</v>
      </c>
      <c r="W1083">
        <v>0</v>
      </c>
    </row>
    <row r="1084" spans="1:23" x14ac:dyDescent="0.35">
      <c r="A1084" t="s">
        <v>1</v>
      </c>
      <c r="B1084">
        <v>4250</v>
      </c>
      <c r="C1084">
        <v>240</v>
      </c>
      <c r="D1084">
        <v>5</v>
      </c>
      <c r="E1084">
        <v>0</v>
      </c>
      <c r="F1084">
        <v>17083331</v>
      </c>
      <c r="G1084">
        <v>151013.76999999999</v>
      </c>
      <c r="H1084">
        <v>16969064</v>
      </c>
      <c r="I1084">
        <v>16969064</v>
      </c>
      <c r="J1084">
        <v>-2.6120000000000001E-2</v>
      </c>
      <c r="K1084">
        <v>-2.6120000000000001E-2</v>
      </c>
      <c r="M1084" t="s">
        <v>1</v>
      </c>
      <c r="N1084">
        <v>4250</v>
      </c>
      <c r="O1084">
        <v>216</v>
      </c>
      <c r="P1084">
        <v>67</v>
      </c>
      <c r="Q1084">
        <v>0</v>
      </c>
      <c r="R1084">
        <v>770181078</v>
      </c>
      <c r="S1084">
        <v>3569371.62</v>
      </c>
      <c r="T1084">
        <v>756445448.85000002</v>
      </c>
      <c r="U1084">
        <v>766611706.38</v>
      </c>
      <c r="V1084">
        <v>0.14738999999999999</v>
      </c>
      <c r="W1084">
        <v>0</v>
      </c>
    </row>
    <row r="1085" spans="1:23" x14ac:dyDescent="0.35">
      <c r="A1085" t="s">
        <v>2</v>
      </c>
      <c r="B1085">
        <v>4250</v>
      </c>
      <c r="C1085">
        <v>216</v>
      </c>
      <c r="D1085">
        <v>14</v>
      </c>
      <c r="E1085">
        <v>0</v>
      </c>
      <c r="F1085">
        <v>153364539</v>
      </c>
      <c r="G1085">
        <v>706157.37</v>
      </c>
      <c r="H1085">
        <v>152599741</v>
      </c>
      <c r="I1085">
        <v>152599741</v>
      </c>
      <c r="J1085">
        <v>4.5789999999999997E-3</v>
      </c>
      <c r="K1085">
        <v>4.5789999999999997E-3</v>
      </c>
      <c r="M1085" t="s">
        <v>3</v>
      </c>
      <c r="N1085">
        <v>5250</v>
      </c>
      <c r="O1085">
        <v>216</v>
      </c>
      <c r="P1085">
        <v>45</v>
      </c>
      <c r="Q1085">
        <v>0</v>
      </c>
      <c r="R1085">
        <v>411232547</v>
      </c>
      <c r="S1085">
        <v>1729148.16</v>
      </c>
      <c r="T1085">
        <v>409503398.83999997</v>
      </c>
      <c r="U1085">
        <v>409503398.83999997</v>
      </c>
      <c r="V1085">
        <v>0</v>
      </c>
      <c r="W1085">
        <v>0</v>
      </c>
    </row>
    <row r="1086" spans="1:23" x14ac:dyDescent="0.35">
      <c r="A1086" t="s">
        <v>3</v>
      </c>
      <c r="B1086">
        <v>5250</v>
      </c>
      <c r="C1086">
        <v>192</v>
      </c>
      <c r="D1086">
        <v>131</v>
      </c>
      <c r="E1086">
        <v>0</v>
      </c>
      <c r="F1086">
        <v>1159187575</v>
      </c>
      <c r="G1086">
        <v>4463137.01</v>
      </c>
      <c r="H1086">
        <v>1146982182</v>
      </c>
      <c r="I1086">
        <v>1146982182</v>
      </c>
      <c r="J1086">
        <v>7.7269000000000004E-2</v>
      </c>
      <c r="K1086">
        <v>7.7269000000000004E-2</v>
      </c>
      <c r="M1086" t="s">
        <v>3</v>
      </c>
      <c r="N1086">
        <v>4750</v>
      </c>
      <c r="O1086">
        <v>216</v>
      </c>
      <c r="P1086">
        <v>11</v>
      </c>
      <c r="Q1086">
        <v>0</v>
      </c>
      <c r="R1086">
        <v>97351960</v>
      </c>
      <c r="S1086">
        <v>427830.54</v>
      </c>
      <c r="T1086">
        <v>96924129.459999993</v>
      </c>
      <c r="U1086">
        <v>96924129.459999993</v>
      </c>
      <c r="V1086">
        <v>0</v>
      </c>
      <c r="W1086">
        <v>0</v>
      </c>
    </row>
    <row r="1087" spans="1:23" x14ac:dyDescent="0.35">
      <c r="A1087" t="s">
        <v>1</v>
      </c>
      <c r="B1087">
        <v>5750</v>
      </c>
      <c r="C1087">
        <v>192</v>
      </c>
      <c r="D1087">
        <v>41</v>
      </c>
      <c r="E1087">
        <v>0</v>
      </c>
      <c r="F1087">
        <v>220681674</v>
      </c>
      <c r="G1087">
        <v>836946.27</v>
      </c>
      <c r="H1087">
        <v>219280869</v>
      </c>
      <c r="I1087">
        <v>219280869</v>
      </c>
      <c r="J1087">
        <v>3.0234E-2</v>
      </c>
      <c r="K1087">
        <v>3.0234E-2</v>
      </c>
      <c r="M1087" t="s">
        <v>1</v>
      </c>
      <c r="N1087">
        <v>4250</v>
      </c>
      <c r="O1087">
        <v>240</v>
      </c>
      <c r="P1087">
        <v>9</v>
      </c>
      <c r="Q1087">
        <v>0</v>
      </c>
      <c r="R1087">
        <v>39466834</v>
      </c>
      <c r="S1087">
        <v>301097.34000000003</v>
      </c>
      <c r="T1087">
        <v>39165736.659999996</v>
      </c>
      <c r="U1087">
        <v>39165736.659999996</v>
      </c>
      <c r="V1087">
        <v>0</v>
      </c>
      <c r="W1087">
        <v>0</v>
      </c>
    </row>
    <row r="1088" spans="1:23" x14ac:dyDescent="0.35">
      <c r="A1088" t="s">
        <v>3</v>
      </c>
      <c r="B1088">
        <v>5750</v>
      </c>
      <c r="C1088">
        <v>192</v>
      </c>
      <c r="D1088">
        <v>14</v>
      </c>
      <c r="E1088">
        <v>0</v>
      </c>
      <c r="F1088">
        <v>84426832</v>
      </c>
      <c r="G1088">
        <v>319009.19</v>
      </c>
      <c r="H1088">
        <v>83944221</v>
      </c>
      <c r="I1088">
        <v>83944221</v>
      </c>
      <c r="J1088">
        <v>2.3007E-2</v>
      </c>
      <c r="K1088">
        <v>2.3007E-2</v>
      </c>
      <c r="M1088" t="s">
        <v>2</v>
      </c>
      <c r="N1088">
        <v>4250</v>
      </c>
      <c r="O1088">
        <v>216</v>
      </c>
      <c r="P1088">
        <v>14</v>
      </c>
      <c r="Q1088">
        <v>0</v>
      </c>
      <c r="R1088">
        <v>154144681</v>
      </c>
      <c r="S1088">
        <v>704015.61</v>
      </c>
      <c r="T1088">
        <v>153440665.38999999</v>
      </c>
      <c r="U1088">
        <v>153440665.38999999</v>
      </c>
      <c r="V1088">
        <v>0</v>
      </c>
      <c r="W1088">
        <v>0</v>
      </c>
    </row>
    <row r="1089" spans="1:23" x14ac:dyDescent="0.35">
      <c r="A1089" t="s">
        <v>0</v>
      </c>
      <c r="B1089">
        <v>6250</v>
      </c>
      <c r="C1089">
        <v>192</v>
      </c>
      <c r="D1089">
        <v>127</v>
      </c>
      <c r="E1089">
        <v>0</v>
      </c>
      <c r="F1089">
        <v>851463656</v>
      </c>
      <c r="G1089">
        <v>3015222.09</v>
      </c>
      <c r="H1089">
        <v>831745785</v>
      </c>
      <c r="I1089">
        <v>838806992.87</v>
      </c>
      <c r="J1089">
        <v>0.211589</v>
      </c>
      <c r="K1089">
        <v>0.12772900000000001</v>
      </c>
      <c r="M1089" t="s">
        <v>3</v>
      </c>
      <c r="N1089">
        <v>5250</v>
      </c>
      <c r="O1089">
        <v>192</v>
      </c>
      <c r="P1089">
        <v>144</v>
      </c>
      <c r="Q1089">
        <v>0</v>
      </c>
      <c r="R1089">
        <v>1282188114</v>
      </c>
      <c r="S1089">
        <v>4916747.2699999996</v>
      </c>
      <c r="T1089">
        <v>1255985278.5699999</v>
      </c>
      <c r="U1089">
        <v>1277271366.73</v>
      </c>
      <c r="V1089">
        <v>0.18199699999999999</v>
      </c>
      <c r="W1089">
        <v>0</v>
      </c>
    </row>
    <row r="1090" spans="1:23" x14ac:dyDescent="0.35">
      <c r="A1090" t="s">
        <v>0</v>
      </c>
      <c r="B1090">
        <v>3750</v>
      </c>
      <c r="C1090">
        <v>216</v>
      </c>
      <c r="D1090">
        <v>2</v>
      </c>
      <c r="E1090">
        <v>0</v>
      </c>
      <c r="F1090">
        <v>17489947</v>
      </c>
      <c r="G1090">
        <v>80253.679999999993</v>
      </c>
      <c r="H1090">
        <v>17389780</v>
      </c>
      <c r="I1090">
        <v>17389780</v>
      </c>
      <c r="J1090">
        <v>1.3577000000000001E-2</v>
      </c>
      <c r="K1090">
        <v>1.3577000000000001E-2</v>
      </c>
      <c r="M1090" t="s">
        <v>1</v>
      </c>
      <c r="N1090">
        <v>5750</v>
      </c>
      <c r="O1090">
        <v>192</v>
      </c>
      <c r="P1090">
        <v>48</v>
      </c>
      <c r="Q1090">
        <v>0</v>
      </c>
      <c r="R1090">
        <v>278345086</v>
      </c>
      <c r="S1090">
        <v>1052817.3799999999</v>
      </c>
      <c r="T1090">
        <v>271992358.11000001</v>
      </c>
      <c r="U1090">
        <v>277292268.62</v>
      </c>
      <c r="V1090">
        <v>0.20601700000000001</v>
      </c>
      <c r="W1090">
        <v>0</v>
      </c>
    </row>
    <row r="1091" spans="1:23" x14ac:dyDescent="0.35">
      <c r="A1091" t="s">
        <v>0</v>
      </c>
      <c r="B1091">
        <v>6750</v>
      </c>
      <c r="C1091">
        <v>192</v>
      </c>
      <c r="D1091">
        <v>20</v>
      </c>
      <c r="E1091">
        <v>0</v>
      </c>
      <c r="F1091">
        <v>108565132</v>
      </c>
      <c r="G1091">
        <v>372095.22</v>
      </c>
      <c r="H1091">
        <v>108183632</v>
      </c>
      <c r="I1091">
        <v>108183632</v>
      </c>
      <c r="J1091">
        <v>1.039E-3</v>
      </c>
      <c r="K1091">
        <v>1.039E-3</v>
      </c>
      <c r="M1091" t="s">
        <v>3</v>
      </c>
      <c r="N1091">
        <v>5750</v>
      </c>
      <c r="O1091">
        <v>192</v>
      </c>
      <c r="P1091">
        <v>16</v>
      </c>
      <c r="Q1091">
        <v>0</v>
      </c>
      <c r="R1091">
        <v>93450557</v>
      </c>
      <c r="S1091">
        <v>351511.91</v>
      </c>
      <c r="T1091">
        <v>93099045.090000004</v>
      </c>
      <c r="U1091">
        <v>93099045.090000004</v>
      </c>
      <c r="V1091">
        <v>0</v>
      </c>
      <c r="W1091">
        <v>0</v>
      </c>
    </row>
    <row r="1092" spans="1:23" x14ac:dyDescent="0.35">
      <c r="A1092" t="s">
        <v>3</v>
      </c>
      <c r="B1092">
        <v>6000</v>
      </c>
      <c r="C1092">
        <v>192</v>
      </c>
      <c r="D1092">
        <v>7</v>
      </c>
      <c r="E1092">
        <v>0</v>
      </c>
      <c r="F1092">
        <v>35132052</v>
      </c>
      <c r="G1092">
        <v>129739.41</v>
      </c>
      <c r="H1092">
        <v>34927385</v>
      </c>
      <c r="I1092">
        <v>34927385</v>
      </c>
      <c r="J1092">
        <v>2.5295000000000002E-2</v>
      </c>
      <c r="K1092">
        <v>2.5295000000000002E-2</v>
      </c>
      <c r="M1092" t="s">
        <v>0</v>
      </c>
      <c r="N1092">
        <v>6750</v>
      </c>
      <c r="O1092">
        <v>192</v>
      </c>
      <c r="P1092">
        <v>23</v>
      </c>
      <c r="Q1092">
        <v>0</v>
      </c>
      <c r="R1092">
        <v>125317553</v>
      </c>
      <c r="S1092">
        <v>426871.42</v>
      </c>
      <c r="T1092">
        <v>120288798.16</v>
      </c>
      <c r="U1092">
        <v>124890681.58</v>
      </c>
      <c r="V1092">
        <v>0.36170600000000003</v>
      </c>
      <c r="W1092">
        <v>0</v>
      </c>
    </row>
    <row r="1093" spans="1:23" x14ac:dyDescent="0.35">
      <c r="A1093" t="s">
        <v>0</v>
      </c>
      <c r="B1093">
        <v>7250</v>
      </c>
      <c r="C1093">
        <v>192</v>
      </c>
      <c r="D1093">
        <v>15</v>
      </c>
      <c r="E1093">
        <v>0</v>
      </c>
      <c r="F1093">
        <v>106735099</v>
      </c>
      <c r="G1093">
        <v>321147.13</v>
      </c>
      <c r="H1093">
        <v>106369323</v>
      </c>
      <c r="I1093">
        <v>106369323</v>
      </c>
      <c r="J1093">
        <v>5.006E-3</v>
      </c>
      <c r="K1093">
        <v>5.006E-3</v>
      </c>
      <c r="M1093" t="s">
        <v>0</v>
      </c>
      <c r="N1093">
        <v>3750</v>
      </c>
      <c r="O1093">
        <v>216</v>
      </c>
      <c r="P1093">
        <v>1</v>
      </c>
      <c r="Q1093">
        <v>0</v>
      </c>
      <c r="R1093">
        <v>9253719</v>
      </c>
      <c r="S1093">
        <v>42289.11</v>
      </c>
      <c r="T1093">
        <v>9211429.8900000006</v>
      </c>
      <c r="U1093">
        <v>9211429.8900000006</v>
      </c>
      <c r="V1093">
        <v>0</v>
      </c>
      <c r="W1093">
        <v>0</v>
      </c>
    </row>
    <row r="1094" spans="1:23" x14ac:dyDescent="0.35">
      <c r="A1094" t="s">
        <v>3</v>
      </c>
      <c r="B1094">
        <v>3750</v>
      </c>
      <c r="C1094">
        <v>192</v>
      </c>
      <c r="D1094">
        <v>65</v>
      </c>
      <c r="E1094">
        <v>0</v>
      </c>
      <c r="F1094">
        <v>864038897</v>
      </c>
      <c r="G1094">
        <v>3366414.92</v>
      </c>
      <c r="H1094">
        <v>849488595</v>
      </c>
      <c r="I1094">
        <v>849488595</v>
      </c>
      <c r="J1094">
        <v>0.144731</v>
      </c>
      <c r="K1094">
        <v>0.144731</v>
      </c>
      <c r="M1094" t="s">
        <v>3</v>
      </c>
      <c r="N1094">
        <v>6000</v>
      </c>
      <c r="O1094">
        <v>192</v>
      </c>
      <c r="P1094">
        <v>7</v>
      </c>
      <c r="Q1094">
        <v>0</v>
      </c>
      <c r="R1094">
        <v>35311082</v>
      </c>
      <c r="S1094">
        <v>129279.06</v>
      </c>
      <c r="T1094">
        <v>35181802.939999998</v>
      </c>
      <c r="U1094">
        <v>35181802.939999998</v>
      </c>
      <c r="V1094">
        <v>0</v>
      </c>
      <c r="W1094">
        <v>0</v>
      </c>
    </row>
    <row r="1095" spans="1:23" x14ac:dyDescent="0.35">
      <c r="A1095" t="s">
        <v>2</v>
      </c>
      <c r="B1095">
        <v>3500</v>
      </c>
      <c r="C1095">
        <v>216</v>
      </c>
      <c r="D1095">
        <v>1</v>
      </c>
      <c r="E1095">
        <v>0</v>
      </c>
      <c r="F1095">
        <v>13002464</v>
      </c>
      <c r="G1095">
        <v>68657.990000000005</v>
      </c>
      <c r="H1095">
        <v>12933242</v>
      </c>
      <c r="I1095">
        <v>12933242</v>
      </c>
      <c r="J1095">
        <v>5.1999999999999995E-4</v>
      </c>
      <c r="K1095">
        <v>5.1999999999999995E-4</v>
      </c>
      <c r="M1095" t="s">
        <v>0</v>
      </c>
      <c r="N1095">
        <v>7250</v>
      </c>
      <c r="O1095">
        <v>192</v>
      </c>
      <c r="P1095">
        <v>15</v>
      </c>
      <c r="Q1095">
        <v>0</v>
      </c>
      <c r="R1095">
        <v>107082152</v>
      </c>
      <c r="S1095">
        <v>319306.33</v>
      </c>
      <c r="T1095">
        <v>106762845.67</v>
      </c>
      <c r="U1095">
        <v>106762845.67</v>
      </c>
      <c r="V1095">
        <v>0</v>
      </c>
      <c r="W1095">
        <v>0</v>
      </c>
    </row>
    <row r="1096" spans="1:23" x14ac:dyDescent="0.35">
      <c r="A1096" t="s">
        <v>0</v>
      </c>
      <c r="B1096">
        <v>3500</v>
      </c>
      <c r="C1096">
        <v>216</v>
      </c>
      <c r="D1096">
        <v>1</v>
      </c>
      <c r="E1096">
        <v>0</v>
      </c>
      <c r="F1096">
        <v>10955577</v>
      </c>
      <c r="G1096">
        <v>51876.74</v>
      </c>
      <c r="H1096">
        <v>10895665</v>
      </c>
      <c r="I1096">
        <v>10895665</v>
      </c>
      <c r="J1096">
        <v>8.7659999999999995E-3</v>
      </c>
      <c r="K1096">
        <v>8.7659999999999995E-3</v>
      </c>
      <c r="M1096" t="s">
        <v>3</v>
      </c>
      <c r="N1096">
        <v>3750</v>
      </c>
      <c r="O1096">
        <v>192</v>
      </c>
      <c r="P1096">
        <v>54</v>
      </c>
      <c r="Q1096">
        <v>0</v>
      </c>
      <c r="R1096">
        <v>722787816</v>
      </c>
      <c r="S1096">
        <v>2799601.18</v>
      </c>
      <c r="T1096">
        <v>712824850.60000002</v>
      </c>
      <c r="U1096">
        <v>719988214.82000005</v>
      </c>
      <c r="V1096">
        <v>0.11265600000000001</v>
      </c>
      <c r="W1096">
        <v>0</v>
      </c>
    </row>
    <row r="1097" spans="1:23" x14ac:dyDescent="0.35">
      <c r="A1097" t="s">
        <v>1</v>
      </c>
      <c r="B1097">
        <v>4750</v>
      </c>
      <c r="C1097">
        <v>168</v>
      </c>
      <c r="D1097">
        <v>1719</v>
      </c>
      <c r="E1097">
        <v>0</v>
      </c>
      <c r="F1097">
        <v>16755591831</v>
      </c>
      <c r="G1097">
        <v>51195163.469999999</v>
      </c>
      <c r="H1097">
        <v>16587823051</v>
      </c>
      <c r="I1097">
        <v>16680887100.83</v>
      </c>
      <c r="J1097">
        <v>8.0366000000000007E-2</v>
      </c>
      <c r="K1097">
        <v>1.6708000000000001E-2</v>
      </c>
      <c r="M1097" t="s">
        <v>2</v>
      </c>
      <c r="N1097">
        <v>3500</v>
      </c>
      <c r="O1097">
        <v>216</v>
      </c>
      <c r="P1097">
        <v>1</v>
      </c>
      <c r="Q1097">
        <v>0</v>
      </c>
      <c r="R1097">
        <v>13071485</v>
      </c>
      <c r="S1097">
        <v>68461.27</v>
      </c>
      <c r="T1097">
        <v>13003023.73</v>
      </c>
      <c r="U1097">
        <v>13003023.73</v>
      </c>
      <c r="V1097">
        <v>0</v>
      </c>
      <c r="W1097">
        <v>0</v>
      </c>
    </row>
    <row r="1098" spans="1:23" x14ac:dyDescent="0.35">
      <c r="A1098" t="s">
        <v>0</v>
      </c>
      <c r="B1098">
        <v>5250</v>
      </c>
      <c r="C1098">
        <v>168</v>
      </c>
      <c r="D1098">
        <v>1584</v>
      </c>
      <c r="E1098">
        <v>0</v>
      </c>
      <c r="F1098">
        <v>11931630928</v>
      </c>
      <c r="G1098">
        <v>34838782.5</v>
      </c>
      <c r="H1098">
        <v>11843812247</v>
      </c>
      <c r="I1098">
        <v>11886645703.540001</v>
      </c>
      <c r="J1098">
        <v>5.2000999999999999E-2</v>
      </c>
      <c r="K1098">
        <v>1.0156999999999999E-2</v>
      </c>
      <c r="M1098" t="s">
        <v>1</v>
      </c>
      <c r="N1098">
        <v>4750</v>
      </c>
      <c r="O1098">
        <v>168</v>
      </c>
      <c r="P1098">
        <v>1573</v>
      </c>
      <c r="Q1098">
        <v>0</v>
      </c>
      <c r="R1098">
        <v>15305067319</v>
      </c>
      <c r="S1098">
        <v>46635723.390000001</v>
      </c>
      <c r="T1098">
        <v>15198366133.59</v>
      </c>
      <c r="U1098">
        <v>15241500032.1</v>
      </c>
      <c r="V1098">
        <v>4.6091E-2</v>
      </c>
      <c r="W1098">
        <v>1.3195E-2</v>
      </c>
    </row>
    <row r="1099" spans="1:23" x14ac:dyDescent="0.35">
      <c r="A1099" t="s">
        <v>0</v>
      </c>
      <c r="B1099">
        <v>5750</v>
      </c>
      <c r="C1099">
        <v>168</v>
      </c>
      <c r="D1099">
        <v>114</v>
      </c>
      <c r="E1099">
        <v>0</v>
      </c>
      <c r="F1099">
        <v>750700352</v>
      </c>
      <c r="G1099">
        <v>2072469.56</v>
      </c>
      <c r="H1099">
        <v>740906823</v>
      </c>
      <c r="I1099">
        <v>746328146.53999996</v>
      </c>
      <c r="J1099">
        <v>0.116674</v>
      </c>
      <c r="K1099">
        <v>3.6148E-2</v>
      </c>
      <c r="M1099" t="s">
        <v>0</v>
      </c>
      <c r="N1099">
        <v>5250</v>
      </c>
      <c r="O1099">
        <v>168</v>
      </c>
      <c r="P1099">
        <v>1455</v>
      </c>
      <c r="Q1099">
        <v>0</v>
      </c>
      <c r="R1099">
        <v>11074839703</v>
      </c>
      <c r="S1099">
        <v>32270434.079999998</v>
      </c>
      <c r="T1099">
        <v>10960183231.030001</v>
      </c>
      <c r="U1099">
        <v>11042569268.92</v>
      </c>
      <c r="V1099">
        <v>8.5705000000000003E-2</v>
      </c>
      <c r="W1099">
        <v>0</v>
      </c>
    </row>
    <row r="1100" spans="1:23" x14ac:dyDescent="0.35">
      <c r="A1100" t="s">
        <v>0</v>
      </c>
      <c r="B1100">
        <v>6500</v>
      </c>
      <c r="C1100">
        <v>168</v>
      </c>
      <c r="D1100">
        <v>112</v>
      </c>
      <c r="E1100">
        <v>0</v>
      </c>
      <c r="F1100">
        <v>811567951</v>
      </c>
      <c r="G1100">
        <v>2225541.5</v>
      </c>
      <c r="H1100">
        <v>809050736</v>
      </c>
      <c r="I1100">
        <v>809050736</v>
      </c>
      <c r="J1100">
        <v>4.3039999999999997E-3</v>
      </c>
      <c r="K1100">
        <v>4.3039999999999997E-3</v>
      </c>
      <c r="M1100" t="s">
        <v>1</v>
      </c>
      <c r="N1100">
        <v>5250</v>
      </c>
      <c r="O1100">
        <v>168</v>
      </c>
      <c r="P1100">
        <v>117</v>
      </c>
      <c r="Q1100">
        <v>0</v>
      </c>
      <c r="R1100">
        <v>905340837</v>
      </c>
      <c r="S1100">
        <v>2625744.7999999998</v>
      </c>
      <c r="T1100">
        <v>902715092.20000005</v>
      </c>
      <c r="U1100">
        <v>902715092.20000005</v>
      </c>
      <c r="V1100">
        <v>0</v>
      </c>
      <c r="W1100">
        <v>0</v>
      </c>
    </row>
    <row r="1101" spans="1:23" x14ac:dyDescent="0.35">
      <c r="A1101" t="s">
        <v>3</v>
      </c>
      <c r="B1101">
        <v>6750</v>
      </c>
      <c r="C1101">
        <v>20</v>
      </c>
      <c r="D1101">
        <v>95</v>
      </c>
      <c r="E1101">
        <v>0</v>
      </c>
      <c r="F1101">
        <v>2750707385</v>
      </c>
      <c r="G1101">
        <v>2707081.11</v>
      </c>
      <c r="H1101">
        <v>2747663591</v>
      </c>
      <c r="I1101">
        <v>2747663591</v>
      </c>
      <c r="J1101">
        <v>1.4679999999999999E-3</v>
      </c>
      <c r="K1101">
        <v>1.4679999999999999E-3</v>
      </c>
      <c r="M1101" t="s">
        <v>0</v>
      </c>
      <c r="N1101">
        <v>5750</v>
      </c>
      <c r="O1101">
        <v>168</v>
      </c>
      <c r="P1101">
        <v>102</v>
      </c>
      <c r="Q1101">
        <v>0</v>
      </c>
      <c r="R1101">
        <v>666502080</v>
      </c>
      <c r="S1101">
        <v>1859815.61</v>
      </c>
      <c r="T1101">
        <v>659861593.22000003</v>
      </c>
      <c r="U1101">
        <v>664642264.38999999</v>
      </c>
      <c r="V1101">
        <v>8.2757999999999998E-2</v>
      </c>
      <c r="W1101">
        <v>0</v>
      </c>
    </row>
    <row r="1102" spans="1:23" x14ac:dyDescent="0.35">
      <c r="A1102" t="s">
        <v>2</v>
      </c>
      <c r="B1102">
        <v>8000</v>
      </c>
      <c r="C1102">
        <v>240</v>
      </c>
      <c r="D1102">
        <v>1</v>
      </c>
      <c r="E1102">
        <v>0</v>
      </c>
      <c r="F1102">
        <v>2381243</v>
      </c>
      <c r="G1102">
        <v>12715.22</v>
      </c>
      <c r="H1102">
        <v>2381243</v>
      </c>
      <c r="I1102">
        <v>2381243</v>
      </c>
      <c r="J1102">
        <v>-6.5992999999999996E-2</v>
      </c>
      <c r="K1102">
        <v>-6.5992999999999996E-2</v>
      </c>
      <c r="M1102" t="s">
        <v>0</v>
      </c>
      <c r="N1102">
        <v>6500</v>
      </c>
      <c r="O1102">
        <v>168</v>
      </c>
      <c r="P1102">
        <v>121</v>
      </c>
      <c r="Q1102">
        <v>0</v>
      </c>
      <c r="R1102">
        <v>892459886</v>
      </c>
      <c r="S1102">
        <v>2446544.9900000002</v>
      </c>
      <c r="T1102">
        <v>883546368.42999995</v>
      </c>
      <c r="U1102">
        <v>890013341.00999999</v>
      </c>
      <c r="V1102">
        <v>8.3571999999999994E-2</v>
      </c>
      <c r="W1102">
        <v>0</v>
      </c>
    </row>
    <row r="1103" spans="1:23" x14ac:dyDescent="0.35">
      <c r="A1103" t="s">
        <v>1</v>
      </c>
      <c r="B1103">
        <v>4250</v>
      </c>
      <c r="C1103">
        <v>144</v>
      </c>
      <c r="D1103">
        <v>15335</v>
      </c>
      <c r="E1103">
        <v>0</v>
      </c>
      <c r="F1103">
        <v>184591219945</v>
      </c>
      <c r="G1103">
        <v>541645979.21000004</v>
      </c>
      <c r="H1103">
        <v>182663277522</v>
      </c>
      <c r="I1103">
        <v>183778399393.47</v>
      </c>
      <c r="J1103">
        <v>8.6489999999999997E-2</v>
      </c>
      <c r="K1103">
        <v>1.7486999999999999E-2</v>
      </c>
      <c r="M1103" t="s">
        <v>0</v>
      </c>
      <c r="N1103">
        <v>3500</v>
      </c>
      <c r="O1103">
        <v>216</v>
      </c>
      <c r="P1103">
        <v>1</v>
      </c>
      <c r="Q1103">
        <v>0</v>
      </c>
      <c r="R1103">
        <v>11015321</v>
      </c>
      <c r="S1103">
        <v>51768.9</v>
      </c>
      <c r="T1103">
        <v>10963552.1</v>
      </c>
      <c r="U1103">
        <v>10963552.1</v>
      </c>
      <c r="V1103">
        <v>0</v>
      </c>
      <c r="W1103">
        <v>0</v>
      </c>
    </row>
    <row r="1104" spans="1:23" x14ac:dyDescent="0.35">
      <c r="A1104" t="s">
        <v>1</v>
      </c>
      <c r="B1104">
        <v>4750</v>
      </c>
      <c r="C1104">
        <v>144</v>
      </c>
      <c r="D1104">
        <v>1992</v>
      </c>
      <c r="E1104">
        <v>0</v>
      </c>
      <c r="F1104">
        <v>19764686772</v>
      </c>
      <c r="G1104">
        <v>55149051.200000003</v>
      </c>
      <c r="H1104">
        <v>19567882332</v>
      </c>
      <c r="I1104">
        <v>19643963993.73</v>
      </c>
      <c r="J1104">
        <v>8.2695000000000005E-2</v>
      </c>
      <c r="K1104">
        <v>3.9093999999999997E-2</v>
      </c>
      <c r="M1104" t="s">
        <v>2</v>
      </c>
      <c r="N1104">
        <v>5750</v>
      </c>
      <c r="O1104">
        <v>360</v>
      </c>
      <c r="P1104">
        <v>3</v>
      </c>
      <c r="Q1104">
        <v>0</v>
      </c>
      <c r="R1104">
        <v>3775091</v>
      </c>
      <c r="S1104">
        <v>88480.77</v>
      </c>
      <c r="T1104">
        <v>3686610.23</v>
      </c>
      <c r="U1104">
        <v>3686610.23</v>
      </c>
      <c r="V1104">
        <v>0</v>
      </c>
      <c r="W1104">
        <v>0</v>
      </c>
    </row>
    <row r="1105" spans="1:23" x14ac:dyDescent="0.35">
      <c r="A1105" t="s">
        <v>3</v>
      </c>
      <c r="B1105">
        <v>6250</v>
      </c>
      <c r="C1105">
        <v>20</v>
      </c>
      <c r="D1105">
        <v>25</v>
      </c>
      <c r="E1105">
        <v>0</v>
      </c>
      <c r="F1105">
        <v>631177805</v>
      </c>
      <c r="G1105">
        <v>680686.43</v>
      </c>
      <c r="H1105">
        <v>629972453</v>
      </c>
      <c r="I1105">
        <v>629972453</v>
      </c>
      <c r="J1105">
        <v>9.9299999999999996E-3</v>
      </c>
      <c r="K1105">
        <v>9.9299999999999996E-3</v>
      </c>
      <c r="M1105" t="s">
        <v>3</v>
      </c>
      <c r="N1105">
        <v>6750</v>
      </c>
      <c r="O1105">
        <v>20</v>
      </c>
      <c r="P1105">
        <v>107</v>
      </c>
      <c r="Q1105">
        <v>0</v>
      </c>
      <c r="R1105">
        <v>3004070791</v>
      </c>
      <c r="S1105">
        <v>2955651.96</v>
      </c>
      <c r="T1105">
        <v>3001115139.04</v>
      </c>
      <c r="U1105">
        <v>3001115139.04</v>
      </c>
      <c r="V1105">
        <v>0</v>
      </c>
      <c r="W1105">
        <v>0</v>
      </c>
    </row>
    <row r="1106" spans="1:23" x14ac:dyDescent="0.35">
      <c r="A1106" t="s">
        <v>3</v>
      </c>
      <c r="B1106">
        <v>6250</v>
      </c>
      <c r="C1106">
        <v>18</v>
      </c>
      <c r="D1106">
        <v>56</v>
      </c>
      <c r="E1106">
        <v>0</v>
      </c>
      <c r="F1106">
        <v>1534889532</v>
      </c>
      <c r="G1106">
        <v>1642741</v>
      </c>
      <c r="H1106">
        <v>1532509127</v>
      </c>
      <c r="I1106">
        <v>1532509127</v>
      </c>
      <c r="J1106">
        <v>5.7520000000000002E-3</v>
      </c>
      <c r="K1106">
        <v>5.7520000000000002E-3</v>
      </c>
      <c r="M1106" t="s">
        <v>2</v>
      </c>
      <c r="N1106">
        <v>8000</v>
      </c>
      <c r="O1106">
        <v>240</v>
      </c>
      <c r="P1106">
        <v>1</v>
      </c>
      <c r="Q1106">
        <v>0</v>
      </c>
      <c r="R1106">
        <v>2413096</v>
      </c>
      <c r="S1106">
        <v>12734.74</v>
      </c>
      <c r="T1106">
        <v>2400361.2599999998</v>
      </c>
      <c r="U1106">
        <v>2400361.2599999998</v>
      </c>
      <c r="V1106">
        <v>0</v>
      </c>
      <c r="W1106">
        <v>0</v>
      </c>
    </row>
    <row r="1107" spans="1:23" x14ac:dyDescent="0.35">
      <c r="A1107" t="s">
        <v>3</v>
      </c>
      <c r="B1107">
        <v>5750</v>
      </c>
      <c r="C1107">
        <v>18</v>
      </c>
      <c r="D1107">
        <v>25</v>
      </c>
      <c r="E1107">
        <v>0</v>
      </c>
      <c r="F1107">
        <v>689823000</v>
      </c>
      <c r="G1107">
        <v>802971.43</v>
      </c>
      <c r="H1107">
        <v>688625806</v>
      </c>
      <c r="I1107">
        <v>688625806</v>
      </c>
      <c r="J1107">
        <v>6.8360000000000001E-3</v>
      </c>
      <c r="K1107">
        <v>6.8360000000000001E-3</v>
      </c>
      <c r="M1107" t="s">
        <v>1</v>
      </c>
      <c r="N1107">
        <v>4250</v>
      </c>
      <c r="O1107">
        <v>144</v>
      </c>
      <c r="P1107">
        <v>16004</v>
      </c>
      <c r="Q1107">
        <v>0</v>
      </c>
      <c r="R1107">
        <v>192912340655</v>
      </c>
      <c r="S1107">
        <v>565411981.82000005</v>
      </c>
      <c r="T1107">
        <v>191157372074.70999</v>
      </c>
      <c r="U1107">
        <v>192180578273.20001</v>
      </c>
      <c r="V1107">
        <v>7.1537000000000003E-2</v>
      </c>
      <c r="W1107">
        <v>1.0299000000000001E-2</v>
      </c>
    </row>
    <row r="1108" spans="1:23" x14ac:dyDescent="0.35">
      <c r="A1108" t="s">
        <v>3</v>
      </c>
      <c r="B1108">
        <v>5500</v>
      </c>
      <c r="C1108">
        <v>18</v>
      </c>
      <c r="D1108">
        <v>7</v>
      </c>
      <c r="E1108">
        <v>0</v>
      </c>
      <c r="F1108">
        <v>269351557</v>
      </c>
      <c r="G1108">
        <v>329244.65000000002</v>
      </c>
      <c r="H1108">
        <v>268962326</v>
      </c>
      <c r="I1108">
        <v>268962326</v>
      </c>
      <c r="J1108">
        <v>2.6689999999999999E-3</v>
      </c>
      <c r="K1108">
        <v>2.6689999999999999E-3</v>
      </c>
      <c r="M1108" t="s">
        <v>1</v>
      </c>
      <c r="N1108">
        <v>4750</v>
      </c>
      <c r="O1108">
        <v>144</v>
      </c>
      <c r="P1108">
        <v>2105</v>
      </c>
      <c r="Q1108">
        <v>0</v>
      </c>
      <c r="R1108">
        <v>20894128072</v>
      </c>
      <c r="S1108">
        <v>58410908.939999998</v>
      </c>
      <c r="T1108">
        <v>20698533512.599998</v>
      </c>
      <c r="U1108">
        <v>20835717163.060001</v>
      </c>
      <c r="V1108">
        <v>7.6004000000000002E-2</v>
      </c>
      <c r="W1108">
        <v>0</v>
      </c>
    </row>
    <row r="1109" spans="1:23" x14ac:dyDescent="0.35">
      <c r="A1109" t="s">
        <v>0</v>
      </c>
      <c r="B1109">
        <v>5250</v>
      </c>
      <c r="C1109">
        <v>144</v>
      </c>
      <c r="D1109">
        <v>1981</v>
      </c>
      <c r="E1109">
        <v>0</v>
      </c>
      <c r="F1109">
        <v>14302552739</v>
      </c>
      <c r="G1109">
        <v>37344703.990000002</v>
      </c>
      <c r="H1109">
        <v>14103811309</v>
      </c>
      <c r="I1109">
        <v>14188677961.790001</v>
      </c>
      <c r="J1109">
        <v>0.12731700000000001</v>
      </c>
      <c r="K1109">
        <v>6.2352999999999999E-2</v>
      </c>
      <c r="M1109" t="s">
        <v>3</v>
      </c>
      <c r="N1109">
        <v>6250</v>
      </c>
      <c r="O1109">
        <v>18</v>
      </c>
      <c r="P1109">
        <v>36</v>
      </c>
      <c r="Q1109">
        <v>0</v>
      </c>
      <c r="R1109">
        <v>944720056</v>
      </c>
      <c r="S1109">
        <v>1007596.62</v>
      </c>
      <c r="T1109">
        <v>943712459.38</v>
      </c>
      <c r="U1109">
        <v>943712459.38</v>
      </c>
      <c r="V1109">
        <v>0</v>
      </c>
      <c r="W1109">
        <v>0</v>
      </c>
    </row>
    <row r="1110" spans="1:23" x14ac:dyDescent="0.35">
      <c r="A1110" t="s">
        <v>2</v>
      </c>
      <c r="B1110">
        <v>4250</v>
      </c>
      <c r="C1110">
        <v>120</v>
      </c>
      <c r="D1110">
        <v>3853</v>
      </c>
      <c r="E1110">
        <v>0</v>
      </c>
      <c r="F1110">
        <v>33505503935</v>
      </c>
      <c r="G1110">
        <v>86639024.719999999</v>
      </c>
      <c r="H1110">
        <v>33128120687</v>
      </c>
      <c r="I1110">
        <v>33327403843.639999</v>
      </c>
      <c r="J1110">
        <v>9.9301E-2</v>
      </c>
      <c r="K1110">
        <v>3.2268999999999999E-2</v>
      </c>
      <c r="M1110" t="s">
        <v>3</v>
      </c>
      <c r="N1110">
        <v>6750</v>
      </c>
      <c r="O1110">
        <v>18</v>
      </c>
      <c r="P1110">
        <v>80</v>
      </c>
      <c r="Q1110">
        <v>0</v>
      </c>
      <c r="R1110">
        <v>2518672479</v>
      </c>
      <c r="S1110">
        <v>2454274.7200000002</v>
      </c>
      <c r="T1110">
        <v>2516218204.2800002</v>
      </c>
      <c r="U1110">
        <v>2516218204.2800002</v>
      </c>
      <c r="V1110">
        <v>0</v>
      </c>
      <c r="W1110">
        <v>0</v>
      </c>
    </row>
    <row r="1111" spans="1:23" x14ac:dyDescent="0.35">
      <c r="A1111" t="s">
        <v>2</v>
      </c>
      <c r="B1111">
        <v>4750</v>
      </c>
      <c r="C1111">
        <v>120</v>
      </c>
      <c r="D1111">
        <v>286</v>
      </c>
      <c r="E1111">
        <v>0</v>
      </c>
      <c r="F1111">
        <v>2210685560</v>
      </c>
      <c r="G1111">
        <v>5289274.05</v>
      </c>
      <c r="H1111">
        <v>2202946385</v>
      </c>
      <c r="I1111">
        <v>2204875672.6300001</v>
      </c>
      <c r="J1111">
        <v>1.3218000000000001E-2</v>
      </c>
      <c r="K1111">
        <v>2.8219999999999999E-3</v>
      </c>
      <c r="M1111" t="s">
        <v>3</v>
      </c>
      <c r="N1111">
        <v>5750</v>
      </c>
      <c r="O1111">
        <v>16</v>
      </c>
      <c r="P1111">
        <v>32</v>
      </c>
      <c r="Q1111">
        <v>0</v>
      </c>
      <c r="R1111">
        <v>937088162</v>
      </c>
      <c r="S1111">
        <v>1082596.42</v>
      </c>
      <c r="T1111">
        <v>936005565.58000004</v>
      </c>
      <c r="U1111">
        <v>936005565.58000004</v>
      </c>
      <c r="V1111">
        <v>0</v>
      </c>
      <c r="W1111">
        <v>0</v>
      </c>
    </row>
    <row r="1112" spans="1:23" x14ac:dyDescent="0.35">
      <c r="A1112" t="s">
        <v>1</v>
      </c>
      <c r="B1112">
        <v>5250</v>
      </c>
      <c r="C1112">
        <v>144</v>
      </c>
      <c r="D1112">
        <v>119</v>
      </c>
      <c r="E1112">
        <v>0</v>
      </c>
      <c r="F1112">
        <v>995579853</v>
      </c>
      <c r="G1112">
        <v>2591954.94</v>
      </c>
      <c r="H1112">
        <v>992206236</v>
      </c>
      <c r="I1112">
        <v>992206236</v>
      </c>
      <c r="J1112">
        <v>9.3810000000000004E-3</v>
      </c>
      <c r="K1112">
        <v>9.3810000000000004E-3</v>
      </c>
      <c r="M1112" t="s">
        <v>3</v>
      </c>
      <c r="N1112">
        <v>5500</v>
      </c>
      <c r="O1112">
        <v>16</v>
      </c>
      <c r="P1112">
        <v>11</v>
      </c>
      <c r="Q1112">
        <v>0</v>
      </c>
      <c r="R1112">
        <v>386672724</v>
      </c>
      <c r="S1112">
        <v>467115.2</v>
      </c>
      <c r="T1112">
        <v>386205608.80000001</v>
      </c>
      <c r="U1112">
        <v>386205608.80000001</v>
      </c>
      <c r="V1112">
        <v>0</v>
      </c>
      <c r="W1112">
        <v>0</v>
      </c>
    </row>
    <row r="1113" spans="1:23" x14ac:dyDescent="0.35">
      <c r="A1113" t="s">
        <v>0</v>
      </c>
      <c r="B1113">
        <v>5250</v>
      </c>
      <c r="C1113">
        <v>120</v>
      </c>
      <c r="D1113">
        <v>618</v>
      </c>
      <c r="E1113">
        <v>0</v>
      </c>
      <c r="F1113">
        <v>5198391483</v>
      </c>
      <c r="G1113">
        <v>11976963.050000001</v>
      </c>
      <c r="H1113">
        <v>5179308470</v>
      </c>
      <c r="I1113">
        <v>5184052635.0500002</v>
      </c>
      <c r="J1113">
        <v>1.6281E-2</v>
      </c>
      <c r="K1113">
        <v>5.4390000000000003E-3</v>
      </c>
      <c r="M1113" t="s">
        <v>0</v>
      </c>
      <c r="N1113">
        <v>5250</v>
      </c>
      <c r="O1113">
        <v>144</v>
      </c>
      <c r="P1113">
        <v>2068</v>
      </c>
      <c r="Q1113">
        <v>0</v>
      </c>
      <c r="R1113">
        <v>14874969966</v>
      </c>
      <c r="S1113">
        <v>38979881.520000003</v>
      </c>
      <c r="T1113">
        <v>14798693459.059999</v>
      </c>
      <c r="U1113">
        <v>14831092413.639999</v>
      </c>
      <c r="V1113">
        <v>2.9676999999999999E-2</v>
      </c>
      <c r="W1113">
        <v>3.9439999999999996E-3</v>
      </c>
    </row>
    <row r="1114" spans="1:23" x14ac:dyDescent="0.35">
      <c r="A1114" t="s">
        <v>1</v>
      </c>
      <c r="B1114">
        <v>4750</v>
      </c>
      <c r="C1114">
        <v>120</v>
      </c>
      <c r="D1114">
        <v>643</v>
      </c>
      <c r="E1114">
        <v>0</v>
      </c>
      <c r="F1114">
        <v>7105746535</v>
      </c>
      <c r="G1114">
        <v>17294862.890000001</v>
      </c>
      <c r="H1114">
        <v>6991311952</v>
      </c>
      <c r="I1114">
        <v>7056838344.5500002</v>
      </c>
      <c r="J1114">
        <v>0.152258</v>
      </c>
      <c r="K1114">
        <v>5.2101000000000001E-2</v>
      </c>
      <c r="M1114" t="s">
        <v>2</v>
      </c>
      <c r="N1114">
        <v>4250</v>
      </c>
      <c r="O1114">
        <v>120</v>
      </c>
      <c r="P1114">
        <v>3692</v>
      </c>
      <c r="Q1114">
        <v>0</v>
      </c>
      <c r="R1114">
        <v>31731007504</v>
      </c>
      <c r="S1114">
        <v>82530385.239999995</v>
      </c>
      <c r="T1114">
        <v>31465760128.869999</v>
      </c>
      <c r="U1114">
        <v>31628150969.419998</v>
      </c>
      <c r="V1114">
        <v>6.6952999999999999E-2</v>
      </c>
      <c r="W1114">
        <v>7.6600000000000001E-3</v>
      </c>
    </row>
    <row r="1115" spans="1:23" x14ac:dyDescent="0.35">
      <c r="A1115" t="s">
        <v>0</v>
      </c>
      <c r="B1115">
        <v>2750</v>
      </c>
      <c r="C1115">
        <v>120</v>
      </c>
      <c r="D1115">
        <v>491</v>
      </c>
      <c r="E1115">
        <v>0</v>
      </c>
      <c r="F1115">
        <v>6952715091</v>
      </c>
      <c r="G1115">
        <v>21011382.739999998</v>
      </c>
      <c r="H1115">
        <v>6875091680</v>
      </c>
      <c r="I1115">
        <v>6908570453.04</v>
      </c>
      <c r="J1115">
        <v>9.3450000000000005E-2</v>
      </c>
      <c r="K1115">
        <v>3.9204000000000003E-2</v>
      </c>
      <c r="M1115" t="s">
        <v>2</v>
      </c>
      <c r="N1115">
        <v>4750</v>
      </c>
      <c r="O1115">
        <v>120</v>
      </c>
      <c r="P1115">
        <v>217</v>
      </c>
      <c r="Q1115">
        <v>0</v>
      </c>
      <c r="R1115">
        <v>1650944408</v>
      </c>
      <c r="S1115">
        <v>4061992.72</v>
      </c>
      <c r="T1115">
        <v>1636091168.98</v>
      </c>
      <c r="U1115">
        <v>1646882415.28</v>
      </c>
      <c r="V1115">
        <v>7.5677999999999995E-2</v>
      </c>
      <c r="W1115">
        <v>0</v>
      </c>
    </row>
    <row r="1116" spans="1:23" x14ac:dyDescent="0.35">
      <c r="A1116" t="s">
        <v>0</v>
      </c>
      <c r="B1116">
        <v>3250</v>
      </c>
      <c r="C1116">
        <v>108</v>
      </c>
      <c r="D1116">
        <v>2324</v>
      </c>
      <c r="E1116">
        <v>0</v>
      </c>
      <c r="F1116">
        <v>35743804885</v>
      </c>
      <c r="G1116">
        <v>96555202.099999994</v>
      </c>
      <c r="H1116">
        <v>35441304001</v>
      </c>
      <c r="I1116">
        <v>35635476883.120003</v>
      </c>
      <c r="J1116">
        <v>6.6990999999999995E-2</v>
      </c>
      <c r="K1116">
        <v>3.9449999999999997E-3</v>
      </c>
      <c r="M1116" t="s">
        <v>1</v>
      </c>
      <c r="N1116">
        <v>4750</v>
      </c>
      <c r="O1116">
        <v>120</v>
      </c>
      <c r="P1116">
        <v>611</v>
      </c>
      <c r="Q1116">
        <v>0</v>
      </c>
      <c r="R1116">
        <v>6707565567</v>
      </c>
      <c r="S1116">
        <v>16382070.16</v>
      </c>
      <c r="T1116">
        <v>6650289610.5500002</v>
      </c>
      <c r="U1116">
        <v>6674376284.6400003</v>
      </c>
      <c r="V1116">
        <v>7.0755999999999999E-2</v>
      </c>
      <c r="W1116">
        <v>2.9658E-2</v>
      </c>
    </row>
    <row r="1117" spans="1:23" x14ac:dyDescent="0.35">
      <c r="A1117" t="s">
        <v>1</v>
      </c>
      <c r="B1117">
        <v>5750</v>
      </c>
      <c r="C1117">
        <v>96</v>
      </c>
      <c r="D1117">
        <v>1036</v>
      </c>
      <c r="E1117">
        <v>0</v>
      </c>
      <c r="F1117">
        <v>12749186875</v>
      </c>
      <c r="G1117">
        <v>23261401.5</v>
      </c>
      <c r="H1117">
        <v>12540503906</v>
      </c>
      <c r="I1117">
        <v>12663542714</v>
      </c>
      <c r="J1117">
        <v>0.16122</v>
      </c>
      <c r="K1117">
        <v>5.7161999999999998E-2</v>
      </c>
      <c r="M1117" t="s">
        <v>1</v>
      </c>
      <c r="N1117">
        <v>5250</v>
      </c>
      <c r="O1117">
        <v>120</v>
      </c>
      <c r="P1117">
        <v>50</v>
      </c>
      <c r="Q1117">
        <v>0</v>
      </c>
      <c r="R1117">
        <v>399350508</v>
      </c>
      <c r="S1117">
        <v>927227.35</v>
      </c>
      <c r="T1117">
        <v>398423280.64999998</v>
      </c>
      <c r="U1117">
        <v>398423280.64999998</v>
      </c>
      <c r="V1117">
        <v>0</v>
      </c>
      <c r="W1117">
        <v>0</v>
      </c>
    </row>
    <row r="1118" spans="1:23" x14ac:dyDescent="0.35">
      <c r="A1118" t="s">
        <v>0</v>
      </c>
      <c r="B1118">
        <v>5250</v>
      </c>
      <c r="C1118">
        <v>108</v>
      </c>
      <c r="D1118">
        <v>4683</v>
      </c>
      <c r="E1118">
        <v>0</v>
      </c>
      <c r="F1118">
        <v>52904108510</v>
      </c>
      <c r="G1118">
        <v>111486350.03</v>
      </c>
      <c r="H1118">
        <v>52249870491</v>
      </c>
      <c r="I1118">
        <v>52707118574.809998</v>
      </c>
      <c r="J1118">
        <v>0.116396</v>
      </c>
      <c r="K1118">
        <v>1.9223000000000001E-2</v>
      </c>
      <c r="M1118" t="s">
        <v>0</v>
      </c>
      <c r="N1118">
        <v>5250</v>
      </c>
      <c r="O1118">
        <v>120</v>
      </c>
      <c r="P1118">
        <v>609</v>
      </c>
      <c r="Q1118">
        <v>0</v>
      </c>
      <c r="R1118">
        <v>4963101087</v>
      </c>
      <c r="S1118">
        <v>11502486.060000001</v>
      </c>
      <c r="T1118">
        <v>4943075975.9300003</v>
      </c>
      <c r="U1118">
        <v>4951598600.9399996</v>
      </c>
      <c r="V1118">
        <v>2.0413000000000001E-2</v>
      </c>
      <c r="W1118">
        <v>0</v>
      </c>
    </row>
    <row r="1119" spans="1:23" x14ac:dyDescent="0.35">
      <c r="A1119" t="s">
        <v>0</v>
      </c>
      <c r="B1119">
        <v>4250</v>
      </c>
      <c r="C1119">
        <v>240</v>
      </c>
      <c r="D1119">
        <v>4</v>
      </c>
      <c r="E1119">
        <v>0</v>
      </c>
      <c r="F1119">
        <v>25401300</v>
      </c>
      <c r="G1119">
        <v>157397</v>
      </c>
      <c r="H1119">
        <v>25231274</v>
      </c>
      <c r="I1119">
        <v>25231274</v>
      </c>
      <c r="J1119">
        <v>5.9500000000000004E-3</v>
      </c>
      <c r="K1119">
        <v>5.9500000000000004E-3</v>
      </c>
      <c r="M1119" t="s">
        <v>0</v>
      </c>
      <c r="N1119">
        <v>2750</v>
      </c>
      <c r="O1119">
        <v>120</v>
      </c>
      <c r="P1119">
        <v>481</v>
      </c>
      <c r="Q1119">
        <v>0</v>
      </c>
      <c r="R1119">
        <v>6815878888</v>
      </c>
      <c r="S1119">
        <v>20508702.149999999</v>
      </c>
      <c r="T1119">
        <v>6768189270.2600002</v>
      </c>
      <c r="U1119">
        <v>6795370185.8500004</v>
      </c>
      <c r="V1119">
        <v>4.6819E-2</v>
      </c>
      <c r="W1119">
        <v>0</v>
      </c>
    </row>
    <row r="1120" spans="1:23" x14ac:dyDescent="0.35">
      <c r="A1120" t="s">
        <v>2</v>
      </c>
      <c r="B1120">
        <v>4500</v>
      </c>
      <c r="C1120">
        <v>240</v>
      </c>
      <c r="D1120">
        <v>7</v>
      </c>
      <c r="E1120">
        <v>0</v>
      </c>
      <c r="F1120">
        <v>39914245</v>
      </c>
      <c r="G1120">
        <v>236911.31</v>
      </c>
      <c r="H1120">
        <v>39606173</v>
      </c>
      <c r="I1120">
        <v>39606173</v>
      </c>
      <c r="J1120">
        <v>2.1186E-2</v>
      </c>
      <c r="K1120">
        <v>2.1186E-2</v>
      </c>
      <c r="M1120" t="s">
        <v>1</v>
      </c>
      <c r="N1120">
        <v>5750</v>
      </c>
      <c r="O1120">
        <v>96</v>
      </c>
      <c r="P1120">
        <v>927</v>
      </c>
      <c r="Q1120">
        <v>0</v>
      </c>
      <c r="R1120">
        <v>11396901168</v>
      </c>
      <c r="S1120">
        <v>20732411.329999998</v>
      </c>
      <c r="T1120">
        <v>11314866380.43</v>
      </c>
      <c r="U1120">
        <v>11376168756.67</v>
      </c>
      <c r="V1120">
        <v>6.2671000000000004E-2</v>
      </c>
      <c r="W1120">
        <v>0</v>
      </c>
    </row>
    <row r="1121" spans="1:23" x14ac:dyDescent="0.35">
      <c r="A1121" t="s">
        <v>2</v>
      </c>
      <c r="B1121">
        <v>4250</v>
      </c>
      <c r="C1121">
        <v>320</v>
      </c>
      <c r="D1121">
        <v>1</v>
      </c>
      <c r="E1121">
        <v>0</v>
      </c>
      <c r="F1121">
        <v>4204789</v>
      </c>
      <c r="G1121">
        <v>31328.43</v>
      </c>
      <c r="H1121">
        <v>4171839</v>
      </c>
      <c r="I1121">
        <v>4171839</v>
      </c>
      <c r="J1121">
        <v>4.6179999999999997E-3</v>
      </c>
      <c r="K1121">
        <v>4.6179999999999997E-3</v>
      </c>
      <c r="M1121" t="s">
        <v>1</v>
      </c>
      <c r="N1121">
        <v>5750</v>
      </c>
      <c r="O1121">
        <v>84</v>
      </c>
      <c r="P1121">
        <v>575</v>
      </c>
      <c r="Q1121">
        <v>0</v>
      </c>
      <c r="R1121">
        <v>7409861397</v>
      </c>
      <c r="S1121">
        <v>12841829.01</v>
      </c>
      <c r="T1121">
        <v>7345359367.4700003</v>
      </c>
      <c r="U1121">
        <v>7376281435.8999996</v>
      </c>
      <c r="V1121">
        <v>8.0527000000000001E-2</v>
      </c>
      <c r="W1121">
        <v>3.3071999999999997E-2</v>
      </c>
    </row>
    <row r="1122" spans="1:23" x14ac:dyDescent="0.35">
      <c r="A1122" t="s">
        <v>0</v>
      </c>
      <c r="B1122">
        <v>3250</v>
      </c>
      <c r="C1122">
        <v>96</v>
      </c>
      <c r="D1122">
        <v>454</v>
      </c>
      <c r="E1122">
        <v>0</v>
      </c>
      <c r="F1122">
        <v>5866675924</v>
      </c>
      <c r="G1122">
        <v>15112391.449999999</v>
      </c>
      <c r="H1122">
        <v>5820654271</v>
      </c>
      <c r="I1122">
        <v>5849341300.1999998</v>
      </c>
      <c r="J1122">
        <v>6.1422999999999998E-2</v>
      </c>
      <c r="K1122">
        <v>4.5360000000000001E-3</v>
      </c>
      <c r="M1122" t="s">
        <v>0</v>
      </c>
      <c r="N1122">
        <v>5250</v>
      </c>
      <c r="O1122">
        <v>108</v>
      </c>
      <c r="P1122">
        <v>4282</v>
      </c>
      <c r="Q1122">
        <v>0</v>
      </c>
      <c r="R1122">
        <v>47785261832</v>
      </c>
      <c r="S1122">
        <v>100560407.28</v>
      </c>
      <c r="T1122">
        <v>47299904375.57</v>
      </c>
      <c r="U1122">
        <v>47631464738.760002</v>
      </c>
      <c r="V1122">
        <v>9.2465000000000006E-2</v>
      </c>
      <c r="W1122">
        <v>1.3287E-2</v>
      </c>
    </row>
    <row r="1123" spans="1:23" x14ac:dyDescent="0.35">
      <c r="A1123" t="s">
        <v>1</v>
      </c>
      <c r="B1123">
        <v>5250</v>
      </c>
      <c r="C1123">
        <v>168</v>
      </c>
      <c r="D1123">
        <v>126</v>
      </c>
      <c r="E1123">
        <v>0</v>
      </c>
      <c r="F1123">
        <v>978668846</v>
      </c>
      <c r="G1123">
        <v>2847176.5</v>
      </c>
      <c r="H1123">
        <v>960980593</v>
      </c>
      <c r="I1123">
        <v>974373445.12</v>
      </c>
      <c r="J1123">
        <v>0.16753899999999999</v>
      </c>
      <c r="K1123">
        <v>1.7614000000000001E-2</v>
      </c>
      <c r="M1123" t="s">
        <v>2</v>
      </c>
      <c r="N1123">
        <v>4500</v>
      </c>
      <c r="O1123">
        <v>240</v>
      </c>
      <c r="P1123">
        <v>7</v>
      </c>
      <c r="Q1123">
        <v>0</v>
      </c>
      <c r="R1123">
        <v>40129125</v>
      </c>
      <c r="S1123">
        <v>235906.37</v>
      </c>
      <c r="T1123">
        <v>39893218.630000003</v>
      </c>
      <c r="U1123">
        <v>39893218.630000003</v>
      </c>
      <c r="V1123">
        <v>0</v>
      </c>
      <c r="W1123">
        <v>0</v>
      </c>
    </row>
    <row r="1124" spans="1:23" x14ac:dyDescent="0.35">
      <c r="A1124" t="s">
        <v>3</v>
      </c>
      <c r="B1124">
        <v>6250</v>
      </c>
      <c r="C1124">
        <v>16</v>
      </c>
      <c r="D1124">
        <v>61</v>
      </c>
      <c r="E1124">
        <v>0</v>
      </c>
      <c r="F1124">
        <v>1633264107</v>
      </c>
      <c r="G1124">
        <v>1723949.03</v>
      </c>
      <c r="H1124">
        <v>1630984614</v>
      </c>
      <c r="I1124">
        <v>1630984614</v>
      </c>
      <c r="J1124">
        <v>4.0740000000000004E-3</v>
      </c>
      <c r="K1124">
        <v>4.0740000000000004E-3</v>
      </c>
      <c r="M1124" t="s">
        <v>0</v>
      </c>
      <c r="N1124">
        <v>4250</v>
      </c>
      <c r="O1124">
        <v>240</v>
      </c>
      <c r="P1124">
        <v>3</v>
      </c>
      <c r="Q1124">
        <v>0</v>
      </c>
      <c r="R1124">
        <v>19812133</v>
      </c>
      <c r="S1124">
        <v>126160.01</v>
      </c>
      <c r="T1124">
        <v>19685972.989999998</v>
      </c>
      <c r="U1124">
        <v>19685972.989999998</v>
      </c>
      <c r="V1124">
        <v>0</v>
      </c>
      <c r="W1124">
        <v>0</v>
      </c>
    </row>
    <row r="1125" spans="1:23" x14ac:dyDescent="0.35">
      <c r="A1125" t="s">
        <v>3</v>
      </c>
      <c r="B1125">
        <v>6250</v>
      </c>
      <c r="C1125">
        <v>14</v>
      </c>
      <c r="D1125">
        <v>49</v>
      </c>
      <c r="E1125">
        <v>0</v>
      </c>
      <c r="F1125">
        <v>1408903489</v>
      </c>
      <c r="G1125">
        <v>1465563.89</v>
      </c>
      <c r="H1125">
        <v>1407133151</v>
      </c>
      <c r="I1125">
        <v>1407133151</v>
      </c>
      <c r="J1125">
        <v>2.5929999999999998E-3</v>
      </c>
      <c r="K1125">
        <v>2.5929999999999998E-3</v>
      </c>
      <c r="M1125" t="s">
        <v>2</v>
      </c>
      <c r="N1125">
        <v>4250</v>
      </c>
      <c r="O1125">
        <v>320</v>
      </c>
      <c r="P1125">
        <v>1</v>
      </c>
      <c r="Q1125">
        <v>0</v>
      </c>
      <c r="R1125">
        <v>4270341</v>
      </c>
      <c r="S1125">
        <v>31470.9</v>
      </c>
      <c r="T1125">
        <v>4238870.0999999996</v>
      </c>
      <c r="U1125">
        <v>4238870.0999999996</v>
      </c>
      <c r="V1125">
        <v>0</v>
      </c>
      <c r="W1125">
        <v>0</v>
      </c>
    </row>
    <row r="1126" spans="1:23" x14ac:dyDescent="0.35">
      <c r="A1126" t="s">
        <v>3</v>
      </c>
      <c r="B1126">
        <v>6750</v>
      </c>
      <c r="C1126">
        <v>16</v>
      </c>
      <c r="D1126">
        <v>30</v>
      </c>
      <c r="E1126">
        <v>0</v>
      </c>
      <c r="F1126">
        <v>883342787</v>
      </c>
      <c r="G1126">
        <v>850694.26</v>
      </c>
      <c r="H1126">
        <v>882123865</v>
      </c>
      <c r="I1126">
        <v>882123865</v>
      </c>
      <c r="J1126">
        <v>4.9909999999999998E-3</v>
      </c>
      <c r="K1126">
        <v>4.9909999999999998E-3</v>
      </c>
      <c r="M1126" t="s">
        <v>0</v>
      </c>
      <c r="N1126">
        <v>3250</v>
      </c>
      <c r="O1126">
        <v>96</v>
      </c>
      <c r="P1126">
        <v>526</v>
      </c>
      <c r="Q1126">
        <v>0</v>
      </c>
      <c r="R1126">
        <v>6918598305</v>
      </c>
      <c r="S1126">
        <v>17820373.440000001</v>
      </c>
      <c r="T1126">
        <v>6874070479.9700003</v>
      </c>
      <c r="U1126">
        <v>6900777931.5600004</v>
      </c>
      <c r="V1126">
        <v>4.5352000000000003E-2</v>
      </c>
      <c r="W1126">
        <v>0</v>
      </c>
    </row>
    <row r="1127" spans="1:23" x14ac:dyDescent="0.35">
      <c r="A1127" t="s">
        <v>3</v>
      </c>
      <c r="B1127">
        <v>5750</v>
      </c>
      <c r="C1127">
        <v>14</v>
      </c>
      <c r="D1127">
        <v>19</v>
      </c>
      <c r="E1127">
        <v>0</v>
      </c>
      <c r="F1127">
        <v>513990541</v>
      </c>
      <c r="G1127">
        <v>586914.64</v>
      </c>
      <c r="H1127">
        <v>513403060</v>
      </c>
      <c r="I1127">
        <v>513403060</v>
      </c>
      <c r="J1127">
        <v>1.2999999999999999E-5</v>
      </c>
      <c r="K1127">
        <v>1.2999999999999999E-5</v>
      </c>
      <c r="M1127" t="s">
        <v>3</v>
      </c>
      <c r="N1127">
        <v>6250</v>
      </c>
      <c r="O1127">
        <v>14</v>
      </c>
      <c r="P1127">
        <v>62</v>
      </c>
      <c r="Q1127">
        <v>0</v>
      </c>
      <c r="R1127">
        <v>1798890490</v>
      </c>
      <c r="S1127">
        <v>1869855.1</v>
      </c>
      <c r="T1127">
        <v>1797020634.9000001</v>
      </c>
      <c r="U1127">
        <v>1797020634.9000001</v>
      </c>
      <c r="V1127">
        <v>0</v>
      </c>
      <c r="W1127">
        <v>0</v>
      </c>
    </row>
    <row r="1128" spans="1:23" x14ac:dyDescent="0.35">
      <c r="A1128" t="s">
        <v>3</v>
      </c>
      <c r="B1128">
        <v>6750</v>
      </c>
      <c r="C1128">
        <v>12</v>
      </c>
      <c r="D1128">
        <v>69</v>
      </c>
      <c r="E1128">
        <v>0</v>
      </c>
      <c r="F1128">
        <v>2171860412</v>
      </c>
      <c r="G1128">
        <v>2039190.93</v>
      </c>
      <c r="H1128">
        <v>2169349329</v>
      </c>
      <c r="I1128">
        <v>2169349329</v>
      </c>
      <c r="J1128">
        <v>2.604E-3</v>
      </c>
      <c r="K1128">
        <v>2.604E-3</v>
      </c>
      <c r="M1128" t="s">
        <v>3</v>
      </c>
      <c r="N1128">
        <v>6250</v>
      </c>
      <c r="O1128">
        <v>16</v>
      </c>
      <c r="P1128">
        <v>63</v>
      </c>
      <c r="Q1128">
        <v>0</v>
      </c>
      <c r="R1128">
        <v>1660640303</v>
      </c>
      <c r="S1128">
        <v>1757512.35</v>
      </c>
      <c r="T1128">
        <v>1658882790.6500001</v>
      </c>
      <c r="U1128">
        <v>1658882790.6500001</v>
      </c>
      <c r="V1128">
        <v>0</v>
      </c>
      <c r="W1128">
        <v>0</v>
      </c>
    </row>
    <row r="1129" spans="1:23" x14ac:dyDescent="0.35">
      <c r="A1129" t="s">
        <v>3</v>
      </c>
      <c r="B1129">
        <v>6000</v>
      </c>
      <c r="C1129">
        <v>10</v>
      </c>
      <c r="D1129">
        <v>12</v>
      </c>
      <c r="E1129">
        <v>0</v>
      </c>
      <c r="F1129">
        <v>351345656</v>
      </c>
      <c r="G1129">
        <v>375653.26</v>
      </c>
      <c r="H1129">
        <v>329845563</v>
      </c>
      <c r="I1129">
        <v>350918811.22000003</v>
      </c>
      <c r="J1129">
        <v>0.52483500000000005</v>
      </c>
      <c r="K1129">
        <v>1.7470000000000001E-3</v>
      </c>
      <c r="M1129" t="s">
        <v>3</v>
      </c>
      <c r="N1129">
        <v>6750</v>
      </c>
      <c r="O1129">
        <v>14</v>
      </c>
      <c r="P1129">
        <v>34</v>
      </c>
      <c r="Q1129">
        <v>0</v>
      </c>
      <c r="R1129">
        <v>987814291</v>
      </c>
      <c r="S1129">
        <v>944328.29</v>
      </c>
      <c r="T1129">
        <v>986869962.71000004</v>
      </c>
      <c r="U1129">
        <v>986869962.71000004</v>
      </c>
      <c r="V1129">
        <v>0</v>
      </c>
      <c r="W1129">
        <v>0</v>
      </c>
    </row>
    <row r="1130" spans="1:23" x14ac:dyDescent="0.35">
      <c r="A1130" t="s">
        <v>3</v>
      </c>
      <c r="B1130">
        <v>6250</v>
      </c>
      <c r="C1130">
        <v>9</v>
      </c>
      <c r="D1130">
        <v>41</v>
      </c>
      <c r="E1130">
        <v>0</v>
      </c>
      <c r="F1130">
        <v>1283141477</v>
      </c>
      <c r="G1130">
        <v>1294362.54</v>
      </c>
      <c r="H1130">
        <v>1281566287</v>
      </c>
      <c r="I1130">
        <v>1281566287</v>
      </c>
      <c r="J1130">
        <v>2.6229999999999999E-3</v>
      </c>
      <c r="K1130">
        <v>2.6229999999999999E-3</v>
      </c>
      <c r="M1130" t="s">
        <v>3</v>
      </c>
      <c r="N1130">
        <v>6250</v>
      </c>
      <c r="O1130">
        <v>12</v>
      </c>
      <c r="P1130">
        <v>36</v>
      </c>
      <c r="Q1130">
        <v>0</v>
      </c>
      <c r="R1130">
        <v>939975298</v>
      </c>
      <c r="S1130">
        <v>965736.35</v>
      </c>
      <c r="T1130">
        <v>939009561.64999998</v>
      </c>
      <c r="U1130">
        <v>939009561.64999998</v>
      </c>
      <c r="V1130">
        <v>0</v>
      </c>
      <c r="W1130">
        <v>0</v>
      </c>
    </row>
    <row r="1131" spans="1:23" x14ac:dyDescent="0.35">
      <c r="A1131" t="s">
        <v>3</v>
      </c>
      <c r="B1131">
        <v>6250</v>
      </c>
      <c r="C1131">
        <v>8</v>
      </c>
      <c r="D1131">
        <v>41</v>
      </c>
      <c r="E1131">
        <v>0</v>
      </c>
      <c r="F1131">
        <v>1224063243</v>
      </c>
      <c r="G1131">
        <v>1226289.52</v>
      </c>
      <c r="H1131">
        <v>1157777601</v>
      </c>
      <c r="I1131">
        <v>1222576934.0699999</v>
      </c>
      <c r="J1131">
        <v>0.48075499999999999</v>
      </c>
      <c r="K1131">
        <v>2.5460000000000001E-3</v>
      </c>
      <c r="M1131" t="s">
        <v>3</v>
      </c>
      <c r="N1131">
        <v>5750</v>
      </c>
      <c r="O1131">
        <v>12</v>
      </c>
      <c r="P1131">
        <v>13</v>
      </c>
      <c r="Q1131">
        <v>0</v>
      </c>
      <c r="R1131">
        <v>349731702</v>
      </c>
      <c r="S1131">
        <v>391142.35</v>
      </c>
      <c r="T1131">
        <v>349340559.64999998</v>
      </c>
      <c r="U1131">
        <v>349340559.64999998</v>
      </c>
      <c r="V1131">
        <v>0</v>
      </c>
      <c r="W1131">
        <v>0</v>
      </c>
    </row>
    <row r="1132" spans="1:23" x14ac:dyDescent="0.35">
      <c r="A1132" t="s">
        <v>3</v>
      </c>
      <c r="B1132">
        <v>6750</v>
      </c>
      <c r="C1132">
        <v>7</v>
      </c>
      <c r="D1132">
        <v>34</v>
      </c>
      <c r="E1132">
        <v>0</v>
      </c>
      <c r="F1132">
        <v>924895342</v>
      </c>
      <c r="G1132">
        <v>842563.54</v>
      </c>
      <c r="H1132">
        <v>924164772</v>
      </c>
      <c r="I1132">
        <v>924164772</v>
      </c>
      <c r="J1132">
        <v>-1.454E-3</v>
      </c>
      <c r="K1132">
        <v>-1.454E-3</v>
      </c>
      <c r="M1132" t="s">
        <v>3</v>
      </c>
      <c r="N1132">
        <v>6750</v>
      </c>
      <c r="O1132">
        <v>12</v>
      </c>
      <c r="P1132">
        <v>62</v>
      </c>
      <c r="Q1132">
        <v>0</v>
      </c>
      <c r="R1132">
        <v>1928773242</v>
      </c>
      <c r="S1132">
        <v>1809698.13</v>
      </c>
      <c r="T1132">
        <v>1926963543.8699999</v>
      </c>
      <c r="U1132">
        <v>1926963543.8699999</v>
      </c>
      <c r="V1132">
        <v>0</v>
      </c>
      <c r="W1132">
        <v>0</v>
      </c>
    </row>
    <row r="1133" spans="1:23" x14ac:dyDescent="0.35">
      <c r="A1133" t="s">
        <v>3</v>
      </c>
      <c r="B1133">
        <v>6500</v>
      </c>
      <c r="C1133">
        <v>8</v>
      </c>
      <c r="D1133">
        <v>45</v>
      </c>
      <c r="E1133">
        <v>0</v>
      </c>
      <c r="F1133">
        <v>1257441781</v>
      </c>
      <c r="G1133">
        <v>1205212.71</v>
      </c>
      <c r="H1133">
        <v>1256092475</v>
      </c>
      <c r="I1133">
        <v>1256092475</v>
      </c>
      <c r="J1133">
        <v>1.374E-3</v>
      </c>
      <c r="K1133">
        <v>1.374E-3</v>
      </c>
      <c r="M1133" t="s">
        <v>3</v>
      </c>
      <c r="N1133">
        <v>6750</v>
      </c>
      <c r="O1133">
        <v>10</v>
      </c>
      <c r="P1133">
        <v>28</v>
      </c>
      <c r="Q1133">
        <v>0</v>
      </c>
      <c r="R1133">
        <v>873867928</v>
      </c>
      <c r="S1133">
        <v>811010.98</v>
      </c>
      <c r="T1133">
        <v>873056917.01999998</v>
      </c>
      <c r="U1133">
        <v>873056917.01999998</v>
      </c>
      <c r="V1133">
        <v>0</v>
      </c>
      <c r="W1133">
        <v>0</v>
      </c>
    </row>
    <row r="1134" spans="1:23" x14ac:dyDescent="0.35">
      <c r="A1134" t="s">
        <v>3</v>
      </c>
      <c r="B1134">
        <v>6250</v>
      </c>
      <c r="C1134">
        <v>7</v>
      </c>
      <c r="D1134">
        <v>46</v>
      </c>
      <c r="E1134">
        <v>0</v>
      </c>
      <c r="F1134">
        <v>1347860629</v>
      </c>
      <c r="G1134">
        <v>1339334.92</v>
      </c>
      <c r="H1134">
        <v>1345622736</v>
      </c>
      <c r="I1134">
        <v>1345622736</v>
      </c>
      <c r="J1134">
        <v>7.9710000000000007E-3</v>
      </c>
      <c r="K1134">
        <v>7.9710000000000007E-3</v>
      </c>
      <c r="M1134" t="s">
        <v>3</v>
      </c>
      <c r="N1134">
        <v>6000</v>
      </c>
      <c r="O1134">
        <v>9</v>
      </c>
      <c r="P1134">
        <v>12</v>
      </c>
      <c r="Q1134">
        <v>0</v>
      </c>
      <c r="R1134">
        <v>351688667</v>
      </c>
      <c r="S1134">
        <v>373770.78</v>
      </c>
      <c r="T1134">
        <v>351314896.22000003</v>
      </c>
      <c r="U1134">
        <v>351314896.22000003</v>
      </c>
      <c r="V1134">
        <v>0</v>
      </c>
      <c r="W1134">
        <v>0</v>
      </c>
    </row>
    <row r="1135" spans="1:23" x14ac:dyDescent="0.35">
      <c r="A1135" t="s">
        <v>3</v>
      </c>
      <c r="B1135">
        <v>6750</v>
      </c>
      <c r="C1135">
        <v>8</v>
      </c>
      <c r="D1135">
        <v>34</v>
      </c>
      <c r="E1135">
        <v>0</v>
      </c>
      <c r="F1135">
        <v>1095214492</v>
      </c>
      <c r="G1135">
        <v>1004359.12</v>
      </c>
      <c r="H1135">
        <v>1093960221</v>
      </c>
      <c r="I1135">
        <v>1093960221</v>
      </c>
      <c r="J1135">
        <v>2.735E-3</v>
      </c>
      <c r="K1135">
        <v>2.735E-3</v>
      </c>
      <c r="M1135" t="s">
        <v>3</v>
      </c>
      <c r="N1135">
        <v>6250</v>
      </c>
      <c r="O1135">
        <v>8</v>
      </c>
      <c r="P1135">
        <v>41</v>
      </c>
      <c r="Q1135">
        <v>0</v>
      </c>
      <c r="R1135">
        <v>1284505116</v>
      </c>
      <c r="S1135">
        <v>1287764.9099999999</v>
      </c>
      <c r="T1135">
        <v>1283217351.0899999</v>
      </c>
      <c r="U1135">
        <v>1283217351.0899999</v>
      </c>
      <c r="V1135">
        <v>0</v>
      </c>
      <c r="W1135">
        <v>0</v>
      </c>
    </row>
    <row r="1136" spans="1:23" x14ac:dyDescent="0.35">
      <c r="A1136" t="s">
        <v>3</v>
      </c>
      <c r="B1136">
        <v>3250</v>
      </c>
      <c r="C1136">
        <v>168</v>
      </c>
      <c r="D1136">
        <v>485</v>
      </c>
      <c r="E1136">
        <v>0</v>
      </c>
      <c r="F1136">
        <v>5994851638</v>
      </c>
      <c r="G1136">
        <v>22235677.780000001</v>
      </c>
      <c r="H1136">
        <v>5945329676</v>
      </c>
      <c r="I1136">
        <v>5963982737.29</v>
      </c>
      <c r="J1136">
        <v>5.3273000000000001E-2</v>
      </c>
      <c r="K1136">
        <v>1.7145000000000001E-2</v>
      </c>
      <c r="M1136" t="s">
        <v>3</v>
      </c>
      <c r="N1136">
        <v>6250</v>
      </c>
      <c r="O1136">
        <v>7</v>
      </c>
      <c r="P1136">
        <v>41</v>
      </c>
      <c r="Q1136">
        <v>0</v>
      </c>
      <c r="R1136">
        <v>1225362034</v>
      </c>
      <c r="S1136">
        <v>1220030.43</v>
      </c>
      <c r="T1136">
        <v>1224142003.5699999</v>
      </c>
      <c r="U1136">
        <v>1224142003.5699999</v>
      </c>
      <c r="V1136">
        <v>0</v>
      </c>
      <c r="W1136">
        <v>0</v>
      </c>
    </row>
    <row r="1137" spans="1:23" x14ac:dyDescent="0.35">
      <c r="A1137" t="s">
        <v>1</v>
      </c>
      <c r="B1137">
        <v>4250</v>
      </c>
      <c r="C1137">
        <v>72</v>
      </c>
      <c r="D1137">
        <v>1908</v>
      </c>
      <c r="E1137">
        <v>0</v>
      </c>
      <c r="F1137">
        <v>34537484421</v>
      </c>
      <c r="G1137">
        <v>68390129.680000007</v>
      </c>
      <c r="H1137">
        <v>34084200807</v>
      </c>
      <c r="I1137">
        <v>34384894166.860001</v>
      </c>
      <c r="J1137">
        <v>0.125831</v>
      </c>
      <c r="K1137">
        <v>2.8865999999999999E-2</v>
      </c>
      <c r="M1137" t="s">
        <v>3</v>
      </c>
      <c r="N1137">
        <v>6750</v>
      </c>
      <c r="O1137">
        <v>6</v>
      </c>
      <c r="P1137">
        <v>34</v>
      </c>
      <c r="Q1137">
        <v>0</v>
      </c>
      <c r="R1137">
        <v>926109182</v>
      </c>
      <c r="S1137">
        <v>838228.91</v>
      </c>
      <c r="T1137">
        <v>925270953.09000003</v>
      </c>
      <c r="U1137">
        <v>925270953.09000003</v>
      </c>
      <c r="V1137">
        <v>0</v>
      </c>
      <c r="W1137">
        <v>0</v>
      </c>
    </row>
    <row r="1138" spans="1:23" x14ac:dyDescent="0.35">
      <c r="A1138" t="s">
        <v>1</v>
      </c>
      <c r="B1138">
        <v>4750</v>
      </c>
      <c r="C1138">
        <v>72</v>
      </c>
      <c r="D1138">
        <v>602</v>
      </c>
      <c r="E1138">
        <v>0</v>
      </c>
      <c r="F1138">
        <v>9870140643</v>
      </c>
      <c r="G1138">
        <v>18309346.739999998</v>
      </c>
      <c r="H1138">
        <v>9712445156</v>
      </c>
      <c r="I1138">
        <v>9818228954.3500004</v>
      </c>
      <c r="J1138">
        <v>0.15690200000000001</v>
      </c>
      <c r="K1138">
        <v>4.0097000000000001E-2</v>
      </c>
      <c r="M1138" t="s">
        <v>3</v>
      </c>
      <c r="N1138">
        <v>6500</v>
      </c>
      <c r="O1138">
        <v>7</v>
      </c>
      <c r="P1138">
        <v>46</v>
      </c>
      <c r="Q1138">
        <v>0</v>
      </c>
      <c r="R1138">
        <v>1283006029</v>
      </c>
      <c r="S1138">
        <v>1221787.6499999999</v>
      </c>
      <c r="T1138">
        <v>1257625046.7</v>
      </c>
      <c r="U1138">
        <v>1281784241.3499999</v>
      </c>
      <c r="V1138">
        <v>0.20396800000000001</v>
      </c>
      <c r="W1138">
        <v>0</v>
      </c>
    </row>
    <row r="1139" spans="1:23" x14ac:dyDescent="0.35">
      <c r="A1139" t="s">
        <v>3</v>
      </c>
      <c r="B1139">
        <v>4250</v>
      </c>
      <c r="C1139">
        <v>144</v>
      </c>
      <c r="D1139">
        <v>971</v>
      </c>
      <c r="E1139">
        <v>0</v>
      </c>
      <c r="F1139">
        <v>9990820819</v>
      </c>
      <c r="G1139">
        <v>28955754.25</v>
      </c>
      <c r="H1139">
        <v>9858789891</v>
      </c>
      <c r="I1139">
        <v>9955273822.6100006</v>
      </c>
      <c r="J1139">
        <v>0.11701499999999999</v>
      </c>
      <c r="K1139">
        <v>7.8879999999999992E-3</v>
      </c>
      <c r="M1139" t="s">
        <v>3</v>
      </c>
      <c r="N1139">
        <v>6250</v>
      </c>
      <c r="O1139">
        <v>6</v>
      </c>
      <c r="P1139">
        <v>46</v>
      </c>
      <c r="Q1139">
        <v>0</v>
      </c>
      <c r="R1139">
        <v>1351788499</v>
      </c>
      <c r="S1139">
        <v>1334973.08</v>
      </c>
      <c r="T1139">
        <v>1350453525.9200001</v>
      </c>
      <c r="U1139">
        <v>1350453525.9200001</v>
      </c>
      <c r="V1139">
        <v>0</v>
      </c>
      <c r="W1139">
        <v>0</v>
      </c>
    </row>
    <row r="1140" spans="1:23" x14ac:dyDescent="0.35">
      <c r="A1140" t="s">
        <v>3</v>
      </c>
      <c r="B1140">
        <v>5250</v>
      </c>
      <c r="C1140">
        <v>144</v>
      </c>
      <c r="D1140">
        <v>2</v>
      </c>
      <c r="E1140">
        <v>0</v>
      </c>
      <c r="F1140">
        <v>12064931</v>
      </c>
      <c r="G1140">
        <v>30620.37</v>
      </c>
      <c r="H1140">
        <v>12026498</v>
      </c>
      <c r="I1140">
        <v>12026498</v>
      </c>
      <c r="J1140">
        <v>7.7429999999999999E-3</v>
      </c>
      <c r="K1140">
        <v>7.7429999999999999E-3</v>
      </c>
      <c r="M1140" t="s">
        <v>3</v>
      </c>
      <c r="N1140">
        <v>6750</v>
      </c>
      <c r="O1140">
        <v>7</v>
      </c>
      <c r="P1140">
        <v>34</v>
      </c>
      <c r="Q1140">
        <v>0</v>
      </c>
      <c r="R1140">
        <v>1096576602</v>
      </c>
      <c r="S1140">
        <v>999121.19</v>
      </c>
      <c r="T1140">
        <v>1095577480.8099999</v>
      </c>
      <c r="U1140">
        <v>1095577480.8099999</v>
      </c>
      <c r="V1140">
        <v>0</v>
      </c>
      <c r="W1140">
        <v>0</v>
      </c>
    </row>
    <row r="1141" spans="1:23" x14ac:dyDescent="0.35">
      <c r="A1141" t="s">
        <v>0</v>
      </c>
      <c r="B1141">
        <v>5750</v>
      </c>
      <c r="C1141">
        <v>96</v>
      </c>
      <c r="D1141">
        <v>11886</v>
      </c>
      <c r="E1141">
        <v>0</v>
      </c>
      <c r="F1141">
        <v>151045091079</v>
      </c>
      <c r="G1141">
        <v>275972165.47000003</v>
      </c>
      <c r="H1141">
        <v>149583006800</v>
      </c>
      <c r="I1141">
        <v>150369417990.04001</v>
      </c>
      <c r="J1141">
        <v>9.0267E-2</v>
      </c>
      <c r="K1141">
        <v>3.1296999999999998E-2</v>
      </c>
      <c r="M1141" t="s">
        <v>3</v>
      </c>
      <c r="N1141">
        <v>3250</v>
      </c>
      <c r="O1141">
        <v>168</v>
      </c>
      <c r="P1141">
        <v>487</v>
      </c>
      <c r="Q1141">
        <v>0</v>
      </c>
      <c r="R1141">
        <v>6056671389</v>
      </c>
      <c r="S1141">
        <v>22330073.140000001</v>
      </c>
      <c r="T1141">
        <v>5982047636.0900002</v>
      </c>
      <c r="U1141">
        <v>6034341315.8599997</v>
      </c>
      <c r="V1141">
        <v>9.8827999999999999E-2</v>
      </c>
      <c r="W1141">
        <v>0</v>
      </c>
    </row>
    <row r="1142" spans="1:23" x14ac:dyDescent="0.35">
      <c r="A1142" t="s">
        <v>2</v>
      </c>
      <c r="B1142">
        <v>5250</v>
      </c>
      <c r="C1142">
        <v>168</v>
      </c>
      <c r="D1142">
        <v>14</v>
      </c>
      <c r="E1142">
        <v>0</v>
      </c>
      <c r="F1142">
        <v>79479239</v>
      </c>
      <c r="G1142">
        <v>229927.04000000001</v>
      </c>
      <c r="H1142">
        <v>79174128</v>
      </c>
      <c r="I1142">
        <v>79174128</v>
      </c>
      <c r="J1142">
        <v>1.1292999999999999E-2</v>
      </c>
      <c r="K1142">
        <v>1.1292999999999999E-2</v>
      </c>
      <c r="M1142" t="s">
        <v>1</v>
      </c>
      <c r="N1142">
        <v>3250</v>
      </c>
      <c r="O1142">
        <v>54</v>
      </c>
      <c r="P1142">
        <v>37432</v>
      </c>
      <c r="Q1142">
        <v>0</v>
      </c>
      <c r="R1142">
        <v>1037668720789</v>
      </c>
      <c r="S1142">
        <v>2176993641.27</v>
      </c>
      <c r="T1142">
        <v>1026036138727.67</v>
      </c>
      <c r="U1142">
        <v>1032962482248.35</v>
      </c>
      <c r="V1142">
        <v>0.104031</v>
      </c>
      <c r="W1142">
        <v>2.886E-2</v>
      </c>
    </row>
    <row r="1143" spans="1:23" x14ac:dyDescent="0.35">
      <c r="A1143" t="s">
        <v>0</v>
      </c>
      <c r="B1143">
        <v>5750</v>
      </c>
      <c r="C1143">
        <v>84</v>
      </c>
      <c r="D1143">
        <v>6487</v>
      </c>
      <c r="E1143">
        <v>0</v>
      </c>
      <c r="F1143">
        <v>83759035095</v>
      </c>
      <c r="G1143">
        <v>145202431.87</v>
      </c>
      <c r="H1143">
        <v>82959919900</v>
      </c>
      <c r="I1143">
        <v>83439646349.179993</v>
      </c>
      <c r="J1143">
        <v>8.9764999999999998E-2</v>
      </c>
      <c r="K1143">
        <v>2.4671999999999999E-2</v>
      </c>
      <c r="M1143" t="s">
        <v>1</v>
      </c>
      <c r="N1143">
        <v>4250</v>
      </c>
      <c r="O1143">
        <v>72</v>
      </c>
      <c r="P1143">
        <v>2344</v>
      </c>
      <c r="Q1143">
        <v>0</v>
      </c>
      <c r="R1143">
        <v>41334770669</v>
      </c>
      <c r="S1143">
        <v>82016214.379999995</v>
      </c>
      <c r="T1143">
        <v>40752073143.379997</v>
      </c>
      <c r="U1143">
        <v>41060002264.18</v>
      </c>
      <c r="V1143">
        <v>0.13605100000000001</v>
      </c>
      <c r="W1143">
        <v>5.4545000000000003E-2</v>
      </c>
    </row>
    <row r="1144" spans="1:23" x14ac:dyDescent="0.35">
      <c r="A1144" t="s">
        <v>0</v>
      </c>
      <c r="B1144">
        <v>7750</v>
      </c>
      <c r="C1144">
        <v>18</v>
      </c>
      <c r="D1144">
        <v>2057</v>
      </c>
      <c r="E1144">
        <v>0</v>
      </c>
      <c r="F1144">
        <v>52586541787</v>
      </c>
      <c r="G1144">
        <v>42512538.280000001</v>
      </c>
      <c r="H1144">
        <v>51271754920</v>
      </c>
      <c r="I1144">
        <v>51999240236.75</v>
      </c>
      <c r="J1144">
        <v>0.25464700000000001</v>
      </c>
      <c r="K1144">
        <v>0.117474</v>
      </c>
      <c r="M1144" t="s">
        <v>1</v>
      </c>
      <c r="N1144">
        <v>4750</v>
      </c>
      <c r="O1144">
        <v>72</v>
      </c>
      <c r="P1144">
        <v>688</v>
      </c>
      <c r="Q1144">
        <v>0</v>
      </c>
      <c r="R1144">
        <v>11073182783</v>
      </c>
      <c r="S1144">
        <v>20492853.199999999</v>
      </c>
      <c r="T1144">
        <v>10939592717.32</v>
      </c>
      <c r="U1144">
        <v>11030007112.700001</v>
      </c>
      <c r="V1144">
        <v>0.115907</v>
      </c>
      <c r="W1144">
        <v>2.4306000000000001E-2</v>
      </c>
    </row>
    <row r="1145" spans="1:23" x14ac:dyDescent="0.35">
      <c r="A1145" t="s">
        <v>3</v>
      </c>
      <c r="B1145">
        <v>3750</v>
      </c>
      <c r="C1145">
        <v>144</v>
      </c>
      <c r="D1145">
        <v>683</v>
      </c>
      <c r="E1145">
        <v>0</v>
      </c>
      <c r="F1145">
        <v>9706704241</v>
      </c>
      <c r="G1145">
        <v>28936099.27</v>
      </c>
      <c r="H1145">
        <v>9632816099</v>
      </c>
      <c r="I1145">
        <v>9670793132.5100002</v>
      </c>
      <c r="J1145">
        <v>5.4178999999999998E-2</v>
      </c>
      <c r="K1145">
        <v>8.5889999999999994E-3</v>
      </c>
      <c r="M1145" t="s">
        <v>3</v>
      </c>
      <c r="N1145">
        <v>4250</v>
      </c>
      <c r="O1145">
        <v>144</v>
      </c>
      <c r="P1145">
        <v>990</v>
      </c>
      <c r="Q1145">
        <v>0</v>
      </c>
      <c r="R1145">
        <v>10209866595</v>
      </c>
      <c r="S1145">
        <v>29537051.670000002</v>
      </c>
      <c r="T1145">
        <v>10103266426.719999</v>
      </c>
      <c r="U1145">
        <v>10165949167.559999</v>
      </c>
      <c r="V1145">
        <v>8.6907999999999999E-2</v>
      </c>
      <c r="W1145">
        <v>1.6771000000000001E-2</v>
      </c>
    </row>
    <row r="1146" spans="1:23" x14ac:dyDescent="0.35">
      <c r="A1146" t="s">
        <v>3</v>
      </c>
      <c r="B1146">
        <v>6000</v>
      </c>
      <c r="C1146">
        <v>7</v>
      </c>
      <c r="D1146">
        <v>8</v>
      </c>
      <c r="E1146">
        <v>0</v>
      </c>
      <c r="F1146">
        <v>210925605</v>
      </c>
      <c r="G1146">
        <v>222372.35</v>
      </c>
      <c r="H1146">
        <v>210425400</v>
      </c>
      <c r="I1146">
        <v>210425400</v>
      </c>
      <c r="J1146">
        <v>1.5692000000000001E-2</v>
      </c>
      <c r="K1146">
        <v>1.5692000000000001E-2</v>
      </c>
      <c r="M1146" t="s">
        <v>1</v>
      </c>
      <c r="N1146">
        <v>5250</v>
      </c>
      <c r="O1146">
        <v>144</v>
      </c>
      <c r="P1146">
        <v>121</v>
      </c>
      <c r="Q1146">
        <v>0</v>
      </c>
      <c r="R1146">
        <v>1035292388</v>
      </c>
      <c r="S1146">
        <v>2713600.19</v>
      </c>
      <c r="T1146">
        <v>1004764128.13</v>
      </c>
      <c r="U1146">
        <v>1020143817.45</v>
      </c>
      <c r="V1146">
        <v>0.27877800000000003</v>
      </c>
      <c r="W1146">
        <v>0.13498199999999999</v>
      </c>
    </row>
    <row r="1147" spans="1:23" x14ac:dyDescent="0.35">
      <c r="A1147" t="s">
        <v>3</v>
      </c>
      <c r="B1147">
        <v>6250</v>
      </c>
      <c r="C1147">
        <v>6</v>
      </c>
      <c r="D1147">
        <v>48</v>
      </c>
      <c r="E1147">
        <v>0</v>
      </c>
      <c r="F1147">
        <v>1391970902</v>
      </c>
      <c r="G1147">
        <v>1376409.79</v>
      </c>
      <c r="H1147">
        <v>1388434446</v>
      </c>
      <c r="I1147">
        <v>1388434446</v>
      </c>
      <c r="J1147">
        <v>1.8463E-2</v>
      </c>
      <c r="K1147">
        <v>1.8463E-2</v>
      </c>
      <c r="M1147" t="s">
        <v>3</v>
      </c>
      <c r="N1147">
        <v>5250</v>
      </c>
      <c r="O1147">
        <v>144</v>
      </c>
      <c r="P1147">
        <v>2</v>
      </c>
      <c r="Q1147">
        <v>0</v>
      </c>
      <c r="R1147">
        <v>9935535</v>
      </c>
      <c r="S1147">
        <v>27938.26</v>
      </c>
      <c r="T1147">
        <v>9907596.7400000002</v>
      </c>
      <c r="U1147">
        <v>9907596.7400000002</v>
      </c>
      <c r="V1147">
        <v>0</v>
      </c>
      <c r="W1147">
        <v>0</v>
      </c>
    </row>
    <row r="1148" spans="1:23" x14ac:dyDescent="0.35">
      <c r="A1148" t="s">
        <v>3</v>
      </c>
      <c r="B1148">
        <v>5750</v>
      </c>
      <c r="C1148">
        <v>6</v>
      </c>
      <c r="D1148">
        <v>11</v>
      </c>
      <c r="E1148">
        <v>0</v>
      </c>
      <c r="F1148">
        <v>302874017</v>
      </c>
      <c r="G1148">
        <v>327912.53000000003</v>
      </c>
      <c r="H1148">
        <v>301410020</v>
      </c>
      <c r="I1148">
        <v>301410020</v>
      </c>
      <c r="J1148">
        <v>4.4095000000000002E-2</v>
      </c>
      <c r="K1148">
        <v>4.4095000000000002E-2</v>
      </c>
      <c r="M1148" t="s">
        <v>0</v>
      </c>
      <c r="N1148">
        <v>5750</v>
      </c>
      <c r="O1148">
        <v>84</v>
      </c>
      <c r="P1148">
        <v>7653</v>
      </c>
      <c r="Q1148">
        <v>0</v>
      </c>
      <c r="R1148">
        <v>98899401770</v>
      </c>
      <c r="S1148">
        <v>171071550.84999999</v>
      </c>
      <c r="T1148">
        <v>97872947086.009995</v>
      </c>
      <c r="U1148">
        <v>98453981257.520004</v>
      </c>
      <c r="V1148">
        <v>9.8990999999999996E-2</v>
      </c>
      <c r="W1148">
        <v>3.2785000000000002E-2</v>
      </c>
    </row>
    <row r="1149" spans="1:23" x14ac:dyDescent="0.35">
      <c r="A1149" t="s">
        <v>3</v>
      </c>
      <c r="B1149">
        <v>4750</v>
      </c>
      <c r="C1149">
        <v>168</v>
      </c>
      <c r="D1149">
        <v>74</v>
      </c>
      <c r="E1149">
        <v>0</v>
      </c>
      <c r="F1149">
        <v>676308106</v>
      </c>
      <c r="G1149">
        <v>2046493.14</v>
      </c>
      <c r="H1149">
        <v>670206572</v>
      </c>
      <c r="I1149">
        <v>674075467.88999999</v>
      </c>
      <c r="J1149">
        <v>6.9624000000000005E-2</v>
      </c>
      <c r="K1149">
        <v>3.2980000000000002E-3</v>
      </c>
      <c r="M1149" t="s">
        <v>2</v>
      </c>
      <c r="N1149">
        <v>5250</v>
      </c>
      <c r="O1149">
        <v>168</v>
      </c>
      <c r="P1149">
        <v>14</v>
      </c>
      <c r="Q1149">
        <v>0</v>
      </c>
      <c r="R1149">
        <v>79947042</v>
      </c>
      <c r="S1149">
        <v>229629.1</v>
      </c>
      <c r="T1149">
        <v>79717412.900000006</v>
      </c>
      <c r="U1149">
        <v>79717412.900000006</v>
      </c>
      <c r="V1149">
        <v>0</v>
      </c>
      <c r="W1149">
        <v>0</v>
      </c>
    </row>
    <row r="1150" spans="1:23" x14ac:dyDescent="0.35">
      <c r="A1150" t="s">
        <v>3</v>
      </c>
      <c r="B1150">
        <v>4750</v>
      </c>
      <c r="C1150">
        <v>144</v>
      </c>
      <c r="D1150">
        <v>125</v>
      </c>
      <c r="E1150">
        <v>0</v>
      </c>
      <c r="F1150">
        <v>1187395714</v>
      </c>
      <c r="G1150">
        <v>3312733.06</v>
      </c>
      <c r="H1150">
        <v>1183125980</v>
      </c>
      <c r="I1150">
        <v>1183125980</v>
      </c>
      <c r="J1150">
        <v>9.6290000000000004E-3</v>
      </c>
      <c r="K1150">
        <v>9.6290000000000004E-3</v>
      </c>
      <c r="M1150" t="s">
        <v>0</v>
      </c>
      <c r="N1150">
        <v>5750</v>
      </c>
      <c r="O1150">
        <v>96</v>
      </c>
      <c r="P1150">
        <v>10813</v>
      </c>
      <c r="Q1150">
        <v>0</v>
      </c>
      <c r="R1150">
        <v>137551388516</v>
      </c>
      <c r="S1150">
        <v>250467774.88999999</v>
      </c>
      <c r="T1150">
        <v>136617679689.97</v>
      </c>
      <c r="U1150">
        <v>137190520813.42999</v>
      </c>
      <c r="V1150">
        <v>5.8004E-2</v>
      </c>
      <c r="W1150">
        <v>9.5890000000000003E-3</v>
      </c>
    </row>
    <row r="1151" spans="1:23" x14ac:dyDescent="0.35">
      <c r="A1151" t="s">
        <v>3</v>
      </c>
      <c r="B1151">
        <v>5000</v>
      </c>
      <c r="C1151">
        <v>144</v>
      </c>
      <c r="D1151">
        <v>10</v>
      </c>
      <c r="E1151">
        <v>0</v>
      </c>
      <c r="F1151">
        <v>110305780</v>
      </c>
      <c r="G1151">
        <v>306792.17</v>
      </c>
      <c r="H1151">
        <v>109984678</v>
      </c>
      <c r="I1151">
        <v>109984678</v>
      </c>
      <c r="J1151">
        <v>1.5560000000000001E-3</v>
      </c>
      <c r="K1151">
        <v>1.5560000000000001E-3</v>
      </c>
      <c r="M1151" t="s">
        <v>0</v>
      </c>
      <c r="N1151">
        <v>7500</v>
      </c>
      <c r="O1151">
        <v>16</v>
      </c>
      <c r="P1151">
        <v>958</v>
      </c>
      <c r="Q1151">
        <v>0</v>
      </c>
      <c r="R1151">
        <v>23390340852</v>
      </c>
      <c r="S1151">
        <v>19647911.309999999</v>
      </c>
      <c r="T1151">
        <v>23054912278.66</v>
      </c>
      <c r="U1151">
        <v>23232324902.48</v>
      </c>
      <c r="V1151">
        <v>0.150502</v>
      </c>
      <c r="W1151">
        <v>6.8723000000000006E-2</v>
      </c>
    </row>
    <row r="1152" spans="1:23" x14ac:dyDescent="0.35">
      <c r="A1152" t="s">
        <v>3</v>
      </c>
      <c r="B1152">
        <v>4750</v>
      </c>
      <c r="C1152">
        <v>96</v>
      </c>
      <c r="D1152">
        <v>205</v>
      </c>
      <c r="E1152">
        <v>0</v>
      </c>
      <c r="F1152">
        <v>2741396065</v>
      </c>
      <c r="G1152">
        <v>5761905.2300000004</v>
      </c>
      <c r="H1152">
        <v>2721895703</v>
      </c>
      <c r="I1152">
        <v>2734197990.0300002</v>
      </c>
      <c r="J1152">
        <v>5.8507999999999998E-2</v>
      </c>
      <c r="K1152">
        <v>6.2690000000000003E-3</v>
      </c>
      <c r="M1152" t="s">
        <v>0</v>
      </c>
      <c r="N1152">
        <v>7750</v>
      </c>
      <c r="O1152">
        <v>16</v>
      </c>
      <c r="P1152">
        <v>1337</v>
      </c>
      <c r="Q1152">
        <v>0</v>
      </c>
      <c r="R1152">
        <v>34991547283</v>
      </c>
      <c r="S1152">
        <v>27837668.039999999</v>
      </c>
      <c r="T1152">
        <v>33766616238.110001</v>
      </c>
      <c r="U1152">
        <v>34555788102.18</v>
      </c>
      <c r="V1152">
        <v>0.34145199999999998</v>
      </c>
      <c r="W1152">
        <v>0.13126299999999999</v>
      </c>
    </row>
    <row r="1153" spans="1:23" x14ac:dyDescent="0.35">
      <c r="A1153" t="s">
        <v>3</v>
      </c>
      <c r="B1153">
        <v>4250</v>
      </c>
      <c r="C1153">
        <v>120</v>
      </c>
      <c r="D1153">
        <v>263</v>
      </c>
      <c r="E1153">
        <v>0</v>
      </c>
      <c r="F1153">
        <v>2483325942</v>
      </c>
      <c r="G1153">
        <v>6380526.96</v>
      </c>
      <c r="H1153">
        <v>2475557430</v>
      </c>
      <c r="I1153">
        <v>2475557430</v>
      </c>
      <c r="J1153">
        <v>6.6860000000000001E-3</v>
      </c>
      <c r="K1153">
        <v>6.6860000000000001E-3</v>
      </c>
      <c r="M1153" t="s">
        <v>3</v>
      </c>
      <c r="N1153">
        <v>3750</v>
      </c>
      <c r="O1153">
        <v>144</v>
      </c>
      <c r="P1153">
        <v>662</v>
      </c>
      <c r="Q1153">
        <v>0</v>
      </c>
      <c r="R1153">
        <v>9399311965</v>
      </c>
      <c r="S1153">
        <v>27927427.129999999</v>
      </c>
      <c r="T1153">
        <v>9335821245.1499996</v>
      </c>
      <c r="U1153">
        <v>9361779412.7800007</v>
      </c>
      <c r="V1153">
        <v>4.4470000000000003E-2</v>
      </c>
      <c r="W1153">
        <v>1.2194E-2</v>
      </c>
    </row>
    <row r="1154" spans="1:23" x14ac:dyDescent="0.35">
      <c r="A1154" t="s">
        <v>3</v>
      </c>
      <c r="B1154">
        <v>3750</v>
      </c>
      <c r="C1154">
        <v>120</v>
      </c>
      <c r="D1154">
        <v>484</v>
      </c>
      <c r="E1154">
        <v>0</v>
      </c>
      <c r="F1154">
        <v>6423834704</v>
      </c>
      <c r="G1154">
        <v>17562351.719999999</v>
      </c>
      <c r="H1154">
        <v>6386398276</v>
      </c>
      <c r="I1154">
        <v>6403855100.1499996</v>
      </c>
      <c r="J1154">
        <v>3.6499999999999998E-2</v>
      </c>
      <c r="K1154">
        <v>4.5059999999999996E-3</v>
      </c>
      <c r="M1154" t="s">
        <v>3</v>
      </c>
      <c r="N1154">
        <v>6000</v>
      </c>
      <c r="O1154">
        <v>6</v>
      </c>
      <c r="P1154">
        <v>8</v>
      </c>
      <c r="Q1154">
        <v>0</v>
      </c>
      <c r="R1154">
        <v>211768186</v>
      </c>
      <c r="S1154">
        <v>221928.99</v>
      </c>
      <c r="T1154">
        <v>211546257.00999999</v>
      </c>
      <c r="U1154">
        <v>211546257.00999999</v>
      </c>
      <c r="V1154">
        <v>0</v>
      </c>
      <c r="W1154">
        <v>0</v>
      </c>
    </row>
    <row r="1155" spans="1:23" x14ac:dyDescent="0.35">
      <c r="A1155" t="s">
        <v>3</v>
      </c>
      <c r="B1155">
        <v>4500</v>
      </c>
      <c r="C1155">
        <v>120</v>
      </c>
      <c r="D1155">
        <v>127</v>
      </c>
      <c r="E1155">
        <v>0</v>
      </c>
      <c r="F1155">
        <v>1241808629</v>
      </c>
      <c r="G1155">
        <v>3088768.35</v>
      </c>
      <c r="H1155">
        <v>1238528539</v>
      </c>
      <c r="I1155">
        <v>1238528539</v>
      </c>
      <c r="J1155">
        <v>1.8469999999999999E-3</v>
      </c>
      <c r="K1155">
        <v>1.8469999999999999E-3</v>
      </c>
      <c r="M1155" t="s">
        <v>3</v>
      </c>
      <c r="N1155">
        <v>6250</v>
      </c>
      <c r="O1155">
        <v>5</v>
      </c>
      <c r="P1155">
        <v>229</v>
      </c>
      <c r="Q1155">
        <v>0</v>
      </c>
      <c r="R1155">
        <v>7031300000</v>
      </c>
      <c r="S1155">
        <v>6832603.3200000003</v>
      </c>
      <c r="T1155">
        <v>7024467396.6800003</v>
      </c>
      <c r="U1155">
        <v>7024467396.6800003</v>
      </c>
      <c r="V1155">
        <v>0</v>
      </c>
      <c r="W1155">
        <v>0</v>
      </c>
    </row>
    <row r="1156" spans="1:23" x14ac:dyDescent="0.35">
      <c r="A1156" t="s">
        <v>2</v>
      </c>
      <c r="B1156">
        <v>5750</v>
      </c>
      <c r="C1156">
        <v>96</v>
      </c>
      <c r="D1156">
        <v>420</v>
      </c>
      <c r="E1156">
        <v>0</v>
      </c>
      <c r="F1156">
        <v>3852580053</v>
      </c>
      <c r="G1156">
        <v>6924016.8399999999</v>
      </c>
      <c r="H1156">
        <v>3826812785</v>
      </c>
      <c r="I1156">
        <v>3844556796.2800002</v>
      </c>
      <c r="J1156">
        <v>5.7139000000000002E-2</v>
      </c>
      <c r="K1156">
        <v>3.4190000000000002E-3</v>
      </c>
      <c r="M1156" t="s">
        <v>3</v>
      </c>
      <c r="N1156">
        <v>5750</v>
      </c>
      <c r="O1156">
        <v>5</v>
      </c>
      <c r="P1156">
        <v>122</v>
      </c>
      <c r="Q1156">
        <v>0</v>
      </c>
      <c r="R1156">
        <v>3625300000</v>
      </c>
      <c r="S1156">
        <v>3846507.74</v>
      </c>
      <c r="T1156">
        <v>3621453492.2600002</v>
      </c>
      <c r="U1156">
        <v>3621453492.2600002</v>
      </c>
      <c r="V1156">
        <v>0</v>
      </c>
      <c r="W1156">
        <v>0</v>
      </c>
    </row>
    <row r="1157" spans="1:23" x14ac:dyDescent="0.35">
      <c r="A1157" t="s">
        <v>1</v>
      </c>
      <c r="B1157">
        <v>5250</v>
      </c>
      <c r="C1157">
        <v>120</v>
      </c>
      <c r="D1157">
        <v>48</v>
      </c>
      <c r="E1157">
        <v>0</v>
      </c>
      <c r="F1157">
        <v>418396819</v>
      </c>
      <c r="G1157">
        <v>961796.91</v>
      </c>
      <c r="H1157">
        <v>417339875</v>
      </c>
      <c r="I1157">
        <v>417339875</v>
      </c>
      <c r="J1157">
        <v>2.725E-3</v>
      </c>
      <c r="K1157">
        <v>2.725E-3</v>
      </c>
      <c r="M1157" t="s">
        <v>3</v>
      </c>
      <c r="N1157">
        <v>4750</v>
      </c>
      <c r="O1157">
        <v>168</v>
      </c>
      <c r="P1157">
        <v>62</v>
      </c>
      <c r="Q1157">
        <v>0</v>
      </c>
      <c r="R1157">
        <v>567233392</v>
      </c>
      <c r="S1157">
        <v>1711032.13</v>
      </c>
      <c r="T1157">
        <v>554139924.58000004</v>
      </c>
      <c r="U1157">
        <v>565522359.87</v>
      </c>
      <c r="V1157">
        <v>0.215923</v>
      </c>
      <c r="W1157">
        <v>0</v>
      </c>
    </row>
    <row r="1158" spans="1:23" x14ac:dyDescent="0.35">
      <c r="A1158" t="s">
        <v>3</v>
      </c>
      <c r="B1158">
        <v>4750</v>
      </c>
      <c r="C1158">
        <v>120</v>
      </c>
      <c r="D1158">
        <v>14</v>
      </c>
      <c r="E1158">
        <v>0</v>
      </c>
      <c r="F1158">
        <v>160340941</v>
      </c>
      <c r="G1158">
        <v>393073.51</v>
      </c>
      <c r="H1158">
        <v>160026850</v>
      </c>
      <c r="I1158">
        <v>160026850</v>
      </c>
      <c r="J1158">
        <v>-5.927E-3</v>
      </c>
      <c r="K1158">
        <v>-5.927E-3</v>
      </c>
      <c r="M1158" t="s">
        <v>3</v>
      </c>
      <c r="N1158">
        <v>4750</v>
      </c>
      <c r="O1158">
        <v>144</v>
      </c>
      <c r="P1158">
        <v>138</v>
      </c>
      <c r="Q1158">
        <v>0</v>
      </c>
      <c r="R1158">
        <v>1299205738</v>
      </c>
      <c r="S1158">
        <v>3637954.17</v>
      </c>
      <c r="T1158">
        <v>1262251200.96</v>
      </c>
      <c r="U1158">
        <v>1295567783.8299999</v>
      </c>
      <c r="V1158">
        <v>0.26782800000000001</v>
      </c>
      <c r="W1158">
        <v>0</v>
      </c>
    </row>
    <row r="1159" spans="1:23" x14ac:dyDescent="0.35">
      <c r="A1159" t="s">
        <v>2</v>
      </c>
      <c r="B1159">
        <v>5250</v>
      </c>
      <c r="C1159">
        <v>120</v>
      </c>
      <c r="D1159">
        <v>1</v>
      </c>
      <c r="E1159">
        <v>0</v>
      </c>
      <c r="F1159">
        <v>10830143</v>
      </c>
      <c r="G1159">
        <v>25970.38</v>
      </c>
      <c r="H1159">
        <v>10804172</v>
      </c>
      <c r="I1159">
        <v>10804172</v>
      </c>
      <c r="J1159">
        <v>9.9999999999999995E-7</v>
      </c>
      <c r="K1159">
        <v>9.9999999999999995E-7</v>
      </c>
      <c r="M1159" t="s">
        <v>3</v>
      </c>
      <c r="N1159">
        <v>5000</v>
      </c>
      <c r="O1159">
        <v>144</v>
      </c>
      <c r="P1159">
        <v>10</v>
      </c>
      <c r="Q1159">
        <v>0</v>
      </c>
      <c r="R1159">
        <v>110682316</v>
      </c>
      <c r="S1159">
        <v>305739.09000000003</v>
      </c>
      <c r="T1159">
        <v>110376576.91</v>
      </c>
      <c r="U1159">
        <v>110376576.91</v>
      </c>
      <c r="V1159">
        <v>0</v>
      </c>
      <c r="W1159">
        <v>0</v>
      </c>
    </row>
    <row r="1160" spans="1:23" x14ac:dyDescent="0.35">
      <c r="A1160" t="s">
        <v>3</v>
      </c>
      <c r="B1160">
        <v>3250</v>
      </c>
      <c r="C1160">
        <v>120</v>
      </c>
      <c r="D1160">
        <v>370</v>
      </c>
      <c r="E1160">
        <v>0</v>
      </c>
      <c r="F1160">
        <v>5686362192</v>
      </c>
      <c r="G1160">
        <v>16253163.939999999</v>
      </c>
      <c r="H1160">
        <v>5626561000</v>
      </c>
      <c r="I1160">
        <v>5666173250.46</v>
      </c>
      <c r="J1160">
        <v>8.8125999999999996E-2</v>
      </c>
      <c r="K1160">
        <v>8.2740000000000001E-3</v>
      </c>
      <c r="M1160" t="s">
        <v>3</v>
      </c>
      <c r="N1160">
        <v>4750</v>
      </c>
      <c r="O1160">
        <v>96</v>
      </c>
      <c r="P1160">
        <v>207</v>
      </c>
      <c r="Q1160">
        <v>0</v>
      </c>
      <c r="R1160">
        <v>2730100706</v>
      </c>
      <c r="S1160">
        <v>5724397.0999999996</v>
      </c>
      <c r="T1160">
        <v>2724376308.9000001</v>
      </c>
      <c r="U1160">
        <v>2724376308.9000001</v>
      </c>
      <c r="V1160">
        <v>0</v>
      </c>
      <c r="W1160">
        <v>0</v>
      </c>
    </row>
    <row r="1161" spans="1:23" x14ac:dyDescent="0.35">
      <c r="A1161" t="s">
        <v>3</v>
      </c>
      <c r="B1161">
        <v>3500</v>
      </c>
      <c r="C1161">
        <v>120</v>
      </c>
      <c r="D1161">
        <v>331</v>
      </c>
      <c r="E1161">
        <v>0</v>
      </c>
      <c r="F1161">
        <v>4713251607</v>
      </c>
      <c r="G1161">
        <v>13270722.76</v>
      </c>
      <c r="H1161">
        <v>4681301509</v>
      </c>
      <c r="I1161">
        <v>4696804403.6300001</v>
      </c>
      <c r="J1161">
        <v>4.6535E-2</v>
      </c>
      <c r="K1161">
        <v>8.0569999999999999E-3</v>
      </c>
      <c r="M1161" t="s">
        <v>3</v>
      </c>
      <c r="N1161">
        <v>4250</v>
      </c>
      <c r="O1161">
        <v>120</v>
      </c>
      <c r="P1161">
        <v>249</v>
      </c>
      <c r="Q1161">
        <v>0</v>
      </c>
      <c r="R1161">
        <v>2262887488</v>
      </c>
      <c r="S1161">
        <v>5849635.5800000001</v>
      </c>
      <c r="T1161">
        <v>2246417098.4699998</v>
      </c>
      <c r="U1161">
        <v>2257037852.4200001</v>
      </c>
      <c r="V1161">
        <v>5.4890000000000001E-2</v>
      </c>
      <c r="W1161">
        <v>0</v>
      </c>
    </row>
    <row r="1162" spans="1:23" x14ac:dyDescent="0.35">
      <c r="A1162" t="s">
        <v>3</v>
      </c>
      <c r="B1162">
        <v>4500</v>
      </c>
      <c r="C1162">
        <v>108</v>
      </c>
      <c r="D1162">
        <v>239</v>
      </c>
      <c r="E1162">
        <v>0</v>
      </c>
      <c r="F1162">
        <v>2844950118</v>
      </c>
      <c r="G1162">
        <v>6626882.1799999997</v>
      </c>
      <c r="H1162">
        <v>2837775352</v>
      </c>
      <c r="I1162">
        <v>2837775352</v>
      </c>
      <c r="J1162">
        <v>2.3089999999999999E-3</v>
      </c>
      <c r="K1162">
        <v>2.3089999999999999E-3</v>
      </c>
      <c r="M1162" t="s">
        <v>3</v>
      </c>
      <c r="N1162">
        <v>3750</v>
      </c>
      <c r="O1162">
        <v>120</v>
      </c>
      <c r="P1162">
        <v>495</v>
      </c>
      <c r="Q1162">
        <v>0</v>
      </c>
      <c r="R1162">
        <v>6644842042</v>
      </c>
      <c r="S1162">
        <v>18127861.079999998</v>
      </c>
      <c r="T1162">
        <v>6594657448.71</v>
      </c>
      <c r="U1162">
        <v>6626714180.9200001</v>
      </c>
      <c r="V1162">
        <v>5.638E-2</v>
      </c>
      <c r="W1162">
        <v>0</v>
      </c>
    </row>
    <row r="1163" spans="1:23" x14ac:dyDescent="0.35">
      <c r="A1163" t="s">
        <v>1</v>
      </c>
      <c r="B1163">
        <v>2500</v>
      </c>
      <c r="C1163">
        <v>120</v>
      </c>
      <c r="D1163">
        <v>3</v>
      </c>
      <c r="E1163">
        <v>0</v>
      </c>
      <c r="F1163">
        <v>42239630</v>
      </c>
      <c r="G1163">
        <v>131980.01</v>
      </c>
      <c r="H1163">
        <v>42107592</v>
      </c>
      <c r="I1163">
        <v>42107592</v>
      </c>
      <c r="J1163">
        <v>1.5999999999999999E-5</v>
      </c>
      <c r="K1163">
        <v>1.5999999999999999E-5</v>
      </c>
      <c r="M1163" t="s">
        <v>3</v>
      </c>
      <c r="N1163">
        <v>4500</v>
      </c>
      <c r="O1163">
        <v>120</v>
      </c>
      <c r="P1163">
        <v>102</v>
      </c>
      <c r="Q1163">
        <v>0</v>
      </c>
      <c r="R1163">
        <v>916314098</v>
      </c>
      <c r="S1163">
        <v>2297838.75</v>
      </c>
      <c r="T1163">
        <v>914016259.25</v>
      </c>
      <c r="U1163">
        <v>914016259.25</v>
      </c>
      <c r="V1163">
        <v>0</v>
      </c>
      <c r="W1163">
        <v>0</v>
      </c>
    </row>
    <row r="1164" spans="1:23" x14ac:dyDescent="0.35">
      <c r="A1164" t="s">
        <v>3</v>
      </c>
      <c r="B1164">
        <v>4250</v>
      </c>
      <c r="C1164">
        <v>108</v>
      </c>
      <c r="D1164">
        <v>333</v>
      </c>
      <c r="E1164">
        <v>0</v>
      </c>
      <c r="F1164">
        <v>4355117514</v>
      </c>
      <c r="G1164">
        <v>10510585.49</v>
      </c>
      <c r="H1164">
        <v>4342543975</v>
      </c>
      <c r="I1164">
        <v>4342543975</v>
      </c>
      <c r="J1164">
        <v>5.6690000000000004E-3</v>
      </c>
      <c r="K1164">
        <v>5.6690000000000004E-3</v>
      </c>
      <c r="M1164" t="s">
        <v>2</v>
      </c>
      <c r="N1164">
        <v>5750</v>
      </c>
      <c r="O1164">
        <v>96</v>
      </c>
      <c r="P1164">
        <v>416</v>
      </c>
      <c r="Q1164">
        <v>0</v>
      </c>
      <c r="R1164">
        <v>3846731876</v>
      </c>
      <c r="S1164">
        <v>6869640.9900000002</v>
      </c>
      <c r="T1164">
        <v>3780997416.3600001</v>
      </c>
      <c r="U1164">
        <v>3785692672.98</v>
      </c>
      <c r="V1164">
        <v>0.168937</v>
      </c>
      <c r="W1164">
        <v>0.15649099999999999</v>
      </c>
    </row>
    <row r="1165" spans="1:23" x14ac:dyDescent="0.35">
      <c r="A1165" t="s">
        <v>1</v>
      </c>
      <c r="B1165">
        <v>5250</v>
      </c>
      <c r="C1165">
        <v>108</v>
      </c>
      <c r="D1165">
        <v>401</v>
      </c>
      <c r="E1165">
        <v>0</v>
      </c>
      <c r="F1165">
        <v>4587122252</v>
      </c>
      <c r="G1165">
        <v>9672487.6799999997</v>
      </c>
      <c r="H1165">
        <v>4501963503</v>
      </c>
      <c r="I1165">
        <v>4532418145.2299995</v>
      </c>
      <c r="J1165">
        <v>0.18054500000000001</v>
      </c>
      <c r="K1165">
        <v>0.111647</v>
      </c>
      <c r="M1165" t="s">
        <v>3</v>
      </c>
      <c r="N1165">
        <v>5250</v>
      </c>
      <c r="O1165">
        <v>120</v>
      </c>
      <c r="P1165">
        <v>1</v>
      </c>
      <c r="Q1165">
        <v>0</v>
      </c>
      <c r="R1165">
        <v>8288910</v>
      </c>
      <c r="S1165">
        <v>19876.57</v>
      </c>
      <c r="T1165">
        <v>8269033.4299999997</v>
      </c>
      <c r="U1165">
        <v>8269033.4299999997</v>
      </c>
      <c r="V1165">
        <v>0</v>
      </c>
      <c r="W1165">
        <v>0</v>
      </c>
    </row>
    <row r="1166" spans="1:23" x14ac:dyDescent="0.35">
      <c r="A1166" t="s">
        <v>0</v>
      </c>
      <c r="B1166">
        <v>2750</v>
      </c>
      <c r="C1166">
        <v>108</v>
      </c>
      <c r="D1166">
        <v>29</v>
      </c>
      <c r="E1166">
        <v>0</v>
      </c>
      <c r="F1166">
        <v>369602628</v>
      </c>
      <c r="G1166">
        <v>1059406.03</v>
      </c>
      <c r="H1166">
        <v>368373253</v>
      </c>
      <c r="I1166">
        <v>368373253</v>
      </c>
      <c r="J1166">
        <v>5.5040000000000002E-3</v>
      </c>
      <c r="K1166">
        <v>5.5040000000000002E-3</v>
      </c>
      <c r="M1166" t="s">
        <v>3</v>
      </c>
      <c r="N1166">
        <v>4750</v>
      </c>
      <c r="O1166">
        <v>120</v>
      </c>
      <c r="P1166">
        <v>18</v>
      </c>
      <c r="Q1166">
        <v>0</v>
      </c>
      <c r="R1166">
        <v>209171559</v>
      </c>
      <c r="S1166">
        <v>513272.89</v>
      </c>
      <c r="T1166">
        <v>208658286.11000001</v>
      </c>
      <c r="U1166">
        <v>208658286.11000001</v>
      </c>
      <c r="V1166">
        <v>0</v>
      </c>
      <c r="W1166">
        <v>0</v>
      </c>
    </row>
    <row r="1167" spans="1:23" x14ac:dyDescent="0.35">
      <c r="A1167" t="s">
        <v>1</v>
      </c>
      <c r="B1167">
        <v>6750</v>
      </c>
      <c r="C1167">
        <v>7</v>
      </c>
      <c r="D1167">
        <v>7837</v>
      </c>
      <c r="E1167">
        <v>0</v>
      </c>
      <c r="F1167">
        <v>281916671158</v>
      </c>
      <c r="G1167">
        <v>258320806.06999999</v>
      </c>
      <c r="H1167">
        <v>207269744930</v>
      </c>
      <c r="I1167">
        <v>280888365121.42999</v>
      </c>
      <c r="J1167">
        <v>0.97467899999999996</v>
      </c>
      <c r="K1167">
        <v>3.2287000000000003E-2</v>
      </c>
      <c r="M1167" t="s">
        <v>2</v>
      </c>
      <c r="N1167">
        <v>5250</v>
      </c>
      <c r="O1167">
        <v>120</v>
      </c>
      <c r="P1167">
        <v>1</v>
      </c>
      <c r="Q1167">
        <v>0</v>
      </c>
      <c r="R1167">
        <v>10856004</v>
      </c>
      <c r="S1167">
        <v>25859.94</v>
      </c>
      <c r="T1167">
        <v>10830144.060000001</v>
      </c>
      <c r="U1167">
        <v>10830144.060000001</v>
      </c>
      <c r="V1167">
        <v>0</v>
      </c>
      <c r="W1167">
        <v>0</v>
      </c>
    </row>
    <row r="1168" spans="1:23" x14ac:dyDescent="0.35">
      <c r="A1168" t="s">
        <v>3</v>
      </c>
      <c r="B1168">
        <v>5250</v>
      </c>
      <c r="C1168">
        <v>108</v>
      </c>
      <c r="D1168">
        <v>7</v>
      </c>
      <c r="E1168">
        <v>0</v>
      </c>
      <c r="F1168">
        <v>86422605</v>
      </c>
      <c r="G1168">
        <v>183723.66</v>
      </c>
      <c r="H1168">
        <v>86144585</v>
      </c>
      <c r="I1168">
        <v>86144585</v>
      </c>
      <c r="J1168">
        <v>1.3015000000000001E-2</v>
      </c>
      <c r="K1168">
        <v>1.3015000000000001E-2</v>
      </c>
      <c r="M1168" t="s">
        <v>3</v>
      </c>
      <c r="N1168">
        <v>3250</v>
      </c>
      <c r="O1168">
        <v>120</v>
      </c>
      <c r="P1168">
        <v>359</v>
      </c>
      <c r="Q1168">
        <v>0</v>
      </c>
      <c r="R1168">
        <v>5571155909</v>
      </c>
      <c r="S1168">
        <v>15848346.93</v>
      </c>
      <c r="T1168">
        <v>5524591755.5100002</v>
      </c>
      <c r="U1168">
        <v>5555307562.0699997</v>
      </c>
      <c r="V1168">
        <v>6.4190999999999998E-2</v>
      </c>
      <c r="W1168">
        <v>0</v>
      </c>
    </row>
    <row r="1169" spans="1:23" x14ac:dyDescent="0.35">
      <c r="A1169" t="s">
        <v>0</v>
      </c>
      <c r="B1169">
        <v>5750</v>
      </c>
      <c r="C1169">
        <v>108</v>
      </c>
      <c r="D1169">
        <v>193</v>
      </c>
      <c r="E1169">
        <v>0</v>
      </c>
      <c r="F1169">
        <v>1954691642</v>
      </c>
      <c r="G1169">
        <v>3844483.02</v>
      </c>
      <c r="H1169">
        <v>1911187483</v>
      </c>
      <c r="I1169">
        <v>1934002737.9000001</v>
      </c>
      <c r="J1169">
        <v>0.21806</v>
      </c>
      <c r="K1169">
        <v>9.8645999999999998E-2</v>
      </c>
      <c r="M1169" t="s">
        <v>3</v>
      </c>
      <c r="N1169">
        <v>3500</v>
      </c>
      <c r="O1169">
        <v>120</v>
      </c>
      <c r="P1169">
        <v>326</v>
      </c>
      <c r="Q1169">
        <v>0</v>
      </c>
      <c r="R1169">
        <v>4640775456</v>
      </c>
      <c r="S1169">
        <v>13000958.67</v>
      </c>
      <c r="T1169">
        <v>4612998179.0900002</v>
      </c>
      <c r="U1169">
        <v>4627774497.3299999</v>
      </c>
      <c r="V1169">
        <v>3.7546000000000003E-2</v>
      </c>
      <c r="W1169">
        <v>0</v>
      </c>
    </row>
    <row r="1170" spans="1:23" x14ac:dyDescent="0.35">
      <c r="A1170" t="s">
        <v>3</v>
      </c>
      <c r="B1170">
        <v>4750</v>
      </c>
      <c r="C1170">
        <v>108</v>
      </c>
      <c r="D1170">
        <v>66</v>
      </c>
      <c r="E1170">
        <v>0</v>
      </c>
      <c r="F1170">
        <v>643173537</v>
      </c>
      <c r="G1170">
        <v>1445747.8</v>
      </c>
      <c r="H1170">
        <v>632446683</v>
      </c>
      <c r="I1170">
        <v>641290334.15999997</v>
      </c>
      <c r="J1170">
        <v>0.16005900000000001</v>
      </c>
      <c r="K1170">
        <v>8.1309999999999993E-3</v>
      </c>
      <c r="M1170" t="s">
        <v>3</v>
      </c>
      <c r="N1170">
        <v>4250</v>
      </c>
      <c r="O1170">
        <v>108</v>
      </c>
      <c r="P1170">
        <v>362</v>
      </c>
      <c r="Q1170">
        <v>0</v>
      </c>
      <c r="R1170">
        <v>4721564366</v>
      </c>
      <c r="S1170">
        <v>11378081.68</v>
      </c>
      <c r="T1170">
        <v>4699633911.4399996</v>
      </c>
      <c r="U1170">
        <v>4710186284.3199997</v>
      </c>
      <c r="V1170">
        <v>2.6492000000000002E-2</v>
      </c>
      <c r="W1170">
        <v>0</v>
      </c>
    </row>
    <row r="1171" spans="1:23" x14ac:dyDescent="0.35">
      <c r="A1171" t="s">
        <v>1</v>
      </c>
      <c r="B1171">
        <v>5250</v>
      </c>
      <c r="C1171">
        <v>7</v>
      </c>
      <c r="D1171">
        <v>388</v>
      </c>
      <c r="E1171">
        <v>0</v>
      </c>
      <c r="F1171">
        <v>16767443682</v>
      </c>
      <c r="G1171">
        <v>20093205</v>
      </c>
      <c r="H1171">
        <v>16665852542</v>
      </c>
      <c r="I1171">
        <v>16742994056.09</v>
      </c>
      <c r="J1171">
        <v>5.6792000000000002E-2</v>
      </c>
      <c r="K1171">
        <v>3.1129999999999999E-3</v>
      </c>
      <c r="M1171" t="s">
        <v>3</v>
      </c>
      <c r="N1171">
        <v>4500</v>
      </c>
      <c r="O1171">
        <v>108</v>
      </c>
      <c r="P1171">
        <v>263</v>
      </c>
      <c r="Q1171">
        <v>0</v>
      </c>
      <c r="R1171">
        <v>3045103263</v>
      </c>
      <c r="S1171">
        <v>7117714.2400000002</v>
      </c>
      <c r="T1171">
        <v>3026676675.6900001</v>
      </c>
      <c r="U1171">
        <v>3037985548.7600002</v>
      </c>
      <c r="V1171">
        <v>4.3666000000000003E-2</v>
      </c>
      <c r="W1171">
        <v>0</v>
      </c>
    </row>
    <row r="1172" spans="1:23" x14ac:dyDescent="0.35">
      <c r="A1172" t="s">
        <v>1</v>
      </c>
      <c r="B1172">
        <v>5250</v>
      </c>
      <c r="C1172">
        <v>8</v>
      </c>
      <c r="D1172">
        <v>392</v>
      </c>
      <c r="E1172">
        <v>0</v>
      </c>
      <c r="F1172">
        <v>15652475406</v>
      </c>
      <c r="G1172">
        <v>18874962.699999999</v>
      </c>
      <c r="H1172">
        <v>15406285823</v>
      </c>
      <c r="I1172">
        <v>15597143412.610001</v>
      </c>
      <c r="J1172">
        <v>0.16100400000000001</v>
      </c>
      <c r="K1172">
        <v>2.7595000000000001E-2</v>
      </c>
      <c r="M1172" t="s">
        <v>1</v>
      </c>
      <c r="N1172">
        <v>2500</v>
      </c>
      <c r="O1172">
        <v>120</v>
      </c>
      <c r="P1172">
        <v>3</v>
      </c>
      <c r="Q1172">
        <v>0</v>
      </c>
      <c r="R1172">
        <v>42558044</v>
      </c>
      <c r="S1172">
        <v>132278.48000000001</v>
      </c>
      <c r="T1172">
        <v>42425765.520000003</v>
      </c>
      <c r="U1172">
        <v>42425765.520000003</v>
      </c>
      <c r="V1172">
        <v>0</v>
      </c>
      <c r="W1172">
        <v>0</v>
      </c>
    </row>
    <row r="1173" spans="1:23" x14ac:dyDescent="0.35">
      <c r="A1173" t="s">
        <v>2</v>
      </c>
      <c r="B1173">
        <v>7250</v>
      </c>
      <c r="C1173">
        <v>42</v>
      </c>
      <c r="D1173">
        <v>825</v>
      </c>
      <c r="E1173">
        <v>0</v>
      </c>
      <c r="F1173">
        <v>11090314084</v>
      </c>
      <c r="G1173">
        <v>11438957.51</v>
      </c>
      <c r="H1173">
        <v>10968563375</v>
      </c>
      <c r="I1173">
        <v>11021548234.26</v>
      </c>
      <c r="J1173">
        <v>0.113042</v>
      </c>
      <c r="K1173">
        <v>6.0296000000000002E-2</v>
      </c>
      <c r="M1173" t="s">
        <v>1</v>
      </c>
      <c r="N1173">
        <v>5250</v>
      </c>
      <c r="O1173">
        <v>108</v>
      </c>
      <c r="P1173">
        <v>368</v>
      </c>
      <c r="Q1173">
        <v>0</v>
      </c>
      <c r="R1173">
        <v>4234212308</v>
      </c>
      <c r="S1173">
        <v>8909950.5899999999</v>
      </c>
      <c r="T1173">
        <v>4192785080.3000002</v>
      </c>
      <c r="U1173">
        <v>4219655072.6500001</v>
      </c>
      <c r="V1173">
        <v>8.8360999999999995E-2</v>
      </c>
      <c r="W1173">
        <v>1.5887999999999999E-2</v>
      </c>
    </row>
    <row r="1174" spans="1:23" x14ac:dyDescent="0.35">
      <c r="A1174" t="s">
        <v>1</v>
      </c>
      <c r="B1174">
        <v>7250</v>
      </c>
      <c r="C1174">
        <v>42</v>
      </c>
      <c r="D1174">
        <v>1808</v>
      </c>
      <c r="E1174">
        <v>0</v>
      </c>
      <c r="F1174">
        <v>40075727623</v>
      </c>
      <c r="G1174">
        <v>41407202.07</v>
      </c>
      <c r="H1174">
        <v>37987275793</v>
      </c>
      <c r="I1174">
        <v>39375845881.629997</v>
      </c>
      <c r="J1174">
        <v>0.46696199999999999</v>
      </c>
      <c r="K1174">
        <v>0.18029200000000001</v>
      </c>
      <c r="M1174" t="s">
        <v>0</v>
      </c>
      <c r="N1174">
        <v>2750</v>
      </c>
      <c r="O1174">
        <v>108</v>
      </c>
      <c r="P1174">
        <v>45</v>
      </c>
      <c r="Q1174">
        <v>0</v>
      </c>
      <c r="R1174">
        <v>587295960</v>
      </c>
      <c r="S1174">
        <v>1696390.11</v>
      </c>
      <c r="T1174">
        <v>585599569.88999999</v>
      </c>
      <c r="U1174">
        <v>585599569.88999999</v>
      </c>
      <c r="V1174">
        <v>0</v>
      </c>
      <c r="W1174">
        <v>0</v>
      </c>
    </row>
    <row r="1175" spans="1:23" x14ac:dyDescent="0.35">
      <c r="A1175" t="s">
        <v>3</v>
      </c>
      <c r="B1175">
        <v>3750</v>
      </c>
      <c r="C1175">
        <v>108</v>
      </c>
      <c r="D1175">
        <v>352</v>
      </c>
      <c r="E1175">
        <v>0</v>
      </c>
      <c r="F1175">
        <v>5163382476</v>
      </c>
      <c r="G1175">
        <v>13110895.310000001</v>
      </c>
      <c r="H1175">
        <v>5129306322</v>
      </c>
      <c r="I1175">
        <v>5147101345.9499998</v>
      </c>
      <c r="J1175">
        <v>4.7650999999999999E-2</v>
      </c>
      <c r="K1175">
        <v>7.3429999999999997E-3</v>
      </c>
      <c r="M1175" t="s">
        <v>1</v>
      </c>
      <c r="N1175">
        <v>6750</v>
      </c>
      <c r="O1175">
        <v>6</v>
      </c>
      <c r="P1175">
        <v>7884</v>
      </c>
      <c r="Q1175">
        <v>0</v>
      </c>
      <c r="R1175">
        <v>284684727943</v>
      </c>
      <c r="S1175">
        <v>259184423.75999999</v>
      </c>
      <c r="T1175">
        <v>282650073478.90997</v>
      </c>
      <c r="U1175">
        <v>283965474200.5</v>
      </c>
      <c r="V1175">
        <v>7.2325E-2</v>
      </c>
      <c r="W1175">
        <v>1.9220999999999999E-2</v>
      </c>
    </row>
    <row r="1176" spans="1:23" x14ac:dyDescent="0.35">
      <c r="A1176" t="s">
        <v>3</v>
      </c>
      <c r="B1176">
        <v>4500</v>
      </c>
      <c r="C1176">
        <v>96</v>
      </c>
      <c r="D1176">
        <v>175</v>
      </c>
      <c r="E1176">
        <v>0</v>
      </c>
      <c r="F1176">
        <v>2718596122</v>
      </c>
      <c r="G1176">
        <v>5945215.1900000004</v>
      </c>
      <c r="H1176">
        <v>2710653111</v>
      </c>
      <c r="I1176">
        <v>2710653111</v>
      </c>
      <c r="J1176">
        <v>8.7829999999999991E-3</v>
      </c>
      <c r="K1176">
        <v>8.7829999999999991E-3</v>
      </c>
      <c r="M1176" t="s">
        <v>3</v>
      </c>
      <c r="N1176">
        <v>5250</v>
      </c>
      <c r="O1176">
        <v>108</v>
      </c>
      <c r="P1176">
        <v>5</v>
      </c>
      <c r="Q1176">
        <v>0</v>
      </c>
      <c r="R1176">
        <v>63025066</v>
      </c>
      <c r="S1176">
        <v>134532.18</v>
      </c>
      <c r="T1176">
        <v>62890533.82</v>
      </c>
      <c r="U1176">
        <v>62890533.82</v>
      </c>
      <c r="V1176">
        <v>0</v>
      </c>
      <c r="W1176">
        <v>0</v>
      </c>
    </row>
    <row r="1177" spans="1:23" x14ac:dyDescent="0.35">
      <c r="A1177" t="s">
        <v>3</v>
      </c>
      <c r="B1177">
        <v>5250</v>
      </c>
      <c r="C1177">
        <v>96</v>
      </c>
      <c r="D1177">
        <v>98</v>
      </c>
      <c r="E1177">
        <v>0</v>
      </c>
      <c r="F1177">
        <v>1338442550</v>
      </c>
      <c r="G1177">
        <v>2636509.37</v>
      </c>
      <c r="H1177">
        <v>1327349431</v>
      </c>
      <c r="I1177">
        <v>1334812193.6199999</v>
      </c>
      <c r="J1177">
        <v>7.3238999999999999E-2</v>
      </c>
      <c r="K1177">
        <v>8.8739999999999999E-3</v>
      </c>
      <c r="M1177" t="s">
        <v>0</v>
      </c>
      <c r="N1177">
        <v>5750</v>
      </c>
      <c r="O1177">
        <v>108</v>
      </c>
      <c r="P1177">
        <v>160</v>
      </c>
      <c r="Q1177">
        <v>0</v>
      </c>
      <c r="R1177">
        <v>1556458956</v>
      </c>
      <c r="S1177">
        <v>3065051.49</v>
      </c>
      <c r="T1177">
        <v>1540964926.3</v>
      </c>
      <c r="U1177">
        <v>1553393904.51</v>
      </c>
      <c r="V1177">
        <v>9.1726000000000002E-2</v>
      </c>
      <c r="W1177">
        <v>0</v>
      </c>
    </row>
    <row r="1178" spans="1:23" x14ac:dyDescent="0.35">
      <c r="A1178" t="s">
        <v>3</v>
      </c>
      <c r="B1178">
        <v>5000</v>
      </c>
      <c r="C1178">
        <v>96</v>
      </c>
      <c r="D1178">
        <v>195</v>
      </c>
      <c r="E1178">
        <v>0</v>
      </c>
      <c r="F1178">
        <v>2751594647</v>
      </c>
      <c r="G1178">
        <v>5586470.5</v>
      </c>
      <c r="H1178">
        <v>2732457556</v>
      </c>
      <c r="I1178">
        <v>2744777203.1799998</v>
      </c>
      <c r="J1178">
        <v>5.7521000000000003E-2</v>
      </c>
      <c r="K1178">
        <v>5.3550000000000004E-3</v>
      </c>
      <c r="M1178" t="s">
        <v>3</v>
      </c>
      <c r="N1178">
        <v>4750</v>
      </c>
      <c r="O1178">
        <v>108</v>
      </c>
      <c r="P1178">
        <v>56</v>
      </c>
      <c r="Q1178">
        <v>0</v>
      </c>
      <c r="R1178">
        <v>530090165</v>
      </c>
      <c r="S1178">
        <v>1190734.05</v>
      </c>
      <c r="T1178">
        <v>528899430.94999999</v>
      </c>
      <c r="U1178">
        <v>528899430.94999999</v>
      </c>
      <c r="V1178">
        <v>0</v>
      </c>
      <c r="W1178">
        <v>0</v>
      </c>
    </row>
    <row r="1179" spans="1:23" x14ac:dyDescent="0.35">
      <c r="A1179" t="s">
        <v>3</v>
      </c>
      <c r="B1179">
        <v>4250</v>
      </c>
      <c r="C1179">
        <v>96</v>
      </c>
      <c r="D1179">
        <v>119</v>
      </c>
      <c r="E1179">
        <v>0</v>
      </c>
      <c r="F1179">
        <v>1992207059</v>
      </c>
      <c r="G1179">
        <v>4487554.3899999997</v>
      </c>
      <c r="H1179">
        <v>1987115771</v>
      </c>
      <c r="I1179">
        <v>1987115771</v>
      </c>
      <c r="J1179">
        <v>3.6310000000000001E-3</v>
      </c>
      <c r="K1179">
        <v>3.6310000000000001E-3</v>
      </c>
      <c r="M1179" t="s">
        <v>1</v>
      </c>
      <c r="N1179">
        <v>5250</v>
      </c>
      <c r="O1179">
        <v>6</v>
      </c>
      <c r="P1179">
        <v>388</v>
      </c>
      <c r="Q1179">
        <v>0</v>
      </c>
      <c r="R1179">
        <v>16820674741</v>
      </c>
      <c r="S1179">
        <v>20045648.350000001</v>
      </c>
      <c r="T1179">
        <v>16800629092.65</v>
      </c>
      <c r="U1179">
        <v>16800629092.65</v>
      </c>
      <c r="V1179">
        <v>0</v>
      </c>
      <c r="W1179">
        <v>0</v>
      </c>
    </row>
    <row r="1180" spans="1:23" x14ac:dyDescent="0.35">
      <c r="A1180" t="s">
        <v>0</v>
      </c>
      <c r="B1180">
        <v>3000</v>
      </c>
      <c r="C1180">
        <v>96</v>
      </c>
      <c r="D1180">
        <v>35</v>
      </c>
      <c r="E1180">
        <v>0</v>
      </c>
      <c r="F1180">
        <v>392007230</v>
      </c>
      <c r="G1180">
        <v>1035565.67</v>
      </c>
      <c r="H1180">
        <v>390917306</v>
      </c>
      <c r="I1180">
        <v>390917306</v>
      </c>
      <c r="J1180">
        <v>1.663E-3</v>
      </c>
      <c r="K1180">
        <v>1.663E-3</v>
      </c>
      <c r="M1180" t="s">
        <v>1</v>
      </c>
      <c r="N1180">
        <v>5250</v>
      </c>
      <c r="O1180">
        <v>7</v>
      </c>
      <c r="P1180">
        <v>396</v>
      </c>
      <c r="Q1180">
        <v>0</v>
      </c>
      <c r="R1180">
        <v>15930497362</v>
      </c>
      <c r="S1180">
        <v>19105556.379999999</v>
      </c>
      <c r="T1180">
        <v>15677257060.4</v>
      </c>
      <c r="U1180">
        <v>15842146373.299999</v>
      </c>
      <c r="V1180">
        <v>0.16278599999999999</v>
      </c>
      <c r="W1180">
        <v>5.0931999999999998E-2</v>
      </c>
    </row>
    <row r="1181" spans="1:23" x14ac:dyDescent="0.35">
      <c r="A1181" t="s">
        <v>2</v>
      </c>
      <c r="B1181">
        <v>2250</v>
      </c>
      <c r="C1181">
        <v>72</v>
      </c>
      <c r="D1181">
        <v>3347</v>
      </c>
      <c r="E1181">
        <v>0</v>
      </c>
      <c r="F1181">
        <v>59599638447</v>
      </c>
      <c r="G1181">
        <v>149988094.37</v>
      </c>
      <c r="H1181">
        <v>59273180785</v>
      </c>
      <c r="I1181">
        <v>59395619185.059998</v>
      </c>
      <c r="J1181">
        <v>3.4958000000000003E-2</v>
      </c>
      <c r="K1181">
        <v>1.0825E-2</v>
      </c>
      <c r="M1181" t="s">
        <v>2</v>
      </c>
      <c r="N1181">
        <v>7250</v>
      </c>
      <c r="O1181">
        <v>42</v>
      </c>
      <c r="P1181">
        <v>704</v>
      </c>
      <c r="Q1181">
        <v>0</v>
      </c>
      <c r="R1181">
        <v>9586276477</v>
      </c>
      <c r="S1181">
        <v>9834586.3900000006</v>
      </c>
      <c r="T1181">
        <v>9419603840.3500004</v>
      </c>
      <c r="U1181">
        <v>9532627041.7600002</v>
      </c>
      <c r="V1181">
        <v>0.179591</v>
      </c>
      <c r="W1181">
        <v>5.3489000000000002E-2</v>
      </c>
    </row>
    <row r="1182" spans="1:23" x14ac:dyDescent="0.35">
      <c r="A1182" t="s">
        <v>1</v>
      </c>
      <c r="B1182">
        <v>2250</v>
      </c>
      <c r="C1182">
        <v>72</v>
      </c>
      <c r="D1182">
        <v>168198</v>
      </c>
      <c r="E1182">
        <v>0</v>
      </c>
      <c r="F1182">
        <v>4836551195358</v>
      </c>
      <c r="G1182">
        <v>12202060117.98</v>
      </c>
      <c r="H1182">
        <v>4799444851093</v>
      </c>
      <c r="I1182">
        <v>4821134900462.7998</v>
      </c>
      <c r="J1182">
        <v>6.0069999999999998E-2</v>
      </c>
      <c r="K1182">
        <v>7.9459999999999999E-3</v>
      </c>
      <c r="M1182" t="s">
        <v>1</v>
      </c>
      <c r="N1182">
        <v>7250</v>
      </c>
      <c r="O1182">
        <v>42</v>
      </c>
      <c r="P1182">
        <v>1674</v>
      </c>
      <c r="Q1182">
        <v>0</v>
      </c>
      <c r="R1182">
        <v>37659228935</v>
      </c>
      <c r="S1182">
        <v>38698879.109999999</v>
      </c>
      <c r="T1182">
        <v>35402441371.290001</v>
      </c>
      <c r="U1182">
        <v>37169984524.019997</v>
      </c>
      <c r="V1182">
        <v>0.517347</v>
      </c>
      <c r="W1182">
        <v>0.13448499999999999</v>
      </c>
    </row>
    <row r="1183" spans="1:23" x14ac:dyDescent="0.35">
      <c r="A1183" t="s">
        <v>3</v>
      </c>
      <c r="B1183">
        <v>5750</v>
      </c>
      <c r="C1183">
        <v>96</v>
      </c>
      <c r="D1183">
        <v>37</v>
      </c>
      <c r="E1183">
        <v>0</v>
      </c>
      <c r="F1183">
        <v>465595536</v>
      </c>
      <c r="G1183">
        <v>855610.15</v>
      </c>
      <c r="H1183">
        <v>464729827</v>
      </c>
      <c r="I1183">
        <v>464729827</v>
      </c>
      <c r="J1183">
        <v>2.5999999999999998E-4</v>
      </c>
      <c r="K1183">
        <v>2.5999999999999998E-4</v>
      </c>
      <c r="M1183" t="s">
        <v>3</v>
      </c>
      <c r="N1183">
        <v>3750</v>
      </c>
      <c r="O1183">
        <v>108</v>
      </c>
      <c r="P1183">
        <v>356</v>
      </c>
      <c r="Q1183">
        <v>0</v>
      </c>
      <c r="R1183">
        <v>5185449120</v>
      </c>
      <c r="S1183">
        <v>13139672.529999999</v>
      </c>
      <c r="T1183">
        <v>5157737636.9200001</v>
      </c>
      <c r="U1183">
        <v>5172309447.4700003</v>
      </c>
      <c r="V1183">
        <v>3.3204999999999998E-2</v>
      </c>
      <c r="W1183">
        <v>0</v>
      </c>
    </row>
    <row r="1184" spans="1:23" x14ac:dyDescent="0.35">
      <c r="A1184" t="s">
        <v>0</v>
      </c>
      <c r="B1184">
        <v>6250</v>
      </c>
      <c r="C1184">
        <v>96</v>
      </c>
      <c r="D1184">
        <v>1247</v>
      </c>
      <c r="E1184">
        <v>0</v>
      </c>
      <c r="F1184">
        <v>15442515056</v>
      </c>
      <c r="G1184">
        <v>26304452.550000001</v>
      </c>
      <c r="H1184">
        <v>15291149349</v>
      </c>
      <c r="I1184">
        <v>15390866851.379999</v>
      </c>
      <c r="J1184">
        <v>9.2967999999999995E-2</v>
      </c>
      <c r="K1184">
        <v>1.9517E-2</v>
      </c>
      <c r="M1184" t="s">
        <v>3</v>
      </c>
      <c r="N1184">
        <v>4500</v>
      </c>
      <c r="O1184">
        <v>96</v>
      </c>
      <c r="P1184">
        <v>188</v>
      </c>
      <c r="Q1184">
        <v>0</v>
      </c>
      <c r="R1184">
        <v>2916118420</v>
      </c>
      <c r="S1184">
        <v>6359553.8600000003</v>
      </c>
      <c r="T1184">
        <v>2900251861.79</v>
      </c>
      <c r="U1184">
        <v>2909758866.1399999</v>
      </c>
      <c r="V1184">
        <v>3.8427999999999997E-2</v>
      </c>
      <c r="W1184">
        <v>0</v>
      </c>
    </row>
    <row r="1185" spans="1:23" x14ac:dyDescent="0.35">
      <c r="A1185" t="s">
        <v>1</v>
      </c>
      <c r="B1185">
        <v>3750</v>
      </c>
      <c r="C1185">
        <v>320</v>
      </c>
      <c r="D1185">
        <v>10</v>
      </c>
      <c r="E1185">
        <v>0</v>
      </c>
      <c r="F1185">
        <v>57829132</v>
      </c>
      <c r="G1185">
        <v>465056.92</v>
      </c>
      <c r="H1185">
        <v>57337478</v>
      </c>
      <c r="I1185">
        <v>57337478</v>
      </c>
      <c r="J1185">
        <v>5.5050000000000003E-3</v>
      </c>
      <c r="K1185">
        <v>5.5050000000000003E-3</v>
      </c>
      <c r="M1185" t="s">
        <v>3</v>
      </c>
      <c r="N1185">
        <v>5250</v>
      </c>
      <c r="O1185">
        <v>96</v>
      </c>
      <c r="P1185">
        <v>93</v>
      </c>
      <c r="Q1185">
        <v>0</v>
      </c>
      <c r="R1185">
        <v>1265654841</v>
      </c>
      <c r="S1185">
        <v>2485423.86</v>
      </c>
      <c r="T1185">
        <v>1263169417.1400001</v>
      </c>
      <c r="U1185">
        <v>1263169417.1400001</v>
      </c>
      <c r="V1185">
        <v>0</v>
      </c>
      <c r="W1185">
        <v>0</v>
      </c>
    </row>
    <row r="1186" spans="1:23" x14ac:dyDescent="0.35">
      <c r="A1186" t="s">
        <v>1</v>
      </c>
      <c r="B1186">
        <v>3750</v>
      </c>
      <c r="C1186">
        <v>216</v>
      </c>
      <c r="D1186">
        <v>4</v>
      </c>
      <c r="E1186">
        <v>0</v>
      </c>
      <c r="F1186">
        <v>35364864</v>
      </c>
      <c r="G1186">
        <v>175088.49</v>
      </c>
      <c r="H1186">
        <v>35119283</v>
      </c>
      <c r="I1186">
        <v>35119283</v>
      </c>
      <c r="J1186">
        <v>2.3658999999999999E-2</v>
      </c>
      <c r="K1186">
        <v>2.3658999999999999E-2</v>
      </c>
      <c r="M1186" t="s">
        <v>3</v>
      </c>
      <c r="N1186">
        <v>4000</v>
      </c>
      <c r="O1186">
        <v>96</v>
      </c>
      <c r="P1186">
        <v>64</v>
      </c>
      <c r="Q1186">
        <v>0</v>
      </c>
      <c r="R1186">
        <v>963877644</v>
      </c>
      <c r="S1186">
        <v>2284148</v>
      </c>
      <c r="T1186">
        <v>961593496</v>
      </c>
      <c r="U1186">
        <v>961593496</v>
      </c>
      <c r="V1186">
        <v>0</v>
      </c>
      <c r="W1186">
        <v>0</v>
      </c>
    </row>
    <row r="1187" spans="1:23" x14ac:dyDescent="0.35">
      <c r="A1187" t="s">
        <v>2</v>
      </c>
      <c r="B1187">
        <v>5250</v>
      </c>
      <c r="C1187">
        <v>108</v>
      </c>
      <c r="D1187">
        <v>1</v>
      </c>
      <c r="E1187">
        <v>0</v>
      </c>
      <c r="F1187">
        <v>12912324</v>
      </c>
      <c r="G1187">
        <v>26843.360000000001</v>
      </c>
      <c r="H1187">
        <v>12912324</v>
      </c>
      <c r="I1187">
        <v>12912324</v>
      </c>
      <c r="J1187">
        <v>-2.5233999999999999E-2</v>
      </c>
      <c r="K1187">
        <v>-2.5233999999999999E-2</v>
      </c>
      <c r="M1187" t="s">
        <v>3</v>
      </c>
      <c r="N1187">
        <v>3750</v>
      </c>
      <c r="O1187">
        <v>96</v>
      </c>
      <c r="P1187">
        <v>43</v>
      </c>
      <c r="Q1187">
        <v>0</v>
      </c>
      <c r="R1187">
        <v>677409436</v>
      </c>
      <c r="S1187">
        <v>1649038.58</v>
      </c>
      <c r="T1187">
        <v>675760397.41999996</v>
      </c>
      <c r="U1187">
        <v>675760397.41999996</v>
      </c>
      <c r="V1187">
        <v>0</v>
      </c>
      <c r="W1187">
        <v>0</v>
      </c>
    </row>
    <row r="1188" spans="1:23" x14ac:dyDescent="0.35">
      <c r="A1188" t="s">
        <v>3</v>
      </c>
      <c r="B1188">
        <v>5500</v>
      </c>
      <c r="C1188">
        <v>96</v>
      </c>
      <c r="D1188">
        <v>37</v>
      </c>
      <c r="E1188">
        <v>0</v>
      </c>
      <c r="F1188">
        <v>443671698</v>
      </c>
      <c r="G1188">
        <v>835387.74</v>
      </c>
      <c r="H1188">
        <v>442747137</v>
      </c>
      <c r="I1188">
        <v>442747137</v>
      </c>
      <c r="J1188">
        <v>2.4090000000000001E-3</v>
      </c>
      <c r="K1188">
        <v>2.4090000000000001E-3</v>
      </c>
      <c r="M1188" t="s">
        <v>3</v>
      </c>
      <c r="N1188">
        <v>5000</v>
      </c>
      <c r="O1188">
        <v>96</v>
      </c>
      <c r="P1188">
        <v>194</v>
      </c>
      <c r="Q1188">
        <v>0</v>
      </c>
      <c r="R1188">
        <v>2751507673</v>
      </c>
      <c r="S1188">
        <v>5554087.5499999998</v>
      </c>
      <c r="T1188">
        <v>2730615778.1399999</v>
      </c>
      <c r="U1188">
        <v>2745953585.4499998</v>
      </c>
      <c r="V1188">
        <v>6.4879000000000006E-2</v>
      </c>
      <c r="W1188">
        <v>0</v>
      </c>
    </row>
    <row r="1189" spans="1:23" x14ac:dyDescent="0.35">
      <c r="A1189" t="s">
        <v>1</v>
      </c>
      <c r="B1189">
        <v>6250</v>
      </c>
      <c r="C1189">
        <v>96</v>
      </c>
      <c r="D1189">
        <v>66</v>
      </c>
      <c r="E1189">
        <v>0</v>
      </c>
      <c r="F1189">
        <v>698612523</v>
      </c>
      <c r="G1189">
        <v>1182317.17</v>
      </c>
      <c r="H1189">
        <v>677048398</v>
      </c>
      <c r="I1189">
        <v>682552708.13</v>
      </c>
      <c r="J1189">
        <v>0.29903999999999997</v>
      </c>
      <c r="K1189">
        <v>0.22764400000000001</v>
      </c>
      <c r="M1189" t="s">
        <v>3</v>
      </c>
      <c r="N1189">
        <v>4250</v>
      </c>
      <c r="O1189">
        <v>96</v>
      </c>
      <c r="P1189">
        <v>129</v>
      </c>
      <c r="Q1189">
        <v>0</v>
      </c>
      <c r="R1189">
        <v>2168209562</v>
      </c>
      <c r="S1189">
        <v>4871369.08</v>
      </c>
      <c r="T1189">
        <v>2163338192.9200001</v>
      </c>
      <c r="U1189">
        <v>2163338192.9200001</v>
      </c>
      <c r="V1189">
        <v>0</v>
      </c>
      <c r="W1189">
        <v>0</v>
      </c>
    </row>
    <row r="1190" spans="1:23" x14ac:dyDescent="0.35">
      <c r="A1190" t="s">
        <v>0</v>
      </c>
      <c r="B1190">
        <v>6500</v>
      </c>
      <c r="C1190">
        <v>96</v>
      </c>
      <c r="D1190">
        <v>81</v>
      </c>
      <c r="E1190">
        <v>0</v>
      </c>
      <c r="F1190">
        <v>919824312</v>
      </c>
      <c r="G1190">
        <v>1502574.54</v>
      </c>
      <c r="H1190">
        <v>905129133</v>
      </c>
      <c r="I1190">
        <v>918339085.63</v>
      </c>
      <c r="J1190">
        <v>0.159162</v>
      </c>
      <c r="K1190">
        <v>-2.2599999999999999E-4</v>
      </c>
      <c r="M1190" t="s">
        <v>0</v>
      </c>
      <c r="N1190">
        <v>2250</v>
      </c>
      <c r="O1190">
        <v>72</v>
      </c>
      <c r="P1190">
        <v>16481</v>
      </c>
      <c r="Q1190">
        <v>0</v>
      </c>
      <c r="R1190">
        <v>390656330321</v>
      </c>
      <c r="S1190">
        <v>983289593.38</v>
      </c>
      <c r="T1190">
        <v>388070543800.21997</v>
      </c>
      <c r="U1190">
        <v>389565169214.22998</v>
      </c>
      <c r="V1190">
        <v>4.8128999999999998E-2</v>
      </c>
      <c r="W1190">
        <v>3.3089999999999999E-3</v>
      </c>
    </row>
    <row r="1191" spans="1:23" x14ac:dyDescent="0.35">
      <c r="A1191" t="s">
        <v>1</v>
      </c>
      <c r="B1191">
        <v>7750</v>
      </c>
      <c r="C1191">
        <v>42</v>
      </c>
      <c r="D1191">
        <v>214</v>
      </c>
      <c r="E1191">
        <v>0</v>
      </c>
      <c r="F1191">
        <v>4302017513</v>
      </c>
      <c r="G1191">
        <v>4061444.18</v>
      </c>
      <c r="H1191">
        <v>4024466542</v>
      </c>
      <c r="I1191">
        <v>4191281323.5300002</v>
      </c>
      <c r="J1191">
        <v>0.54533600000000004</v>
      </c>
      <c r="K1191">
        <v>0.26015100000000002</v>
      </c>
      <c r="M1191" t="s">
        <v>2</v>
      </c>
      <c r="N1191">
        <v>2250</v>
      </c>
      <c r="O1191">
        <v>72</v>
      </c>
      <c r="P1191">
        <v>2332</v>
      </c>
      <c r="Q1191">
        <v>0</v>
      </c>
      <c r="R1191">
        <v>41603426045</v>
      </c>
      <c r="S1191">
        <v>104591741.29000001</v>
      </c>
      <c r="T1191">
        <v>41345983720.739998</v>
      </c>
      <c r="U1191">
        <v>41498834303.709999</v>
      </c>
      <c r="V1191">
        <v>4.3208000000000003E-2</v>
      </c>
      <c r="W1191">
        <v>0</v>
      </c>
    </row>
    <row r="1192" spans="1:23" x14ac:dyDescent="0.35">
      <c r="A1192" t="s">
        <v>3</v>
      </c>
      <c r="B1192">
        <v>5250</v>
      </c>
      <c r="C1192">
        <v>84</v>
      </c>
      <c r="D1192">
        <v>43</v>
      </c>
      <c r="E1192">
        <v>0</v>
      </c>
      <c r="F1192">
        <v>582400177</v>
      </c>
      <c r="G1192">
        <v>1086739.23</v>
      </c>
      <c r="H1192">
        <v>581081260</v>
      </c>
      <c r="I1192">
        <v>581081260</v>
      </c>
      <c r="J1192">
        <v>4.7730000000000003E-3</v>
      </c>
      <c r="K1192">
        <v>4.7730000000000003E-3</v>
      </c>
      <c r="M1192" t="s">
        <v>1</v>
      </c>
      <c r="N1192">
        <v>2250</v>
      </c>
      <c r="O1192">
        <v>72</v>
      </c>
      <c r="P1192">
        <v>127429</v>
      </c>
      <c r="Q1192">
        <v>0</v>
      </c>
      <c r="R1192">
        <v>3681460128010</v>
      </c>
      <c r="S1192">
        <v>9270172856.6000004</v>
      </c>
      <c r="T1192">
        <v>3657380718072.9902</v>
      </c>
      <c r="U1192">
        <v>3671775296828.0601</v>
      </c>
      <c r="V1192">
        <v>4.7218000000000003E-2</v>
      </c>
      <c r="W1192">
        <v>1.351E-3</v>
      </c>
    </row>
    <row r="1193" spans="1:23" x14ac:dyDescent="0.35">
      <c r="A1193" t="s">
        <v>0</v>
      </c>
      <c r="B1193">
        <v>6750</v>
      </c>
      <c r="C1193">
        <v>96</v>
      </c>
      <c r="D1193">
        <v>28</v>
      </c>
      <c r="E1193">
        <v>0</v>
      </c>
      <c r="F1193">
        <v>333580608</v>
      </c>
      <c r="G1193">
        <v>532392.34</v>
      </c>
      <c r="H1193">
        <v>332971457</v>
      </c>
      <c r="I1193">
        <v>332971457</v>
      </c>
      <c r="J1193">
        <v>2.758E-3</v>
      </c>
      <c r="K1193">
        <v>2.758E-3</v>
      </c>
      <c r="M1193" t="s">
        <v>3</v>
      </c>
      <c r="N1193">
        <v>5750</v>
      </c>
      <c r="O1193">
        <v>96</v>
      </c>
      <c r="P1193">
        <v>34</v>
      </c>
      <c r="Q1193">
        <v>0</v>
      </c>
      <c r="R1193">
        <v>413072169</v>
      </c>
      <c r="S1193">
        <v>756694.48</v>
      </c>
      <c r="T1193">
        <v>412315474.51999998</v>
      </c>
      <c r="U1193">
        <v>412315474.51999998</v>
      </c>
      <c r="V1193">
        <v>0</v>
      </c>
      <c r="W1193">
        <v>0</v>
      </c>
    </row>
    <row r="1194" spans="1:23" x14ac:dyDescent="0.35">
      <c r="A1194" t="s">
        <v>1</v>
      </c>
      <c r="B1194">
        <v>5750</v>
      </c>
      <c r="C1194">
        <v>84</v>
      </c>
      <c r="D1194">
        <v>457</v>
      </c>
      <c r="E1194">
        <v>0</v>
      </c>
      <c r="F1194">
        <v>5937497128</v>
      </c>
      <c r="G1194">
        <v>10303629.109999999</v>
      </c>
      <c r="H1194">
        <v>5868525505</v>
      </c>
      <c r="I1194">
        <v>5908045451.3599997</v>
      </c>
      <c r="J1194">
        <v>0.112335</v>
      </c>
      <c r="K1194">
        <v>3.8019999999999998E-2</v>
      </c>
      <c r="M1194" t="s">
        <v>0</v>
      </c>
      <c r="N1194">
        <v>6250</v>
      </c>
      <c r="O1194">
        <v>96</v>
      </c>
      <c r="P1194">
        <v>1137</v>
      </c>
      <c r="Q1194">
        <v>0</v>
      </c>
      <c r="R1194">
        <v>13995284232</v>
      </c>
      <c r="S1194">
        <v>23775389.850000001</v>
      </c>
      <c r="T1194">
        <v>13797346975.379999</v>
      </c>
      <c r="U1194">
        <v>13910854792.23</v>
      </c>
      <c r="V1194">
        <v>0.13952300000000001</v>
      </c>
      <c r="W1194">
        <v>5.0784999999999997E-2</v>
      </c>
    </row>
    <row r="1195" spans="1:23" x14ac:dyDescent="0.35">
      <c r="A1195" t="s">
        <v>1</v>
      </c>
      <c r="B1195">
        <v>6500</v>
      </c>
      <c r="C1195">
        <v>96</v>
      </c>
      <c r="D1195">
        <v>2</v>
      </c>
      <c r="E1195">
        <v>0</v>
      </c>
      <c r="F1195">
        <v>16938091</v>
      </c>
      <c r="G1195">
        <v>27581.95</v>
      </c>
      <c r="H1195">
        <v>16848601</v>
      </c>
      <c r="I1195">
        <v>16848601</v>
      </c>
      <c r="J1195">
        <v>4.2988999999999999E-2</v>
      </c>
      <c r="K1195">
        <v>4.2988999999999999E-2</v>
      </c>
      <c r="M1195" t="s">
        <v>1</v>
      </c>
      <c r="N1195">
        <v>3750</v>
      </c>
      <c r="O1195">
        <v>320</v>
      </c>
      <c r="P1195">
        <v>9</v>
      </c>
      <c r="Q1195">
        <v>0</v>
      </c>
      <c r="R1195">
        <v>51479932</v>
      </c>
      <c r="S1195">
        <v>416720.88</v>
      </c>
      <c r="T1195">
        <v>51063211.119999997</v>
      </c>
      <c r="U1195">
        <v>51063211.119999997</v>
      </c>
      <c r="V1195">
        <v>0</v>
      </c>
      <c r="W1195">
        <v>0</v>
      </c>
    </row>
    <row r="1196" spans="1:23" x14ac:dyDescent="0.35">
      <c r="A1196" t="s">
        <v>0</v>
      </c>
      <c r="B1196">
        <v>6250</v>
      </c>
      <c r="C1196">
        <v>84</v>
      </c>
      <c r="D1196">
        <v>458</v>
      </c>
      <c r="E1196">
        <v>0</v>
      </c>
      <c r="F1196">
        <v>5437794119</v>
      </c>
      <c r="G1196">
        <v>8818382.1500000004</v>
      </c>
      <c r="H1196">
        <v>5399537945</v>
      </c>
      <c r="I1196">
        <v>5411015956.9300003</v>
      </c>
      <c r="J1196">
        <v>6.3062999999999994E-2</v>
      </c>
      <c r="K1196">
        <v>3.8920999999999997E-2</v>
      </c>
      <c r="M1196" t="s">
        <v>1</v>
      </c>
      <c r="N1196">
        <v>3750</v>
      </c>
      <c r="O1196">
        <v>216</v>
      </c>
      <c r="P1196">
        <v>4</v>
      </c>
      <c r="Q1196">
        <v>0</v>
      </c>
      <c r="R1196">
        <v>35456534</v>
      </c>
      <c r="S1196">
        <v>174142.97</v>
      </c>
      <c r="T1196">
        <v>35282391.030000001</v>
      </c>
      <c r="U1196">
        <v>35282391.030000001</v>
      </c>
      <c r="V1196">
        <v>0</v>
      </c>
      <c r="W1196">
        <v>0</v>
      </c>
    </row>
    <row r="1197" spans="1:23" x14ac:dyDescent="0.35">
      <c r="A1197" t="s">
        <v>3</v>
      </c>
      <c r="B1197">
        <v>6000</v>
      </c>
      <c r="C1197">
        <v>96</v>
      </c>
      <c r="D1197">
        <v>4</v>
      </c>
      <c r="E1197">
        <v>0</v>
      </c>
      <c r="F1197">
        <v>37610638</v>
      </c>
      <c r="G1197">
        <v>65006.51</v>
      </c>
      <c r="H1197">
        <v>37523763</v>
      </c>
      <c r="I1197">
        <v>37523763</v>
      </c>
      <c r="J1197">
        <v>6.9550000000000002E-3</v>
      </c>
      <c r="K1197">
        <v>6.9550000000000002E-3</v>
      </c>
      <c r="M1197" t="s">
        <v>2</v>
      </c>
      <c r="N1197">
        <v>5250</v>
      </c>
      <c r="O1197">
        <v>108</v>
      </c>
      <c r="P1197">
        <v>1</v>
      </c>
      <c r="Q1197">
        <v>0</v>
      </c>
      <c r="R1197">
        <v>12939505</v>
      </c>
      <c r="S1197">
        <v>26730.14</v>
      </c>
      <c r="T1197">
        <v>12912774.859999999</v>
      </c>
      <c r="U1197">
        <v>12912774.859999999</v>
      </c>
      <c r="V1197">
        <v>0</v>
      </c>
      <c r="W1197">
        <v>0</v>
      </c>
    </row>
    <row r="1198" spans="1:23" x14ac:dyDescent="0.35">
      <c r="A1198" t="s">
        <v>2</v>
      </c>
      <c r="B1198">
        <v>5750</v>
      </c>
      <c r="C1198">
        <v>84</v>
      </c>
      <c r="D1198">
        <v>30</v>
      </c>
      <c r="E1198">
        <v>0</v>
      </c>
      <c r="F1198">
        <v>251771316</v>
      </c>
      <c r="G1198">
        <v>439191.95</v>
      </c>
      <c r="H1198">
        <v>251289416</v>
      </c>
      <c r="I1198">
        <v>251289416</v>
      </c>
      <c r="J1198">
        <v>2.0339999999999998E-3</v>
      </c>
      <c r="K1198">
        <v>2.0339999999999998E-3</v>
      </c>
      <c r="M1198" t="s">
        <v>3</v>
      </c>
      <c r="N1198">
        <v>5500</v>
      </c>
      <c r="O1198">
        <v>96</v>
      </c>
      <c r="P1198">
        <v>37</v>
      </c>
      <c r="Q1198">
        <v>0</v>
      </c>
      <c r="R1198">
        <v>444597884</v>
      </c>
      <c r="S1198">
        <v>831782.92</v>
      </c>
      <c r="T1198">
        <v>443766101.07999998</v>
      </c>
      <c r="U1198">
        <v>443766101.07999998</v>
      </c>
      <c r="V1198">
        <v>0</v>
      </c>
      <c r="W1198">
        <v>0</v>
      </c>
    </row>
    <row r="1199" spans="1:23" x14ac:dyDescent="0.35">
      <c r="A1199" t="s">
        <v>2</v>
      </c>
      <c r="B1199">
        <v>4250</v>
      </c>
      <c r="C1199">
        <v>72</v>
      </c>
      <c r="D1199">
        <v>1987</v>
      </c>
      <c r="E1199">
        <v>0</v>
      </c>
      <c r="F1199">
        <v>23486574781</v>
      </c>
      <c r="G1199">
        <v>46998240.539999999</v>
      </c>
      <c r="H1199">
        <v>23235388391</v>
      </c>
      <c r="I1199">
        <v>23419259599.52</v>
      </c>
      <c r="J1199">
        <v>9.9478999999999998E-2</v>
      </c>
      <c r="K1199">
        <v>1.0331E-2</v>
      </c>
      <c r="M1199" t="s">
        <v>1</v>
      </c>
      <c r="N1199">
        <v>6250</v>
      </c>
      <c r="O1199">
        <v>96</v>
      </c>
      <c r="P1199">
        <v>50</v>
      </c>
      <c r="Q1199">
        <v>0</v>
      </c>
      <c r="R1199">
        <v>531874673</v>
      </c>
      <c r="S1199">
        <v>899758.57</v>
      </c>
      <c r="T1199">
        <v>523969055.20999998</v>
      </c>
      <c r="U1199">
        <v>530974914.43000001</v>
      </c>
      <c r="V1199">
        <v>0.14710100000000001</v>
      </c>
      <c r="W1199">
        <v>0</v>
      </c>
    </row>
    <row r="1200" spans="1:23" x14ac:dyDescent="0.35">
      <c r="A1200" t="s">
        <v>3</v>
      </c>
      <c r="B1200">
        <v>5750</v>
      </c>
      <c r="C1200">
        <v>84</v>
      </c>
      <c r="D1200">
        <v>20</v>
      </c>
      <c r="E1200">
        <v>0</v>
      </c>
      <c r="F1200">
        <v>203239249</v>
      </c>
      <c r="G1200">
        <v>355513.86</v>
      </c>
      <c r="H1200">
        <v>202873053</v>
      </c>
      <c r="I1200">
        <v>202873053</v>
      </c>
      <c r="J1200">
        <v>6.3100000000000005E-4</v>
      </c>
      <c r="K1200">
        <v>6.3100000000000005E-4</v>
      </c>
      <c r="M1200" t="s">
        <v>0</v>
      </c>
      <c r="N1200">
        <v>6500</v>
      </c>
      <c r="O1200">
        <v>96</v>
      </c>
      <c r="P1200">
        <v>73</v>
      </c>
      <c r="Q1200">
        <v>0</v>
      </c>
      <c r="R1200">
        <v>834115084</v>
      </c>
      <c r="S1200">
        <v>1355654.3</v>
      </c>
      <c r="T1200">
        <v>813662309.88999999</v>
      </c>
      <c r="U1200">
        <v>813662309.88999999</v>
      </c>
      <c r="V1200">
        <v>0.24265400000000001</v>
      </c>
      <c r="W1200">
        <v>0.24265400000000001</v>
      </c>
    </row>
    <row r="1201" spans="1:23" x14ac:dyDescent="0.35">
      <c r="A1201" t="s">
        <v>3</v>
      </c>
      <c r="B1201">
        <v>4750</v>
      </c>
      <c r="C1201">
        <v>84</v>
      </c>
      <c r="D1201">
        <v>178</v>
      </c>
      <c r="E1201">
        <v>0</v>
      </c>
      <c r="F1201">
        <v>2454632528</v>
      </c>
      <c r="G1201">
        <v>4858618.8</v>
      </c>
      <c r="H1201">
        <v>2448626827</v>
      </c>
      <c r="I1201">
        <v>2448626827</v>
      </c>
      <c r="J1201">
        <v>5.5929999999999999E-3</v>
      </c>
      <c r="K1201">
        <v>5.5929999999999999E-3</v>
      </c>
      <c r="M1201" t="s">
        <v>1</v>
      </c>
      <c r="N1201">
        <v>3750</v>
      </c>
      <c r="O1201">
        <v>240</v>
      </c>
      <c r="P1201">
        <v>1</v>
      </c>
      <c r="Q1201">
        <v>0</v>
      </c>
      <c r="R1201">
        <v>6869903</v>
      </c>
      <c r="S1201">
        <v>47396.94</v>
      </c>
      <c r="T1201">
        <v>6822506.0599999996</v>
      </c>
      <c r="U1201">
        <v>6822506.0599999996</v>
      </c>
      <c r="V1201">
        <v>0</v>
      </c>
      <c r="W1201">
        <v>0</v>
      </c>
    </row>
    <row r="1202" spans="1:23" x14ac:dyDescent="0.35">
      <c r="A1202" t="s">
        <v>3</v>
      </c>
      <c r="B1202">
        <v>5000</v>
      </c>
      <c r="C1202">
        <v>84</v>
      </c>
      <c r="D1202">
        <v>31</v>
      </c>
      <c r="E1202">
        <v>0</v>
      </c>
      <c r="F1202">
        <v>420710368</v>
      </c>
      <c r="G1202">
        <v>809391.47</v>
      </c>
      <c r="H1202">
        <v>419740816</v>
      </c>
      <c r="I1202">
        <v>419740816</v>
      </c>
      <c r="J1202">
        <v>4.5589999999999997E-3</v>
      </c>
      <c r="K1202">
        <v>4.5589999999999997E-3</v>
      </c>
      <c r="M1202" t="s">
        <v>1</v>
      </c>
      <c r="N1202">
        <v>7750</v>
      </c>
      <c r="O1202">
        <v>36</v>
      </c>
      <c r="P1202">
        <v>265</v>
      </c>
      <c r="Q1202">
        <v>0</v>
      </c>
      <c r="R1202">
        <v>6487815108</v>
      </c>
      <c r="S1202">
        <v>5837378.79</v>
      </c>
      <c r="T1202">
        <v>6188136962.1000004</v>
      </c>
      <c r="U1202">
        <v>6314308744.9499998</v>
      </c>
      <c r="V1202">
        <v>0.42660900000000002</v>
      </c>
      <c r="W1202">
        <v>0.26962799999999998</v>
      </c>
    </row>
    <row r="1203" spans="1:23" x14ac:dyDescent="0.35">
      <c r="A1203" t="s">
        <v>3</v>
      </c>
      <c r="B1203">
        <v>4500</v>
      </c>
      <c r="C1203">
        <v>84</v>
      </c>
      <c r="D1203">
        <v>132</v>
      </c>
      <c r="E1203">
        <v>0</v>
      </c>
      <c r="F1203">
        <v>1902830654</v>
      </c>
      <c r="G1203">
        <v>3892348.67</v>
      </c>
      <c r="H1203">
        <v>1897732982</v>
      </c>
      <c r="I1203">
        <v>1897732982</v>
      </c>
      <c r="J1203">
        <v>7.5750000000000001E-3</v>
      </c>
      <c r="K1203">
        <v>7.5750000000000001E-3</v>
      </c>
      <c r="M1203" t="s">
        <v>3</v>
      </c>
      <c r="N1203">
        <v>5250</v>
      </c>
      <c r="O1203">
        <v>84</v>
      </c>
      <c r="P1203">
        <v>49</v>
      </c>
      <c r="Q1203">
        <v>0</v>
      </c>
      <c r="R1203">
        <v>674073069</v>
      </c>
      <c r="S1203">
        <v>1255496.6499999999</v>
      </c>
      <c r="T1203">
        <v>672817572.35000002</v>
      </c>
      <c r="U1203">
        <v>672817572.35000002</v>
      </c>
      <c r="V1203">
        <v>0</v>
      </c>
      <c r="W1203">
        <v>0</v>
      </c>
    </row>
    <row r="1204" spans="1:23" x14ac:dyDescent="0.35">
      <c r="A1204" t="s">
        <v>0</v>
      </c>
      <c r="B1204">
        <v>6500</v>
      </c>
      <c r="C1204">
        <v>84</v>
      </c>
      <c r="D1204">
        <v>45</v>
      </c>
      <c r="E1204">
        <v>0</v>
      </c>
      <c r="F1204">
        <v>416250331</v>
      </c>
      <c r="G1204">
        <v>649518.54</v>
      </c>
      <c r="H1204">
        <v>415324446</v>
      </c>
      <c r="I1204">
        <v>415324446</v>
      </c>
      <c r="J1204">
        <v>7.9380000000000006E-3</v>
      </c>
      <c r="K1204">
        <v>7.9380000000000006E-3</v>
      </c>
      <c r="M1204" t="s">
        <v>0</v>
      </c>
      <c r="N1204">
        <v>6750</v>
      </c>
      <c r="O1204">
        <v>96</v>
      </c>
      <c r="P1204">
        <v>27</v>
      </c>
      <c r="Q1204">
        <v>0</v>
      </c>
      <c r="R1204">
        <v>315297833</v>
      </c>
      <c r="S1204">
        <v>500365.29</v>
      </c>
      <c r="T1204">
        <v>314797467.70999998</v>
      </c>
      <c r="U1204">
        <v>314797467.70999998</v>
      </c>
      <c r="V1204">
        <v>0</v>
      </c>
      <c r="W1204">
        <v>0</v>
      </c>
    </row>
    <row r="1205" spans="1:23" x14ac:dyDescent="0.35">
      <c r="A1205" t="s">
        <v>1</v>
      </c>
      <c r="B1205">
        <v>6250</v>
      </c>
      <c r="C1205">
        <v>84</v>
      </c>
      <c r="D1205">
        <v>22</v>
      </c>
      <c r="E1205">
        <v>0</v>
      </c>
      <c r="F1205">
        <v>266191779</v>
      </c>
      <c r="G1205">
        <v>431662.04</v>
      </c>
      <c r="H1205">
        <v>265794265</v>
      </c>
      <c r="I1205">
        <v>265794265</v>
      </c>
      <c r="J1205">
        <v>-1.5399999999999999E-3</v>
      </c>
      <c r="K1205">
        <v>-1.5399999999999999E-3</v>
      </c>
      <c r="M1205" t="s">
        <v>0</v>
      </c>
      <c r="N1205">
        <v>6250</v>
      </c>
      <c r="O1205">
        <v>84</v>
      </c>
      <c r="P1205">
        <v>598</v>
      </c>
      <c r="Q1205">
        <v>0</v>
      </c>
      <c r="R1205">
        <v>7276922553</v>
      </c>
      <c r="S1205">
        <v>11783309.880000001</v>
      </c>
      <c r="T1205">
        <v>7185115905.0100002</v>
      </c>
      <c r="U1205">
        <v>7238687296.9700003</v>
      </c>
      <c r="V1205">
        <v>0.124266</v>
      </c>
      <c r="W1205">
        <v>4.2758999999999998E-2</v>
      </c>
    </row>
    <row r="1206" spans="1:23" x14ac:dyDescent="0.35">
      <c r="A1206" t="s">
        <v>3</v>
      </c>
      <c r="B1206">
        <v>4250</v>
      </c>
      <c r="C1206">
        <v>84</v>
      </c>
      <c r="D1206">
        <v>223</v>
      </c>
      <c r="E1206">
        <v>0</v>
      </c>
      <c r="F1206">
        <v>3584639852</v>
      </c>
      <c r="G1206">
        <v>7560356.21</v>
      </c>
      <c r="H1206">
        <v>3552298575</v>
      </c>
      <c r="I1206">
        <v>3575423026.1100001</v>
      </c>
      <c r="J1206">
        <v>7.9874000000000001E-2</v>
      </c>
      <c r="K1206">
        <v>5.5310000000000003E-3</v>
      </c>
      <c r="M1206" t="s">
        <v>2</v>
      </c>
      <c r="N1206">
        <v>5750</v>
      </c>
      <c r="O1206">
        <v>84</v>
      </c>
      <c r="P1206">
        <v>39</v>
      </c>
      <c r="Q1206">
        <v>0</v>
      </c>
      <c r="R1206">
        <v>316532567</v>
      </c>
      <c r="S1206">
        <v>552012.96</v>
      </c>
      <c r="T1206">
        <v>315980554.04000002</v>
      </c>
      <c r="U1206">
        <v>315980554.04000002</v>
      </c>
      <c r="V1206">
        <v>0</v>
      </c>
      <c r="W1206">
        <v>0</v>
      </c>
    </row>
    <row r="1207" spans="1:23" x14ac:dyDescent="0.35">
      <c r="A1207" t="s">
        <v>0</v>
      </c>
      <c r="B1207">
        <v>6750</v>
      </c>
      <c r="C1207">
        <v>84</v>
      </c>
      <c r="D1207">
        <v>6</v>
      </c>
      <c r="E1207">
        <v>0</v>
      </c>
      <c r="F1207">
        <v>45052099</v>
      </c>
      <c r="G1207">
        <v>67620.75</v>
      </c>
      <c r="H1207">
        <v>44977550</v>
      </c>
      <c r="I1207">
        <v>44977550</v>
      </c>
      <c r="J1207">
        <v>1.8439999999999999E-3</v>
      </c>
      <c r="K1207">
        <v>1.8439999999999999E-3</v>
      </c>
      <c r="M1207" t="s">
        <v>0</v>
      </c>
      <c r="N1207">
        <v>6500</v>
      </c>
      <c r="O1207">
        <v>84</v>
      </c>
      <c r="P1207">
        <v>54</v>
      </c>
      <c r="Q1207">
        <v>0</v>
      </c>
      <c r="R1207">
        <v>523363793</v>
      </c>
      <c r="S1207">
        <v>816054.66</v>
      </c>
      <c r="T1207">
        <v>522547738.33999997</v>
      </c>
      <c r="U1207">
        <v>522547738.33999997</v>
      </c>
      <c r="V1207">
        <v>0</v>
      </c>
      <c r="W1207">
        <v>0</v>
      </c>
    </row>
    <row r="1208" spans="1:23" x14ac:dyDescent="0.35">
      <c r="A1208" t="s">
        <v>3</v>
      </c>
      <c r="B1208">
        <v>4000</v>
      </c>
      <c r="C1208">
        <v>84</v>
      </c>
      <c r="D1208">
        <v>178</v>
      </c>
      <c r="E1208">
        <v>0</v>
      </c>
      <c r="F1208">
        <v>2939450412</v>
      </c>
      <c r="G1208">
        <v>6358295.7599999998</v>
      </c>
      <c r="H1208">
        <v>2931939298</v>
      </c>
      <c r="I1208">
        <v>2931939298</v>
      </c>
      <c r="J1208">
        <v>4.6959999999999997E-3</v>
      </c>
      <c r="K1208">
        <v>4.6959999999999997E-3</v>
      </c>
      <c r="M1208" t="s">
        <v>1</v>
      </c>
      <c r="N1208">
        <v>6500</v>
      </c>
      <c r="O1208">
        <v>96</v>
      </c>
      <c r="P1208">
        <v>2</v>
      </c>
      <c r="Q1208">
        <v>0</v>
      </c>
      <c r="R1208">
        <v>16954127</v>
      </c>
      <c r="S1208">
        <v>27416.68</v>
      </c>
      <c r="T1208">
        <v>16926710.32</v>
      </c>
      <c r="U1208">
        <v>16926710.32</v>
      </c>
      <c r="V1208">
        <v>0</v>
      </c>
      <c r="W1208">
        <v>0</v>
      </c>
    </row>
    <row r="1209" spans="1:23" x14ac:dyDescent="0.35">
      <c r="A1209" t="s">
        <v>3</v>
      </c>
      <c r="B1209">
        <v>3750</v>
      </c>
      <c r="C1209">
        <v>84</v>
      </c>
      <c r="D1209">
        <v>252</v>
      </c>
      <c r="E1209">
        <v>0</v>
      </c>
      <c r="F1209">
        <v>4561333384</v>
      </c>
      <c r="G1209">
        <v>10132136.5</v>
      </c>
      <c r="H1209">
        <v>4522017696</v>
      </c>
      <c r="I1209">
        <v>4548396330.79</v>
      </c>
      <c r="J1209">
        <v>7.4131000000000002E-2</v>
      </c>
      <c r="K1209">
        <v>7.3540000000000003E-3</v>
      </c>
      <c r="M1209" t="s">
        <v>3</v>
      </c>
      <c r="N1209">
        <v>6000</v>
      </c>
      <c r="O1209">
        <v>96</v>
      </c>
      <c r="P1209">
        <v>2</v>
      </c>
      <c r="Q1209">
        <v>0</v>
      </c>
      <c r="R1209">
        <v>21159196</v>
      </c>
      <c r="S1209">
        <v>36600.050000000003</v>
      </c>
      <c r="T1209">
        <v>21122595.949999999</v>
      </c>
      <c r="U1209">
        <v>21122595.949999999</v>
      </c>
      <c r="V1209">
        <v>0</v>
      </c>
      <c r="W1209">
        <v>0</v>
      </c>
    </row>
    <row r="1210" spans="1:23" x14ac:dyDescent="0.35">
      <c r="A1210" t="s">
        <v>0</v>
      </c>
      <c r="B1210">
        <v>4750</v>
      </c>
      <c r="C1210">
        <v>54</v>
      </c>
      <c r="D1210">
        <v>3305</v>
      </c>
      <c r="E1210">
        <v>0</v>
      </c>
      <c r="F1210">
        <v>75050111371</v>
      </c>
      <c r="G1210">
        <v>125040087.45999999</v>
      </c>
      <c r="H1210">
        <v>74454812422</v>
      </c>
      <c r="I1210">
        <v>74851382768.740005</v>
      </c>
      <c r="J1210">
        <v>7.2652999999999995E-2</v>
      </c>
      <c r="K1210">
        <v>1.1719E-2</v>
      </c>
      <c r="M1210" t="s">
        <v>2</v>
      </c>
      <c r="N1210">
        <v>4250</v>
      </c>
      <c r="O1210">
        <v>72</v>
      </c>
      <c r="P1210">
        <v>2534</v>
      </c>
      <c r="Q1210">
        <v>0</v>
      </c>
      <c r="R1210">
        <v>29746514442</v>
      </c>
      <c r="S1210">
        <v>59561668.390000001</v>
      </c>
      <c r="T1210">
        <v>29371805939.720001</v>
      </c>
      <c r="U1210">
        <v>29623429033</v>
      </c>
      <c r="V1210">
        <v>0.11998</v>
      </c>
      <c r="W1210">
        <v>2.5326999999999999E-2</v>
      </c>
    </row>
    <row r="1211" spans="1:23" x14ac:dyDescent="0.35">
      <c r="A1211" t="s">
        <v>0</v>
      </c>
      <c r="B1211">
        <v>4250</v>
      </c>
      <c r="C1211">
        <v>54</v>
      </c>
      <c r="D1211">
        <v>11954</v>
      </c>
      <c r="E1211">
        <v>0</v>
      </c>
      <c r="F1211">
        <v>256980971070</v>
      </c>
      <c r="G1211">
        <v>463392075.98000002</v>
      </c>
      <c r="H1211">
        <v>254934507903</v>
      </c>
      <c r="I1211">
        <v>255946827772.17999</v>
      </c>
      <c r="J1211">
        <v>7.1469000000000005E-2</v>
      </c>
      <c r="K1211">
        <v>2.6329000000000002E-2</v>
      </c>
      <c r="M1211" t="s">
        <v>1</v>
      </c>
      <c r="N1211">
        <v>6250</v>
      </c>
      <c r="O1211">
        <v>84</v>
      </c>
      <c r="P1211">
        <v>39</v>
      </c>
      <c r="Q1211">
        <v>0</v>
      </c>
      <c r="R1211">
        <v>441795390</v>
      </c>
      <c r="S1211">
        <v>718269.41</v>
      </c>
      <c r="T1211">
        <v>441077120.58999997</v>
      </c>
      <c r="U1211">
        <v>441077120.58999997</v>
      </c>
      <c r="V1211">
        <v>0</v>
      </c>
      <c r="W1211">
        <v>0</v>
      </c>
    </row>
    <row r="1212" spans="1:23" x14ac:dyDescent="0.35">
      <c r="A1212" t="s">
        <v>1</v>
      </c>
      <c r="B1212">
        <v>4250</v>
      </c>
      <c r="C1212">
        <v>54</v>
      </c>
      <c r="D1212">
        <v>1598</v>
      </c>
      <c r="E1212">
        <v>0</v>
      </c>
      <c r="F1212">
        <v>40344186731</v>
      </c>
      <c r="G1212">
        <v>72856968.170000002</v>
      </c>
      <c r="H1212">
        <v>39577291417</v>
      </c>
      <c r="I1212">
        <v>40073754220.419998</v>
      </c>
      <c r="J1212">
        <v>0.18798100000000001</v>
      </c>
      <c r="K1212">
        <v>5.7209999999999997E-2</v>
      </c>
      <c r="M1212" t="s">
        <v>3</v>
      </c>
      <c r="N1212">
        <v>5750</v>
      </c>
      <c r="O1212">
        <v>84</v>
      </c>
      <c r="P1212">
        <v>22</v>
      </c>
      <c r="Q1212">
        <v>0</v>
      </c>
      <c r="R1212">
        <v>250595477</v>
      </c>
      <c r="S1212">
        <v>438313.91</v>
      </c>
      <c r="T1212">
        <v>250157163.09</v>
      </c>
      <c r="U1212">
        <v>250157163.09</v>
      </c>
      <c r="V1212">
        <v>0</v>
      </c>
      <c r="W1212">
        <v>0</v>
      </c>
    </row>
    <row r="1213" spans="1:23" x14ac:dyDescent="0.35">
      <c r="A1213" t="s">
        <v>3</v>
      </c>
      <c r="B1213">
        <v>5500</v>
      </c>
      <c r="C1213">
        <v>84</v>
      </c>
      <c r="D1213">
        <v>8</v>
      </c>
      <c r="E1213">
        <v>0</v>
      </c>
      <c r="F1213">
        <v>103341591</v>
      </c>
      <c r="G1213">
        <v>184174.6</v>
      </c>
      <c r="H1213">
        <v>103188852</v>
      </c>
      <c r="I1213">
        <v>103188852</v>
      </c>
      <c r="J1213">
        <v>-3.656E-3</v>
      </c>
      <c r="K1213">
        <v>-3.656E-3</v>
      </c>
      <c r="M1213" t="s">
        <v>3</v>
      </c>
      <c r="N1213">
        <v>4750</v>
      </c>
      <c r="O1213">
        <v>84</v>
      </c>
      <c r="P1213">
        <v>184</v>
      </c>
      <c r="Q1213">
        <v>0</v>
      </c>
      <c r="R1213">
        <v>2565336345</v>
      </c>
      <c r="S1213">
        <v>5058263.18</v>
      </c>
      <c r="T1213">
        <v>2542863911.9899998</v>
      </c>
      <c r="U1213">
        <v>2554740678.1599998</v>
      </c>
      <c r="V1213">
        <v>7.8486E-2</v>
      </c>
      <c r="W1213">
        <v>2.5597000000000002E-2</v>
      </c>
    </row>
    <row r="1214" spans="1:23" x14ac:dyDescent="0.35">
      <c r="A1214" t="s">
        <v>2</v>
      </c>
      <c r="B1214">
        <v>2750</v>
      </c>
      <c r="C1214">
        <v>84</v>
      </c>
      <c r="D1214">
        <v>165</v>
      </c>
      <c r="E1214">
        <v>0</v>
      </c>
      <c r="F1214">
        <v>2262936136</v>
      </c>
      <c r="G1214">
        <v>5644640.3300000001</v>
      </c>
      <c r="H1214">
        <v>2257008254</v>
      </c>
      <c r="I1214">
        <v>2257008254</v>
      </c>
      <c r="J1214">
        <v>1.5009999999999999E-3</v>
      </c>
      <c r="K1214">
        <v>1.5009999999999999E-3</v>
      </c>
      <c r="M1214" t="s">
        <v>3</v>
      </c>
      <c r="N1214">
        <v>5000</v>
      </c>
      <c r="O1214">
        <v>84</v>
      </c>
      <c r="P1214">
        <v>32</v>
      </c>
      <c r="Q1214">
        <v>0</v>
      </c>
      <c r="R1214">
        <v>439380059</v>
      </c>
      <c r="S1214">
        <v>841858.16</v>
      </c>
      <c r="T1214">
        <v>438538200.83999997</v>
      </c>
      <c r="U1214">
        <v>438538200.83999997</v>
      </c>
      <c r="V1214">
        <v>0</v>
      </c>
      <c r="W1214">
        <v>0</v>
      </c>
    </row>
    <row r="1215" spans="1:23" x14ac:dyDescent="0.35">
      <c r="A1215" t="s">
        <v>1</v>
      </c>
      <c r="B1215">
        <v>2750</v>
      </c>
      <c r="C1215">
        <v>84</v>
      </c>
      <c r="D1215">
        <v>2566</v>
      </c>
      <c r="E1215">
        <v>0</v>
      </c>
      <c r="F1215">
        <v>65725569420</v>
      </c>
      <c r="G1215">
        <v>163519403.03999999</v>
      </c>
      <c r="H1215">
        <v>65313848719</v>
      </c>
      <c r="I1215">
        <v>65513327657.75</v>
      </c>
      <c r="J1215">
        <v>4.4386000000000002E-2</v>
      </c>
      <c r="K1215">
        <v>8.8590000000000006E-3</v>
      </c>
      <c r="M1215" t="s">
        <v>3</v>
      </c>
      <c r="N1215">
        <v>4500</v>
      </c>
      <c r="O1215">
        <v>84</v>
      </c>
      <c r="P1215">
        <v>132</v>
      </c>
      <c r="Q1215">
        <v>0</v>
      </c>
      <c r="R1215">
        <v>1905394541</v>
      </c>
      <c r="S1215">
        <v>3885275.12</v>
      </c>
      <c r="T1215">
        <v>1901509265.8800001</v>
      </c>
      <c r="U1215">
        <v>1901509265.8800001</v>
      </c>
      <c r="V1215">
        <v>0</v>
      </c>
      <c r="W1215">
        <v>0</v>
      </c>
    </row>
    <row r="1216" spans="1:23" x14ac:dyDescent="0.35">
      <c r="A1216" t="s">
        <v>0</v>
      </c>
      <c r="B1216">
        <v>2750</v>
      </c>
      <c r="C1216">
        <v>84</v>
      </c>
      <c r="D1216">
        <v>700</v>
      </c>
      <c r="E1216">
        <v>0</v>
      </c>
      <c r="F1216">
        <v>13998223336</v>
      </c>
      <c r="G1216">
        <v>34866505.759999998</v>
      </c>
      <c r="H1216">
        <v>13958888072</v>
      </c>
      <c r="I1216">
        <v>13958888072</v>
      </c>
      <c r="J1216">
        <v>3.8240000000000001E-3</v>
      </c>
      <c r="K1216">
        <v>3.8240000000000001E-3</v>
      </c>
      <c r="M1216" t="s">
        <v>3</v>
      </c>
      <c r="N1216">
        <v>4250</v>
      </c>
      <c r="O1216">
        <v>84</v>
      </c>
      <c r="P1216">
        <v>211</v>
      </c>
      <c r="Q1216">
        <v>0</v>
      </c>
      <c r="R1216">
        <v>3412291700</v>
      </c>
      <c r="S1216">
        <v>7172452.3899999997</v>
      </c>
      <c r="T1216">
        <v>3353677843.4099998</v>
      </c>
      <c r="U1216">
        <v>3379267174.8099999</v>
      </c>
      <c r="V1216">
        <v>0.166633</v>
      </c>
      <c r="W1216">
        <v>8.7220000000000006E-2</v>
      </c>
    </row>
    <row r="1217" spans="1:23" x14ac:dyDescent="0.35">
      <c r="A1217" t="s">
        <v>0</v>
      </c>
      <c r="B1217">
        <v>5750</v>
      </c>
      <c r="C1217">
        <v>144</v>
      </c>
      <c r="D1217">
        <v>565</v>
      </c>
      <c r="E1217">
        <v>0</v>
      </c>
      <c r="F1217">
        <v>3585310367</v>
      </c>
      <c r="G1217">
        <v>8719903.2300000004</v>
      </c>
      <c r="H1217">
        <v>3565475352</v>
      </c>
      <c r="I1217">
        <v>3574220908.8800001</v>
      </c>
      <c r="J1217">
        <v>3.6574000000000002E-2</v>
      </c>
      <c r="K1217">
        <v>7.9019999999999993E-3</v>
      </c>
      <c r="M1217" t="s">
        <v>0</v>
      </c>
      <c r="N1217">
        <v>6750</v>
      </c>
      <c r="O1217">
        <v>84</v>
      </c>
      <c r="P1217">
        <v>7</v>
      </c>
      <c r="Q1217">
        <v>0</v>
      </c>
      <c r="R1217">
        <v>64261438</v>
      </c>
      <c r="S1217">
        <v>96846.89</v>
      </c>
      <c r="T1217">
        <v>64164591.109999999</v>
      </c>
      <c r="U1217">
        <v>64164591.109999999</v>
      </c>
      <c r="V1217">
        <v>0</v>
      </c>
      <c r="W1217">
        <v>0</v>
      </c>
    </row>
    <row r="1218" spans="1:23" x14ac:dyDescent="0.35">
      <c r="A1218" t="s">
        <v>3</v>
      </c>
      <c r="B1218">
        <v>3500</v>
      </c>
      <c r="C1218">
        <v>84</v>
      </c>
      <c r="D1218">
        <v>241</v>
      </c>
      <c r="E1218">
        <v>0</v>
      </c>
      <c r="F1218">
        <v>4497333708</v>
      </c>
      <c r="G1218">
        <v>10251797.289999999</v>
      </c>
      <c r="H1218">
        <v>4485137458</v>
      </c>
      <c r="I1218">
        <v>4485137458</v>
      </c>
      <c r="J1218">
        <v>5.176E-3</v>
      </c>
      <c r="K1218">
        <v>5.176E-3</v>
      </c>
      <c r="M1218" t="s">
        <v>3</v>
      </c>
      <c r="N1218">
        <v>4000</v>
      </c>
      <c r="O1218">
        <v>84</v>
      </c>
      <c r="P1218">
        <v>171</v>
      </c>
      <c r="Q1218">
        <v>0</v>
      </c>
      <c r="R1218">
        <v>2828036837</v>
      </c>
      <c r="S1218">
        <v>6093452.5800000001</v>
      </c>
      <c r="T1218">
        <v>2816419411.6500001</v>
      </c>
      <c r="U1218">
        <v>2821943384.4200001</v>
      </c>
      <c r="V1218">
        <v>2.3189000000000001E-2</v>
      </c>
      <c r="W1218">
        <v>0</v>
      </c>
    </row>
    <row r="1219" spans="1:23" x14ac:dyDescent="0.35">
      <c r="A1219" t="s">
        <v>3</v>
      </c>
      <c r="B1219">
        <v>3250</v>
      </c>
      <c r="C1219">
        <v>84</v>
      </c>
      <c r="D1219">
        <v>159</v>
      </c>
      <c r="E1219">
        <v>0</v>
      </c>
      <c r="F1219">
        <v>3278460005</v>
      </c>
      <c r="G1219">
        <v>7663325.25</v>
      </c>
      <c r="H1219">
        <v>3269181375</v>
      </c>
      <c r="I1219">
        <v>3269181375</v>
      </c>
      <c r="J1219">
        <v>5.8960000000000002E-3</v>
      </c>
      <c r="K1219">
        <v>5.8960000000000002E-3</v>
      </c>
      <c r="M1219" t="s">
        <v>3</v>
      </c>
      <c r="N1219">
        <v>3750</v>
      </c>
      <c r="O1219">
        <v>84</v>
      </c>
      <c r="P1219">
        <v>215</v>
      </c>
      <c r="Q1219">
        <v>0</v>
      </c>
      <c r="R1219">
        <v>3905622104</v>
      </c>
      <c r="S1219">
        <v>8651263.9299999997</v>
      </c>
      <c r="T1219">
        <v>3871587116.5500002</v>
      </c>
      <c r="U1219">
        <v>3896970840.0700002</v>
      </c>
      <c r="V1219">
        <v>7.5262999999999997E-2</v>
      </c>
      <c r="W1219">
        <v>0</v>
      </c>
    </row>
    <row r="1220" spans="1:23" x14ac:dyDescent="0.35">
      <c r="A1220" t="s">
        <v>0</v>
      </c>
      <c r="B1220">
        <v>5250</v>
      </c>
      <c r="C1220">
        <v>72</v>
      </c>
      <c r="D1220">
        <v>1698</v>
      </c>
      <c r="E1220">
        <v>0</v>
      </c>
      <c r="F1220">
        <v>25125932476</v>
      </c>
      <c r="G1220">
        <v>43345954.200000003</v>
      </c>
      <c r="H1220">
        <v>24868050215</v>
      </c>
      <c r="I1220">
        <v>25048630902.77</v>
      </c>
      <c r="J1220">
        <v>9.7783999999999996E-2</v>
      </c>
      <c r="K1220">
        <v>1.6097E-2</v>
      </c>
      <c r="M1220" t="s">
        <v>0</v>
      </c>
      <c r="N1220">
        <v>4750</v>
      </c>
      <c r="O1220">
        <v>54</v>
      </c>
      <c r="P1220">
        <v>2595</v>
      </c>
      <c r="Q1220">
        <v>0</v>
      </c>
      <c r="R1220">
        <v>58184356789</v>
      </c>
      <c r="S1220">
        <v>97045148.230000004</v>
      </c>
      <c r="T1220">
        <v>57927110906.019997</v>
      </c>
      <c r="U1220">
        <v>57986030328.949997</v>
      </c>
      <c r="V1220">
        <v>3.2543999999999997E-2</v>
      </c>
      <c r="W1220">
        <v>2.069E-2</v>
      </c>
    </row>
    <row r="1221" spans="1:23" x14ac:dyDescent="0.35">
      <c r="A1221" t="s">
        <v>2</v>
      </c>
      <c r="B1221">
        <v>4750</v>
      </c>
      <c r="C1221">
        <v>72</v>
      </c>
      <c r="D1221">
        <v>515</v>
      </c>
      <c r="E1221">
        <v>0</v>
      </c>
      <c r="F1221">
        <v>5578508079</v>
      </c>
      <c r="G1221">
        <v>10379071.890000001</v>
      </c>
      <c r="H1221">
        <v>5528688157</v>
      </c>
      <c r="I1221">
        <v>5567203419.0699997</v>
      </c>
      <c r="J1221">
        <v>8.1618999999999997E-2</v>
      </c>
      <c r="K1221">
        <v>1.9889999999999999E-3</v>
      </c>
      <c r="M1221" t="s">
        <v>0</v>
      </c>
      <c r="N1221">
        <v>4250</v>
      </c>
      <c r="O1221">
        <v>54</v>
      </c>
      <c r="P1221">
        <v>11446</v>
      </c>
      <c r="Q1221">
        <v>0</v>
      </c>
      <c r="R1221">
        <v>243240155060</v>
      </c>
      <c r="S1221">
        <v>438671121.13999999</v>
      </c>
      <c r="T1221">
        <v>241606207636.59</v>
      </c>
      <c r="U1221">
        <v>242545171609.57001</v>
      </c>
      <c r="V1221">
        <v>5.74E-2</v>
      </c>
      <c r="W1221">
        <v>1.2572E-2</v>
      </c>
    </row>
    <row r="1222" spans="1:23" x14ac:dyDescent="0.35">
      <c r="A1222" t="s">
        <v>1</v>
      </c>
      <c r="B1222">
        <v>3250</v>
      </c>
      <c r="C1222">
        <v>60</v>
      </c>
      <c r="D1222">
        <v>33593</v>
      </c>
      <c r="E1222">
        <v>0</v>
      </c>
      <c r="F1222">
        <v>847293582185</v>
      </c>
      <c r="G1222">
        <v>1833113529.49</v>
      </c>
      <c r="H1222">
        <v>838372446055</v>
      </c>
      <c r="I1222">
        <v>843885977577.18005</v>
      </c>
      <c r="J1222">
        <v>9.5893000000000006E-2</v>
      </c>
      <c r="K1222">
        <v>2.2072999999999999E-2</v>
      </c>
      <c r="M1222" t="s">
        <v>1</v>
      </c>
      <c r="N1222">
        <v>4250</v>
      </c>
      <c r="O1222">
        <v>54</v>
      </c>
      <c r="P1222">
        <v>1373</v>
      </c>
      <c r="Q1222">
        <v>0</v>
      </c>
      <c r="R1222">
        <v>33853790712</v>
      </c>
      <c r="S1222">
        <v>61186037.369999997</v>
      </c>
      <c r="T1222">
        <v>33398533762.220001</v>
      </c>
      <c r="U1222">
        <v>33665861922.830002</v>
      </c>
      <c r="V1222">
        <v>0.13108</v>
      </c>
      <c r="W1222">
        <v>4.4012000000000003E-2</v>
      </c>
    </row>
    <row r="1223" spans="1:23" x14ac:dyDescent="0.35">
      <c r="A1223" t="s">
        <v>0</v>
      </c>
      <c r="B1223">
        <v>3750</v>
      </c>
      <c r="C1223">
        <v>60</v>
      </c>
      <c r="D1223">
        <v>36549</v>
      </c>
      <c r="E1223">
        <v>0</v>
      </c>
      <c r="F1223">
        <v>718519856045</v>
      </c>
      <c r="G1223">
        <v>1443163463.1700001</v>
      </c>
      <c r="H1223">
        <v>713417509618</v>
      </c>
      <c r="I1223">
        <v>716451318031.32996</v>
      </c>
      <c r="J1223">
        <v>5.9429000000000003E-2</v>
      </c>
      <c r="K1223">
        <v>1.0395E-2</v>
      </c>
      <c r="M1223" t="s">
        <v>0</v>
      </c>
      <c r="N1223">
        <v>5250</v>
      </c>
      <c r="O1223">
        <v>72</v>
      </c>
      <c r="P1223">
        <v>2179</v>
      </c>
      <c r="Q1223">
        <v>0</v>
      </c>
      <c r="R1223">
        <v>31984261383</v>
      </c>
      <c r="S1223">
        <v>55270988.759999998</v>
      </c>
      <c r="T1223">
        <v>31745436805.099998</v>
      </c>
      <c r="U1223">
        <v>31860945303.68</v>
      </c>
      <c r="V1223">
        <v>6.6734000000000002E-2</v>
      </c>
      <c r="W1223">
        <v>2.5232999999999998E-2</v>
      </c>
    </row>
    <row r="1224" spans="1:23" x14ac:dyDescent="0.35">
      <c r="A1224" t="s">
        <v>2</v>
      </c>
      <c r="B1224">
        <v>4500</v>
      </c>
      <c r="C1224">
        <v>60</v>
      </c>
      <c r="D1224">
        <v>99</v>
      </c>
      <c r="E1224">
        <v>0</v>
      </c>
      <c r="F1224">
        <v>1189163306</v>
      </c>
      <c r="G1224">
        <v>2252509.77</v>
      </c>
      <c r="H1224">
        <v>1186420518</v>
      </c>
      <c r="I1224">
        <v>1186420518</v>
      </c>
      <c r="J1224">
        <v>4.9360000000000003E-3</v>
      </c>
      <c r="K1224">
        <v>4.9360000000000003E-3</v>
      </c>
      <c r="M1224" t="s">
        <v>3</v>
      </c>
      <c r="N1224">
        <v>5500</v>
      </c>
      <c r="O1224">
        <v>84</v>
      </c>
      <c r="P1224">
        <v>7</v>
      </c>
      <c r="Q1224">
        <v>0</v>
      </c>
      <c r="R1224">
        <v>97844904</v>
      </c>
      <c r="S1224">
        <v>173807.19</v>
      </c>
      <c r="T1224">
        <v>97671096.810000002</v>
      </c>
      <c r="U1224">
        <v>97671096.810000002</v>
      </c>
      <c r="V1224">
        <v>0</v>
      </c>
      <c r="W1224">
        <v>0</v>
      </c>
    </row>
    <row r="1225" spans="1:23" x14ac:dyDescent="0.35">
      <c r="A1225" t="s">
        <v>2</v>
      </c>
      <c r="B1225">
        <v>4250</v>
      </c>
      <c r="C1225">
        <v>60</v>
      </c>
      <c r="D1225">
        <v>406</v>
      </c>
      <c r="E1225">
        <v>0</v>
      </c>
      <c r="F1225">
        <v>4906601037</v>
      </c>
      <c r="G1225">
        <v>9340449.0700000003</v>
      </c>
      <c r="H1225">
        <v>4855191686</v>
      </c>
      <c r="I1225">
        <v>4896306076.46</v>
      </c>
      <c r="J1225">
        <v>9.8170999999999994E-2</v>
      </c>
      <c r="K1225">
        <v>2.3319999999999999E-3</v>
      </c>
      <c r="M1225" t="s">
        <v>2</v>
      </c>
      <c r="N1225">
        <v>2750</v>
      </c>
      <c r="O1225">
        <v>84</v>
      </c>
      <c r="P1225">
        <v>138</v>
      </c>
      <c r="Q1225">
        <v>0</v>
      </c>
      <c r="R1225">
        <v>1941533888</v>
      </c>
      <c r="S1225">
        <v>4828422.5999999996</v>
      </c>
      <c r="T1225">
        <v>1936705465.4000001</v>
      </c>
      <c r="U1225">
        <v>1936705465.4000001</v>
      </c>
      <c r="V1225">
        <v>0</v>
      </c>
      <c r="W1225">
        <v>0</v>
      </c>
    </row>
    <row r="1226" spans="1:23" x14ac:dyDescent="0.35">
      <c r="A1226" t="s">
        <v>0</v>
      </c>
      <c r="B1226">
        <v>4250</v>
      </c>
      <c r="C1226">
        <v>60</v>
      </c>
      <c r="D1226">
        <v>6996</v>
      </c>
      <c r="E1226">
        <v>0</v>
      </c>
      <c r="F1226">
        <v>135327868912</v>
      </c>
      <c r="G1226">
        <v>251439417.28</v>
      </c>
      <c r="H1226">
        <v>134226460773</v>
      </c>
      <c r="I1226">
        <v>134827580587.14999</v>
      </c>
      <c r="J1226">
        <v>7.2819999999999996E-2</v>
      </c>
      <c r="K1226">
        <v>2.1845E-2</v>
      </c>
      <c r="M1226" t="s">
        <v>1</v>
      </c>
      <c r="N1226">
        <v>2750</v>
      </c>
      <c r="O1226">
        <v>84</v>
      </c>
      <c r="P1226">
        <v>1956</v>
      </c>
      <c r="Q1226">
        <v>0</v>
      </c>
      <c r="R1226">
        <v>50294099456</v>
      </c>
      <c r="S1226">
        <v>124857302.2</v>
      </c>
      <c r="T1226">
        <v>49830557001.769997</v>
      </c>
      <c r="U1226">
        <v>50169242153.800003</v>
      </c>
      <c r="V1226">
        <v>7.7882000000000007E-2</v>
      </c>
      <c r="W1226">
        <v>0</v>
      </c>
    </row>
    <row r="1227" spans="1:23" x14ac:dyDescent="0.35">
      <c r="A1227" t="s">
        <v>2</v>
      </c>
      <c r="B1227">
        <v>3750</v>
      </c>
      <c r="C1227">
        <v>60</v>
      </c>
      <c r="D1227">
        <v>2932</v>
      </c>
      <c r="E1227">
        <v>0</v>
      </c>
      <c r="F1227">
        <v>40899838699</v>
      </c>
      <c r="G1227">
        <v>82949485.25</v>
      </c>
      <c r="H1227">
        <v>40644253503</v>
      </c>
      <c r="I1227">
        <v>40800409524.57</v>
      </c>
      <c r="J1227">
        <v>4.9492000000000001E-2</v>
      </c>
      <c r="K1227">
        <v>4.8240000000000002E-3</v>
      </c>
      <c r="M1227" t="s">
        <v>0</v>
      </c>
      <c r="N1227">
        <v>2750</v>
      </c>
      <c r="O1227">
        <v>84</v>
      </c>
      <c r="P1227">
        <v>566</v>
      </c>
      <c r="Q1227">
        <v>0</v>
      </c>
      <c r="R1227">
        <v>11184954223</v>
      </c>
      <c r="S1227">
        <v>27794485.59</v>
      </c>
      <c r="T1227">
        <v>11127667051.450001</v>
      </c>
      <c r="U1227">
        <v>11157159737.41</v>
      </c>
      <c r="V1227">
        <v>3.1186999999999999E-2</v>
      </c>
      <c r="W1227">
        <v>0</v>
      </c>
    </row>
    <row r="1228" spans="1:23" x14ac:dyDescent="0.35">
      <c r="A1228" t="s">
        <v>1</v>
      </c>
      <c r="B1228">
        <v>3750</v>
      </c>
      <c r="C1228">
        <v>60</v>
      </c>
      <c r="D1228">
        <v>6719</v>
      </c>
      <c r="E1228">
        <v>0</v>
      </c>
      <c r="F1228">
        <v>157380989135</v>
      </c>
      <c r="G1228">
        <v>316674365.19</v>
      </c>
      <c r="H1228">
        <v>155311991341</v>
      </c>
      <c r="I1228">
        <v>156642529388.95999</v>
      </c>
      <c r="J1228">
        <v>0.125725</v>
      </c>
      <c r="K1228">
        <v>3.1690000000000003E-2</v>
      </c>
      <c r="M1228" t="s">
        <v>2</v>
      </c>
      <c r="N1228">
        <v>4750</v>
      </c>
      <c r="O1228">
        <v>72</v>
      </c>
      <c r="P1228">
        <v>575</v>
      </c>
      <c r="Q1228">
        <v>0</v>
      </c>
      <c r="R1228">
        <v>6154131892</v>
      </c>
      <c r="S1228">
        <v>11405695.49</v>
      </c>
      <c r="T1228">
        <v>6110874183.8100004</v>
      </c>
      <c r="U1228">
        <v>6126719742.2200003</v>
      </c>
      <c r="V1228">
        <v>6.0371000000000001E-2</v>
      </c>
      <c r="W1228">
        <v>3.0769000000000001E-2</v>
      </c>
    </row>
    <row r="1229" spans="1:23" x14ac:dyDescent="0.35">
      <c r="A1229" t="s">
        <v>1</v>
      </c>
      <c r="B1229">
        <v>3750</v>
      </c>
      <c r="C1229">
        <v>54</v>
      </c>
      <c r="D1229">
        <v>12159</v>
      </c>
      <c r="E1229">
        <v>0</v>
      </c>
      <c r="F1229">
        <v>306917824599</v>
      </c>
      <c r="G1229">
        <v>600451935.23000002</v>
      </c>
      <c r="H1229">
        <v>302754559622</v>
      </c>
      <c r="I1229">
        <v>305215690623.56</v>
      </c>
      <c r="J1229">
        <v>0.130742</v>
      </c>
      <c r="K1229">
        <v>4.2234000000000001E-2</v>
      </c>
      <c r="M1229" t="s">
        <v>0</v>
      </c>
      <c r="N1229">
        <v>5750</v>
      </c>
      <c r="O1229">
        <v>144</v>
      </c>
      <c r="P1229">
        <v>589</v>
      </c>
      <c r="Q1229">
        <v>0</v>
      </c>
      <c r="R1229">
        <v>3746419435</v>
      </c>
      <c r="S1229">
        <v>9083864.2400000002</v>
      </c>
      <c r="T1229">
        <v>3716492185.8099999</v>
      </c>
      <c r="U1229">
        <v>3737335570.7600002</v>
      </c>
      <c r="V1229">
        <v>6.4756999999999995E-2</v>
      </c>
      <c r="W1229">
        <v>0</v>
      </c>
    </row>
    <row r="1230" spans="1:23" x14ac:dyDescent="0.35">
      <c r="A1230" t="s">
        <v>2</v>
      </c>
      <c r="B1230">
        <v>3750</v>
      </c>
      <c r="C1230">
        <v>54</v>
      </c>
      <c r="D1230">
        <v>4198</v>
      </c>
      <c r="E1230">
        <v>0</v>
      </c>
      <c r="F1230">
        <v>61420708118</v>
      </c>
      <c r="G1230">
        <v>120957743.22</v>
      </c>
      <c r="H1230">
        <v>60858523507</v>
      </c>
      <c r="I1230">
        <v>61225465129.660004</v>
      </c>
      <c r="J1230">
        <v>8.2877999999999993E-2</v>
      </c>
      <c r="K1230">
        <v>1.4416999999999999E-2</v>
      </c>
      <c r="M1230" t="s">
        <v>3</v>
      </c>
      <c r="N1230">
        <v>3500</v>
      </c>
      <c r="O1230">
        <v>84</v>
      </c>
      <c r="P1230">
        <v>208</v>
      </c>
      <c r="Q1230">
        <v>0</v>
      </c>
      <c r="R1230">
        <v>3836915441</v>
      </c>
      <c r="S1230">
        <v>8724107.5299999993</v>
      </c>
      <c r="T1230">
        <v>3796843953.6500001</v>
      </c>
      <c r="U1230">
        <v>3828191333.4699998</v>
      </c>
      <c r="V1230">
        <v>9.3752000000000002E-2</v>
      </c>
      <c r="W1230">
        <v>0</v>
      </c>
    </row>
    <row r="1231" spans="1:23" x14ac:dyDescent="0.35">
      <c r="A1231" t="s">
        <v>1</v>
      </c>
      <c r="B1231">
        <v>7750</v>
      </c>
      <c r="C1231">
        <v>24</v>
      </c>
      <c r="D1231">
        <v>783</v>
      </c>
      <c r="E1231">
        <v>0</v>
      </c>
      <c r="F1231">
        <v>18406201061</v>
      </c>
      <c r="G1231">
        <v>15613979.880000001</v>
      </c>
      <c r="H1231">
        <v>17238693489</v>
      </c>
      <c r="I1231">
        <v>17821889054.25</v>
      </c>
      <c r="J1231">
        <v>0.53953099999999998</v>
      </c>
      <c r="K1231">
        <v>0.31381900000000001</v>
      </c>
      <c r="M1231" t="s">
        <v>3</v>
      </c>
      <c r="N1231">
        <v>3250</v>
      </c>
      <c r="O1231">
        <v>84</v>
      </c>
      <c r="P1231">
        <v>131</v>
      </c>
      <c r="Q1231">
        <v>0</v>
      </c>
      <c r="R1231">
        <v>2751179889</v>
      </c>
      <c r="S1231">
        <v>6414044.21</v>
      </c>
      <c r="T1231">
        <v>2744765844.79</v>
      </c>
      <c r="U1231">
        <v>2744765844.79</v>
      </c>
      <c r="V1231">
        <v>0</v>
      </c>
      <c r="W1231">
        <v>0</v>
      </c>
    </row>
    <row r="1232" spans="1:23" x14ac:dyDescent="0.35">
      <c r="A1232" t="s">
        <v>2</v>
      </c>
      <c r="B1232">
        <v>7750</v>
      </c>
      <c r="C1232">
        <v>24</v>
      </c>
      <c r="D1232">
        <v>266</v>
      </c>
      <c r="E1232">
        <v>0</v>
      </c>
      <c r="F1232">
        <v>3837072399</v>
      </c>
      <c r="G1232">
        <v>3230326.87</v>
      </c>
      <c r="H1232">
        <v>3772692244</v>
      </c>
      <c r="I1232">
        <v>3788948059.9499998</v>
      </c>
      <c r="J1232">
        <v>0.17533599999999999</v>
      </c>
      <c r="K1232">
        <v>0.13170899999999999</v>
      </c>
      <c r="M1232" t="s">
        <v>0</v>
      </c>
      <c r="N1232">
        <v>3750</v>
      </c>
      <c r="O1232">
        <v>60</v>
      </c>
      <c r="P1232">
        <v>29967</v>
      </c>
      <c r="Q1232">
        <v>0</v>
      </c>
      <c r="R1232">
        <v>580759817868</v>
      </c>
      <c r="S1232">
        <v>1164683901.0699999</v>
      </c>
      <c r="T1232">
        <v>576724106498.06006</v>
      </c>
      <c r="U1232">
        <v>579261210835.71997</v>
      </c>
      <c r="V1232">
        <v>5.7736000000000003E-2</v>
      </c>
      <c r="W1232">
        <v>6.8780000000000004E-3</v>
      </c>
    </row>
    <row r="1233" spans="1:23" x14ac:dyDescent="0.35">
      <c r="A1233" t="s">
        <v>0</v>
      </c>
      <c r="B1233">
        <v>5750</v>
      </c>
      <c r="C1233">
        <v>72</v>
      </c>
      <c r="D1233">
        <v>176</v>
      </c>
      <c r="E1233">
        <v>0</v>
      </c>
      <c r="F1233">
        <v>2279413286</v>
      </c>
      <c r="G1233">
        <v>3653485.11</v>
      </c>
      <c r="H1233">
        <v>2202554452</v>
      </c>
      <c r="I1233">
        <v>2256004384.5100002</v>
      </c>
      <c r="J1233">
        <v>0.32410299999999997</v>
      </c>
      <c r="K1233">
        <v>9.9185999999999996E-2</v>
      </c>
      <c r="M1233" t="s">
        <v>1</v>
      </c>
      <c r="N1233">
        <v>3750</v>
      </c>
      <c r="O1233">
        <v>60</v>
      </c>
      <c r="P1233">
        <v>4981</v>
      </c>
      <c r="Q1233">
        <v>0</v>
      </c>
      <c r="R1233">
        <v>113997906065</v>
      </c>
      <c r="S1233">
        <v>228812979.16</v>
      </c>
      <c r="T1233">
        <v>112567149938.28</v>
      </c>
      <c r="U1233">
        <v>113531332179.11</v>
      </c>
      <c r="V1233">
        <v>0.119438</v>
      </c>
      <c r="W1233">
        <v>2.4743000000000001E-2</v>
      </c>
    </row>
    <row r="1234" spans="1:23" x14ac:dyDescent="0.35">
      <c r="A1234" t="s">
        <v>3</v>
      </c>
      <c r="B1234">
        <v>3750</v>
      </c>
      <c r="C1234">
        <v>72</v>
      </c>
      <c r="D1234">
        <v>140</v>
      </c>
      <c r="E1234">
        <v>0</v>
      </c>
      <c r="F1234">
        <v>2409029750</v>
      </c>
      <c r="G1234">
        <v>5186695.67</v>
      </c>
      <c r="H1234">
        <v>2388601978</v>
      </c>
      <c r="I1234">
        <v>2402862693.9299998</v>
      </c>
      <c r="J1234">
        <v>7.3332999999999995E-2</v>
      </c>
      <c r="K1234">
        <v>4.8729999999999997E-3</v>
      </c>
      <c r="M1234" t="s">
        <v>1</v>
      </c>
      <c r="N1234">
        <v>3250</v>
      </c>
      <c r="O1234">
        <v>60</v>
      </c>
      <c r="P1234">
        <v>29990</v>
      </c>
      <c r="Q1234">
        <v>0</v>
      </c>
      <c r="R1234">
        <v>738672357125</v>
      </c>
      <c r="S1234">
        <v>1597366912.9200001</v>
      </c>
      <c r="T1234">
        <v>730849789095.94995</v>
      </c>
      <c r="U1234">
        <v>735989114932.04004</v>
      </c>
      <c r="V1234">
        <v>9.6572000000000005E-2</v>
      </c>
      <c r="W1234">
        <v>1.7499000000000001E-2</v>
      </c>
    </row>
    <row r="1235" spans="1:23" x14ac:dyDescent="0.35">
      <c r="A1235" t="s">
        <v>3</v>
      </c>
      <c r="B1235">
        <v>3500</v>
      </c>
      <c r="C1235">
        <v>72</v>
      </c>
      <c r="D1235">
        <v>205</v>
      </c>
      <c r="E1235">
        <v>0</v>
      </c>
      <c r="F1235">
        <v>3632562596</v>
      </c>
      <c r="G1235">
        <v>8035387.5</v>
      </c>
      <c r="H1235">
        <v>3598576359</v>
      </c>
      <c r="I1235">
        <v>3623316952.9499998</v>
      </c>
      <c r="J1235">
        <v>8.2437999999999997E-2</v>
      </c>
      <c r="K1235">
        <v>3.9909999999999998E-3</v>
      </c>
      <c r="M1235" t="s">
        <v>0</v>
      </c>
      <c r="N1235">
        <v>4250</v>
      </c>
      <c r="O1235">
        <v>60</v>
      </c>
      <c r="P1235">
        <v>5724</v>
      </c>
      <c r="Q1235">
        <v>0</v>
      </c>
      <c r="R1235">
        <v>108427441512</v>
      </c>
      <c r="S1235">
        <v>201322111.34</v>
      </c>
      <c r="T1235">
        <v>107628787316.31</v>
      </c>
      <c r="U1235">
        <v>108000512790.36</v>
      </c>
      <c r="V1235">
        <v>6.4142000000000005E-2</v>
      </c>
      <c r="W1235">
        <v>2.4684999999999999E-2</v>
      </c>
    </row>
    <row r="1236" spans="1:23" x14ac:dyDescent="0.35">
      <c r="A1236" t="s">
        <v>2</v>
      </c>
      <c r="B1236">
        <v>5250</v>
      </c>
      <c r="C1236">
        <v>72</v>
      </c>
      <c r="D1236">
        <v>128</v>
      </c>
      <c r="E1236">
        <v>0</v>
      </c>
      <c r="F1236">
        <v>1311367356</v>
      </c>
      <c r="G1236">
        <v>2257463.1</v>
      </c>
      <c r="H1236">
        <v>1308597562</v>
      </c>
      <c r="I1236">
        <v>1308597562</v>
      </c>
      <c r="J1236">
        <v>4.6779999999999999E-3</v>
      </c>
      <c r="K1236">
        <v>4.6779999999999999E-3</v>
      </c>
      <c r="M1236" t="s">
        <v>0</v>
      </c>
      <c r="N1236">
        <v>6000</v>
      </c>
      <c r="O1236">
        <v>72</v>
      </c>
      <c r="P1236">
        <v>49</v>
      </c>
      <c r="Q1236">
        <v>0</v>
      </c>
      <c r="R1236">
        <v>645894694</v>
      </c>
      <c r="S1236">
        <v>1002664.67</v>
      </c>
      <c r="T1236">
        <v>644892029.33000004</v>
      </c>
      <c r="U1236">
        <v>644892029.33000004</v>
      </c>
      <c r="V1236">
        <v>0</v>
      </c>
      <c r="W1236">
        <v>0</v>
      </c>
    </row>
    <row r="1237" spans="1:23" x14ac:dyDescent="0.35">
      <c r="A1237" t="s">
        <v>1</v>
      </c>
      <c r="B1237">
        <v>5250</v>
      </c>
      <c r="C1237">
        <v>72</v>
      </c>
      <c r="D1237">
        <v>166</v>
      </c>
      <c r="E1237">
        <v>0</v>
      </c>
      <c r="F1237">
        <v>2459257468</v>
      </c>
      <c r="G1237">
        <v>4239050.22</v>
      </c>
      <c r="H1237">
        <v>2377773089</v>
      </c>
      <c r="I1237">
        <v>2412417990.9400001</v>
      </c>
      <c r="J1237">
        <v>0.318164</v>
      </c>
      <c r="K1237">
        <v>0.189165</v>
      </c>
      <c r="M1237" t="s">
        <v>2</v>
      </c>
      <c r="N1237">
        <v>4500</v>
      </c>
      <c r="O1237">
        <v>60</v>
      </c>
      <c r="P1237">
        <v>116</v>
      </c>
      <c r="Q1237">
        <v>0</v>
      </c>
      <c r="R1237">
        <v>1382511740</v>
      </c>
      <c r="S1237">
        <v>2620502.84</v>
      </c>
      <c r="T1237">
        <v>1345927482.55</v>
      </c>
      <c r="U1237">
        <v>1364791630.4400001</v>
      </c>
      <c r="V1237">
        <v>0.25805600000000001</v>
      </c>
      <c r="W1237">
        <v>0.123469</v>
      </c>
    </row>
    <row r="1238" spans="1:23" x14ac:dyDescent="0.35">
      <c r="A1238" t="s">
        <v>3</v>
      </c>
      <c r="B1238">
        <v>3250</v>
      </c>
      <c r="C1238">
        <v>72</v>
      </c>
      <c r="D1238">
        <v>416</v>
      </c>
      <c r="E1238">
        <v>0</v>
      </c>
      <c r="F1238">
        <v>8052499549</v>
      </c>
      <c r="G1238">
        <v>18288116.440000001</v>
      </c>
      <c r="H1238">
        <v>8006518923</v>
      </c>
      <c r="I1238">
        <v>8032368592.6000004</v>
      </c>
      <c r="J1238">
        <v>4.0495999999999997E-2</v>
      </c>
      <c r="K1238">
        <v>2.7430000000000002E-3</v>
      </c>
      <c r="M1238" t="s">
        <v>2</v>
      </c>
      <c r="N1238">
        <v>4250</v>
      </c>
      <c r="O1238">
        <v>60</v>
      </c>
      <c r="P1238">
        <v>401</v>
      </c>
      <c r="Q1238">
        <v>0</v>
      </c>
      <c r="R1238">
        <v>4785520070</v>
      </c>
      <c r="S1238">
        <v>9121665.0399999991</v>
      </c>
      <c r="T1238">
        <v>4756706646.6199999</v>
      </c>
      <c r="U1238">
        <v>4763328869.2600002</v>
      </c>
      <c r="V1238">
        <v>4.8275999999999999E-2</v>
      </c>
      <c r="W1238">
        <v>3.2285000000000001E-2</v>
      </c>
    </row>
    <row r="1239" spans="1:23" x14ac:dyDescent="0.35">
      <c r="A1239" t="s">
        <v>3</v>
      </c>
      <c r="B1239">
        <v>2750</v>
      </c>
      <c r="C1239">
        <v>72</v>
      </c>
      <c r="D1239">
        <v>1278</v>
      </c>
      <c r="E1239">
        <v>0</v>
      </c>
      <c r="F1239">
        <v>28158108370</v>
      </c>
      <c r="G1239">
        <v>67023553.009999998</v>
      </c>
      <c r="H1239">
        <v>28021490176</v>
      </c>
      <c r="I1239">
        <v>28077687247.790001</v>
      </c>
      <c r="J1239">
        <v>2.9259E-2</v>
      </c>
      <c r="K1239">
        <v>5.6950000000000004E-3</v>
      </c>
      <c r="M1239" t="s">
        <v>2</v>
      </c>
      <c r="N1239">
        <v>3750</v>
      </c>
      <c r="O1239">
        <v>60</v>
      </c>
      <c r="P1239">
        <v>2398</v>
      </c>
      <c r="Q1239">
        <v>0</v>
      </c>
      <c r="R1239">
        <v>33306454021</v>
      </c>
      <c r="S1239">
        <v>67411946.329999998</v>
      </c>
      <c r="T1239">
        <v>33053533481.150002</v>
      </c>
      <c r="U1239">
        <v>33196447760.529999</v>
      </c>
      <c r="V1239">
        <v>6.4826999999999996E-2</v>
      </c>
      <c r="W1239">
        <v>1.5239000000000001E-2</v>
      </c>
    </row>
    <row r="1240" spans="1:23" x14ac:dyDescent="0.35">
      <c r="A1240" t="s">
        <v>0</v>
      </c>
      <c r="B1240">
        <v>6000</v>
      </c>
      <c r="C1240">
        <v>72</v>
      </c>
      <c r="D1240">
        <v>40</v>
      </c>
      <c r="E1240">
        <v>0</v>
      </c>
      <c r="F1240">
        <v>567931156</v>
      </c>
      <c r="G1240">
        <v>883197.13</v>
      </c>
      <c r="H1240">
        <v>567002331</v>
      </c>
      <c r="I1240">
        <v>567002331</v>
      </c>
      <c r="J1240">
        <v>9.6400000000000001E-4</v>
      </c>
      <c r="K1240">
        <v>9.6400000000000001E-4</v>
      </c>
      <c r="M1240" t="s">
        <v>2</v>
      </c>
      <c r="N1240">
        <v>3750</v>
      </c>
      <c r="O1240">
        <v>54</v>
      </c>
      <c r="P1240">
        <v>4066</v>
      </c>
      <c r="Q1240">
        <v>0</v>
      </c>
      <c r="R1240">
        <v>58741378714</v>
      </c>
      <c r="S1240">
        <v>115958834.63</v>
      </c>
      <c r="T1240">
        <v>58172005234.800003</v>
      </c>
      <c r="U1240">
        <v>58418433596.970001</v>
      </c>
      <c r="V1240">
        <v>8.8792999999999997E-2</v>
      </c>
      <c r="W1240">
        <v>4.1473999999999997E-2</v>
      </c>
    </row>
    <row r="1241" spans="1:23" x14ac:dyDescent="0.35">
      <c r="A1241" t="s">
        <v>3</v>
      </c>
      <c r="B1241">
        <v>4750</v>
      </c>
      <c r="C1241">
        <v>72</v>
      </c>
      <c r="D1241">
        <v>9</v>
      </c>
      <c r="E1241">
        <v>0</v>
      </c>
      <c r="F1241">
        <v>108791375</v>
      </c>
      <c r="G1241">
        <v>203628.85</v>
      </c>
      <c r="H1241">
        <v>108607987</v>
      </c>
      <c r="I1241">
        <v>108607987</v>
      </c>
      <c r="J1241">
        <v>-2.235E-3</v>
      </c>
      <c r="K1241">
        <v>-2.235E-3</v>
      </c>
      <c r="M1241" t="s">
        <v>1</v>
      </c>
      <c r="N1241">
        <v>3750</v>
      </c>
      <c r="O1241">
        <v>54</v>
      </c>
      <c r="P1241">
        <v>11737</v>
      </c>
      <c r="Q1241">
        <v>0</v>
      </c>
      <c r="R1241">
        <v>293983156277</v>
      </c>
      <c r="S1241">
        <v>576188476.57000005</v>
      </c>
      <c r="T1241">
        <v>290178703145.46997</v>
      </c>
      <c r="U1241">
        <v>292299557688.35999</v>
      </c>
      <c r="V1241">
        <v>0.124099</v>
      </c>
      <c r="W1241">
        <v>4.4277999999999998E-2</v>
      </c>
    </row>
    <row r="1242" spans="1:23" x14ac:dyDescent="0.35">
      <c r="A1242" t="s">
        <v>3</v>
      </c>
      <c r="B1242">
        <v>4250</v>
      </c>
      <c r="C1242">
        <v>72</v>
      </c>
      <c r="D1242">
        <v>28</v>
      </c>
      <c r="E1242">
        <v>0</v>
      </c>
      <c r="F1242">
        <v>414613823</v>
      </c>
      <c r="G1242">
        <v>822531.13</v>
      </c>
      <c r="H1242">
        <v>413648994</v>
      </c>
      <c r="I1242">
        <v>413648994</v>
      </c>
      <c r="J1242">
        <v>4.1110000000000001E-3</v>
      </c>
      <c r="K1242">
        <v>4.1110000000000001E-3</v>
      </c>
      <c r="M1242" t="s">
        <v>1</v>
      </c>
      <c r="N1242">
        <v>7500</v>
      </c>
      <c r="O1242">
        <v>20</v>
      </c>
      <c r="P1242">
        <v>338</v>
      </c>
      <c r="Q1242">
        <v>0</v>
      </c>
      <c r="R1242">
        <v>8949534621</v>
      </c>
      <c r="S1242">
        <v>7875585.0700000003</v>
      </c>
      <c r="T1242">
        <v>8456808056</v>
      </c>
      <c r="U1242">
        <v>8667257428.4500008</v>
      </c>
      <c r="V1242">
        <v>0.48746499999999998</v>
      </c>
      <c r="W1242">
        <v>0.31180999999999998</v>
      </c>
    </row>
    <row r="1243" spans="1:23" x14ac:dyDescent="0.35">
      <c r="A1243" t="s">
        <v>3</v>
      </c>
      <c r="B1243">
        <v>4000</v>
      </c>
      <c r="C1243">
        <v>72</v>
      </c>
      <c r="D1243">
        <v>49</v>
      </c>
      <c r="E1243">
        <v>0</v>
      </c>
      <c r="F1243">
        <v>850311664</v>
      </c>
      <c r="G1243">
        <v>1757576.95</v>
      </c>
      <c r="H1243">
        <v>848257203</v>
      </c>
      <c r="I1243">
        <v>848257203</v>
      </c>
      <c r="J1243">
        <v>4.182E-3</v>
      </c>
      <c r="K1243">
        <v>4.182E-3</v>
      </c>
      <c r="M1243" t="s">
        <v>1</v>
      </c>
      <c r="N1243">
        <v>7750</v>
      </c>
      <c r="O1243">
        <v>20</v>
      </c>
      <c r="P1243">
        <v>323</v>
      </c>
      <c r="Q1243">
        <v>0</v>
      </c>
      <c r="R1243">
        <v>7880231294</v>
      </c>
      <c r="S1243">
        <v>6587651.2599999998</v>
      </c>
      <c r="T1243">
        <v>7356752989.3999996</v>
      </c>
      <c r="U1243">
        <v>7772216090.4499998</v>
      </c>
      <c r="V1243">
        <v>0.55697200000000002</v>
      </c>
      <c r="W1243">
        <v>0.14397499999999999</v>
      </c>
    </row>
    <row r="1244" spans="1:23" x14ac:dyDescent="0.35">
      <c r="A1244" t="s">
        <v>3</v>
      </c>
      <c r="B1244">
        <v>4500</v>
      </c>
      <c r="C1244">
        <v>72</v>
      </c>
      <c r="D1244">
        <v>11</v>
      </c>
      <c r="E1244">
        <v>0</v>
      </c>
      <c r="F1244">
        <v>226960676</v>
      </c>
      <c r="G1244">
        <v>435211.64</v>
      </c>
      <c r="H1244">
        <v>226516310</v>
      </c>
      <c r="I1244">
        <v>226516310</v>
      </c>
      <c r="J1244">
        <v>4.84E-4</v>
      </c>
      <c r="K1244">
        <v>4.84E-4</v>
      </c>
      <c r="M1244" t="s">
        <v>2</v>
      </c>
      <c r="N1244">
        <v>7750</v>
      </c>
      <c r="O1244">
        <v>20</v>
      </c>
      <c r="P1244">
        <v>122</v>
      </c>
      <c r="Q1244">
        <v>0</v>
      </c>
      <c r="R1244">
        <v>1848065627</v>
      </c>
      <c r="S1244">
        <v>1518587.74</v>
      </c>
      <c r="T1244">
        <v>1833628231.0699999</v>
      </c>
      <c r="U1244">
        <v>1846547039.26</v>
      </c>
      <c r="V1244">
        <v>8.0734E-2</v>
      </c>
      <c r="W1244">
        <v>0</v>
      </c>
    </row>
    <row r="1245" spans="1:23" x14ac:dyDescent="0.35">
      <c r="A1245" t="s">
        <v>2</v>
      </c>
      <c r="B1245">
        <v>5750</v>
      </c>
      <c r="C1245">
        <v>72</v>
      </c>
      <c r="D1245">
        <v>16</v>
      </c>
      <c r="E1245">
        <v>0</v>
      </c>
      <c r="F1245">
        <v>135943988</v>
      </c>
      <c r="G1245">
        <v>219415.67999999999</v>
      </c>
      <c r="H1245">
        <v>135658000</v>
      </c>
      <c r="I1245">
        <v>135658000</v>
      </c>
      <c r="J1245">
        <v>5.8609999999999999E-3</v>
      </c>
      <c r="K1245">
        <v>5.8609999999999999E-3</v>
      </c>
      <c r="M1245" t="s">
        <v>0</v>
      </c>
      <c r="N1245">
        <v>5750</v>
      </c>
      <c r="O1245">
        <v>72</v>
      </c>
      <c r="P1245">
        <v>243</v>
      </c>
      <c r="Q1245">
        <v>0</v>
      </c>
      <c r="R1245">
        <v>3084403725</v>
      </c>
      <c r="S1245">
        <v>4948268.71</v>
      </c>
      <c r="T1245">
        <v>3054686689.4099998</v>
      </c>
      <c r="U1245">
        <v>3079455456.29</v>
      </c>
      <c r="V1245">
        <v>9.2219999999999996E-2</v>
      </c>
      <c r="W1245">
        <v>0</v>
      </c>
    </row>
    <row r="1246" spans="1:23" x14ac:dyDescent="0.35">
      <c r="A1246" t="s">
        <v>1</v>
      </c>
      <c r="B1246">
        <v>5750</v>
      </c>
      <c r="C1246">
        <v>72</v>
      </c>
      <c r="D1246">
        <v>17</v>
      </c>
      <c r="E1246">
        <v>0</v>
      </c>
      <c r="F1246">
        <v>239993865</v>
      </c>
      <c r="G1246">
        <v>384706.55</v>
      </c>
      <c r="H1246">
        <v>239728813</v>
      </c>
      <c r="I1246">
        <v>239728813</v>
      </c>
      <c r="J1246">
        <v>-5.999E-3</v>
      </c>
      <c r="K1246">
        <v>-5.999E-3</v>
      </c>
      <c r="M1246" t="s">
        <v>3</v>
      </c>
      <c r="N1246">
        <v>3750</v>
      </c>
      <c r="O1246">
        <v>72</v>
      </c>
      <c r="P1246">
        <v>179</v>
      </c>
      <c r="Q1246">
        <v>0</v>
      </c>
      <c r="R1246">
        <v>3119588302</v>
      </c>
      <c r="S1246">
        <v>6708188.29</v>
      </c>
      <c r="T1246">
        <v>3100976915.1900001</v>
      </c>
      <c r="U1246">
        <v>3112880113.71</v>
      </c>
      <c r="V1246">
        <v>4.4838999999999997E-2</v>
      </c>
      <c r="W1246">
        <v>0</v>
      </c>
    </row>
    <row r="1247" spans="1:23" x14ac:dyDescent="0.35">
      <c r="A1247" t="s">
        <v>3</v>
      </c>
      <c r="B1247">
        <v>5000</v>
      </c>
      <c r="C1247">
        <v>72</v>
      </c>
      <c r="D1247">
        <v>2</v>
      </c>
      <c r="E1247">
        <v>0</v>
      </c>
      <c r="F1247">
        <v>22549150</v>
      </c>
      <c r="G1247">
        <v>39368.75</v>
      </c>
      <c r="H1247">
        <v>21978877</v>
      </c>
      <c r="I1247">
        <v>21978877</v>
      </c>
      <c r="J1247">
        <v>0.24867</v>
      </c>
      <c r="K1247">
        <v>0.24867</v>
      </c>
      <c r="M1247" t="s">
        <v>3</v>
      </c>
      <c r="N1247">
        <v>3250</v>
      </c>
      <c r="O1247">
        <v>72</v>
      </c>
      <c r="P1247">
        <v>430</v>
      </c>
      <c r="Q1247">
        <v>0</v>
      </c>
      <c r="R1247">
        <v>8400007539</v>
      </c>
      <c r="S1247">
        <v>19015653.850000001</v>
      </c>
      <c r="T1247">
        <v>8380991885.1499996</v>
      </c>
      <c r="U1247">
        <v>8380991885.1499996</v>
      </c>
      <c r="V1247">
        <v>0</v>
      </c>
      <c r="W1247">
        <v>0</v>
      </c>
    </row>
    <row r="1248" spans="1:23" x14ac:dyDescent="0.35">
      <c r="A1248" t="s">
        <v>2</v>
      </c>
      <c r="B1248">
        <v>5500</v>
      </c>
      <c r="C1248">
        <v>72</v>
      </c>
      <c r="D1248">
        <v>9</v>
      </c>
      <c r="E1248">
        <v>0</v>
      </c>
      <c r="F1248">
        <v>75678139</v>
      </c>
      <c r="G1248">
        <v>131072.01999999999</v>
      </c>
      <c r="H1248">
        <v>75506292</v>
      </c>
      <c r="I1248">
        <v>75506292</v>
      </c>
      <c r="J1248">
        <v>6.4460000000000003E-3</v>
      </c>
      <c r="K1248">
        <v>6.4460000000000003E-3</v>
      </c>
      <c r="M1248" t="s">
        <v>3</v>
      </c>
      <c r="N1248">
        <v>3500</v>
      </c>
      <c r="O1248">
        <v>72</v>
      </c>
      <c r="P1248">
        <v>240</v>
      </c>
      <c r="Q1248">
        <v>0</v>
      </c>
      <c r="R1248">
        <v>4358469505</v>
      </c>
      <c r="S1248">
        <v>9620135.9199999999</v>
      </c>
      <c r="T1248">
        <v>4323206859.0600004</v>
      </c>
      <c r="U1248">
        <v>4348849369.0799999</v>
      </c>
      <c r="V1248">
        <v>6.8360000000000004E-2</v>
      </c>
      <c r="W1248">
        <v>0</v>
      </c>
    </row>
    <row r="1249" spans="1:23" x14ac:dyDescent="0.35">
      <c r="A1249" t="s">
        <v>0</v>
      </c>
      <c r="B1249">
        <v>6250</v>
      </c>
      <c r="C1249">
        <v>72</v>
      </c>
      <c r="D1249">
        <v>52</v>
      </c>
      <c r="E1249">
        <v>0</v>
      </c>
      <c r="F1249">
        <v>730358708</v>
      </c>
      <c r="G1249">
        <v>1070008.81</v>
      </c>
      <c r="H1249">
        <v>694002776</v>
      </c>
      <c r="I1249">
        <v>701314992.60000002</v>
      </c>
      <c r="J1249">
        <v>0.44801299999999999</v>
      </c>
      <c r="K1249">
        <v>0.37415300000000001</v>
      </c>
      <c r="M1249" t="s">
        <v>1</v>
      </c>
      <c r="N1249">
        <v>5250</v>
      </c>
      <c r="O1249">
        <v>72</v>
      </c>
      <c r="P1249">
        <v>200</v>
      </c>
      <c r="Q1249">
        <v>0</v>
      </c>
      <c r="R1249">
        <v>2904179734</v>
      </c>
      <c r="S1249">
        <v>5011159</v>
      </c>
      <c r="T1249">
        <v>2876828038.9099998</v>
      </c>
      <c r="U1249">
        <v>2889429178.4400001</v>
      </c>
      <c r="V1249">
        <v>8.8502999999999998E-2</v>
      </c>
      <c r="W1249">
        <v>3.9509000000000002E-2</v>
      </c>
    </row>
    <row r="1250" spans="1:23" x14ac:dyDescent="0.35">
      <c r="A1250" t="s">
        <v>3</v>
      </c>
      <c r="B1250">
        <v>2500</v>
      </c>
      <c r="C1250">
        <v>72</v>
      </c>
      <c r="D1250">
        <v>63</v>
      </c>
      <c r="E1250">
        <v>0</v>
      </c>
      <c r="F1250">
        <v>1341420362</v>
      </c>
      <c r="G1250">
        <v>3274226.56</v>
      </c>
      <c r="H1250">
        <v>1337828997</v>
      </c>
      <c r="I1250">
        <v>1337828997</v>
      </c>
      <c r="J1250">
        <v>2.833E-3</v>
      </c>
      <c r="K1250">
        <v>2.833E-3</v>
      </c>
      <c r="M1250" t="s">
        <v>2</v>
      </c>
      <c r="N1250">
        <v>5250</v>
      </c>
      <c r="O1250">
        <v>72</v>
      </c>
      <c r="P1250">
        <v>137</v>
      </c>
      <c r="Q1250">
        <v>0</v>
      </c>
      <c r="R1250">
        <v>1401264645</v>
      </c>
      <c r="S1250">
        <v>2413411.29</v>
      </c>
      <c r="T1250">
        <v>1398851233.71</v>
      </c>
      <c r="U1250">
        <v>1398851233.71</v>
      </c>
      <c r="V1250">
        <v>0</v>
      </c>
      <c r="W1250">
        <v>0</v>
      </c>
    </row>
    <row r="1251" spans="1:23" x14ac:dyDescent="0.35">
      <c r="A1251" t="s">
        <v>0</v>
      </c>
      <c r="B1251">
        <v>2500</v>
      </c>
      <c r="C1251">
        <v>84</v>
      </c>
      <c r="D1251">
        <v>9</v>
      </c>
      <c r="E1251">
        <v>0</v>
      </c>
      <c r="F1251">
        <v>127015164</v>
      </c>
      <c r="G1251">
        <v>332230.34999999998</v>
      </c>
      <c r="H1251">
        <v>126771879</v>
      </c>
      <c r="I1251">
        <v>126771879</v>
      </c>
      <c r="J1251">
        <v>-8.4360000000000008E-3</v>
      </c>
      <c r="K1251">
        <v>-8.4360000000000008E-3</v>
      </c>
      <c r="M1251" t="s">
        <v>1</v>
      </c>
      <c r="N1251">
        <v>5750</v>
      </c>
      <c r="O1251">
        <v>30</v>
      </c>
      <c r="P1251">
        <v>8520</v>
      </c>
      <c r="Q1251">
        <v>0</v>
      </c>
      <c r="R1251">
        <v>327745126614</v>
      </c>
      <c r="S1251">
        <v>409226884.31999999</v>
      </c>
      <c r="T1251">
        <v>319979837459.97998</v>
      </c>
      <c r="U1251">
        <v>326716274940.03003</v>
      </c>
      <c r="V1251">
        <v>0.238452</v>
      </c>
      <c r="W1251">
        <v>2.2452E-2</v>
      </c>
    </row>
    <row r="1252" spans="1:23" x14ac:dyDescent="0.35">
      <c r="A1252" t="s">
        <v>2</v>
      </c>
      <c r="B1252">
        <v>2250</v>
      </c>
      <c r="C1252">
        <v>84</v>
      </c>
      <c r="D1252">
        <v>2</v>
      </c>
      <c r="E1252">
        <v>0</v>
      </c>
      <c r="F1252">
        <v>20264895</v>
      </c>
      <c r="G1252">
        <v>54507.02</v>
      </c>
      <c r="H1252">
        <v>20210228</v>
      </c>
      <c r="I1252">
        <v>20210228</v>
      </c>
      <c r="J1252">
        <v>9.5000000000000005E-5</v>
      </c>
      <c r="K1252">
        <v>9.5000000000000005E-5</v>
      </c>
      <c r="M1252" t="s">
        <v>3</v>
      </c>
      <c r="N1252">
        <v>4250</v>
      </c>
      <c r="O1252">
        <v>72</v>
      </c>
      <c r="P1252">
        <v>38</v>
      </c>
      <c r="Q1252">
        <v>0</v>
      </c>
      <c r="R1252">
        <v>610103900</v>
      </c>
      <c r="S1252">
        <v>1221670.42</v>
      </c>
      <c r="T1252">
        <v>608882229.58000004</v>
      </c>
      <c r="U1252">
        <v>608882229.58000004</v>
      </c>
      <c r="V1252">
        <v>0</v>
      </c>
      <c r="W1252">
        <v>0</v>
      </c>
    </row>
    <row r="1253" spans="1:23" x14ac:dyDescent="0.35">
      <c r="A1253" t="s">
        <v>2</v>
      </c>
      <c r="B1253">
        <v>2500</v>
      </c>
      <c r="C1253">
        <v>84</v>
      </c>
      <c r="D1253">
        <v>4</v>
      </c>
      <c r="E1253">
        <v>0</v>
      </c>
      <c r="F1253">
        <v>52663399</v>
      </c>
      <c r="G1253">
        <v>138136.97</v>
      </c>
      <c r="H1253">
        <v>52487499</v>
      </c>
      <c r="I1253">
        <v>52487499</v>
      </c>
      <c r="J1253">
        <v>8.5710000000000005E-3</v>
      </c>
      <c r="K1253">
        <v>8.5710000000000005E-3</v>
      </c>
      <c r="M1253" t="s">
        <v>3</v>
      </c>
      <c r="N1253">
        <v>4000</v>
      </c>
      <c r="O1253">
        <v>72</v>
      </c>
      <c r="P1253">
        <v>58</v>
      </c>
      <c r="Q1253">
        <v>0</v>
      </c>
      <c r="R1253">
        <v>994570009</v>
      </c>
      <c r="S1253">
        <v>2047836.01</v>
      </c>
      <c r="T1253">
        <v>974267616.40999997</v>
      </c>
      <c r="U1253">
        <v>992522172.99000001</v>
      </c>
      <c r="V1253">
        <v>0.199322</v>
      </c>
      <c r="W1253">
        <v>0</v>
      </c>
    </row>
    <row r="1254" spans="1:23" x14ac:dyDescent="0.35">
      <c r="A1254" t="s">
        <v>3</v>
      </c>
      <c r="B1254">
        <v>2500</v>
      </c>
      <c r="C1254">
        <v>54</v>
      </c>
      <c r="D1254">
        <v>27</v>
      </c>
      <c r="E1254">
        <v>0</v>
      </c>
      <c r="F1254">
        <v>560874882</v>
      </c>
      <c r="G1254">
        <v>1307658.03</v>
      </c>
      <c r="H1254">
        <v>559224669</v>
      </c>
      <c r="I1254">
        <v>559224669</v>
      </c>
      <c r="J1254">
        <v>7.3039999999999997E-3</v>
      </c>
      <c r="K1254">
        <v>7.3039999999999997E-3</v>
      </c>
      <c r="M1254" t="s">
        <v>3</v>
      </c>
      <c r="N1254">
        <v>4500</v>
      </c>
      <c r="O1254">
        <v>72</v>
      </c>
      <c r="P1254">
        <v>16</v>
      </c>
      <c r="Q1254">
        <v>0</v>
      </c>
      <c r="R1254">
        <v>290046979</v>
      </c>
      <c r="S1254">
        <v>555863.91</v>
      </c>
      <c r="T1254">
        <v>278463231.74000001</v>
      </c>
      <c r="U1254">
        <v>289491115.08999997</v>
      </c>
      <c r="V1254">
        <v>0.37196000000000001</v>
      </c>
      <c r="W1254">
        <v>0</v>
      </c>
    </row>
    <row r="1255" spans="1:23" x14ac:dyDescent="0.35">
      <c r="A1255" t="s">
        <v>0</v>
      </c>
      <c r="B1255">
        <v>2250</v>
      </c>
      <c r="C1255">
        <v>84</v>
      </c>
      <c r="D1255">
        <v>2</v>
      </c>
      <c r="E1255">
        <v>0</v>
      </c>
      <c r="F1255">
        <v>19710845</v>
      </c>
      <c r="G1255">
        <v>52983.74</v>
      </c>
      <c r="H1255">
        <v>19612821</v>
      </c>
      <c r="I1255">
        <v>19612821</v>
      </c>
      <c r="J1255">
        <v>2.7078999999999999E-2</v>
      </c>
      <c r="K1255">
        <v>2.7078999999999999E-2</v>
      </c>
      <c r="M1255" t="s">
        <v>3</v>
      </c>
      <c r="N1255">
        <v>5250</v>
      </c>
      <c r="O1255">
        <v>72</v>
      </c>
      <c r="P1255">
        <v>2</v>
      </c>
      <c r="Q1255">
        <v>0</v>
      </c>
      <c r="R1255">
        <v>17422497</v>
      </c>
      <c r="S1255">
        <v>30656.19</v>
      </c>
      <c r="T1255">
        <v>17391840.809999999</v>
      </c>
      <c r="U1255">
        <v>17391840.809999999</v>
      </c>
      <c r="V1255">
        <v>0</v>
      </c>
      <c r="W1255">
        <v>0</v>
      </c>
    </row>
    <row r="1256" spans="1:23" x14ac:dyDescent="0.35">
      <c r="A1256" t="s">
        <v>3</v>
      </c>
      <c r="B1256">
        <v>3000</v>
      </c>
      <c r="C1256">
        <v>60</v>
      </c>
      <c r="D1256">
        <v>332</v>
      </c>
      <c r="E1256">
        <v>0</v>
      </c>
      <c r="F1256">
        <v>6702010439</v>
      </c>
      <c r="G1256">
        <v>14976376.98</v>
      </c>
      <c r="H1256">
        <v>6665832098</v>
      </c>
      <c r="I1256">
        <v>6684045413.6000004</v>
      </c>
      <c r="J1256">
        <v>3.7309000000000002E-2</v>
      </c>
      <c r="K1256">
        <v>5.3379999999999999E-3</v>
      </c>
      <c r="M1256" t="s">
        <v>3</v>
      </c>
      <c r="N1256">
        <v>4750</v>
      </c>
      <c r="O1256">
        <v>72</v>
      </c>
      <c r="P1256">
        <v>14</v>
      </c>
      <c r="Q1256">
        <v>0</v>
      </c>
      <c r="R1256">
        <v>160253240</v>
      </c>
      <c r="S1256">
        <v>298715.76</v>
      </c>
      <c r="T1256">
        <v>154537665.63</v>
      </c>
      <c r="U1256">
        <v>154537665.63</v>
      </c>
      <c r="V1256">
        <v>0.33809699999999998</v>
      </c>
      <c r="W1256">
        <v>0.33809699999999998</v>
      </c>
    </row>
    <row r="1257" spans="1:23" x14ac:dyDescent="0.35">
      <c r="A1257" t="s">
        <v>3</v>
      </c>
      <c r="B1257">
        <v>2750</v>
      </c>
      <c r="C1257">
        <v>60</v>
      </c>
      <c r="D1257">
        <v>444</v>
      </c>
      <c r="E1257">
        <v>0</v>
      </c>
      <c r="F1257">
        <v>10011193010</v>
      </c>
      <c r="G1257">
        <v>23072458.620000001</v>
      </c>
      <c r="H1257">
        <v>9981360869</v>
      </c>
      <c r="I1257">
        <v>9984222481.2199993</v>
      </c>
      <c r="J1257">
        <v>8.0730000000000003E-3</v>
      </c>
      <c r="K1257">
        <v>4.6620000000000003E-3</v>
      </c>
      <c r="M1257" t="s">
        <v>3</v>
      </c>
      <c r="N1257">
        <v>2750</v>
      </c>
      <c r="O1257">
        <v>72</v>
      </c>
      <c r="P1257">
        <v>1160</v>
      </c>
      <c r="Q1257">
        <v>0</v>
      </c>
      <c r="R1257">
        <v>25645546778</v>
      </c>
      <c r="S1257">
        <v>60884121.329999998</v>
      </c>
      <c r="T1257">
        <v>25344161814.970001</v>
      </c>
      <c r="U1257">
        <v>25584662656.669998</v>
      </c>
      <c r="V1257">
        <v>0.106908</v>
      </c>
      <c r="W1257">
        <v>0</v>
      </c>
    </row>
    <row r="1258" spans="1:23" x14ac:dyDescent="0.35">
      <c r="A1258" t="s">
        <v>3</v>
      </c>
      <c r="B1258">
        <v>3250</v>
      </c>
      <c r="C1258">
        <v>60</v>
      </c>
      <c r="D1258">
        <v>289</v>
      </c>
      <c r="E1258">
        <v>0</v>
      </c>
      <c r="F1258">
        <v>4619564289</v>
      </c>
      <c r="G1258">
        <v>9968538.8599999994</v>
      </c>
      <c r="H1258">
        <v>4608836450</v>
      </c>
      <c r="I1258">
        <v>4608836450</v>
      </c>
      <c r="J1258">
        <v>1.9710000000000001E-3</v>
      </c>
      <c r="K1258">
        <v>1.9710000000000001E-3</v>
      </c>
      <c r="M1258" t="s">
        <v>2</v>
      </c>
      <c r="N1258">
        <v>5500</v>
      </c>
      <c r="O1258">
        <v>72</v>
      </c>
      <c r="P1258">
        <v>11</v>
      </c>
      <c r="Q1258">
        <v>0</v>
      </c>
      <c r="R1258">
        <v>94617405</v>
      </c>
      <c r="S1258">
        <v>162080.01</v>
      </c>
      <c r="T1258">
        <v>87054207.950000003</v>
      </c>
      <c r="U1258">
        <v>87054207.950000003</v>
      </c>
      <c r="V1258">
        <v>0.62371299999999996</v>
      </c>
      <c r="W1258">
        <v>0.62371299999999996</v>
      </c>
    </row>
    <row r="1259" spans="1:23" x14ac:dyDescent="0.35">
      <c r="A1259" t="s">
        <v>3</v>
      </c>
      <c r="B1259">
        <v>3750</v>
      </c>
      <c r="C1259">
        <v>48</v>
      </c>
      <c r="D1259">
        <v>64</v>
      </c>
      <c r="E1259">
        <v>0</v>
      </c>
      <c r="F1259">
        <v>1475072835</v>
      </c>
      <c r="G1259">
        <v>2792646.1</v>
      </c>
      <c r="H1259">
        <v>1471966150</v>
      </c>
      <c r="I1259">
        <v>1471966150</v>
      </c>
      <c r="J1259">
        <v>2.552E-3</v>
      </c>
      <c r="K1259">
        <v>2.552E-3</v>
      </c>
      <c r="M1259" t="s">
        <v>1</v>
      </c>
      <c r="N1259">
        <v>6000</v>
      </c>
      <c r="O1259">
        <v>72</v>
      </c>
      <c r="P1259">
        <v>4</v>
      </c>
      <c r="Q1259">
        <v>0</v>
      </c>
      <c r="R1259">
        <v>74034399</v>
      </c>
      <c r="S1259">
        <v>116774.2</v>
      </c>
      <c r="T1259">
        <v>73917624.799999997</v>
      </c>
      <c r="U1259">
        <v>73917624.799999997</v>
      </c>
      <c r="V1259">
        <v>0</v>
      </c>
      <c r="W1259">
        <v>0</v>
      </c>
    </row>
    <row r="1260" spans="1:23" x14ac:dyDescent="0.35">
      <c r="A1260" t="s">
        <v>1</v>
      </c>
      <c r="B1260">
        <v>4250</v>
      </c>
      <c r="C1260">
        <v>60</v>
      </c>
      <c r="D1260">
        <v>695</v>
      </c>
      <c r="E1260">
        <v>0</v>
      </c>
      <c r="F1260">
        <v>15315602393</v>
      </c>
      <c r="G1260">
        <v>28462952.719999999</v>
      </c>
      <c r="H1260">
        <v>15024033977</v>
      </c>
      <c r="I1260">
        <v>15220448423.5</v>
      </c>
      <c r="J1260">
        <v>0.18774299999999999</v>
      </c>
      <c r="K1260">
        <v>5.1020000000000003E-2</v>
      </c>
      <c r="M1260" t="s">
        <v>2</v>
      </c>
      <c r="N1260">
        <v>5750</v>
      </c>
      <c r="O1260">
        <v>72</v>
      </c>
      <c r="P1260">
        <v>16</v>
      </c>
      <c r="Q1260">
        <v>0</v>
      </c>
      <c r="R1260">
        <v>139209662</v>
      </c>
      <c r="S1260">
        <v>224234.83</v>
      </c>
      <c r="T1260">
        <v>138985427.16999999</v>
      </c>
      <c r="U1260">
        <v>138985427.16999999</v>
      </c>
      <c r="V1260">
        <v>0</v>
      </c>
      <c r="W1260">
        <v>0</v>
      </c>
    </row>
    <row r="1261" spans="1:23" x14ac:dyDescent="0.35">
      <c r="A1261" t="s">
        <v>0</v>
      </c>
      <c r="B1261">
        <v>4750</v>
      </c>
      <c r="C1261">
        <v>60</v>
      </c>
      <c r="D1261">
        <v>1365</v>
      </c>
      <c r="E1261">
        <v>0</v>
      </c>
      <c r="F1261">
        <v>26745033452</v>
      </c>
      <c r="G1261">
        <v>46184696.25</v>
      </c>
      <c r="H1261">
        <v>26552161457</v>
      </c>
      <c r="I1261">
        <v>26692890563.279999</v>
      </c>
      <c r="J1261">
        <v>6.3866000000000006E-2</v>
      </c>
      <c r="K1261">
        <v>2.6700000000000001E-3</v>
      </c>
      <c r="M1261" t="s">
        <v>1</v>
      </c>
      <c r="N1261">
        <v>5750</v>
      </c>
      <c r="O1261">
        <v>72</v>
      </c>
      <c r="P1261">
        <v>20</v>
      </c>
      <c r="Q1261">
        <v>0</v>
      </c>
      <c r="R1261">
        <v>289276483</v>
      </c>
      <c r="S1261">
        <v>463384.89</v>
      </c>
      <c r="T1261">
        <v>288813098.11000001</v>
      </c>
      <c r="U1261">
        <v>288813098.11000001</v>
      </c>
      <c r="V1261">
        <v>0</v>
      </c>
      <c r="W1261">
        <v>0</v>
      </c>
    </row>
    <row r="1262" spans="1:23" x14ac:dyDescent="0.35">
      <c r="A1262" t="s">
        <v>3</v>
      </c>
      <c r="B1262">
        <v>2250</v>
      </c>
      <c r="C1262">
        <v>72</v>
      </c>
      <c r="D1262">
        <v>22</v>
      </c>
      <c r="E1262">
        <v>0</v>
      </c>
      <c r="F1262">
        <v>444100353</v>
      </c>
      <c r="G1262">
        <v>1112483.96</v>
      </c>
      <c r="H1262">
        <v>442938745</v>
      </c>
      <c r="I1262">
        <v>442938745</v>
      </c>
      <c r="J1262">
        <v>1.3270000000000001E-3</v>
      </c>
      <c r="K1262">
        <v>1.3270000000000001E-3</v>
      </c>
      <c r="M1262" t="s">
        <v>3</v>
      </c>
      <c r="N1262">
        <v>5000</v>
      </c>
      <c r="O1262">
        <v>72</v>
      </c>
      <c r="P1262">
        <v>3</v>
      </c>
      <c r="Q1262">
        <v>0</v>
      </c>
      <c r="R1262">
        <v>28525932</v>
      </c>
      <c r="S1262">
        <v>49912.51</v>
      </c>
      <c r="T1262">
        <v>28476019.489999998</v>
      </c>
      <c r="U1262">
        <v>28476019.489999998</v>
      </c>
      <c r="V1262">
        <v>0</v>
      </c>
      <c r="W1262">
        <v>0</v>
      </c>
    </row>
    <row r="1263" spans="1:23" x14ac:dyDescent="0.35">
      <c r="A1263" t="s">
        <v>2</v>
      </c>
      <c r="B1263">
        <v>4250</v>
      </c>
      <c r="C1263">
        <v>54</v>
      </c>
      <c r="D1263">
        <v>553</v>
      </c>
      <c r="E1263">
        <v>0</v>
      </c>
      <c r="F1263">
        <v>7368618934</v>
      </c>
      <c r="G1263">
        <v>13428261.189999999</v>
      </c>
      <c r="H1263">
        <v>7228413922</v>
      </c>
      <c r="I1263">
        <v>7259196996.3199997</v>
      </c>
      <c r="J1263">
        <v>0.188001</v>
      </c>
      <c r="K1263">
        <v>0.14560000000000001</v>
      </c>
      <c r="M1263" t="s">
        <v>0</v>
      </c>
      <c r="N1263">
        <v>6250</v>
      </c>
      <c r="O1263">
        <v>72</v>
      </c>
      <c r="P1263">
        <v>54</v>
      </c>
      <c r="Q1263">
        <v>0</v>
      </c>
      <c r="R1263">
        <v>742442930</v>
      </c>
      <c r="S1263">
        <v>1083499.17</v>
      </c>
      <c r="T1263">
        <v>734784772.16999996</v>
      </c>
      <c r="U1263">
        <v>734784772.16999996</v>
      </c>
      <c r="V1263">
        <v>0.101239</v>
      </c>
      <c r="W1263">
        <v>0.101239</v>
      </c>
    </row>
    <row r="1264" spans="1:23" x14ac:dyDescent="0.35">
      <c r="A1264" t="s">
        <v>1</v>
      </c>
      <c r="B1264">
        <v>4750</v>
      </c>
      <c r="C1264">
        <v>60</v>
      </c>
      <c r="D1264">
        <v>188</v>
      </c>
      <c r="E1264">
        <v>0</v>
      </c>
      <c r="F1264">
        <v>4194019626</v>
      </c>
      <c r="G1264">
        <v>7225513.3300000001</v>
      </c>
      <c r="H1264">
        <v>4116701519</v>
      </c>
      <c r="I1264">
        <v>4163113126.98</v>
      </c>
      <c r="J1264">
        <v>0.18310499999999999</v>
      </c>
      <c r="K1264">
        <v>6.5690999999999999E-2</v>
      </c>
      <c r="M1264" t="s">
        <v>3</v>
      </c>
      <c r="N1264">
        <v>2500</v>
      </c>
      <c r="O1264">
        <v>72</v>
      </c>
      <c r="P1264">
        <v>40</v>
      </c>
      <c r="Q1264">
        <v>0</v>
      </c>
      <c r="R1264">
        <v>841517103</v>
      </c>
      <c r="S1264">
        <v>2047908.48</v>
      </c>
      <c r="T1264">
        <v>839469194.51999998</v>
      </c>
      <c r="U1264">
        <v>839469194.51999998</v>
      </c>
      <c r="V1264">
        <v>0</v>
      </c>
      <c r="W1264">
        <v>0</v>
      </c>
    </row>
    <row r="1265" spans="1:23" x14ac:dyDescent="0.35">
      <c r="A1265" t="s">
        <v>0</v>
      </c>
      <c r="B1265">
        <v>5000</v>
      </c>
      <c r="C1265">
        <v>60</v>
      </c>
      <c r="D1265">
        <v>203</v>
      </c>
      <c r="E1265">
        <v>0</v>
      </c>
      <c r="F1265">
        <v>3596318302</v>
      </c>
      <c r="G1265">
        <v>5988432.71</v>
      </c>
      <c r="H1265">
        <v>3590070108</v>
      </c>
      <c r="I1265">
        <v>3590070108</v>
      </c>
      <c r="J1265">
        <v>8.6600000000000002E-4</v>
      </c>
      <c r="K1265">
        <v>8.6600000000000002E-4</v>
      </c>
      <c r="M1265" t="s">
        <v>3</v>
      </c>
      <c r="N1265">
        <v>2750</v>
      </c>
      <c r="O1265">
        <v>60</v>
      </c>
      <c r="P1265">
        <v>525</v>
      </c>
      <c r="Q1265">
        <v>0</v>
      </c>
      <c r="R1265">
        <v>11671217388</v>
      </c>
      <c r="S1265">
        <v>26906735.379999999</v>
      </c>
      <c r="T1265">
        <v>11574312868.719999</v>
      </c>
      <c r="U1265">
        <v>11619969006.82</v>
      </c>
      <c r="V1265">
        <v>6.9641999999999996E-2</v>
      </c>
      <c r="W1265">
        <v>2.4742E-2</v>
      </c>
    </row>
    <row r="1266" spans="1:23" x14ac:dyDescent="0.35">
      <c r="A1266" t="s">
        <v>1</v>
      </c>
      <c r="B1266">
        <v>4500</v>
      </c>
      <c r="C1266">
        <v>60</v>
      </c>
      <c r="D1266">
        <v>163</v>
      </c>
      <c r="E1266">
        <v>0</v>
      </c>
      <c r="F1266">
        <v>3336935045</v>
      </c>
      <c r="G1266">
        <v>6060970.7000000002</v>
      </c>
      <c r="H1266">
        <v>3277027711</v>
      </c>
      <c r="I1266">
        <v>3307499379.5700002</v>
      </c>
      <c r="J1266">
        <v>0.177344</v>
      </c>
      <c r="K1266">
        <v>8.0893999999999994E-2</v>
      </c>
      <c r="M1266" t="s">
        <v>3</v>
      </c>
      <c r="N1266">
        <v>2500</v>
      </c>
      <c r="O1266">
        <v>60</v>
      </c>
      <c r="P1266">
        <v>143</v>
      </c>
      <c r="Q1266">
        <v>0</v>
      </c>
      <c r="R1266">
        <v>2994150228</v>
      </c>
      <c r="S1266">
        <v>7200005.9000000004</v>
      </c>
      <c r="T1266">
        <v>2969021898.3000002</v>
      </c>
      <c r="U1266">
        <v>2986950222.0999999</v>
      </c>
      <c r="V1266">
        <v>6.9533999999999999E-2</v>
      </c>
      <c r="W1266">
        <v>0</v>
      </c>
    </row>
    <row r="1267" spans="1:23" x14ac:dyDescent="0.35">
      <c r="A1267" t="s">
        <v>0</v>
      </c>
      <c r="B1267">
        <v>5250</v>
      </c>
      <c r="C1267">
        <v>60</v>
      </c>
      <c r="D1267">
        <v>322</v>
      </c>
      <c r="E1267">
        <v>0</v>
      </c>
      <c r="F1267">
        <v>5384974066</v>
      </c>
      <c r="G1267">
        <v>8635350.6699999999</v>
      </c>
      <c r="H1267">
        <v>5314810725</v>
      </c>
      <c r="I1267">
        <v>5343867644.2600002</v>
      </c>
      <c r="J1267">
        <v>0.12881400000000001</v>
      </c>
      <c r="K1267">
        <v>7.0007E-2</v>
      </c>
      <c r="M1267" t="s">
        <v>0</v>
      </c>
      <c r="N1267">
        <v>2500</v>
      </c>
      <c r="O1267">
        <v>84</v>
      </c>
      <c r="P1267">
        <v>6</v>
      </c>
      <c r="Q1267">
        <v>0</v>
      </c>
      <c r="R1267">
        <v>93233718</v>
      </c>
      <c r="S1267">
        <v>244446.77</v>
      </c>
      <c r="T1267">
        <v>92989271.230000004</v>
      </c>
      <c r="U1267">
        <v>92989271.230000004</v>
      </c>
      <c r="V1267">
        <v>0</v>
      </c>
      <c r="W1267">
        <v>0</v>
      </c>
    </row>
    <row r="1268" spans="1:23" x14ac:dyDescent="0.35">
      <c r="A1268" t="s">
        <v>1</v>
      </c>
      <c r="B1268">
        <v>5250</v>
      </c>
      <c r="C1268">
        <v>60</v>
      </c>
      <c r="D1268">
        <v>112</v>
      </c>
      <c r="E1268">
        <v>0</v>
      </c>
      <c r="F1268">
        <v>2436431500</v>
      </c>
      <c r="G1268">
        <v>3888464.13</v>
      </c>
      <c r="H1268">
        <v>2398720792</v>
      </c>
      <c r="I1268">
        <v>2410591411.5599999</v>
      </c>
      <c r="J1268">
        <v>0.15443399999999999</v>
      </c>
      <c r="K1268">
        <v>0.10291699999999999</v>
      </c>
      <c r="M1268" t="s">
        <v>2</v>
      </c>
      <c r="N1268">
        <v>2250</v>
      </c>
      <c r="O1268">
        <v>84</v>
      </c>
      <c r="P1268">
        <v>2</v>
      </c>
      <c r="Q1268">
        <v>0</v>
      </c>
      <c r="R1268">
        <v>20319460</v>
      </c>
      <c r="S1268">
        <v>54405.440000000002</v>
      </c>
      <c r="T1268">
        <v>20265054.559999999</v>
      </c>
      <c r="U1268">
        <v>20265054.559999999</v>
      </c>
      <c r="V1268">
        <v>0</v>
      </c>
      <c r="W1268">
        <v>0</v>
      </c>
    </row>
    <row r="1269" spans="1:23" x14ac:dyDescent="0.35">
      <c r="A1269" t="s">
        <v>2</v>
      </c>
      <c r="B1269">
        <v>4750</v>
      </c>
      <c r="C1269">
        <v>60</v>
      </c>
      <c r="D1269">
        <v>97</v>
      </c>
      <c r="E1269">
        <v>0</v>
      </c>
      <c r="F1269">
        <v>1251510111</v>
      </c>
      <c r="G1269">
        <v>2279144.59</v>
      </c>
      <c r="H1269">
        <v>1243464625</v>
      </c>
      <c r="I1269">
        <v>1249311487.4300001</v>
      </c>
      <c r="J1269">
        <v>5.391E-2</v>
      </c>
      <c r="K1269">
        <v>-7.7200000000000001E-4</v>
      </c>
      <c r="M1269" t="s">
        <v>2</v>
      </c>
      <c r="N1269">
        <v>2500</v>
      </c>
      <c r="O1269">
        <v>84</v>
      </c>
      <c r="P1269">
        <v>3</v>
      </c>
      <c r="Q1269">
        <v>0</v>
      </c>
      <c r="R1269">
        <v>49365838</v>
      </c>
      <c r="S1269">
        <v>129132.16</v>
      </c>
      <c r="T1269">
        <v>49236705.840000004</v>
      </c>
      <c r="U1269">
        <v>49236705.840000004</v>
      </c>
      <c r="V1269">
        <v>0</v>
      </c>
      <c r="W1269">
        <v>0</v>
      </c>
    </row>
    <row r="1270" spans="1:23" x14ac:dyDescent="0.35">
      <c r="A1270" t="s">
        <v>0</v>
      </c>
      <c r="B1270">
        <v>5500</v>
      </c>
      <c r="C1270">
        <v>6</v>
      </c>
      <c r="D1270">
        <v>1584</v>
      </c>
      <c r="E1270">
        <v>0</v>
      </c>
      <c r="F1270">
        <v>55565833570</v>
      </c>
      <c r="G1270">
        <v>63489279.810000002</v>
      </c>
      <c r="H1270">
        <v>55335909163</v>
      </c>
      <c r="I1270">
        <v>55420835289.129997</v>
      </c>
      <c r="J1270">
        <v>3.5357E-2</v>
      </c>
      <c r="K1270">
        <v>1.7461000000000001E-2</v>
      </c>
      <c r="M1270" t="s">
        <v>3</v>
      </c>
      <c r="N1270">
        <v>2500</v>
      </c>
      <c r="O1270">
        <v>54</v>
      </c>
      <c r="P1270">
        <v>31</v>
      </c>
      <c r="Q1270">
        <v>0</v>
      </c>
      <c r="R1270">
        <v>660648952</v>
      </c>
      <c r="S1270">
        <v>1538944.36</v>
      </c>
      <c r="T1270">
        <v>659110007.63999999</v>
      </c>
      <c r="U1270">
        <v>659110007.63999999</v>
      </c>
      <c r="V1270">
        <v>0</v>
      </c>
      <c r="W1270">
        <v>0</v>
      </c>
    </row>
    <row r="1271" spans="1:23" x14ac:dyDescent="0.35">
      <c r="A1271" t="s">
        <v>3</v>
      </c>
      <c r="B1271">
        <v>2250</v>
      </c>
      <c r="C1271">
        <v>54</v>
      </c>
      <c r="D1271">
        <v>15</v>
      </c>
      <c r="E1271">
        <v>0</v>
      </c>
      <c r="F1271">
        <v>405114400</v>
      </c>
      <c r="G1271">
        <v>979916.46</v>
      </c>
      <c r="H1271">
        <v>382912679</v>
      </c>
      <c r="I1271">
        <v>404128361.98000002</v>
      </c>
      <c r="J1271">
        <v>0.47569400000000001</v>
      </c>
      <c r="K1271">
        <v>1.8100000000000001E-4</v>
      </c>
      <c r="M1271" t="s">
        <v>0</v>
      </c>
      <c r="N1271">
        <v>2250</v>
      </c>
      <c r="O1271">
        <v>84</v>
      </c>
      <c r="P1271">
        <v>3</v>
      </c>
      <c r="Q1271">
        <v>0</v>
      </c>
      <c r="R1271">
        <v>29041053</v>
      </c>
      <c r="S1271">
        <v>78986.59</v>
      </c>
      <c r="T1271">
        <v>28962066.41</v>
      </c>
      <c r="U1271">
        <v>28962066.41</v>
      </c>
      <c r="V1271">
        <v>0</v>
      </c>
      <c r="W1271">
        <v>0</v>
      </c>
    </row>
    <row r="1272" spans="1:23" x14ac:dyDescent="0.35">
      <c r="A1272" t="s">
        <v>3</v>
      </c>
      <c r="B1272">
        <v>2750</v>
      </c>
      <c r="C1272">
        <v>54</v>
      </c>
      <c r="D1272">
        <v>221</v>
      </c>
      <c r="E1272">
        <v>0</v>
      </c>
      <c r="F1272">
        <v>5297925115</v>
      </c>
      <c r="G1272">
        <v>11942007.470000001</v>
      </c>
      <c r="H1272">
        <v>5284123242</v>
      </c>
      <c r="I1272">
        <v>5284123242</v>
      </c>
      <c r="J1272">
        <v>4.2050000000000004E-3</v>
      </c>
      <c r="K1272">
        <v>4.2050000000000004E-3</v>
      </c>
      <c r="M1272" t="s">
        <v>3</v>
      </c>
      <c r="N1272">
        <v>3250</v>
      </c>
      <c r="O1272">
        <v>60</v>
      </c>
      <c r="P1272">
        <v>240</v>
      </c>
      <c r="Q1272">
        <v>0</v>
      </c>
      <c r="R1272">
        <v>3823519865</v>
      </c>
      <c r="S1272">
        <v>8245135.2699999996</v>
      </c>
      <c r="T1272">
        <v>3815274729.73</v>
      </c>
      <c r="U1272">
        <v>3815274729.73</v>
      </c>
      <c r="V1272">
        <v>0</v>
      </c>
      <c r="W1272">
        <v>0</v>
      </c>
    </row>
    <row r="1273" spans="1:23" x14ac:dyDescent="0.35">
      <c r="A1273" t="s">
        <v>3</v>
      </c>
      <c r="B1273">
        <v>3000</v>
      </c>
      <c r="C1273">
        <v>54</v>
      </c>
      <c r="D1273">
        <v>259</v>
      </c>
      <c r="E1273">
        <v>0</v>
      </c>
      <c r="F1273">
        <v>5796486445</v>
      </c>
      <c r="G1273">
        <v>12630249.32</v>
      </c>
      <c r="H1273">
        <v>5723733282</v>
      </c>
      <c r="I1273">
        <v>5756141160.1999998</v>
      </c>
      <c r="J1273">
        <v>0.117607</v>
      </c>
      <c r="K1273">
        <v>5.5891000000000003E-2</v>
      </c>
      <c r="M1273" t="s">
        <v>0</v>
      </c>
      <c r="N1273">
        <v>4750</v>
      </c>
      <c r="O1273">
        <v>60</v>
      </c>
      <c r="P1273">
        <v>1265</v>
      </c>
      <c r="Q1273">
        <v>0</v>
      </c>
      <c r="R1273">
        <v>23879245540</v>
      </c>
      <c r="S1273">
        <v>41257683.390000001</v>
      </c>
      <c r="T1273">
        <v>23665619293.220001</v>
      </c>
      <c r="U1273">
        <v>23709007734.41</v>
      </c>
      <c r="V1273">
        <v>8.3263000000000004E-2</v>
      </c>
      <c r="W1273">
        <v>6.2924999999999995E-2</v>
      </c>
    </row>
    <row r="1274" spans="1:23" x14ac:dyDescent="0.35">
      <c r="A1274" t="s">
        <v>3</v>
      </c>
      <c r="B1274">
        <v>3250</v>
      </c>
      <c r="C1274">
        <v>54</v>
      </c>
      <c r="D1274">
        <v>311</v>
      </c>
      <c r="E1274">
        <v>0</v>
      </c>
      <c r="F1274">
        <v>4957955578</v>
      </c>
      <c r="G1274">
        <v>10446109.699999999</v>
      </c>
      <c r="H1274">
        <v>4909799059</v>
      </c>
      <c r="I1274">
        <v>4947214983.6300001</v>
      </c>
      <c r="J1274">
        <v>8.7549000000000002E-2</v>
      </c>
      <c r="K1274">
        <v>7.1299999999999998E-4</v>
      </c>
      <c r="M1274" t="s">
        <v>0</v>
      </c>
      <c r="N1274">
        <v>5250</v>
      </c>
      <c r="O1274">
        <v>60</v>
      </c>
      <c r="P1274">
        <v>297</v>
      </c>
      <c r="Q1274">
        <v>0</v>
      </c>
      <c r="R1274">
        <v>4827779352</v>
      </c>
      <c r="S1274">
        <v>7767317.5300000003</v>
      </c>
      <c r="T1274">
        <v>4726114834.3500004</v>
      </c>
      <c r="U1274">
        <v>4774694829.4499998</v>
      </c>
      <c r="V1274">
        <v>0.209976</v>
      </c>
      <c r="W1274">
        <v>0.107004</v>
      </c>
    </row>
    <row r="1275" spans="1:23" x14ac:dyDescent="0.35">
      <c r="A1275" t="s">
        <v>1</v>
      </c>
      <c r="B1275">
        <v>5000</v>
      </c>
      <c r="C1275">
        <v>60</v>
      </c>
      <c r="D1275">
        <v>34</v>
      </c>
      <c r="E1275">
        <v>0</v>
      </c>
      <c r="F1275">
        <v>675697854</v>
      </c>
      <c r="G1275">
        <v>1136734.8899999999</v>
      </c>
      <c r="H1275">
        <v>630668101</v>
      </c>
      <c r="I1275">
        <v>674534457.48000002</v>
      </c>
      <c r="J1275">
        <v>0.55335299999999998</v>
      </c>
      <c r="K1275">
        <v>4.73E-4</v>
      </c>
      <c r="M1275" t="s">
        <v>1</v>
      </c>
      <c r="N1275">
        <v>4750</v>
      </c>
      <c r="O1275">
        <v>60</v>
      </c>
      <c r="P1275">
        <v>142</v>
      </c>
      <c r="Q1275">
        <v>0</v>
      </c>
      <c r="R1275">
        <v>2983309907</v>
      </c>
      <c r="S1275">
        <v>5138361.9000000004</v>
      </c>
      <c r="T1275">
        <v>2978171545.0999999</v>
      </c>
      <c r="U1275">
        <v>2978171545.0999999</v>
      </c>
      <c r="V1275">
        <v>0</v>
      </c>
      <c r="W1275">
        <v>0</v>
      </c>
    </row>
    <row r="1276" spans="1:23" x14ac:dyDescent="0.35">
      <c r="A1276" t="s">
        <v>1</v>
      </c>
      <c r="B1276">
        <v>2000</v>
      </c>
      <c r="C1276">
        <v>60</v>
      </c>
      <c r="D1276">
        <v>5910</v>
      </c>
      <c r="E1276">
        <v>0</v>
      </c>
      <c r="F1276">
        <v>169977198264</v>
      </c>
      <c r="G1276">
        <v>443635722.05000001</v>
      </c>
      <c r="H1276">
        <v>168893834957</v>
      </c>
      <c r="I1276">
        <v>169448435062.97</v>
      </c>
      <c r="J1276">
        <v>4.4240000000000002E-2</v>
      </c>
      <c r="K1276">
        <v>5.9930000000000001E-3</v>
      </c>
      <c r="M1276" t="s">
        <v>2</v>
      </c>
      <c r="N1276">
        <v>4750</v>
      </c>
      <c r="O1276">
        <v>60</v>
      </c>
      <c r="P1276">
        <v>97</v>
      </c>
      <c r="Q1276">
        <v>0</v>
      </c>
      <c r="R1276">
        <v>1186931928</v>
      </c>
      <c r="S1276">
        <v>2181511.7999999998</v>
      </c>
      <c r="T1276">
        <v>1184750416.2</v>
      </c>
      <c r="U1276">
        <v>1184750416.2</v>
      </c>
      <c r="V1276">
        <v>0</v>
      </c>
      <c r="W1276">
        <v>0</v>
      </c>
    </row>
    <row r="1277" spans="1:23" x14ac:dyDescent="0.35">
      <c r="A1277" t="s">
        <v>1</v>
      </c>
      <c r="B1277">
        <v>2000</v>
      </c>
      <c r="C1277">
        <v>54</v>
      </c>
      <c r="D1277">
        <v>1782</v>
      </c>
      <c r="E1277">
        <v>0</v>
      </c>
      <c r="F1277">
        <v>53193295614</v>
      </c>
      <c r="G1277">
        <v>134651153.94999999</v>
      </c>
      <c r="H1277">
        <v>52806796645</v>
      </c>
      <c r="I1277">
        <v>53038944065.059998</v>
      </c>
      <c r="J1277">
        <v>5.5358999999999998E-2</v>
      </c>
      <c r="K1277">
        <v>4.4349999999999997E-3</v>
      </c>
      <c r="M1277" t="s">
        <v>3</v>
      </c>
      <c r="N1277">
        <v>3750</v>
      </c>
      <c r="O1277">
        <v>48</v>
      </c>
      <c r="P1277">
        <v>80</v>
      </c>
      <c r="Q1277">
        <v>0</v>
      </c>
      <c r="R1277">
        <v>1872357443</v>
      </c>
      <c r="S1277">
        <v>3549061.86</v>
      </c>
      <c r="T1277">
        <v>1868808381.1400001</v>
      </c>
      <c r="U1277">
        <v>1868808381.1400001</v>
      </c>
      <c r="V1277">
        <v>0</v>
      </c>
      <c r="W1277">
        <v>0</v>
      </c>
    </row>
    <row r="1278" spans="1:23" x14ac:dyDescent="0.35">
      <c r="A1278" t="s">
        <v>3</v>
      </c>
      <c r="B1278">
        <v>3750</v>
      </c>
      <c r="C1278">
        <v>60</v>
      </c>
      <c r="D1278">
        <v>90</v>
      </c>
      <c r="E1278">
        <v>0</v>
      </c>
      <c r="F1278">
        <v>1596687893</v>
      </c>
      <c r="G1278">
        <v>3200302.67</v>
      </c>
      <c r="H1278">
        <v>1586074011</v>
      </c>
      <c r="I1278">
        <v>1593477633.23</v>
      </c>
      <c r="J1278">
        <v>5.4316000000000003E-2</v>
      </c>
      <c r="K1278">
        <v>7.4999999999999993E-5</v>
      </c>
      <c r="M1278" t="s">
        <v>1</v>
      </c>
      <c r="N1278">
        <v>4250</v>
      </c>
      <c r="O1278">
        <v>60</v>
      </c>
      <c r="P1278">
        <v>575</v>
      </c>
      <c r="Q1278">
        <v>0</v>
      </c>
      <c r="R1278">
        <v>12182406764</v>
      </c>
      <c r="S1278">
        <v>22677438.48</v>
      </c>
      <c r="T1278">
        <v>12039322023.01</v>
      </c>
      <c r="U1278">
        <v>12121562880.700001</v>
      </c>
      <c r="V1278">
        <v>0.11236500000000001</v>
      </c>
      <c r="W1278">
        <v>3.6954000000000001E-2</v>
      </c>
    </row>
    <row r="1279" spans="1:23" x14ac:dyDescent="0.35">
      <c r="A1279" t="s">
        <v>3</v>
      </c>
      <c r="B1279">
        <v>4250</v>
      </c>
      <c r="C1279">
        <v>60</v>
      </c>
      <c r="D1279">
        <v>20</v>
      </c>
      <c r="E1279">
        <v>0</v>
      </c>
      <c r="F1279">
        <v>266733839</v>
      </c>
      <c r="G1279">
        <v>495242.41</v>
      </c>
      <c r="H1279">
        <v>266275030</v>
      </c>
      <c r="I1279">
        <v>266275030</v>
      </c>
      <c r="J1279">
        <v>-1.64E-3</v>
      </c>
      <c r="K1279">
        <v>-1.64E-3</v>
      </c>
      <c r="M1279" t="s">
        <v>3</v>
      </c>
      <c r="N1279">
        <v>2250</v>
      </c>
      <c r="O1279">
        <v>72</v>
      </c>
      <c r="P1279">
        <v>12</v>
      </c>
      <c r="Q1279">
        <v>0</v>
      </c>
      <c r="R1279">
        <v>217698091</v>
      </c>
      <c r="S1279">
        <v>544735.85</v>
      </c>
      <c r="T1279">
        <v>217153355.15000001</v>
      </c>
      <c r="U1279">
        <v>217153355.15000001</v>
      </c>
      <c r="V1279">
        <v>0</v>
      </c>
      <c r="W1279">
        <v>0</v>
      </c>
    </row>
    <row r="1280" spans="1:23" x14ac:dyDescent="0.35">
      <c r="A1280" t="s">
        <v>3</v>
      </c>
      <c r="B1280">
        <v>3500</v>
      </c>
      <c r="C1280">
        <v>60</v>
      </c>
      <c r="D1280">
        <v>102</v>
      </c>
      <c r="E1280">
        <v>0</v>
      </c>
      <c r="F1280">
        <v>2218126286</v>
      </c>
      <c r="G1280">
        <v>4601050.6500000004</v>
      </c>
      <c r="H1280">
        <v>2180857487</v>
      </c>
      <c r="I1280">
        <v>2180857487</v>
      </c>
      <c r="J1280">
        <v>0.16309599999999999</v>
      </c>
      <c r="K1280">
        <v>0.16309599999999999</v>
      </c>
      <c r="M1280" t="s">
        <v>0</v>
      </c>
      <c r="N1280">
        <v>5000</v>
      </c>
      <c r="O1280">
        <v>60</v>
      </c>
      <c r="P1280">
        <v>185</v>
      </c>
      <c r="Q1280">
        <v>0</v>
      </c>
      <c r="R1280">
        <v>3094365328</v>
      </c>
      <c r="S1280">
        <v>5159181.03</v>
      </c>
      <c r="T1280">
        <v>3069365744.8299999</v>
      </c>
      <c r="U1280">
        <v>3089206146.9699998</v>
      </c>
      <c r="V1280">
        <v>7.4285000000000004E-2</v>
      </c>
      <c r="W1280">
        <v>0</v>
      </c>
    </row>
    <row r="1281" spans="1:23" x14ac:dyDescent="0.35">
      <c r="A1281" t="s">
        <v>3</v>
      </c>
      <c r="B1281">
        <v>4000</v>
      </c>
      <c r="C1281">
        <v>54</v>
      </c>
      <c r="D1281">
        <v>53</v>
      </c>
      <c r="E1281">
        <v>0</v>
      </c>
      <c r="F1281">
        <v>1094387813</v>
      </c>
      <c r="G1281">
        <v>2046630.17</v>
      </c>
      <c r="H1281">
        <v>1092278604</v>
      </c>
      <c r="I1281">
        <v>1092278604</v>
      </c>
      <c r="J1281">
        <v>6.8599999999999998E-4</v>
      </c>
      <c r="K1281">
        <v>6.8599999999999998E-4</v>
      </c>
      <c r="M1281" t="s">
        <v>1</v>
      </c>
      <c r="N1281">
        <v>4500</v>
      </c>
      <c r="O1281">
        <v>60</v>
      </c>
      <c r="P1281">
        <v>148</v>
      </c>
      <c r="Q1281">
        <v>0</v>
      </c>
      <c r="R1281">
        <v>3096770094</v>
      </c>
      <c r="S1281">
        <v>5600680.5199999996</v>
      </c>
      <c r="T1281">
        <v>2996448952.73</v>
      </c>
      <c r="U1281">
        <v>3020975383.1199999</v>
      </c>
      <c r="V1281">
        <v>0.31117800000000001</v>
      </c>
      <c r="W1281">
        <v>0.24052799999999999</v>
      </c>
    </row>
    <row r="1282" spans="1:23" x14ac:dyDescent="0.35">
      <c r="A1282" t="s">
        <v>3</v>
      </c>
      <c r="B1282">
        <v>4250</v>
      </c>
      <c r="C1282">
        <v>54</v>
      </c>
      <c r="D1282">
        <v>51</v>
      </c>
      <c r="E1282">
        <v>0</v>
      </c>
      <c r="F1282">
        <v>924274037</v>
      </c>
      <c r="G1282">
        <v>1658854.43</v>
      </c>
      <c r="H1282">
        <v>922574771</v>
      </c>
      <c r="I1282">
        <v>922574771</v>
      </c>
      <c r="J1282">
        <v>5.2499999999999997E-4</v>
      </c>
      <c r="K1282">
        <v>5.2499999999999997E-4</v>
      </c>
      <c r="M1282" t="s">
        <v>1</v>
      </c>
      <c r="N1282">
        <v>4750</v>
      </c>
      <c r="O1282">
        <v>54</v>
      </c>
      <c r="P1282">
        <v>299</v>
      </c>
      <c r="Q1282">
        <v>0</v>
      </c>
      <c r="R1282">
        <v>7082650277</v>
      </c>
      <c r="S1282">
        <v>11875926.539999999</v>
      </c>
      <c r="T1282">
        <v>7050859515.21</v>
      </c>
      <c r="U1282">
        <v>7070774350.46</v>
      </c>
      <c r="V1282">
        <v>3.3223999999999997E-2</v>
      </c>
      <c r="W1282">
        <v>0</v>
      </c>
    </row>
    <row r="1283" spans="1:23" x14ac:dyDescent="0.35">
      <c r="A1283" t="s">
        <v>3</v>
      </c>
      <c r="B1283">
        <v>3500</v>
      </c>
      <c r="C1283">
        <v>48</v>
      </c>
      <c r="D1283">
        <v>51</v>
      </c>
      <c r="E1283">
        <v>0</v>
      </c>
      <c r="F1283">
        <v>1203128283</v>
      </c>
      <c r="G1283">
        <v>2375277.7599999998</v>
      </c>
      <c r="H1283">
        <v>1200097941</v>
      </c>
      <c r="I1283">
        <v>1200097941</v>
      </c>
      <c r="J1283">
        <v>6.5139999999999998E-3</v>
      </c>
      <c r="K1283">
        <v>6.5139999999999998E-3</v>
      </c>
      <c r="M1283" t="s">
        <v>3</v>
      </c>
      <c r="N1283">
        <v>4250</v>
      </c>
      <c r="O1283">
        <v>60</v>
      </c>
      <c r="P1283">
        <v>19</v>
      </c>
      <c r="Q1283">
        <v>0</v>
      </c>
      <c r="R1283">
        <v>217045865</v>
      </c>
      <c r="S1283">
        <v>404020.56</v>
      </c>
      <c r="T1283">
        <v>216641844.44</v>
      </c>
      <c r="U1283">
        <v>216641844.44</v>
      </c>
      <c r="V1283">
        <v>0</v>
      </c>
      <c r="W1283">
        <v>0</v>
      </c>
    </row>
    <row r="1284" spans="1:23" x14ac:dyDescent="0.35">
      <c r="A1284" t="s">
        <v>3</v>
      </c>
      <c r="B1284">
        <v>4000</v>
      </c>
      <c r="C1284">
        <v>60</v>
      </c>
      <c r="D1284">
        <v>33</v>
      </c>
      <c r="E1284">
        <v>0</v>
      </c>
      <c r="F1284">
        <v>650437677</v>
      </c>
      <c r="G1284">
        <v>1255863.1499999999</v>
      </c>
      <c r="H1284">
        <v>649060145</v>
      </c>
      <c r="I1284">
        <v>649060145</v>
      </c>
      <c r="J1284">
        <v>2.2420000000000001E-3</v>
      </c>
      <c r="K1284">
        <v>2.2420000000000001E-3</v>
      </c>
      <c r="M1284" t="s">
        <v>2</v>
      </c>
      <c r="N1284">
        <v>5250</v>
      </c>
      <c r="O1284">
        <v>60</v>
      </c>
      <c r="P1284">
        <v>40</v>
      </c>
      <c r="Q1284">
        <v>0</v>
      </c>
      <c r="R1284">
        <v>430798511</v>
      </c>
      <c r="S1284">
        <v>722322.23</v>
      </c>
      <c r="T1284">
        <v>430076188.76999998</v>
      </c>
      <c r="U1284">
        <v>430076188.76999998</v>
      </c>
      <c r="V1284">
        <v>0</v>
      </c>
      <c r="W1284">
        <v>0</v>
      </c>
    </row>
    <row r="1285" spans="1:23" x14ac:dyDescent="0.35">
      <c r="A1285" t="s">
        <v>1</v>
      </c>
      <c r="B1285">
        <v>4750</v>
      </c>
      <c r="C1285">
        <v>54</v>
      </c>
      <c r="D1285">
        <v>316</v>
      </c>
      <c r="E1285">
        <v>0</v>
      </c>
      <c r="F1285">
        <v>7561604017</v>
      </c>
      <c r="G1285">
        <v>12665177.17</v>
      </c>
      <c r="H1285">
        <v>7502129151</v>
      </c>
      <c r="I1285">
        <v>7502129151</v>
      </c>
      <c r="J1285">
        <v>7.1807999999999997E-2</v>
      </c>
      <c r="K1285">
        <v>7.1807999999999997E-2</v>
      </c>
      <c r="M1285" t="s">
        <v>2</v>
      </c>
      <c r="N1285">
        <v>5000</v>
      </c>
      <c r="O1285">
        <v>60</v>
      </c>
      <c r="P1285">
        <v>46</v>
      </c>
      <c r="Q1285">
        <v>0</v>
      </c>
      <c r="R1285">
        <v>570688531</v>
      </c>
      <c r="S1285">
        <v>1044463.57</v>
      </c>
      <c r="T1285">
        <v>569644067.42999995</v>
      </c>
      <c r="U1285">
        <v>569644067.42999995</v>
      </c>
      <c r="V1285">
        <v>0</v>
      </c>
      <c r="W1285">
        <v>0</v>
      </c>
    </row>
    <row r="1286" spans="1:23" x14ac:dyDescent="0.35">
      <c r="A1286" t="s">
        <v>2</v>
      </c>
      <c r="B1286">
        <v>5000</v>
      </c>
      <c r="C1286">
        <v>60</v>
      </c>
      <c r="D1286">
        <v>40</v>
      </c>
      <c r="E1286">
        <v>0</v>
      </c>
      <c r="F1286">
        <v>492972073</v>
      </c>
      <c r="G1286">
        <v>914724.55</v>
      </c>
      <c r="H1286">
        <v>481272992</v>
      </c>
      <c r="I1286">
        <v>491964584.31</v>
      </c>
      <c r="J1286">
        <v>0.233123</v>
      </c>
      <c r="K1286">
        <v>2.2560000000000002E-3</v>
      </c>
      <c r="M1286" t="s">
        <v>1</v>
      </c>
      <c r="N1286">
        <v>5250</v>
      </c>
      <c r="O1286">
        <v>60</v>
      </c>
      <c r="P1286">
        <v>88</v>
      </c>
      <c r="Q1286">
        <v>0</v>
      </c>
      <c r="R1286">
        <v>1840981260</v>
      </c>
      <c r="S1286">
        <v>2946690.96</v>
      </c>
      <c r="T1286">
        <v>1817405876.8499999</v>
      </c>
      <c r="U1286">
        <v>1838034569.04</v>
      </c>
      <c r="V1286">
        <v>0.12647800000000001</v>
      </c>
      <c r="W1286">
        <v>0</v>
      </c>
    </row>
    <row r="1287" spans="1:23" x14ac:dyDescent="0.35">
      <c r="A1287" t="s">
        <v>0</v>
      </c>
      <c r="B1287">
        <v>2000</v>
      </c>
      <c r="C1287">
        <v>60</v>
      </c>
      <c r="D1287">
        <v>218</v>
      </c>
      <c r="E1287">
        <v>0</v>
      </c>
      <c r="F1287">
        <v>5523695066</v>
      </c>
      <c r="G1287">
        <v>14280631.5</v>
      </c>
      <c r="H1287">
        <v>5509130894</v>
      </c>
      <c r="I1287">
        <v>5509130894</v>
      </c>
      <c r="J1287">
        <v>6.1600000000000001E-4</v>
      </c>
      <c r="K1287">
        <v>6.1600000000000001E-4</v>
      </c>
      <c r="M1287" t="s">
        <v>3</v>
      </c>
      <c r="N1287">
        <v>3000</v>
      </c>
      <c r="O1287">
        <v>54</v>
      </c>
      <c r="P1287">
        <v>297</v>
      </c>
      <c r="Q1287">
        <v>0</v>
      </c>
      <c r="R1287">
        <v>6556858170</v>
      </c>
      <c r="S1287">
        <v>14276958</v>
      </c>
      <c r="T1287">
        <v>6522379353.3000002</v>
      </c>
      <c r="U1287">
        <v>6542581212</v>
      </c>
      <c r="V1287">
        <v>3.6352000000000002E-2</v>
      </c>
      <c r="W1287">
        <v>0</v>
      </c>
    </row>
    <row r="1288" spans="1:23" x14ac:dyDescent="0.35">
      <c r="A1288" t="s">
        <v>2</v>
      </c>
      <c r="B1288">
        <v>2000</v>
      </c>
      <c r="C1288">
        <v>60</v>
      </c>
      <c r="D1288">
        <v>57</v>
      </c>
      <c r="E1288">
        <v>0</v>
      </c>
      <c r="F1288">
        <v>1043900900</v>
      </c>
      <c r="G1288">
        <v>2689061.15</v>
      </c>
      <c r="H1288">
        <v>1041083218</v>
      </c>
      <c r="I1288">
        <v>1041083218</v>
      </c>
      <c r="J1288">
        <v>1.4779999999999999E-3</v>
      </c>
      <c r="K1288">
        <v>1.4779999999999999E-3</v>
      </c>
      <c r="M1288" t="s">
        <v>3</v>
      </c>
      <c r="N1288">
        <v>2750</v>
      </c>
      <c r="O1288">
        <v>54</v>
      </c>
      <c r="P1288">
        <v>261</v>
      </c>
      <c r="Q1288">
        <v>0</v>
      </c>
      <c r="R1288">
        <v>6271279306</v>
      </c>
      <c r="S1288">
        <v>14105894.039999999</v>
      </c>
      <c r="T1288">
        <v>6257173411.96</v>
      </c>
      <c r="U1288">
        <v>6257173411.96</v>
      </c>
      <c r="V1288">
        <v>0</v>
      </c>
      <c r="W1288">
        <v>0</v>
      </c>
    </row>
    <row r="1289" spans="1:23" x14ac:dyDescent="0.35">
      <c r="A1289" t="s">
        <v>0</v>
      </c>
      <c r="B1289">
        <v>5250</v>
      </c>
      <c r="C1289">
        <v>54</v>
      </c>
      <c r="D1289">
        <v>528</v>
      </c>
      <c r="E1289">
        <v>0</v>
      </c>
      <c r="F1289">
        <v>10852122706</v>
      </c>
      <c r="G1289">
        <v>16799656.23</v>
      </c>
      <c r="H1289">
        <v>10794549619</v>
      </c>
      <c r="I1289">
        <v>10816783875.530001</v>
      </c>
      <c r="J1289">
        <v>4.4165999999999997E-2</v>
      </c>
      <c r="K1289">
        <v>2.0309000000000001E-2</v>
      </c>
      <c r="M1289" t="s">
        <v>3</v>
      </c>
      <c r="N1289">
        <v>3250</v>
      </c>
      <c r="O1289">
        <v>54</v>
      </c>
      <c r="P1289">
        <v>360</v>
      </c>
      <c r="Q1289">
        <v>0</v>
      </c>
      <c r="R1289">
        <v>5719879533</v>
      </c>
      <c r="S1289">
        <v>12032438.58</v>
      </c>
      <c r="T1289">
        <v>5673025001.3299999</v>
      </c>
      <c r="U1289">
        <v>5673025001.3299999</v>
      </c>
      <c r="V1289">
        <v>7.0657999999999999E-2</v>
      </c>
      <c r="W1289">
        <v>7.0657999999999999E-2</v>
      </c>
    </row>
    <row r="1290" spans="1:23" x14ac:dyDescent="0.35">
      <c r="A1290" t="s">
        <v>0</v>
      </c>
      <c r="B1290">
        <v>2750</v>
      </c>
      <c r="C1290">
        <v>96</v>
      </c>
      <c r="D1290">
        <v>10</v>
      </c>
      <c r="E1290">
        <v>0</v>
      </c>
      <c r="F1290">
        <v>130267863</v>
      </c>
      <c r="G1290">
        <v>351011.79</v>
      </c>
      <c r="H1290">
        <v>129900165</v>
      </c>
      <c r="I1290">
        <v>129900165</v>
      </c>
      <c r="J1290">
        <v>1.536E-3</v>
      </c>
      <c r="K1290">
        <v>1.536E-3</v>
      </c>
      <c r="M1290" t="s">
        <v>3</v>
      </c>
      <c r="N1290">
        <v>2250</v>
      </c>
      <c r="O1290">
        <v>54</v>
      </c>
      <c r="P1290">
        <v>17</v>
      </c>
      <c r="Q1290">
        <v>0</v>
      </c>
      <c r="R1290">
        <v>438901156</v>
      </c>
      <c r="S1290">
        <v>1058852.04</v>
      </c>
      <c r="T1290">
        <v>437842303.95999998</v>
      </c>
      <c r="U1290">
        <v>437842303.95999998</v>
      </c>
      <c r="V1290">
        <v>0</v>
      </c>
      <c r="W1290">
        <v>0</v>
      </c>
    </row>
    <row r="1291" spans="1:23" x14ac:dyDescent="0.35">
      <c r="A1291" t="s">
        <v>2</v>
      </c>
      <c r="B1291">
        <v>6250</v>
      </c>
      <c r="C1291">
        <v>48</v>
      </c>
      <c r="D1291">
        <v>172</v>
      </c>
      <c r="E1291">
        <v>0</v>
      </c>
      <c r="F1291">
        <v>2445393148</v>
      </c>
      <c r="G1291">
        <v>3079183.37</v>
      </c>
      <c r="H1291">
        <v>2422075881</v>
      </c>
      <c r="I1291">
        <v>2422075881</v>
      </c>
      <c r="J1291">
        <v>9.4913999999999998E-2</v>
      </c>
      <c r="K1291">
        <v>9.4913999999999998E-2</v>
      </c>
      <c r="M1291" t="s">
        <v>3</v>
      </c>
      <c r="N1291">
        <v>2750</v>
      </c>
      <c r="O1291">
        <v>48</v>
      </c>
      <c r="P1291">
        <v>24</v>
      </c>
      <c r="Q1291">
        <v>0</v>
      </c>
      <c r="R1291">
        <v>495784063</v>
      </c>
      <c r="S1291">
        <v>1091506.6499999999</v>
      </c>
      <c r="T1291">
        <v>494692556.35000002</v>
      </c>
      <c r="U1291">
        <v>494692556.35000002</v>
      </c>
      <c r="V1291">
        <v>0</v>
      </c>
      <c r="W1291">
        <v>0</v>
      </c>
    </row>
    <row r="1292" spans="1:23" x14ac:dyDescent="0.35">
      <c r="A1292" t="s">
        <v>1</v>
      </c>
      <c r="B1292">
        <v>3000</v>
      </c>
      <c r="C1292">
        <v>42</v>
      </c>
      <c r="D1292">
        <v>138</v>
      </c>
      <c r="E1292">
        <v>0</v>
      </c>
      <c r="F1292">
        <v>4651094226</v>
      </c>
      <c r="G1292">
        <v>9875223.3599999994</v>
      </c>
      <c r="H1292">
        <v>4618022868</v>
      </c>
      <c r="I1292">
        <v>4640448092.8100004</v>
      </c>
      <c r="J1292">
        <v>5.8231999999999999E-2</v>
      </c>
      <c r="K1292">
        <v>1.9870000000000001E-3</v>
      </c>
      <c r="M1292" t="s">
        <v>3</v>
      </c>
      <c r="N1292">
        <v>3000</v>
      </c>
      <c r="O1292">
        <v>48</v>
      </c>
      <c r="P1292">
        <v>39</v>
      </c>
      <c r="Q1292">
        <v>0</v>
      </c>
      <c r="R1292">
        <v>913926745</v>
      </c>
      <c r="S1292">
        <v>1952391.08</v>
      </c>
      <c r="T1292">
        <v>911974353.91999996</v>
      </c>
      <c r="U1292">
        <v>911974353.91999996</v>
      </c>
      <c r="V1292">
        <v>0</v>
      </c>
      <c r="W1292">
        <v>0</v>
      </c>
    </row>
    <row r="1293" spans="1:23" x14ac:dyDescent="0.35">
      <c r="A1293" t="s">
        <v>2</v>
      </c>
      <c r="B1293">
        <v>4750</v>
      </c>
      <c r="C1293">
        <v>54</v>
      </c>
      <c r="D1293">
        <v>134</v>
      </c>
      <c r="E1293">
        <v>0</v>
      </c>
      <c r="F1293">
        <v>1593370935</v>
      </c>
      <c r="G1293">
        <v>2706569.97</v>
      </c>
      <c r="H1293">
        <v>1581057925</v>
      </c>
      <c r="I1293">
        <v>1581057925</v>
      </c>
      <c r="J1293">
        <v>6.9997000000000004E-2</v>
      </c>
      <c r="K1293">
        <v>6.9997000000000004E-2</v>
      </c>
      <c r="M1293" t="s">
        <v>3</v>
      </c>
      <c r="N1293">
        <v>3250</v>
      </c>
      <c r="O1293">
        <v>48</v>
      </c>
      <c r="P1293">
        <v>46</v>
      </c>
      <c r="Q1293">
        <v>0</v>
      </c>
      <c r="R1293">
        <v>1069803172</v>
      </c>
      <c r="S1293">
        <v>2200869.25</v>
      </c>
      <c r="T1293">
        <v>1067602302.75</v>
      </c>
      <c r="U1293">
        <v>1067602302.75</v>
      </c>
      <c r="V1293">
        <v>0</v>
      </c>
      <c r="W1293">
        <v>0</v>
      </c>
    </row>
    <row r="1294" spans="1:23" x14ac:dyDescent="0.35">
      <c r="A1294" t="s">
        <v>2</v>
      </c>
      <c r="B1294">
        <v>5250</v>
      </c>
      <c r="C1294">
        <v>60</v>
      </c>
      <c r="D1294">
        <v>42</v>
      </c>
      <c r="E1294">
        <v>0</v>
      </c>
      <c r="F1294">
        <v>485728468</v>
      </c>
      <c r="G1294">
        <v>817654.46</v>
      </c>
      <c r="H1294">
        <v>484990220</v>
      </c>
      <c r="I1294">
        <v>484990220</v>
      </c>
      <c r="J1294">
        <v>-1.964E-3</v>
      </c>
      <c r="K1294">
        <v>-1.964E-3</v>
      </c>
      <c r="M1294" t="s">
        <v>3</v>
      </c>
      <c r="N1294">
        <v>2250</v>
      </c>
      <c r="O1294">
        <v>60</v>
      </c>
      <c r="P1294">
        <v>66</v>
      </c>
      <c r="Q1294">
        <v>0</v>
      </c>
      <c r="R1294">
        <v>1451998329</v>
      </c>
      <c r="S1294">
        <v>3583209.85</v>
      </c>
      <c r="T1294">
        <v>1448415119.1500001</v>
      </c>
      <c r="U1294">
        <v>1448415119.1500001</v>
      </c>
      <c r="V1294">
        <v>0</v>
      </c>
      <c r="W1294">
        <v>0</v>
      </c>
    </row>
    <row r="1295" spans="1:23" x14ac:dyDescent="0.35">
      <c r="A1295" t="s">
        <v>1</v>
      </c>
      <c r="B1295">
        <v>5000</v>
      </c>
      <c r="C1295">
        <v>54</v>
      </c>
      <c r="D1295">
        <v>71</v>
      </c>
      <c r="E1295">
        <v>0</v>
      </c>
      <c r="F1295">
        <v>1668886431</v>
      </c>
      <c r="G1295">
        <v>2714996.97</v>
      </c>
      <c r="H1295">
        <v>1588193870</v>
      </c>
      <c r="I1295">
        <v>1628272745.9100001</v>
      </c>
      <c r="J1295">
        <v>0.43685200000000002</v>
      </c>
      <c r="K1295">
        <v>0.240921</v>
      </c>
      <c r="M1295" t="s">
        <v>2</v>
      </c>
      <c r="N1295">
        <v>4250</v>
      </c>
      <c r="O1295">
        <v>54</v>
      </c>
      <c r="P1295">
        <v>507</v>
      </c>
      <c r="Q1295">
        <v>0</v>
      </c>
      <c r="R1295">
        <v>6599686757</v>
      </c>
      <c r="S1295">
        <v>12066407.15</v>
      </c>
      <c r="T1295">
        <v>6520539085.5699997</v>
      </c>
      <c r="U1295">
        <v>6568654058.1599998</v>
      </c>
      <c r="V1295">
        <v>0.115379</v>
      </c>
      <c r="W1295">
        <v>3.3945999999999997E-2</v>
      </c>
    </row>
    <row r="1296" spans="1:23" x14ac:dyDescent="0.35">
      <c r="A1296" t="s">
        <v>3</v>
      </c>
      <c r="B1296">
        <v>3750</v>
      </c>
      <c r="C1296">
        <v>54</v>
      </c>
      <c r="D1296">
        <v>81</v>
      </c>
      <c r="E1296">
        <v>0</v>
      </c>
      <c r="F1296">
        <v>1836531011</v>
      </c>
      <c r="G1296">
        <v>3604626.64</v>
      </c>
      <c r="H1296">
        <v>1813883077</v>
      </c>
      <c r="I1296">
        <v>1833227346.6099999</v>
      </c>
      <c r="J1296">
        <v>0.117573</v>
      </c>
      <c r="K1296">
        <v>-1.9680000000000001E-3</v>
      </c>
      <c r="M1296" t="s">
        <v>1</v>
      </c>
      <c r="N1296">
        <v>5000</v>
      </c>
      <c r="O1296">
        <v>60</v>
      </c>
      <c r="P1296">
        <v>31</v>
      </c>
      <c r="Q1296">
        <v>0</v>
      </c>
      <c r="R1296">
        <v>661899002</v>
      </c>
      <c r="S1296">
        <v>1128376.1599999999</v>
      </c>
      <c r="T1296">
        <v>660770625.84000003</v>
      </c>
      <c r="U1296">
        <v>660770625.84000003</v>
      </c>
      <c r="V1296">
        <v>0</v>
      </c>
      <c r="W1296">
        <v>0</v>
      </c>
    </row>
    <row r="1297" spans="1:23" x14ac:dyDescent="0.35">
      <c r="A1297" t="s">
        <v>2</v>
      </c>
      <c r="B1297">
        <v>5250</v>
      </c>
      <c r="C1297">
        <v>54</v>
      </c>
      <c r="D1297">
        <v>63</v>
      </c>
      <c r="E1297">
        <v>0</v>
      </c>
      <c r="F1297">
        <v>812654854</v>
      </c>
      <c r="G1297">
        <v>1311656</v>
      </c>
      <c r="H1297">
        <v>811543228</v>
      </c>
      <c r="I1297">
        <v>811543228</v>
      </c>
      <c r="J1297">
        <v>-2.9580000000000001E-3</v>
      </c>
      <c r="K1297">
        <v>-2.9580000000000001E-3</v>
      </c>
      <c r="M1297" t="s">
        <v>1</v>
      </c>
      <c r="N1297">
        <v>2000</v>
      </c>
      <c r="O1297">
        <v>54</v>
      </c>
      <c r="P1297">
        <v>1850</v>
      </c>
      <c r="Q1297">
        <v>0</v>
      </c>
      <c r="R1297">
        <v>55007834119</v>
      </c>
      <c r="S1297">
        <v>138886472.75</v>
      </c>
      <c r="T1297">
        <v>54742617198.57</v>
      </c>
      <c r="U1297">
        <v>54868947646.25</v>
      </c>
      <c r="V1297">
        <v>2.7213999999999999E-2</v>
      </c>
      <c r="W1297">
        <v>0</v>
      </c>
    </row>
    <row r="1298" spans="1:23" x14ac:dyDescent="0.35">
      <c r="A1298" t="s">
        <v>1</v>
      </c>
      <c r="B1298">
        <v>7500</v>
      </c>
      <c r="C1298">
        <v>42</v>
      </c>
      <c r="D1298">
        <v>256</v>
      </c>
      <c r="E1298">
        <v>0</v>
      </c>
      <c r="F1298">
        <v>5279370104</v>
      </c>
      <c r="G1298">
        <v>5184973.8099999996</v>
      </c>
      <c r="H1298">
        <v>5009095040</v>
      </c>
      <c r="I1298">
        <v>5244014283.9200001</v>
      </c>
      <c r="J1298">
        <v>0.461088</v>
      </c>
      <c r="K1298">
        <v>6.6462999999999994E-2</v>
      </c>
      <c r="M1298" t="s">
        <v>3</v>
      </c>
      <c r="N1298">
        <v>3750</v>
      </c>
      <c r="O1298">
        <v>60</v>
      </c>
      <c r="P1298">
        <v>75</v>
      </c>
      <c r="Q1298">
        <v>0</v>
      </c>
      <c r="R1298">
        <v>1313794746</v>
      </c>
      <c r="S1298">
        <v>2625210.7999999998</v>
      </c>
      <c r="T1298">
        <v>1311169535.2</v>
      </c>
      <c r="U1298">
        <v>1311169535.2</v>
      </c>
      <c r="V1298">
        <v>0</v>
      </c>
      <c r="W1298">
        <v>0</v>
      </c>
    </row>
    <row r="1299" spans="1:23" x14ac:dyDescent="0.35">
      <c r="A1299" t="s">
        <v>2</v>
      </c>
      <c r="B1299">
        <v>5000</v>
      </c>
      <c r="C1299">
        <v>54</v>
      </c>
      <c r="D1299">
        <v>33</v>
      </c>
      <c r="E1299">
        <v>0</v>
      </c>
      <c r="F1299">
        <v>354392853</v>
      </c>
      <c r="G1299">
        <v>599628.86</v>
      </c>
      <c r="H1299">
        <v>353630410</v>
      </c>
      <c r="I1299">
        <v>353630410</v>
      </c>
      <c r="J1299">
        <v>5.4990000000000004E-3</v>
      </c>
      <c r="K1299">
        <v>5.4990000000000004E-3</v>
      </c>
      <c r="M1299" t="s">
        <v>3</v>
      </c>
      <c r="N1299">
        <v>4500</v>
      </c>
      <c r="O1299">
        <v>60</v>
      </c>
      <c r="P1299">
        <v>2</v>
      </c>
      <c r="Q1299">
        <v>0</v>
      </c>
      <c r="R1299">
        <v>42407543</v>
      </c>
      <c r="S1299">
        <v>76147.72</v>
      </c>
      <c r="T1299">
        <v>42331395.280000001</v>
      </c>
      <c r="U1299">
        <v>42331395.280000001</v>
      </c>
      <c r="V1299">
        <v>0</v>
      </c>
      <c r="W1299">
        <v>0</v>
      </c>
    </row>
    <row r="1300" spans="1:23" x14ac:dyDescent="0.35">
      <c r="A1300" t="s">
        <v>0</v>
      </c>
      <c r="B1300">
        <v>5750</v>
      </c>
      <c r="C1300">
        <v>54</v>
      </c>
      <c r="D1300">
        <v>54</v>
      </c>
      <c r="E1300">
        <v>0</v>
      </c>
      <c r="F1300">
        <v>963204681</v>
      </c>
      <c r="G1300">
        <v>1389218.38</v>
      </c>
      <c r="H1300">
        <v>915648585</v>
      </c>
      <c r="I1300">
        <v>961555892.86000001</v>
      </c>
      <c r="J1300">
        <v>0.44534400000000002</v>
      </c>
      <c r="K1300">
        <v>3.2290000000000001E-3</v>
      </c>
      <c r="M1300" t="s">
        <v>3</v>
      </c>
      <c r="N1300">
        <v>3500</v>
      </c>
      <c r="O1300">
        <v>60</v>
      </c>
      <c r="P1300">
        <v>78</v>
      </c>
      <c r="Q1300">
        <v>0</v>
      </c>
      <c r="R1300">
        <v>1718300778</v>
      </c>
      <c r="S1300">
        <v>3558000.93</v>
      </c>
      <c r="T1300">
        <v>1714742777.0699999</v>
      </c>
      <c r="U1300">
        <v>1714742777.0699999</v>
      </c>
      <c r="V1300">
        <v>0</v>
      </c>
      <c r="W1300">
        <v>0</v>
      </c>
    </row>
    <row r="1301" spans="1:23" x14ac:dyDescent="0.35">
      <c r="A1301" t="s">
        <v>1</v>
      </c>
      <c r="B1301">
        <v>6250</v>
      </c>
      <c r="C1301">
        <v>48</v>
      </c>
      <c r="D1301">
        <v>1415</v>
      </c>
      <c r="E1301">
        <v>0</v>
      </c>
      <c r="F1301">
        <v>36510475945</v>
      </c>
      <c r="G1301">
        <v>46186557.409999996</v>
      </c>
      <c r="H1301">
        <v>35847935581</v>
      </c>
      <c r="I1301">
        <v>36229579035.139999</v>
      </c>
      <c r="J1301">
        <v>0.18478900000000001</v>
      </c>
      <c r="K1301">
        <v>7.4472999999999998E-2</v>
      </c>
      <c r="M1301" t="s">
        <v>3</v>
      </c>
      <c r="N1301">
        <v>4000</v>
      </c>
      <c r="O1301">
        <v>54</v>
      </c>
      <c r="P1301">
        <v>55</v>
      </c>
      <c r="Q1301">
        <v>0</v>
      </c>
      <c r="R1301">
        <v>1123105209</v>
      </c>
      <c r="S1301">
        <v>2095548.58</v>
      </c>
      <c r="T1301">
        <v>1085493485.5899999</v>
      </c>
      <c r="U1301">
        <v>1121009660.4200001</v>
      </c>
      <c r="V1301">
        <v>0.319963</v>
      </c>
      <c r="W1301">
        <v>0</v>
      </c>
    </row>
    <row r="1302" spans="1:23" x14ac:dyDescent="0.35">
      <c r="A1302" t="s">
        <v>3</v>
      </c>
      <c r="B1302">
        <v>5250</v>
      </c>
      <c r="C1302">
        <v>48</v>
      </c>
      <c r="D1302">
        <v>70</v>
      </c>
      <c r="E1302">
        <v>0</v>
      </c>
      <c r="F1302">
        <v>1498081461</v>
      </c>
      <c r="G1302">
        <v>2241921.65</v>
      </c>
      <c r="H1302">
        <v>1495714051</v>
      </c>
      <c r="I1302">
        <v>1495714051</v>
      </c>
      <c r="J1302">
        <v>1.005E-3</v>
      </c>
      <c r="K1302">
        <v>1.005E-3</v>
      </c>
      <c r="M1302" t="s">
        <v>3</v>
      </c>
      <c r="N1302">
        <v>4250</v>
      </c>
      <c r="O1302">
        <v>54</v>
      </c>
      <c r="P1302">
        <v>42</v>
      </c>
      <c r="Q1302">
        <v>0</v>
      </c>
      <c r="R1302">
        <v>740838183</v>
      </c>
      <c r="S1302">
        <v>1332313.6200000001</v>
      </c>
      <c r="T1302">
        <v>739505869.38</v>
      </c>
      <c r="U1302">
        <v>739505869.38</v>
      </c>
      <c r="V1302">
        <v>0</v>
      </c>
      <c r="W1302">
        <v>0</v>
      </c>
    </row>
    <row r="1303" spans="1:23" x14ac:dyDescent="0.35">
      <c r="A1303" t="s">
        <v>3</v>
      </c>
      <c r="B1303">
        <v>5000</v>
      </c>
      <c r="C1303">
        <v>48</v>
      </c>
      <c r="D1303">
        <v>74</v>
      </c>
      <c r="E1303">
        <v>0</v>
      </c>
      <c r="F1303">
        <v>1681786775</v>
      </c>
      <c r="G1303">
        <v>2610417.0499999998</v>
      </c>
      <c r="H1303">
        <v>1678695067</v>
      </c>
      <c r="I1303">
        <v>1678695067</v>
      </c>
      <c r="J1303">
        <v>3.4290000000000002E-3</v>
      </c>
      <c r="K1303">
        <v>3.4290000000000002E-3</v>
      </c>
      <c r="M1303" t="s">
        <v>3</v>
      </c>
      <c r="N1303">
        <v>3500</v>
      </c>
      <c r="O1303">
        <v>48</v>
      </c>
      <c r="P1303">
        <v>72</v>
      </c>
      <c r="Q1303">
        <v>0</v>
      </c>
      <c r="R1303">
        <v>1685820925</v>
      </c>
      <c r="S1303">
        <v>3321013.97</v>
      </c>
      <c r="T1303">
        <v>1667185351.97</v>
      </c>
      <c r="U1303">
        <v>1667185351.97</v>
      </c>
      <c r="V1303">
        <v>0.103727</v>
      </c>
      <c r="W1303">
        <v>0.103727</v>
      </c>
    </row>
    <row r="1304" spans="1:23" x14ac:dyDescent="0.35">
      <c r="A1304" t="s">
        <v>3</v>
      </c>
      <c r="B1304">
        <v>4750</v>
      </c>
      <c r="C1304">
        <v>48</v>
      </c>
      <c r="D1304">
        <v>63</v>
      </c>
      <c r="E1304">
        <v>0</v>
      </c>
      <c r="F1304">
        <v>1449728946</v>
      </c>
      <c r="G1304">
        <v>2345766.37</v>
      </c>
      <c r="H1304">
        <v>1447539316</v>
      </c>
      <c r="I1304">
        <v>1447539316</v>
      </c>
      <c r="J1304">
        <v>-1.2930000000000001E-3</v>
      </c>
      <c r="K1304">
        <v>-1.2930000000000001E-3</v>
      </c>
      <c r="M1304" t="s">
        <v>3</v>
      </c>
      <c r="N1304">
        <v>4000</v>
      </c>
      <c r="O1304">
        <v>60</v>
      </c>
      <c r="P1304">
        <v>27</v>
      </c>
      <c r="Q1304">
        <v>0</v>
      </c>
      <c r="R1304">
        <v>528211226</v>
      </c>
      <c r="S1304">
        <v>1018589.96</v>
      </c>
      <c r="T1304">
        <v>500402205.36000001</v>
      </c>
      <c r="U1304">
        <v>527192636.04000002</v>
      </c>
      <c r="V1304">
        <v>0.464528</v>
      </c>
      <c r="W1304">
        <v>0</v>
      </c>
    </row>
    <row r="1305" spans="1:23" x14ac:dyDescent="0.35">
      <c r="A1305" t="s">
        <v>3</v>
      </c>
      <c r="B1305">
        <v>3250</v>
      </c>
      <c r="C1305">
        <v>48</v>
      </c>
      <c r="D1305">
        <v>31</v>
      </c>
      <c r="E1305">
        <v>0</v>
      </c>
      <c r="F1305">
        <v>769688259</v>
      </c>
      <c r="G1305">
        <v>1588027.87</v>
      </c>
      <c r="H1305">
        <v>768197024</v>
      </c>
      <c r="I1305">
        <v>768197024</v>
      </c>
      <c r="J1305">
        <v>-1.5100000000000001E-3</v>
      </c>
      <c r="K1305">
        <v>-1.5100000000000001E-3</v>
      </c>
      <c r="M1305" t="s">
        <v>1</v>
      </c>
      <c r="N1305">
        <v>2000</v>
      </c>
      <c r="O1305">
        <v>60</v>
      </c>
      <c r="P1305">
        <v>7468</v>
      </c>
      <c r="Q1305">
        <v>0</v>
      </c>
      <c r="R1305">
        <v>214144824399</v>
      </c>
      <c r="S1305">
        <v>557890771.61000001</v>
      </c>
      <c r="T1305">
        <v>212841013942.20001</v>
      </c>
      <c r="U1305">
        <v>213586933627.39001</v>
      </c>
      <c r="V1305">
        <v>4.1007000000000002E-2</v>
      </c>
      <c r="W1305">
        <v>0</v>
      </c>
    </row>
    <row r="1306" spans="1:23" x14ac:dyDescent="0.35">
      <c r="A1306" t="s">
        <v>1</v>
      </c>
      <c r="B1306">
        <v>5250</v>
      </c>
      <c r="C1306">
        <v>54</v>
      </c>
      <c r="D1306">
        <v>383</v>
      </c>
      <c r="E1306">
        <v>0</v>
      </c>
      <c r="F1306">
        <v>8966731826</v>
      </c>
      <c r="G1306">
        <v>13834085.6</v>
      </c>
      <c r="H1306">
        <v>8885976540</v>
      </c>
      <c r="I1306">
        <v>8938375633.7600002</v>
      </c>
      <c r="J1306">
        <v>8.5972999999999994E-2</v>
      </c>
      <c r="K1306">
        <v>1.9262000000000001E-2</v>
      </c>
      <c r="M1306" t="s">
        <v>0</v>
      </c>
      <c r="N1306">
        <v>5250</v>
      </c>
      <c r="O1306">
        <v>54</v>
      </c>
      <c r="P1306">
        <v>479</v>
      </c>
      <c r="Q1306">
        <v>0</v>
      </c>
      <c r="R1306">
        <v>9559574465</v>
      </c>
      <c r="S1306">
        <v>14826158.59</v>
      </c>
      <c r="T1306">
        <v>9422305016.5300007</v>
      </c>
      <c r="U1306">
        <v>9544748306.4099998</v>
      </c>
      <c r="V1306">
        <v>0.14332300000000001</v>
      </c>
      <c r="W1306">
        <v>0</v>
      </c>
    </row>
    <row r="1307" spans="1:23" x14ac:dyDescent="0.35">
      <c r="A1307" t="s">
        <v>0</v>
      </c>
      <c r="B1307">
        <v>2750</v>
      </c>
      <c r="C1307">
        <v>48</v>
      </c>
      <c r="D1307">
        <v>5658</v>
      </c>
      <c r="E1307">
        <v>0</v>
      </c>
      <c r="F1307">
        <v>145698769455</v>
      </c>
      <c r="G1307">
        <v>321483098.25999999</v>
      </c>
      <c r="H1307">
        <v>144596049525</v>
      </c>
      <c r="I1307">
        <v>145327319810.76001</v>
      </c>
      <c r="J1307">
        <v>6.2480000000000001E-2</v>
      </c>
      <c r="K1307">
        <v>4.1079999999999997E-3</v>
      </c>
      <c r="M1307" t="s">
        <v>0</v>
      </c>
      <c r="N1307">
        <v>2000</v>
      </c>
      <c r="O1307">
        <v>60</v>
      </c>
      <c r="P1307">
        <v>260</v>
      </c>
      <c r="Q1307">
        <v>0</v>
      </c>
      <c r="R1307">
        <v>6584231900</v>
      </c>
      <c r="S1307">
        <v>16997046.899999999</v>
      </c>
      <c r="T1307">
        <v>6550154324.3299999</v>
      </c>
      <c r="U1307">
        <v>6567234853.1000004</v>
      </c>
      <c r="V1307">
        <v>3.0689999999999999E-2</v>
      </c>
      <c r="W1307">
        <v>0</v>
      </c>
    </row>
    <row r="1308" spans="1:23" x14ac:dyDescent="0.35">
      <c r="A1308" t="s">
        <v>0</v>
      </c>
      <c r="B1308">
        <v>2250</v>
      </c>
      <c r="C1308">
        <v>48</v>
      </c>
      <c r="D1308">
        <v>519</v>
      </c>
      <c r="E1308">
        <v>0</v>
      </c>
      <c r="F1308">
        <v>13514787231</v>
      </c>
      <c r="G1308">
        <v>31884389.489999998</v>
      </c>
      <c r="H1308">
        <v>13463355970</v>
      </c>
      <c r="I1308">
        <v>13480849753.75</v>
      </c>
      <c r="J1308">
        <v>1.7219000000000002E-2</v>
      </c>
      <c r="K1308">
        <v>1.8209999999999999E-3</v>
      </c>
      <c r="M1308" t="s">
        <v>2</v>
      </c>
      <c r="N1308">
        <v>2000</v>
      </c>
      <c r="O1308">
        <v>60</v>
      </c>
      <c r="P1308">
        <v>63</v>
      </c>
      <c r="Q1308">
        <v>0</v>
      </c>
      <c r="R1308">
        <v>1133614725</v>
      </c>
      <c r="S1308">
        <v>2914416.02</v>
      </c>
      <c r="T1308">
        <v>1130700308.98</v>
      </c>
      <c r="U1308">
        <v>1130700308.98</v>
      </c>
      <c r="V1308">
        <v>0</v>
      </c>
      <c r="W1308">
        <v>0</v>
      </c>
    </row>
    <row r="1309" spans="1:23" x14ac:dyDescent="0.35">
      <c r="A1309" t="s">
        <v>2</v>
      </c>
      <c r="B1309">
        <v>5500</v>
      </c>
      <c r="C1309">
        <v>54</v>
      </c>
      <c r="D1309">
        <v>18</v>
      </c>
      <c r="E1309">
        <v>0</v>
      </c>
      <c r="F1309">
        <v>214080643</v>
      </c>
      <c r="G1309">
        <v>358950.72</v>
      </c>
      <c r="H1309">
        <v>213708753</v>
      </c>
      <c r="I1309">
        <v>213708753</v>
      </c>
      <c r="J1309">
        <v>7.2499999999999995E-4</v>
      </c>
      <c r="K1309">
        <v>7.2499999999999995E-4</v>
      </c>
      <c r="M1309" t="s">
        <v>0</v>
      </c>
      <c r="N1309">
        <v>2000</v>
      </c>
      <c r="O1309">
        <v>54</v>
      </c>
      <c r="P1309">
        <v>181</v>
      </c>
      <c r="Q1309">
        <v>0</v>
      </c>
      <c r="R1309">
        <v>4962525592</v>
      </c>
      <c r="S1309">
        <v>12478385.15</v>
      </c>
      <c r="T1309">
        <v>4935365691.46</v>
      </c>
      <c r="U1309">
        <v>4950047206.8500004</v>
      </c>
      <c r="V1309">
        <v>3.4930000000000003E-2</v>
      </c>
      <c r="W1309">
        <v>0</v>
      </c>
    </row>
    <row r="1310" spans="1:23" x14ac:dyDescent="0.35">
      <c r="A1310" t="s">
        <v>1</v>
      </c>
      <c r="B1310">
        <v>4250</v>
      </c>
      <c r="C1310">
        <v>5</v>
      </c>
      <c r="D1310">
        <v>1086</v>
      </c>
      <c r="E1310">
        <v>0</v>
      </c>
      <c r="F1310">
        <v>41454300000</v>
      </c>
      <c r="G1310">
        <v>57876383.219999999</v>
      </c>
      <c r="H1310">
        <v>41408111617</v>
      </c>
      <c r="I1310">
        <v>41408111617</v>
      </c>
      <c r="J1310">
        <v>-3.3890000000000001E-3</v>
      </c>
      <c r="K1310">
        <v>-3.3890000000000001E-3</v>
      </c>
      <c r="M1310" t="s">
        <v>0</v>
      </c>
      <c r="N1310">
        <v>2750</v>
      </c>
      <c r="O1310">
        <v>96</v>
      </c>
      <c r="P1310">
        <v>10</v>
      </c>
      <c r="Q1310">
        <v>0</v>
      </c>
      <c r="R1310">
        <v>130656572</v>
      </c>
      <c r="S1310">
        <v>350312.98</v>
      </c>
      <c r="T1310">
        <v>130306259.02</v>
      </c>
      <c r="U1310">
        <v>130306259.02</v>
      </c>
      <c r="V1310">
        <v>0</v>
      </c>
      <c r="W1310">
        <v>0</v>
      </c>
    </row>
    <row r="1311" spans="1:23" x14ac:dyDescent="0.35">
      <c r="A1311" t="s">
        <v>0</v>
      </c>
      <c r="B1311">
        <v>4250</v>
      </c>
      <c r="C1311">
        <v>5</v>
      </c>
      <c r="D1311">
        <v>2410</v>
      </c>
      <c r="E1311">
        <v>0</v>
      </c>
      <c r="F1311">
        <v>80351800000</v>
      </c>
      <c r="G1311">
        <v>112192812.11</v>
      </c>
      <c r="H1311">
        <v>80256082503</v>
      </c>
      <c r="I1311">
        <v>80288636695.470001</v>
      </c>
      <c r="J1311">
        <v>-2.4629999999999999E-3</v>
      </c>
      <c r="K1311">
        <v>-7.3470000000000002E-3</v>
      </c>
      <c r="M1311" t="s">
        <v>1</v>
      </c>
      <c r="N1311">
        <v>3000</v>
      </c>
      <c r="O1311">
        <v>42</v>
      </c>
      <c r="P1311">
        <v>228</v>
      </c>
      <c r="Q1311">
        <v>0</v>
      </c>
      <c r="R1311">
        <v>7792397691</v>
      </c>
      <c r="S1311">
        <v>16422340.949999999</v>
      </c>
      <c r="T1311">
        <v>7728056862.3999996</v>
      </c>
      <c r="U1311">
        <v>7751177218.0299997</v>
      </c>
      <c r="V1311">
        <v>7.1346999999999994E-2</v>
      </c>
      <c r="W1311">
        <v>3.7526999999999998E-2</v>
      </c>
    </row>
    <row r="1312" spans="1:23" x14ac:dyDescent="0.35">
      <c r="A1312" t="s">
        <v>1</v>
      </c>
      <c r="B1312">
        <v>4500</v>
      </c>
      <c r="C1312">
        <v>5</v>
      </c>
      <c r="D1312">
        <v>1562</v>
      </c>
      <c r="E1312">
        <v>0</v>
      </c>
      <c r="F1312">
        <v>61790800000</v>
      </c>
      <c r="G1312">
        <v>82715743.730000004</v>
      </c>
      <c r="H1312">
        <v>61745241150</v>
      </c>
      <c r="I1312">
        <v>61745241150</v>
      </c>
      <c r="J1312">
        <v>-7.2399999999999999E-3</v>
      </c>
      <c r="K1312">
        <v>-7.2399999999999999E-3</v>
      </c>
      <c r="M1312" t="s">
        <v>2</v>
      </c>
      <c r="N1312">
        <v>4750</v>
      </c>
      <c r="O1312">
        <v>54</v>
      </c>
      <c r="P1312">
        <v>136</v>
      </c>
      <c r="Q1312">
        <v>0</v>
      </c>
      <c r="R1312">
        <v>1626149791</v>
      </c>
      <c r="S1312">
        <v>2774383.95</v>
      </c>
      <c r="T1312">
        <v>1623375407.05</v>
      </c>
      <c r="U1312">
        <v>1623375407.05</v>
      </c>
      <c r="V1312">
        <v>0</v>
      </c>
      <c r="W1312">
        <v>0</v>
      </c>
    </row>
    <row r="1313" spans="1:23" x14ac:dyDescent="0.35">
      <c r="A1313" t="s">
        <v>3</v>
      </c>
      <c r="B1313">
        <v>4000</v>
      </c>
      <c r="C1313">
        <v>48</v>
      </c>
      <c r="D1313">
        <v>42</v>
      </c>
      <c r="E1313">
        <v>0</v>
      </c>
      <c r="F1313">
        <v>923697563</v>
      </c>
      <c r="G1313">
        <v>1697913.34</v>
      </c>
      <c r="H1313">
        <v>921309230</v>
      </c>
      <c r="I1313">
        <v>921309230</v>
      </c>
      <c r="J1313">
        <v>8.933E-3</v>
      </c>
      <c r="K1313">
        <v>8.933E-3</v>
      </c>
      <c r="M1313" t="s">
        <v>2</v>
      </c>
      <c r="N1313">
        <v>5250</v>
      </c>
      <c r="O1313">
        <v>54</v>
      </c>
      <c r="P1313">
        <v>65</v>
      </c>
      <c r="Q1313">
        <v>0</v>
      </c>
      <c r="R1313">
        <v>849350379</v>
      </c>
      <c r="S1313">
        <v>1377701.92</v>
      </c>
      <c r="T1313">
        <v>843291339.94000006</v>
      </c>
      <c r="U1313">
        <v>843291339.94000006</v>
      </c>
      <c r="V1313">
        <v>6.4171000000000006E-2</v>
      </c>
      <c r="W1313">
        <v>6.4171000000000006E-2</v>
      </c>
    </row>
    <row r="1314" spans="1:23" x14ac:dyDescent="0.35">
      <c r="A1314" t="s">
        <v>3</v>
      </c>
      <c r="B1314">
        <v>4250</v>
      </c>
      <c r="C1314">
        <v>48</v>
      </c>
      <c r="D1314">
        <v>112</v>
      </c>
      <c r="E1314">
        <v>0</v>
      </c>
      <c r="F1314">
        <v>2607291459</v>
      </c>
      <c r="G1314">
        <v>4575346.74</v>
      </c>
      <c r="H1314">
        <v>2601236755</v>
      </c>
      <c r="I1314">
        <v>2601236755</v>
      </c>
      <c r="J1314">
        <v>6.7879999999999998E-3</v>
      </c>
      <c r="K1314">
        <v>6.7879999999999998E-3</v>
      </c>
      <c r="M1314" t="s">
        <v>1</v>
      </c>
      <c r="N1314">
        <v>5250</v>
      </c>
      <c r="O1314">
        <v>54</v>
      </c>
      <c r="P1314">
        <v>367</v>
      </c>
      <c r="Q1314">
        <v>0</v>
      </c>
      <c r="R1314">
        <v>8462222996</v>
      </c>
      <c r="S1314">
        <v>13033185.9</v>
      </c>
      <c r="T1314">
        <v>8277697344.6099997</v>
      </c>
      <c r="U1314">
        <v>8366329658.54</v>
      </c>
      <c r="V1314">
        <v>0.217832</v>
      </c>
      <c r="W1314">
        <v>0.111375</v>
      </c>
    </row>
    <row r="1315" spans="1:23" x14ac:dyDescent="0.35">
      <c r="A1315" t="s">
        <v>0</v>
      </c>
      <c r="B1315">
        <v>6250</v>
      </c>
      <c r="C1315">
        <v>144</v>
      </c>
      <c r="D1315">
        <v>7</v>
      </c>
      <c r="E1315">
        <v>0</v>
      </c>
      <c r="F1315">
        <v>40213419</v>
      </c>
      <c r="G1315">
        <v>89730.95</v>
      </c>
      <c r="H1315">
        <v>40144058</v>
      </c>
      <c r="I1315">
        <v>40144058</v>
      </c>
      <c r="J1315">
        <v>-6.0959999999999999E-3</v>
      </c>
      <c r="K1315">
        <v>-6.0959999999999999E-3</v>
      </c>
      <c r="M1315" t="s">
        <v>1</v>
      </c>
      <c r="N1315">
        <v>5000</v>
      </c>
      <c r="O1315">
        <v>54</v>
      </c>
      <c r="P1315">
        <v>65</v>
      </c>
      <c r="Q1315">
        <v>0</v>
      </c>
      <c r="R1315">
        <v>1523479527</v>
      </c>
      <c r="S1315">
        <v>2477811.31</v>
      </c>
      <c r="T1315">
        <v>1469784696.02</v>
      </c>
      <c r="U1315">
        <v>1480829901.49</v>
      </c>
      <c r="V1315">
        <v>0.336588</v>
      </c>
      <c r="W1315">
        <v>0.27433600000000002</v>
      </c>
    </row>
    <row r="1316" spans="1:23" x14ac:dyDescent="0.35">
      <c r="A1316" t="s">
        <v>3</v>
      </c>
      <c r="B1316">
        <v>4750</v>
      </c>
      <c r="C1316">
        <v>54</v>
      </c>
      <c r="D1316">
        <v>2</v>
      </c>
      <c r="E1316">
        <v>0</v>
      </c>
      <c r="F1316">
        <v>41170949</v>
      </c>
      <c r="G1316">
        <v>67440.3</v>
      </c>
      <c r="H1316">
        <v>41102829</v>
      </c>
      <c r="I1316">
        <v>41102829</v>
      </c>
      <c r="J1316">
        <v>1.9799999999999999E-4</v>
      </c>
      <c r="K1316">
        <v>1.9799999999999999E-4</v>
      </c>
      <c r="M1316" t="s">
        <v>3</v>
      </c>
      <c r="N1316">
        <v>3750</v>
      </c>
      <c r="O1316">
        <v>54</v>
      </c>
      <c r="P1316">
        <v>81</v>
      </c>
      <c r="Q1316">
        <v>0</v>
      </c>
      <c r="R1316">
        <v>1737768183</v>
      </c>
      <c r="S1316">
        <v>3405876.29</v>
      </c>
      <c r="T1316">
        <v>1728712516.46</v>
      </c>
      <c r="U1316">
        <v>1734362306.71</v>
      </c>
      <c r="V1316">
        <v>3.8323999999999997E-2</v>
      </c>
      <c r="W1316">
        <v>0</v>
      </c>
    </row>
    <row r="1317" spans="1:23" x14ac:dyDescent="0.35">
      <c r="A1317" t="s">
        <v>3</v>
      </c>
      <c r="B1317">
        <v>4500</v>
      </c>
      <c r="C1317">
        <v>48</v>
      </c>
      <c r="D1317">
        <v>25</v>
      </c>
      <c r="E1317">
        <v>0</v>
      </c>
      <c r="F1317">
        <v>572108654</v>
      </c>
      <c r="G1317">
        <v>962236.83</v>
      </c>
      <c r="H1317">
        <v>570974066</v>
      </c>
      <c r="I1317">
        <v>570974066</v>
      </c>
      <c r="J1317">
        <v>3.6089999999999998E-3</v>
      </c>
      <c r="K1317">
        <v>3.6089999999999998E-3</v>
      </c>
      <c r="M1317" t="s">
        <v>1</v>
      </c>
      <c r="N1317">
        <v>7500</v>
      </c>
      <c r="O1317">
        <v>42</v>
      </c>
      <c r="P1317">
        <v>237</v>
      </c>
      <c r="Q1317">
        <v>0</v>
      </c>
      <c r="R1317">
        <v>4862641189</v>
      </c>
      <c r="S1317">
        <v>4746784.38</v>
      </c>
      <c r="T1317">
        <v>4713586271.9700003</v>
      </c>
      <c r="U1317">
        <v>4780800158.3900003</v>
      </c>
      <c r="V1317">
        <v>0.30337900000000001</v>
      </c>
      <c r="W1317">
        <v>0.174509</v>
      </c>
    </row>
    <row r="1318" spans="1:23" x14ac:dyDescent="0.35">
      <c r="A1318" t="s">
        <v>0</v>
      </c>
      <c r="B1318">
        <v>6750</v>
      </c>
      <c r="C1318">
        <v>48</v>
      </c>
      <c r="D1318">
        <v>848</v>
      </c>
      <c r="E1318">
        <v>0</v>
      </c>
      <c r="F1318">
        <v>19933328193</v>
      </c>
      <c r="G1318">
        <v>23119143.649999999</v>
      </c>
      <c r="H1318">
        <v>19473268592</v>
      </c>
      <c r="I1318">
        <v>19775148645.130001</v>
      </c>
      <c r="J1318">
        <v>0.23353599999999999</v>
      </c>
      <c r="K1318">
        <v>7.8344999999999998E-2</v>
      </c>
      <c r="M1318" t="s">
        <v>1</v>
      </c>
      <c r="N1318">
        <v>7750</v>
      </c>
      <c r="O1318">
        <v>42</v>
      </c>
      <c r="P1318">
        <v>190</v>
      </c>
      <c r="Q1318">
        <v>0</v>
      </c>
      <c r="R1318">
        <v>3831492585</v>
      </c>
      <c r="S1318">
        <v>3599350.66</v>
      </c>
      <c r="T1318">
        <v>3608558778.4699998</v>
      </c>
      <c r="U1318">
        <v>3783337299.46</v>
      </c>
      <c r="V1318">
        <v>0.50707000000000002</v>
      </c>
      <c r="W1318">
        <v>0.13095799999999999</v>
      </c>
    </row>
    <row r="1319" spans="1:23" x14ac:dyDescent="0.35">
      <c r="A1319" t="s">
        <v>2</v>
      </c>
      <c r="B1319">
        <v>6750</v>
      </c>
      <c r="C1319">
        <v>48</v>
      </c>
      <c r="D1319">
        <v>21</v>
      </c>
      <c r="E1319">
        <v>0</v>
      </c>
      <c r="F1319">
        <v>259466112</v>
      </c>
      <c r="G1319">
        <v>300634</v>
      </c>
      <c r="H1319">
        <v>259183277</v>
      </c>
      <c r="I1319">
        <v>259183277</v>
      </c>
      <c r="J1319">
        <v>-8.2299999999999995E-4</v>
      </c>
      <c r="K1319">
        <v>-8.2299999999999995E-4</v>
      </c>
      <c r="M1319" t="s">
        <v>2</v>
      </c>
      <c r="N1319">
        <v>5000</v>
      </c>
      <c r="O1319">
        <v>54</v>
      </c>
      <c r="P1319">
        <v>28</v>
      </c>
      <c r="Q1319">
        <v>0</v>
      </c>
      <c r="R1319">
        <v>313158767</v>
      </c>
      <c r="S1319">
        <v>537421.89</v>
      </c>
      <c r="T1319">
        <v>312621345.11000001</v>
      </c>
      <c r="U1319">
        <v>312621345.11000001</v>
      </c>
      <c r="V1319">
        <v>0</v>
      </c>
      <c r="W1319">
        <v>0</v>
      </c>
    </row>
    <row r="1320" spans="1:23" x14ac:dyDescent="0.35">
      <c r="A1320" t="s">
        <v>3</v>
      </c>
      <c r="B1320">
        <v>6250</v>
      </c>
      <c r="C1320">
        <v>42</v>
      </c>
      <c r="D1320">
        <v>112</v>
      </c>
      <c r="E1320">
        <v>0</v>
      </c>
      <c r="F1320">
        <v>2686889123</v>
      </c>
      <c r="G1320">
        <v>3284505.67</v>
      </c>
      <c r="H1320">
        <v>2600666282</v>
      </c>
      <c r="I1320">
        <v>2682795450.25</v>
      </c>
      <c r="J1320">
        <v>0.31357000000000002</v>
      </c>
      <c r="K1320">
        <v>3.6080000000000001E-3</v>
      </c>
      <c r="M1320" t="s">
        <v>0</v>
      </c>
      <c r="N1320">
        <v>5750</v>
      </c>
      <c r="O1320">
        <v>54</v>
      </c>
      <c r="P1320">
        <v>38</v>
      </c>
      <c r="Q1320">
        <v>0</v>
      </c>
      <c r="R1320">
        <v>687825060</v>
      </c>
      <c r="S1320">
        <v>993594.81</v>
      </c>
      <c r="T1320">
        <v>686831465.19000006</v>
      </c>
      <c r="U1320">
        <v>686831465.19000006</v>
      </c>
      <c r="V1320">
        <v>0</v>
      </c>
      <c r="W1320">
        <v>0</v>
      </c>
    </row>
    <row r="1321" spans="1:23" x14ac:dyDescent="0.35">
      <c r="A1321" t="s">
        <v>3</v>
      </c>
      <c r="B1321">
        <v>6250</v>
      </c>
      <c r="C1321">
        <v>36</v>
      </c>
      <c r="D1321">
        <v>66</v>
      </c>
      <c r="E1321">
        <v>0</v>
      </c>
      <c r="F1321">
        <v>1620800569</v>
      </c>
      <c r="G1321">
        <v>1921851.05</v>
      </c>
      <c r="H1321">
        <v>1618174361</v>
      </c>
      <c r="I1321">
        <v>1618174361</v>
      </c>
      <c r="J1321">
        <v>5.202E-3</v>
      </c>
      <c r="K1321">
        <v>5.202E-3</v>
      </c>
      <c r="M1321" t="s">
        <v>0</v>
      </c>
      <c r="N1321">
        <v>5500</v>
      </c>
      <c r="O1321">
        <v>54</v>
      </c>
      <c r="P1321">
        <v>23</v>
      </c>
      <c r="Q1321">
        <v>0</v>
      </c>
      <c r="R1321">
        <v>374561322</v>
      </c>
      <c r="S1321">
        <v>558898.74</v>
      </c>
      <c r="T1321">
        <v>374002423.25999999</v>
      </c>
      <c r="U1321">
        <v>374002423.25999999</v>
      </c>
      <c r="V1321">
        <v>0</v>
      </c>
      <c r="W1321">
        <v>0</v>
      </c>
    </row>
    <row r="1322" spans="1:23" x14ac:dyDescent="0.35">
      <c r="A1322" t="s">
        <v>3</v>
      </c>
      <c r="B1322">
        <v>6500</v>
      </c>
      <c r="C1322">
        <v>42</v>
      </c>
      <c r="D1322">
        <v>25</v>
      </c>
      <c r="E1322">
        <v>0</v>
      </c>
      <c r="F1322">
        <v>640920828</v>
      </c>
      <c r="G1322">
        <v>750619.53</v>
      </c>
      <c r="H1322">
        <v>640065194</v>
      </c>
      <c r="I1322">
        <v>640065194</v>
      </c>
      <c r="J1322">
        <v>1.964E-3</v>
      </c>
      <c r="K1322">
        <v>1.964E-3</v>
      </c>
      <c r="M1322" t="s">
        <v>3</v>
      </c>
      <c r="N1322">
        <v>5250</v>
      </c>
      <c r="O1322">
        <v>48</v>
      </c>
      <c r="P1322">
        <v>53</v>
      </c>
      <c r="Q1322">
        <v>0</v>
      </c>
      <c r="R1322">
        <v>1084620259</v>
      </c>
      <c r="S1322">
        <v>1618615.5</v>
      </c>
      <c r="T1322">
        <v>1083001643.5</v>
      </c>
      <c r="U1322">
        <v>1083001643.5</v>
      </c>
      <c r="V1322">
        <v>0</v>
      </c>
      <c r="W1322">
        <v>0</v>
      </c>
    </row>
    <row r="1323" spans="1:23" x14ac:dyDescent="0.35">
      <c r="A1323" t="s">
        <v>3</v>
      </c>
      <c r="B1323">
        <v>6000</v>
      </c>
      <c r="C1323">
        <v>42</v>
      </c>
      <c r="D1323">
        <v>42</v>
      </c>
      <c r="E1323">
        <v>0</v>
      </c>
      <c r="F1323">
        <v>1001237022</v>
      </c>
      <c r="G1323">
        <v>1283972.1399999999</v>
      </c>
      <c r="H1323">
        <v>999365262</v>
      </c>
      <c r="I1323">
        <v>999365262</v>
      </c>
      <c r="J1323">
        <v>7.0219999999999996E-3</v>
      </c>
      <c r="K1323">
        <v>7.0219999999999996E-3</v>
      </c>
      <c r="M1323" t="s">
        <v>3</v>
      </c>
      <c r="N1323">
        <v>5000</v>
      </c>
      <c r="O1323">
        <v>48</v>
      </c>
      <c r="P1323">
        <v>65</v>
      </c>
      <c r="Q1323">
        <v>0</v>
      </c>
      <c r="R1323">
        <v>1448859243</v>
      </c>
      <c r="S1323">
        <v>2239732.0099999998</v>
      </c>
      <c r="T1323">
        <v>1446619510.99</v>
      </c>
      <c r="U1323">
        <v>1446619510.99</v>
      </c>
      <c r="V1323">
        <v>0</v>
      </c>
      <c r="W1323">
        <v>0</v>
      </c>
    </row>
    <row r="1324" spans="1:23" x14ac:dyDescent="0.35">
      <c r="A1324" t="s">
        <v>3</v>
      </c>
      <c r="B1324">
        <v>5750</v>
      </c>
      <c r="C1324">
        <v>42</v>
      </c>
      <c r="D1324">
        <v>90</v>
      </c>
      <c r="E1324">
        <v>0</v>
      </c>
      <c r="F1324">
        <v>2065254436</v>
      </c>
      <c r="G1324">
        <v>2789236.45</v>
      </c>
      <c r="H1324">
        <v>2062042511</v>
      </c>
      <c r="I1324">
        <v>2062042511</v>
      </c>
      <c r="J1324">
        <v>2.4529999999999999E-3</v>
      </c>
      <c r="K1324">
        <v>2.4529999999999999E-3</v>
      </c>
      <c r="M1324" t="s">
        <v>3</v>
      </c>
      <c r="N1324">
        <v>4750</v>
      </c>
      <c r="O1324">
        <v>48</v>
      </c>
      <c r="P1324">
        <v>58</v>
      </c>
      <c r="Q1324">
        <v>0</v>
      </c>
      <c r="R1324">
        <v>1333378639</v>
      </c>
      <c r="S1324">
        <v>2150222.3199999998</v>
      </c>
      <c r="T1324">
        <v>1331228416.6800001</v>
      </c>
      <c r="U1324">
        <v>1331228416.6800001</v>
      </c>
      <c r="V1324">
        <v>0</v>
      </c>
      <c r="W1324">
        <v>0</v>
      </c>
    </row>
    <row r="1325" spans="1:23" x14ac:dyDescent="0.35">
      <c r="A1325" t="s">
        <v>3</v>
      </c>
      <c r="B1325">
        <v>5500</v>
      </c>
      <c r="C1325">
        <v>48</v>
      </c>
      <c r="D1325">
        <v>44</v>
      </c>
      <c r="E1325">
        <v>0</v>
      </c>
      <c r="F1325">
        <v>1055742896</v>
      </c>
      <c r="G1325">
        <v>1501814.58</v>
      </c>
      <c r="H1325">
        <v>1054170428</v>
      </c>
      <c r="I1325">
        <v>1054170428</v>
      </c>
      <c r="J1325">
        <v>8.03E-4</v>
      </c>
      <c r="K1325">
        <v>8.03E-4</v>
      </c>
      <c r="M1325" t="s">
        <v>2</v>
      </c>
      <c r="N1325">
        <v>2250</v>
      </c>
      <c r="O1325">
        <v>48</v>
      </c>
      <c r="P1325">
        <v>94</v>
      </c>
      <c r="Q1325">
        <v>0</v>
      </c>
      <c r="R1325">
        <v>1817687103</v>
      </c>
      <c r="S1325">
        <v>4293472.26</v>
      </c>
      <c r="T1325">
        <v>1813393630.74</v>
      </c>
      <c r="U1325">
        <v>1813393630.74</v>
      </c>
      <c r="V1325">
        <v>0</v>
      </c>
      <c r="W1325">
        <v>0</v>
      </c>
    </row>
    <row r="1326" spans="1:23" x14ac:dyDescent="0.35">
      <c r="A1326" t="s">
        <v>3</v>
      </c>
      <c r="B1326">
        <v>6000</v>
      </c>
      <c r="C1326">
        <v>48</v>
      </c>
      <c r="D1326">
        <v>10</v>
      </c>
      <c r="E1326">
        <v>0</v>
      </c>
      <c r="F1326">
        <v>215925380</v>
      </c>
      <c r="G1326">
        <v>283785.78999999998</v>
      </c>
      <c r="H1326">
        <v>215614097</v>
      </c>
      <c r="I1326">
        <v>215614097</v>
      </c>
      <c r="J1326">
        <v>1.5269999999999999E-3</v>
      </c>
      <c r="K1326">
        <v>1.5269999999999999E-3</v>
      </c>
      <c r="M1326" t="s">
        <v>0</v>
      </c>
      <c r="N1326">
        <v>2250</v>
      </c>
      <c r="O1326">
        <v>48</v>
      </c>
      <c r="P1326">
        <v>1382</v>
      </c>
      <c r="Q1326">
        <v>0</v>
      </c>
      <c r="R1326">
        <v>34945313430</v>
      </c>
      <c r="S1326">
        <v>82421948.719999999</v>
      </c>
      <c r="T1326">
        <v>34754843289.830002</v>
      </c>
      <c r="U1326">
        <v>34862891481.279999</v>
      </c>
      <c r="V1326">
        <v>3.6478999999999998E-2</v>
      </c>
      <c r="W1326">
        <v>0</v>
      </c>
    </row>
    <row r="1327" spans="1:23" x14ac:dyDescent="0.35">
      <c r="A1327" t="s">
        <v>3</v>
      </c>
      <c r="B1327">
        <v>6250</v>
      </c>
      <c r="C1327">
        <v>48</v>
      </c>
      <c r="D1327">
        <v>12</v>
      </c>
      <c r="E1327">
        <v>0</v>
      </c>
      <c r="F1327">
        <v>327052483</v>
      </c>
      <c r="G1327">
        <v>407352.54</v>
      </c>
      <c r="H1327">
        <v>326562936</v>
      </c>
      <c r="I1327">
        <v>326562936</v>
      </c>
      <c r="J1327">
        <v>3.0119999999999999E-3</v>
      </c>
      <c r="K1327">
        <v>3.0119999999999999E-3</v>
      </c>
      <c r="M1327" t="s">
        <v>2</v>
      </c>
      <c r="N1327">
        <v>6250</v>
      </c>
      <c r="O1327">
        <v>48</v>
      </c>
      <c r="P1327">
        <v>54</v>
      </c>
      <c r="Q1327">
        <v>0</v>
      </c>
      <c r="R1327">
        <v>705497755</v>
      </c>
      <c r="S1327">
        <v>884997.13</v>
      </c>
      <c r="T1327">
        <v>704612757.87</v>
      </c>
      <c r="U1327">
        <v>704612757.87</v>
      </c>
      <c r="V1327">
        <v>0</v>
      </c>
      <c r="W1327">
        <v>0</v>
      </c>
    </row>
    <row r="1328" spans="1:23" x14ac:dyDescent="0.35">
      <c r="A1328" t="s">
        <v>2</v>
      </c>
      <c r="B1328">
        <v>3750</v>
      </c>
      <c r="C1328">
        <v>42</v>
      </c>
      <c r="D1328">
        <v>72</v>
      </c>
      <c r="E1328">
        <v>0</v>
      </c>
      <c r="F1328">
        <v>1246839147</v>
      </c>
      <c r="G1328">
        <v>2387188.2200000002</v>
      </c>
      <c r="H1328">
        <v>1244833033</v>
      </c>
      <c r="I1328">
        <v>1244833033</v>
      </c>
      <c r="J1328">
        <v>-3.6740000000000002E-3</v>
      </c>
      <c r="K1328">
        <v>-3.6740000000000002E-3</v>
      </c>
      <c r="M1328" t="s">
        <v>1</v>
      </c>
      <c r="N1328">
        <v>4250</v>
      </c>
      <c r="O1328">
        <v>5</v>
      </c>
      <c r="P1328">
        <v>1050</v>
      </c>
      <c r="Q1328">
        <v>0</v>
      </c>
      <c r="R1328">
        <v>39802000000</v>
      </c>
      <c r="S1328">
        <v>55636646.380000003</v>
      </c>
      <c r="T1328">
        <v>39746363353.620003</v>
      </c>
      <c r="U1328">
        <v>39746363353.620003</v>
      </c>
      <c r="V1328">
        <v>0</v>
      </c>
      <c r="W1328">
        <v>0</v>
      </c>
    </row>
    <row r="1329" spans="1:23" x14ac:dyDescent="0.35">
      <c r="A1329" t="s">
        <v>1</v>
      </c>
      <c r="B1329">
        <v>3500</v>
      </c>
      <c r="C1329">
        <v>42</v>
      </c>
      <c r="D1329">
        <v>256</v>
      </c>
      <c r="E1329">
        <v>0</v>
      </c>
      <c r="F1329">
        <v>9932953145</v>
      </c>
      <c r="G1329">
        <v>19251337.850000001</v>
      </c>
      <c r="H1329">
        <v>9890119005</v>
      </c>
      <c r="I1329">
        <v>9890119005</v>
      </c>
      <c r="J1329">
        <v>2.8121E-2</v>
      </c>
      <c r="K1329">
        <v>2.8121E-2</v>
      </c>
      <c r="M1329" t="s">
        <v>0</v>
      </c>
      <c r="N1329">
        <v>4250</v>
      </c>
      <c r="O1329">
        <v>5</v>
      </c>
      <c r="P1329">
        <v>2265</v>
      </c>
      <c r="Q1329">
        <v>0</v>
      </c>
      <c r="R1329">
        <v>75218200000</v>
      </c>
      <c r="S1329">
        <v>105101460.14</v>
      </c>
      <c r="T1329">
        <v>75113098539.860001</v>
      </c>
      <c r="U1329">
        <v>75113098539.860001</v>
      </c>
      <c r="V1329">
        <v>0</v>
      </c>
      <c r="W1329">
        <v>0</v>
      </c>
    </row>
    <row r="1330" spans="1:23" x14ac:dyDescent="0.35">
      <c r="A1330" t="s">
        <v>3</v>
      </c>
      <c r="B1330">
        <v>5750</v>
      </c>
      <c r="C1330">
        <v>48</v>
      </c>
      <c r="D1330">
        <v>89</v>
      </c>
      <c r="E1330">
        <v>0</v>
      </c>
      <c r="F1330">
        <v>1879163244</v>
      </c>
      <c r="G1330">
        <v>2592895.1</v>
      </c>
      <c r="H1330">
        <v>1861893360</v>
      </c>
      <c r="I1330">
        <v>1875435993.1600001</v>
      </c>
      <c r="J1330">
        <v>8.9801000000000006E-2</v>
      </c>
      <c r="K1330">
        <v>7.2199999999999999E-3</v>
      </c>
      <c r="M1330" t="s">
        <v>1</v>
      </c>
      <c r="N1330">
        <v>4500</v>
      </c>
      <c r="O1330">
        <v>5</v>
      </c>
      <c r="P1330">
        <v>1495</v>
      </c>
      <c r="Q1330">
        <v>0</v>
      </c>
      <c r="R1330">
        <v>58110200000</v>
      </c>
      <c r="S1330">
        <v>77786371</v>
      </c>
      <c r="T1330">
        <v>57936442928.190002</v>
      </c>
      <c r="U1330">
        <v>58001855680</v>
      </c>
      <c r="V1330">
        <v>1.9639E-2</v>
      </c>
      <c r="W1330">
        <v>6.2919999999999998E-3</v>
      </c>
    </row>
    <row r="1331" spans="1:23" x14ac:dyDescent="0.35">
      <c r="A1331" t="s">
        <v>0</v>
      </c>
      <c r="B1331">
        <v>3500</v>
      </c>
      <c r="C1331">
        <v>42</v>
      </c>
      <c r="D1331">
        <v>246</v>
      </c>
      <c r="E1331">
        <v>0</v>
      </c>
      <c r="F1331">
        <v>6149400365</v>
      </c>
      <c r="G1331">
        <v>11793228.93</v>
      </c>
      <c r="H1331">
        <v>6137523838</v>
      </c>
      <c r="I1331">
        <v>6137523838</v>
      </c>
      <c r="J1331">
        <v>1.63E-4</v>
      </c>
      <c r="K1331">
        <v>1.63E-4</v>
      </c>
      <c r="M1331" t="s">
        <v>3</v>
      </c>
      <c r="N1331">
        <v>4000</v>
      </c>
      <c r="O1331">
        <v>48</v>
      </c>
      <c r="P1331">
        <v>46</v>
      </c>
      <c r="Q1331">
        <v>0</v>
      </c>
      <c r="R1331">
        <v>1013096012</v>
      </c>
      <c r="S1331">
        <v>1854439.71</v>
      </c>
      <c r="T1331">
        <v>1011241572.29</v>
      </c>
      <c r="U1331">
        <v>1011241572.29</v>
      </c>
      <c r="V1331">
        <v>0</v>
      </c>
      <c r="W1331">
        <v>0</v>
      </c>
    </row>
    <row r="1332" spans="1:23" x14ac:dyDescent="0.35">
      <c r="A1332" t="s">
        <v>1</v>
      </c>
      <c r="B1332">
        <v>6750</v>
      </c>
      <c r="C1332">
        <v>48</v>
      </c>
      <c r="D1332">
        <v>51</v>
      </c>
      <c r="E1332">
        <v>0</v>
      </c>
      <c r="F1332">
        <v>1187056422</v>
      </c>
      <c r="G1332">
        <v>1386811.32</v>
      </c>
      <c r="H1332">
        <v>1124685981</v>
      </c>
      <c r="I1332">
        <v>1185896394.4000001</v>
      </c>
      <c r="J1332">
        <v>0.468943</v>
      </c>
      <c r="K1332">
        <v>-2.2950000000000002E-3</v>
      </c>
      <c r="M1332" t="s">
        <v>3</v>
      </c>
      <c r="N1332">
        <v>4250</v>
      </c>
      <c r="O1332">
        <v>48</v>
      </c>
      <c r="P1332">
        <v>127</v>
      </c>
      <c r="Q1332">
        <v>0</v>
      </c>
      <c r="R1332">
        <v>2887820176</v>
      </c>
      <c r="S1332">
        <v>5047038.3600000003</v>
      </c>
      <c r="T1332">
        <v>2842326737.8000002</v>
      </c>
      <c r="U1332">
        <v>2870470304.7399998</v>
      </c>
      <c r="V1332">
        <v>0.15570899999999999</v>
      </c>
      <c r="W1332">
        <v>4.9942E-2</v>
      </c>
    </row>
    <row r="1333" spans="1:23" x14ac:dyDescent="0.35">
      <c r="A1333" t="s">
        <v>0</v>
      </c>
      <c r="B1333">
        <v>7250</v>
      </c>
      <c r="C1333">
        <v>48</v>
      </c>
      <c r="D1333">
        <v>49</v>
      </c>
      <c r="E1333">
        <v>0</v>
      </c>
      <c r="F1333">
        <v>1230606277</v>
      </c>
      <c r="G1333">
        <v>1304629.73</v>
      </c>
      <c r="H1333">
        <v>1168446624</v>
      </c>
      <c r="I1333">
        <v>1181594886.27</v>
      </c>
      <c r="J1333">
        <v>0.45588200000000001</v>
      </c>
      <c r="K1333">
        <v>0.37777899999999998</v>
      </c>
      <c r="M1333" t="s">
        <v>0</v>
      </c>
      <c r="N1333">
        <v>6250</v>
      </c>
      <c r="O1333">
        <v>144</v>
      </c>
      <c r="P1333">
        <v>7</v>
      </c>
      <c r="Q1333">
        <v>0</v>
      </c>
      <c r="R1333">
        <v>36736570</v>
      </c>
      <c r="S1333">
        <v>83220.52</v>
      </c>
      <c r="T1333">
        <v>36653349.479999997</v>
      </c>
      <c r="U1333">
        <v>36653349.479999997</v>
      </c>
      <c r="V1333">
        <v>0</v>
      </c>
      <c r="W1333">
        <v>0</v>
      </c>
    </row>
    <row r="1334" spans="1:23" x14ac:dyDescent="0.35">
      <c r="A1334" t="s">
        <v>1</v>
      </c>
      <c r="B1334">
        <v>7000</v>
      </c>
      <c r="C1334">
        <v>48</v>
      </c>
      <c r="D1334">
        <v>1</v>
      </c>
      <c r="E1334">
        <v>0</v>
      </c>
      <c r="F1334">
        <v>24553793</v>
      </c>
      <c r="G1334">
        <v>26920.62</v>
      </c>
      <c r="H1334">
        <v>24526872</v>
      </c>
      <c r="I1334">
        <v>24526872</v>
      </c>
      <c r="J1334">
        <v>0</v>
      </c>
      <c r="K1334">
        <v>0</v>
      </c>
      <c r="M1334" t="s">
        <v>1</v>
      </c>
      <c r="N1334">
        <v>2000</v>
      </c>
      <c r="O1334">
        <v>48</v>
      </c>
      <c r="P1334">
        <v>142</v>
      </c>
      <c r="Q1334">
        <v>0</v>
      </c>
      <c r="R1334">
        <v>4591941321</v>
      </c>
      <c r="S1334">
        <v>11491436.810000001</v>
      </c>
      <c r="T1334">
        <v>4580449884.1899996</v>
      </c>
      <c r="U1334">
        <v>4580449884.1899996</v>
      </c>
      <c r="V1334">
        <v>0</v>
      </c>
      <c r="W1334">
        <v>0</v>
      </c>
    </row>
    <row r="1335" spans="1:23" x14ac:dyDescent="0.35">
      <c r="A1335" t="s">
        <v>1</v>
      </c>
      <c r="B1335">
        <v>3750</v>
      </c>
      <c r="C1335">
        <v>42</v>
      </c>
      <c r="D1335">
        <v>825</v>
      </c>
      <c r="E1335">
        <v>0</v>
      </c>
      <c r="F1335">
        <v>30342920921</v>
      </c>
      <c r="G1335">
        <v>56135364.409999996</v>
      </c>
      <c r="H1335">
        <v>30099917806</v>
      </c>
      <c r="I1335">
        <v>30228631625.919998</v>
      </c>
      <c r="J1335">
        <v>7.145E-2</v>
      </c>
      <c r="K1335">
        <v>2.2758E-2</v>
      </c>
      <c r="M1335" t="s">
        <v>1</v>
      </c>
      <c r="N1335">
        <v>6250</v>
      </c>
      <c r="O1335">
        <v>48</v>
      </c>
      <c r="P1335">
        <v>459</v>
      </c>
      <c r="Q1335">
        <v>0</v>
      </c>
      <c r="R1335">
        <v>11456001511</v>
      </c>
      <c r="S1335">
        <v>14486970.51</v>
      </c>
      <c r="T1335">
        <v>11150894465.620001</v>
      </c>
      <c r="U1335">
        <v>11363758436.74</v>
      </c>
      <c r="V1335">
        <v>0.26534099999999999</v>
      </c>
      <c r="W1335">
        <v>7.8476000000000004E-2</v>
      </c>
    </row>
    <row r="1336" spans="1:23" x14ac:dyDescent="0.35">
      <c r="A1336" t="s">
        <v>0</v>
      </c>
      <c r="B1336">
        <v>6250</v>
      </c>
      <c r="C1336">
        <v>108</v>
      </c>
      <c r="D1336">
        <v>72</v>
      </c>
      <c r="E1336">
        <v>0</v>
      </c>
      <c r="F1336">
        <v>861131426</v>
      </c>
      <c r="G1336">
        <v>1586207.62</v>
      </c>
      <c r="H1336">
        <v>859619238</v>
      </c>
      <c r="I1336">
        <v>859619238</v>
      </c>
      <c r="J1336">
        <v>-1.0319999999999999E-3</v>
      </c>
      <c r="K1336">
        <v>-1.0319999999999999E-3</v>
      </c>
      <c r="M1336" t="s">
        <v>3</v>
      </c>
      <c r="N1336">
        <v>4500</v>
      </c>
      <c r="O1336">
        <v>48</v>
      </c>
      <c r="P1336">
        <v>25</v>
      </c>
      <c r="Q1336">
        <v>0</v>
      </c>
      <c r="R1336">
        <v>561229084</v>
      </c>
      <c r="S1336">
        <v>939472.6</v>
      </c>
      <c r="T1336">
        <v>549191595.72000003</v>
      </c>
      <c r="U1336">
        <v>560289611.39999998</v>
      </c>
      <c r="V1336">
        <v>0.213114</v>
      </c>
      <c r="W1336">
        <v>0</v>
      </c>
    </row>
    <row r="1337" spans="1:23" x14ac:dyDescent="0.35">
      <c r="A1337" t="s">
        <v>0</v>
      </c>
      <c r="B1337">
        <v>3000</v>
      </c>
      <c r="C1337">
        <v>42</v>
      </c>
      <c r="D1337">
        <v>199</v>
      </c>
      <c r="E1337">
        <v>0</v>
      </c>
      <c r="F1337">
        <v>4450414391</v>
      </c>
      <c r="G1337">
        <v>9213524.9900000002</v>
      </c>
      <c r="H1337">
        <v>4441042819</v>
      </c>
      <c r="I1337">
        <v>4441042819</v>
      </c>
      <c r="J1337">
        <v>4.26E-4</v>
      </c>
      <c r="K1337">
        <v>4.26E-4</v>
      </c>
      <c r="M1337" t="s">
        <v>0</v>
      </c>
      <c r="N1337">
        <v>6750</v>
      </c>
      <c r="O1337">
        <v>48</v>
      </c>
      <c r="P1337">
        <v>307</v>
      </c>
      <c r="Q1337">
        <v>0</v>
      </c>
      <c r="R1337">
        <v>7167690915</v>
      </c>
      <c r="S1337">
        <v>8297902.3700000001</v>
      </c>
      <c r="T1337">
        <v>7031454280.9399996</v>
      </c>
      <c r="U1337">
        <v>7088070666.6000004</v>
      </c>
      <c r="V1337">
        <v>0.19436700000000001</v>
      </c>
      <c r="W1337">
        <v>0.113084</v>
      </c>
    </row>
    <row r="1338" spans="1:23" x14ac:dyDescent="0.35">
      <c r="A1338" t="s">
        <v>2</v>
      </c>
      <c r="B1338">
        <v>7000</v>
      </c>
      <c r="C1338">
        <v>48</v>
      </c>
      <c r="D1338">
        <v>1</v>
      </c>
      <c r="E1338">
        <v>0</v>
      </c>
      <c r="F1338">
        <v>18378737</v>
      </c>
      <c r="G1338">
        <v>20580.13</v>
      </c>
      <c r="H1338">
        <v>18349637</v>
      </c>
      <c r="I1338">
        <v>18349637</v>
      </c>
      <c r="J1338">
        <v>5.5490000000000001E-3</v>
      </c>
      <c r="K1338">
        <v>5.5490000000000001E-3</v>
      </c>
      <c r="M1338" t="s">
        <v>2</v>
      </c>
      <c r="N1338">
        <v>6750</v>
      </c>
      <c r="O1338">
        <v>48</v>
      </c>
      <c r="P1338">
        <v>4</v>
      </c>
      <c r="Q1338">
        <v>0</v>
      </c>
      <c r="R1338">
        <v>53861836</v>
      </c>
      <c r="S1338">
        <v>63696.89</v>
      </c>
      <c r="T1338">
        <v>53798139.109999999</v>
      </c>
      <c r="U1338">
        <v>53798139.109999999</v>
      </c>
      <c r="V1338">
        <v>0</v>
      </c>
      <c r="W1338">
        <v>0</v>
      </c>
    </row>
    <row r="1339" spans="1:23" x14ac:dyDescent="0.35">
      <c r="A1339" t="s">
        <v>0</v>
      </c>
      <c r="B1339">
        <v>2500</v>
      </c>
      <c r="C1339">
        <v>42</v>
      </c>
      <c r="D1339">
        <v>5</v>
      </c>
      <c r="E1339">
        <v>0</v>
      </c>
      <c r="F1339">
        <v>105282775</v>
      </c>
      <c r="G1339">
        <v>232641.01</v>
      </c>
      <c r="H1339">
        <v>104996622</v>
      </c>
      <c r="I1339">
        <v>104996622</v>
      </c>
      <c r="J1339">
        <v>6.0819999999999997E-3</v>
      </c>
      <c r="K1339">
        <v>6.0819999999999997E-3</v>
      </c>
      <c r="M1339" t="s">
        <v>3</v>
      </c>
      <c r="N1339">
        <v>6250</v>
      </c>
      <c r="O1339">
        <v>36</v>
      </c>
      <c r="P1339">
        <v>79</v>
      </c>
      <c r="Q1339">
        <v>0</v>
      </c>
      <c r="R1339">
        <v>1851749457</v>
      </c>
      <c r="S1339">
        <v>2190454.34</v>
      </c>
      <c r="T1339">
        <v>1849559002.6600001</v>
      </c>
      <c r="U1339">
        <v>1849559002.6600001</v>
      </c>
      <c r="V1339">
        <v>0</v>
      </c>
      <c r="W1339">
        <v>0</v>
      </c>
    </row>
    <row r="1340" spans="1:23" x14ac:dyDescent="0.35">
      <c r="A1340" t="s">
        <v>0</v>
      </c>
      <c r="B1340">
        <v>3250</v>
      </c>
      <c r="C1340">
        <v>42</v>
      </c>
      <c r="D1340">
        <v>338</v>
      </c>
      <c r="E1340">
        <v>0</v>
      </c>
      <c r="F1340">
        <v>6687275277</v>
      </c>
      <c r="G1340">
        <v>13301847.369999999</v>
      </c>
      <c r="H1340">
        <v>6647835001</v>
      </c>
      <c r="I1340">
        <v>6674021565.5</v>
      </c>
      <c r="J1340">
        <v>4.5908999999999998E-2</v>
      </c>
      <c r="K1340">
        <v>-8.6000000000000003E-5</v>
      </c>
      <c r="M1340" t="s">
        <v>3</v>
      </c>
      <c r="N1340">
        <v>6250</v>
      </c>
      <c r="O1340">
        <v>42</v>
      </c>
      <c r="P1340">
        <v>105</v>
      </c>
      <c r="Q1340">
        <v>0</v>
      </c>
      <c r="R1340">
        <v>2629292815</v>
      </c>
      <c r="S1340">
        <v>3205676.95</v>
      </c>
      <c r="T1340">
        <v>2626087138.0500002</v>
      </c>
      <c r="U1340">
        <v>2626087138.0500002</v>
      </c>
      <c r="V1340">
        <v>0</v>
      </c>
      <c r="W1340">
        <v>0</v>
      </c>
    </row>
    <row r="1341" spans="1:23" x14ac:dyDescent="0.35">
      <c r="A1341" t="s">
        <v>2</v>
      </c>
      <c r="B1341">
        <v>7750</v>
      </c>
      <c r="C1341">
        <v>42</v>
      </c>
      <c r="D1341">
        <v>97</v>
      </c>
      <c r="E1341">
        <v>0</v>
      </c>
      <c r="F1341">
        <v>1245643417</v>
      </c>
      <c r="G1341">
        <v>1180970.2</v>
      </c>
      <c r="H1341">
        <v>1213617224</v>
      </c>
      <c r="I1341">
        <v>1233933390.4300001</v>
      </c>
      <c r="J1341">
        <v>0.25984099999999999</v>
      </c>
      <c r="K1341">
        <v>9.6847000000000003E-2</v>
      </c>
      <c r="M1341" t="s">
        <v>3</v>
      </c>
      <c r="N1341">
        <v>6500</v>
      </c>
      <c r="O1341">
        <v>42</v>
      </c>
      <c r="P1341">
        <v>19</v>
      </c>
      <c r="Q1341">
        <v>0</v>
      </c>
      <c r="R1341">
        <v>462150163</v>
      </c>
      <c r="S1341">
        <v>541353.12</v>
      </c>
      <c r="T1341">
        <v>461608809.88</v>
      </c>
      <c r="U1341">
        <v>461608809.88</v>
      </c>
      <c r="V1341">
        <v>0</v>
      </c>
      <c r="W1341">
        <v>0</v>
      </c>
    </row>
    <row r="1342" spans="1:23" x14ac:dyDescent="0.35">
      <c r="A1342" t="s">
        <v>1</v>
      </c>
      <c r="B1342">
        <v>6500</v>
      </c>
      <c r="C1342">
        <v>6</v>
      </c>
      <c r="D1342">
        <v>5951</v>
      </c>
      <c r="E1342">
        <v>0</v>
      </c>
      <c r="F1342">
        <v>216894677536</v>
      </c>
      <c r="G1342">
        <v>205369397.18000001</v>
      </c>
      <c r="H1342">
        <v>214737869935</v>
      </c>
      <c r="I1342">
        <v>215928262508.54999</v>
      </c>
      <c r="J1342">
        <v>0.10278</v>
      </c>
      <c r="K1342">
        <v>4.1302999999999999E-2</v>
      </c>
      <c r="M1342" t="s">
        <v>3</v>
      </c>
      <c r="N1342">
        <v>6000</v>
      </c>
      <c r="O1342">
        <v>42</v>
      </c>
      <c r="P1342">
        <v>49</v>
      </c>
      <c r="Q1342">
        <v>0</v>
      </c>
      <c r="R1342">
        <v>1151444467</v>
      </c>
      <c r="S1342">
        <v>1476390.04</v>
      </c>
      <c r="T1342">
        <v>1149968076.96</v>
      </c>
      <c r="U1342">
        <v>1149968076.96</v>
      </c>
      <c r="V1342">
        <v>0</v>
      </c>
      <c r="W1342">
        <v>0</v>
      </c>
    </row>
    <row r="1343" spans="1:23" x14ac:dyDescent="0.35">
      <c r="A1343" t="s">
        <v>0</v>
      </c>
      <c r="B1343">
        <v>8250</v>
      </c>
      <c r="C1343">
        <v>42</v>
      </c>
      <c r="D1343">
        <v>29</v>
      </c>
      <c r="E1343">
        <v>0</v>
      </c>
      <c r="F1343">
        <v>622338121</v>
      </c>
      <c r="G1343">
        <v>536008.92000000004</v>
      </c>
      <c r="H1343">
        <v>607564193</v>
      </c>
      <c r="I1343">
        <v>621673430.54999995</v>
      </c>
      <c r="J1343">
        <v>0.24249599999999999</v>
      </c>
      <c r="K1343">
        <v>2.4780000000000002E-3</v>
      </c>
      <c r="M1343" t="s">
        <v>3</v>
      </c>
      <c r="N1343">
        <v>5750</v>
      </c>
      <c r="O1343">
        <v>42</v>
      </c>
      <c r="P1343">
        <v>130</v>
      </c>
      <c r="Q1343">
        <v>0</v>
      </c>
      <c r="R1343">
        <v>3011203327</v>
      </c>
      <c r="S1343">
        <v>4072214.67</v>
      </c>
      <c r="T1343">
        <v>2956226563.8099999</v>
      </c>
      <c r="U1343">
        <v>3007131112.3299999</v>
      </c>
      <c r="V1343">
        <v>0.18502299999999999</v>
      </c>
      <c r="W1343">
        <v>0</v>
      </c>
    </row>
    <row r="1344" spans="1:23" x14ac:dyDescent="0.35">
      <c r="A1344" t="s">
        <v>3</v>
      </c>
      <c r="B1344">
        <v>7000</v>
      </c>
      <c r="C1344">
        <v>42</v>
      </c>
      <c r="D1344">
        <v>33</v>
      </c>
      <c r="E1344">
        <v>0</v>
      </c>
      <c r="F1344">
        <v>785948511</v>
      </c>
      <c r="G1344">
        <v>848828.95</v>
      </c>
      <c r="H1344">
        <v>784773380</v>
      </c>
      <c r="I1344">
        <v>784773380</v>
      </c>
      <c r="J1344">
        <v>4.9709999999999997E-3</v>
      </c>
      <c r="K1344">
        <v>4.9709999999999997E-3</v>
      </c>
      <c r="M1344" t="s">
        <v>3</v>
      </c>
      <c r="N1344">
        <v>5500</v>
      </c>
      <c r="O1344">
        <v>48</v>
      </c>
      <c r="P1344">
        <v>25</v>
      </c>
      <c r="Q1344">
        <v>0</v>
      </c>
      <c r="R1344">
        <v>634351255</v>
      </c>
      <c r="S1344">
        <v>900904.57</v>
      </c>
      <c r="T1344">
        <v>633450350.42999995</v>
      </c>
      <c r="U1344">
        <v>633450350.42999995</v>
      </c>
      <c r="V1344">
        <v>0</v>
      </c>
      <c r="W1344">
        <v>0</v>
      </c>
    </row>
    <row r="1345" spans="1:23" x14ac:dyDescent="0.35">
      <c r="A1345" t="s">
        <v>3</v>
      </c>
      <c r="B1345">
        <v>6750</v>
      </c>
      <c r="C1345">
        <v>42</v>
      </c>
      <c r="D1345">
        <v>55</v>
      </c>
      <c r="E1345">
        <v>0</v>
      </c>
      <c r="F1345">
        <v>1377115068</v>
      </c>
      <c r="G1345">
        <v>1548041.21</v>
      </c>
      <c r="H1345">
        <v>1327443466</v>
      </c>
      <c r="I1345">
        <v>1375249671.0899999</v>
      </c>
      <c r="J1345">
        <v>0.34743499999999999</v>
      </c>
      <c r="K1345">
        <v>2.7620000000000001E-3</v>
      </c>
      <c r="M1345" t="s">
        <v>3</v>
      </c>
      <c r="N1345">
        <v>5500</v>
      </c>
      <c r="O1345">
        <v>42</v>
      </c>
      <c r="P1345">
        <v>66</v>
      </c>
      <c r="Q1345">
        <v>0</v>
      </c>
      <c r="R1345">
        <v>1448221454</v>
      </c>
      <c r="S1345">
        <v>2021200.43</v>
      </c>
      <c r="T1345">
        <v>1446200253.5699999</v>
      </c>
      <c r="U1345">
        <v>1446200253.5699999</v>
      </c>
      <c r="V1345">
        <v>0</v>
      </c>
      <c r="W1345">
        <v>0</v>
      </c>
    </row>
    <row r="1346" spans="1:23" x14ac:dyDescent="0.35">
      <c r="A1346" t="s">
        <v>3</v>
      </c>
      <c r="B1346">
        <v>4750</v>
      </c>
      <c r="C1346">
        <v>42</v>
      </c>
      <c r="D1346">
        <v>21</v>
      </c>
      <c r="E1346">
        <v>0</v>
      </c>
      <c r="F1346">
        <v>475177794</v>
      </c>
      <c r="G1346">
        <v>751362.22</v>
      </c>
      <c r="H1346">
        <v>474443975</v>
      </c>
      <c r="I1346">
        <v>474443975</v>
      </c>
      <c r="J1346">
        <v>-4.4299999999999998E-4</v>
      </c>
      <c r="K1346">
        <v>-4.4299999999999998E-4</v>
      </c>
      <c r="M1346" t="s">
        <v>2</v>
      </c>
      <c r="N1346">
        <v>3750</v>
      </c>
      <c r="O1346">
        <v>42</v>
      </c>
      <c r="P1346">
        <v>104</v>
      </c>
      <c r="Q1346">
        <v>0</v>
      </c>
      <c r="R1346">
        <v>1753394630</v>
      </c>
      <c r="S1346">
        <v>3339491.26</v>
      </c>
      <c r="T1346">
        <v>1721846714.0999999</v>
      </c>
      <c r="U1346">
        <v>1739860076.27</v>
      </c>
      <c r="V1346">
        <v>0.17685600000000001</v>
      </c>
      <c r="W1346">
        <v>6.7585000000000006E-2</v>
      </c>
    </row>
    <row r="1347" spans="1:23" x14ac:dyDescent="0.35">
      <c r="A1347" t="s">
        <v>3</v>
      </c>
      <c r="B1347">
        <v>5500</v>
      </c>
      <c r="C1347">
        <v>42</v>
      </c>
      <c r="D1347">
        <v>47</v>
      </c>
      <c r="E1347">
        <v>0</v>
      </c>
      <c r="F1347">
        <v>1023881028</v>
      </c>
      <c r="G1347">
        <v>1433529.01</v>
      </c>
      <c r="H1347">
        <v>1022091589</v>
      </c>
      <c r="I1347">
        <v>1022091589</v>
      </c>
      <c r="J1347">
        <v>4.163E-3</v>
      </c>
      <c r="K1347">
        <v>4.163E-3</v>
      </c>
      <c r="M1347" t="s">
        <v>1</v>
      </c>
      <c r="N1347">
        <v>3500</v>
      </c>
      <c r="O1347">
        <v>42</v>
      </c>
      <c r="P1347">
        <v>404</v>
      </c>
      <c r="Q1347">
        <v>0</v>
      </c>
      <c r="R1347">
        <v>15535462288</v>
      </c>
      <c r="S1347">
        <v>30003186.960000001</v>
      </c>
      <c r="T1347">
        <v>15505459101.040001</v>
      </c>
      <c r="U1347">
        <v>15505459101.040001</v>
      </c>
      <c r="V1347">
        <v>0</v>
      </c>
      <c r="W1347">
        <v>0</v>
      </c>
    </row>
    <row r="1348" spans="1:23" x14ac:dyDescent="0.35">
      <c r="A1348" t="s">
        <v>2</v>
      </c>
      <c r="B1348">
        <v>7250</v>
      </c>
      <c r="C1348">
        <v>48</v>
      </c>
      <c r="D1348">
        <v>1</v>
      </c>
      <c r="E1348">
        <v>0</v>
      </c>
      <c r="F1348">
        <v>16984061</v>
      </c>
      <c r="G1348">
        <v>17847.59</v>
      </c>
      <c r="H1348">
        <v>16966087</v>
      </c>
      <c r="I1348">
        <v>16966087</v>
      </c>
      <c r="J1348">
        <v>8.8999999999999995E-5</v>
      </c>
      <c r="K1348">
        <v>8.8999999999999995E-5</v>
      </c>
      <c r="M1348" t="s">
        <v>3</v>
      </c>
      <c r="N1348">
        <v>5750</v>
      </c>
      <c r="O1348">
        <v>48</v>
      </c>
      <c r="P1348">
        <v>46</v>
      </c>
      <c r="Q1348">
        <v>0</v>
      </c>
      <c r="R1348">
        <v>875269703</v>
      </c>
      <c r="S1348">
        <v>1204984.45</v>
      </c>
      <c r="T1348">
        <v>874064718.54999995</v>
      </c>
      <c r="U1348">
        <v>874064718.54999995</v>
      </c>
      <c r="V1348">
        <v>0</v>
      </c>
      <c r="W1348">
        <v>0</v>
      </c>
    </row>
    <row r="1349" spans="1:23" x14ac:dyDescent="0.35">
      <c r="A1349" t="s">
        <v>3</v>
      </c>
      <c r="B1349">
        <v>5250</v>
      </c>
      <c r="C1349">
        <v>42</v>
      </c>
      <c r="D1349">
        <v>45</v>
      </c>
      <c r="E1349">
        <v>0</v>
      </c>
      <c r="F1349">
        <v>1203643384</v>
      </c>
      <c r="G1349">
        <v>1762391.82</v>
      </c>
      <c r="H1349">
        <v>1201753527</v>
      </c>
      <c r="I1349">
        <v>1201753527</v>
      </c>
      <c r="J1349">
        <v>1.2700000000000001E-3</v>
      </c>
      <c r="K1349">
        <v>1.2700000000000001E-3</v>
      </c>
      <c r="M1349" t="s">
        <v>0</v>
      </c>
      <c r="N1349">
        <v>3500</v>
      </c>
      <c r="O1349">
        <v>42</v>
      </c>
      <c r="P1349">
        <v>364</v>
      </c>
      <c r="Q1349">
        <v>0</v>
      </c>
      <c r="R1349">
        <v>8725244972</v>
      </c>
      <c r="S1349">
        <v>16721840.76</v>
      </c>
      <c r="T1349">
        <v>8708523131.2399998</v>
      </c>
      <c r="U1349">
        <v>8708523131.2399998</v>
      </c>
      <c r="V1349">
        <v>0</v>
      </c>
      <c r="W1349">
        <v>0</v>
      </c>
    </row>
    <row r="1350" spans="1:23" x14ac:dyDescent="0.35">
      <c r="A1350" t="s">
        <v>2</v>
      </c>
      <c r="B1350">
        <v>3250</v>
      </c>
      <c r="C1350">
        <v>42</v>
      </c>
      <c r="D1350">
        <v>105</v>
      </c>
      <c r="E1350">
        <v>0</v>
      </c>
      <c r="F1350">
        <v>1657337728</v>
      </c>
      <c r="G1350">
        <v>3434157.06</v>
      </c>
      <c r="H1350">
        <v>1654382595</v>
      </c>
      <c r="I1350">
        <v>1654382595</v>
      </c>
      <c r="J1350">
        <v>-3.4740000000000001E-3</v>
      </c>
      <c r="K1350">
        <v>-3.4740000000000001E-3</v>
      </c>
      <c r="M1350" t="s">
        <v>1</v>
      </c>
      <c r="N1350">
        <v>6750</v>
      </c>
      <c r="O1350">
        <v>48</v>
      </c>
      <c r="P1350">
        <v>12</v>
      </c>
      <c r="Q1350">
        <v>0</v>
      </c>
      <c r="R1350">
        <v>266837455</v>
      </c>
      <c r="S1350">
        <v>310987.86</v>
      </c>
      <c r="T1350">
        <v>266526467.13999999</v>
      </c>
      <c r="U1350">
        <v>266526467.13999999</v>
      </c>
      <c r="V1350">
        <v>0</v>
      </c>
      <c r="W1350">
        <v>0</v>
      </c>
    </row>
    <row r="1351" spans="1:23" x14ac:dyDescent="0.35">
      <c r="A1351" t="s">
        <v>1</v>
      </c>
      <c r="B1351">
        <v>3250</v>
      </c>
      <c r="C1351">
        <v>42</v>
      </c>
      <c r="D1351">
        <v>473</v>
      </c>
      <c r="E1351">
        <v>0</v>
      </c>
      <c r="F1351">
        <v>13131680585</v>
      </c>
      <c r="G1351">
        <v>26470971.030000001</v>
      </c>
      <c r="H1351">
        <v>13005499320</v>
      </c>
      <c r="I1351">
        <v>13052704315.91</v>
      </c>
      <c r="J1351">
        <v>8.7406999999999999E-2</v>
      </c>
      <c r="K1351">
        <v>4.6939000000000002E-2</v>
      </c>
      <c r="M1351" t="s">
        <v>3</v>
      </c>
      <c r="N1351">
        <v>5250</v>
      </c>
      <c r="O1351">
        <v>42</v>
      </c>
      <c r="P1351">
        <v>61</v>
      </c>
      <c r="Q1351">
        <v>0</v>
      </c>
      <c r="R1351">
        <v>1615451625</v>
      </c>
      <c r="S1351">
        <v>2360634.91</v>
      </c>
      <c r="T1351">
        <v>1613090990.0899999</v>
      </c>
      <c r="U1351">
        <v>1613090990.0899999</v>
      </c>
      <c r="V1351">
        <v>0</v>
      </c>
      <c r="W1351">
        <v>0</v>
      </c>
    </row>
    <row r="1352" spans="1:23" x14ac:dyDescent="0.35">
      <c r="A1352" t="s">
        <v>2</v>
      </c>
      <c r="B1352">
        <v>4750</v>
      </c>
      <c r="C1352">
        <v>36</v>
      </c>
      <c r="D1352">
        <v>137</v>
      </c>
      <c r="E1352">
        <v>0</v>
      </c>
      <c r="F1352">
        <v>3220051156</v>
      </c>
      <c r="G1352">
        <v>4896574.57</v>
      </c>
      <c r="H1352">
        <v>3215135771</v>
      </c>
      <c r="I1352">
        <v>3215135771</v>
      </c>
      <c r="J1352">
        <v>6.9999999999999994E-5</v>
      </c>
      <c r="K1352">
        <v>6.9999999999999994E-5</v>
      </c>
      <c r="M1352" t="s">
        <v>1</v>
      </c>
      <c r="N1352">
        <v>3750</v>
      </c>
      <c r="O1352">
        <v>42</v>
      </c>
      <c r="P1352">
        <v>1190</v>
      </c>
      <c r="Q1352">
        <v>0</v>
      </c>
      <c r="R1352">
        <v>43699280502</v>
      </c>
      <c r="S1352">
        <v>80656443.549999997</v>
      </c>
      <c r="T1352">
        <v>43341253912.559998</v>
      </c>
      <c r="U1352">
        <v>43590253424.699997</v>
      </c>
      <c r="V1352">
        <v>7.3563000000000003E-2</v>
      </c>
      <c r="W1352">
        <v>7.7629999999999999E-3</v>
      </c>
    </row>
    <row r="1353" spans="1:23" x14ac:dyDescent="0.35">
      <c r="A1353" t="s">
        <v>0</v>
      </c>
      <c r="B1353">
        <v>4750</v>
      </c>
      <c r="C1353">
        <v>36</v>
      </c>
      <c r="D1353">
        <v>4194</v>
      </c>
      <c r="E1353">
        <v>0</v>
      </c>
      <c r="F1353">
        <v>131745743128</v>
      </c>
      <c r="G1353">
        <v>199629182.00999999</v>
      </c>
      <c r="H1353">
        <v>130931781137</v>
      </c>
      <c r="I1353">
        <v>131239528291.36</v>
      </c>
      <c r="J1353">
        <v>5.4543000000000001E-2</v>
      </c>
      <c r="K1353">
        <v>2.7570999999999998E-2</v>
      </c>
      <c r="M1353" t="s">
        <v>3</v>
      </c>
      <c r="N1353">
        <v>4250</v>
      </c>
      <c r="O1353">
        <v>42</v>
      </c>
      <c r="P1353">
        <v>25</v>
      </c>
      <c r="Q1353">
        <v>0</v>
      </c>
      <c r="R1353">
        <v>417664718</v>
      </c>
      <c r="S1353">
        <v>701625.4</v>
      </c>
      <c r="T1353">
        <v>416963092.60000002</v>
      </c>
      <c r="U1353">
        <v>416963092.60000002</v>
      </c>
      <c r="V1353">
        <v>0</v>
      </c>
      <c r="W1353">
        <v>0</v>
      </c>
    </row>
    <row r="1354" spans="1:23" x14ac:dyDescent="0.35">
      <c r="A1354" t="s">
        <v>1</v>
      </c>
      <c r="B1354">
        <v>4750</v>
      </c>
      <c r="C1354">
        <v>36</v>
      </c>
      <c r="D1354">
        <v>2956</v>
      </c>
      <c r="E1354">
        <v>0</v>
      </c>
      <c r="F1354">
        <v>106618627658</v>
      </c>
      <c r="G1354">
        <v>161791028.22999999</v>
      </c>
      <c r="H1354">
        <v>105632705184</v>
      </c>
      <c r="I1354">
        <v>106230737151.72</v>
      </c>
      <c r="J1354">
        <v>8.8913000000000006E-2</v>
      </c>
      <c r="K1354">
        <v>2.5152999999999998E-2</v>
      </c>
      <c r="M1354" t="s">
        <v>0</v>
      </c>
      <c r="N1354">
        <v>7250</v>
      </c>
      <c r="O1354">
        <v>48</v>
      </c>
      <c r="P1354">
        <v>12</v>
      </c>
      <c r="Q1354">
        <v>0</v>
      </c>
      <c r="R1354">
        <v>243971142</v>
      </c>
      <c r="S1354">
        <v>257081.22</v>
      </c>
      <c r="T1354">
        <v>243714060.78</v>
      </c>
      <c r="U1354">
        <v>243714060.78</v>
      </c>
      <c r="V1354">
        <v>0</v>
      </c>
      <c r="W1354">
        <v>0</v>
      </c>
    </row>
    <row r="1355" spans="1:23" x14ac:dyDescent="0.35">
      <c r="A1355" t="s">
        <v>0</v>
      </c>
      <c r="B1355">
        <v>2750</v>
      </c>
      <c r="C1355">
        <v>42</v>
      </c>
      <c r="D1355">
        <v>42</v>
      </c>
      <c r="E1355">
        <v>0</v>
      </c>
      <c r="F1355">
        <v>1010304940</v>
      </c>
      <c r="G1355">
        <v>2159508.67</v>
      </c>
      <c r="H1355">
        <v>1007993149</v>
      </c>
      <c r="I1355">
        <v>1007993149</v>
      </c>
      <c r="J1355">
        <v>1.807E-3</v>
      </c>
      <c r="K1355">
        <v>1.807E-3</v>
      </c>
      <c r="M1355" t="s">
        <v>1</v>
      </c>
      <c r="N1355">
        <v>3250</v>
      </c>
      <c r="O1355">
        <v>42</v>
      </c>
      <c r="P1355">
        <v>851</v>
      </c>
      <c r="Q1355">
        <v>0</v>
      </c>
      <c r="R1355">
        <v>23649722459</v>
      </c>
      <c r="S1355">
        <v>47331684.700000003</v>
      </c>
      <c r="T1355">
        <v>23524897518.150002</v>
      </c>
      <c r="U1355">
        <v>23571496038.82</v>
      </c>
      <c r="V1355">
        <v>3.8620000000000002E-2</v>
      </c>
      <c r="W1355">
        <v>1.5564E-2</v>
      </c>
    </row>
    <row r="1356" spans="1:23" x14ac:dyDescent="0.35">
      <c r="A1356" t="s">
        <v>3</v>
      </c>
      <c r="B1356">
        <v>6750</v>
      </c>
      <c r="C1356">
        <v>36</v>
      </c>
      <c r="D1356">
        <v>76</v>
      </c>
      <c r="E1356">
        <v>0</v>
      </c>
      <c r="F1356">
        <v>1870471098</v>
      </c>
      <c r="G1356">
        <v>2034424.64</v>
      </c>
      <c r="H1356">
        <v>1868210465</v>
      </c>
      <c r="I1356">
        <v>1868210465</v>
      </c>
      <c r="J1356">
        <v>1.4499999999999999E-3</v>
      </c>
      <c r="K1356">
        <v>1.4499999999999999E-3</v>
      </c>
      <c r="M1356" t="s">
        <v>0</v>
      </c>
      <c r="N1356">
        <v>3000</v>
      </c>
      <c r="O1356">
        <v>42</v>
      </c>
      <c r="P1356">
        <v>397</v>
      </c>
      <c r="Q1356">
        <v>0</v>
      </c>
      <c r="R1356">
        <v>8132235018</v>
      </c>
      <c r="S1356">
        <v>16846717.219999999</v>
      </c>
      <c r="T1356">
        <v>8089938663.8599997</v>
      </c>
      <c r="U1356">
        <v>8115388300.7799997</v>
      </c>
      <c r="V1356">
        <v>3.6914000000000002E-2</v>
      </c>
      <c r="W1356">
        <v>0</v>
      </c>
    </row>
    <row r="1357" spans="1:23" x14ac:dyDescent="0.35">
      <c r="A1357" t="s">
        <v>0</v>
      </c>
      <c r="B1357">
        <v>8250</v>
      </c>
      <c r="C1357">
        <v>36</v>
      </c>
      <c r="D1357">
        <v>156</v>
      </c>
      <c r="E1357">
        <v>0</v>
      </c>
      <c r="F1357">
        <v>4167896841</v>
      </c>
      <c r="G1357">
        <v>3421854.09</v>
      </c>
      <c r="H1357">
        <v>4125849030</v>
      </c>
      <c r="I1357">
        <v>4125849030</v>
      </c>
      <c r="J1357">
        <v>0.105713</v>
      </c>
      <c r="K1357">
        <v>0.105713</v>
      </c>
      <c r="M1357" t="s">
        <v>0</v>
      </c>
      <c r="N1357">
        <v>3250</v>
      </c>
      <c r="O1357">
        <v>42</v>
      </c>
      <c r="P1357">
        <v>613</v>
      </c>
      <c r="Q1357">
        <v>0</v>
      </c>
      <c r="R1357">
        <v>12136485125</v>
      </c>
      <c r="S1357">
        <v>24225984.039999999</v>
      </c>
      <c r="T1357">
        <v>12066591179.85</v>
      </c>
      <c r="U1357">
        <v>12112259140.959999</v>
      </c>
      <c r="V1357">
        <v>4.4232E-2</v>
      </c>
      <c r="W1357">
        <v>0</v>
      </c>
    </row>
    <row r="1358" spans="1:23" x14ac:dyDescent="0.35">
      <c r="A1358" t="s">
        <v>3</v>
      </c>
      <c r="B1358">
        <v>6000</v>
      </c>
      <c r="C1358">
        <v>36</v>
      </c>
      <c r="D1358">
        <v>32</v>
      </c>
      <c r="E1358">
        <v>0</v>
      </c>
      <c r="F1358">
        <v>784714939</v>
      </c>
      <c r="G1358">
        <v>972572.2</v>
      </c>
      <c r="H1358">
        <v>783827595</v>
      </c>
      <c r="I1358">
        <v>783827595</v>
      </c>
      <c r="J1358">
        <v>-1.304E-3</v>
      </c>
      <c r="K1358">
        <v>-1.304E-3</v>
      </c>
      <c r="M1358" t="s">
        <v>0</v>
      </c>
      <c r="N1358">
        <v>2500</v>
      </c>
      <c r="O1358">
        <v>42</v>
      </c>
      <c r="P1358">
        <v>7</v>
      </c>
      <c r="Q1358">
        <v>0</v>
      </c>
      <c r="R1358">
        <v>171706857</v>
      </c>
      <c r="S1358">
        <v>381832.28</v>
      </c>
      <c r="T1358">
        <v>171325024.72</v>
      </c>
      <c r="U1358">
        <v>171325024.72</v>
      </c>
      <c r="V1358">
        <v>0</v>
      </c>
      <c r="W1358">
        <v>0</v>
      </c>
    </row>
    <row r="1359" spans="1:23" x14ac:dyDescent="0.35">
      <c r="A1359" t="s">
        <v>3</v>
      </c>
      <c r="B1359">
        <v>7000</v>
      </c>
      <c r="C1359">
        <v>36</v>
      </c>
      <c r="D1359">
        <v>79</v>
      </c>
      <c r="E1359">
        <v>0</v>
      </c>
      <c r="F1359">
        <v>1920756751</v>
      </c>
      <c r="G1359">
        <v>2004967.62</v>
      </c>
      <c r="H1359">
        <v>1891405216</v>
      </c>
      <c r="I1359">
        <v>1917770400.6500001</v>
      </c>
      <c r="J1359">
        <v>0.158085</v>
      </c>
      <c r="K1359">
        <v>6.1139999999999996E-3</v>
      </c>
      <c r="M1359" t="s">
        <v>2</v>
      </c>
      <c r="N1359">
        <v>7750</v>
      </c>
      <c r="O1359">
        <v>42</v>
      </c>
      <c r="P1359">
        <v>83</v>
      </c>
      <c r="Q1359">
        <v>0</v>
      </c>
      <c r="R1359">
        <v>1050336998</v>
      </c>
      <c r="S1359">
        <v>990578.36</v>
      </c>
      <c r="T1359">
        <v>1041528152.47</v>
      </c>
      <c r="U1359">
        <v>1049346419.64</v>
      </c>
      <c r="V1359">
        <v>8.5754999999999998E-2</v>
      </c>
      <c r="W1359">
        <v>0</v>
      </c>
    </row>
    <row r="1360" spans="1:23" x14ac:dyDescent="0.35">
      <c r="A1360" t="s">
        <v>2</v>
      </c>
      <c r="B1360">
        <v>7500</v>
      </c>
      <c r="C1360">
        <v>42</v>
      </c>
      <c r="D1360">
        <v>71</v>
      </c>
      <c r="E1360">
        <v>0</v>
      </c>
      <c r="F1360">
        <v>965975259</v>
      </c>
      <c r="G1360">
        <v>949416.89</v>
      </c>
      <c r="H1360">
        <v>937899193</v>
      </c>
      <c r="I1360">
        <v>964642769.41999996</v>
      </c>
      <c r="J1360">
        <v>0.28951500000000002</v>
      </c>
      <c r="K1360">
        <v>4.7479999999999996E-3</v>
      </c>
      <c r="M1360" t="s">
        <v>3</v>
      </c>
      <c r="N1360">
        <v>4750</v>
      </c>
      <c r="O1360">
        <v>42</v>
      </c>
      <c r="P1360">
        <v>28</v>
      </c>
      <c r="Q1360">
        <v>0</v>
      </c>
      <c r="R1360">
        <v>635570231</v>
      </c>
      <c r="S1360">
        <v>1001559.72</v>
      </c>
      <c r="T1360">
        <v>634568671.27999997</v>
      </c>
      <c r="U1360">
        <v>634568671.27999997</v>
      </c>
      <c r="V1360">
        <v>0</v>
      </c>
      <c r="W1360">
        <v>0</v>
      </c>
    </row>
    <row r="1361" spans="1:23" x14ac:dyDescent="0.35">
      <c r="A1361" t="s">
        <v>3</v>
      </c>
      <c r="B1361">
        <v>7250</v>
      </c>
      <c r="C1361">
        <v>42</v>
      </c>
      <c r="D1361">
        <v>20</v>
      </c>
      <c r="E1361">
        <v>0</v>
      </c>
      <c r="F1361">
        <v>519742003</v>
      </c>
      <c r="G1361">
        <v>540022.11</v>
      </c>
      <c r="H1361">
        <v>519139613</v>
      </c>
      <c r="I1361">
        <v>519139613</v>
      </c>
      <c r="J1361">
        <v>1.439E-3</v>
      </c>
      <c r="K1361">
        <v>1.439E-3</v>
      </c>
      <c r="M1361" t="s">
        <v>3</v>
      </c>
      <c r="N1361">
        <v>6250</v>
      </c>
      <c r="O1361">
        <v>48</v>
      </c>
      <c r="P1361">
        <v>2</v>
      </c>
      <c r="Q1361">
        <v>0</v>
      </c>
      <c r="R1361">
        <v>52602332</v>
      </c>
      <c r="S1361">
        <v>65384.87</v>
      </c>
      <c r="T1361">
        <v>52536947.130000003</v>
      </c>
      <c r="U1361">
        <v>52536947.130000003</v>
      </c>
      <c r="V1361">
        <v>0</v>
      </c>
      <c r="W1361">
        <v>0</v>
      </c>
    </row>
    <row r="1362" spans="1:23" x14ac:dyDescent="0.35">
      <c r="A1362" t="s">
        <v>3</v>
      </c>
      <c r="B1362">
        <v>7500</v>
      </c>
      <c r="C1362">
        <v>42</v>
      </c>
      <c r="D1362">
        <v>9</v>
      </c>
      <c r="E1362">
        <v>0</v>
      </c>
      <c r="F1362">
        <v>140864521</v>
      </c>
      <c r="G1362">
        <v>138902.39000000001</v>
      </c>
      <c r="H1362">
        <v>122965269</v>
      </c>
      <c r="I1362">
        <v>140706880.86000001</v>
      </c>
      <c r="J1362">
        <v>0.80154899999999996</v>
      </c>
      <c r="K1362">
        <v>1.5950000000000001E-3</v>
      </c>
      <c r="M1362" t="s">
        <v>0</v>
      </c>
      <c r="N1362">
        <v>8250</v>
      </c>
      <c r="O1362">
        <v>42</v>
      </c>
      <c r="P1362">
        <v>18</v>
      </c>
      <c r="Q1362">
        <v>0</v>
      </c>
      <c r="R1362">
        <v>416934921</v>
      </c>
      <c r="S1362">
        <v>358210.74</v>
      </c>
      <c r="T1362">
        <v>369822976.26999998</v>
      </c>
      <c r="U1362">
        <v>416576710.25999999</v>
      </c>
      <c r="V1362">
        <v>0.76003200000000004</v>
      </c>
      <c r="W1362">
        <v>0</v>
      </c>
    </row>
    <row r="1363" spans="1:23" x14ac:dyDescent="0.35">
      <c r="A1363" t="s">
        <v>3</v>
      </c>
      <c r="B1363">
        <v>7750</v>
      </c>
      <c r="C1363">
        <v>42</v>
      </c>
      <c r="D1363">
        <v>13</v>
      </c>
      <c r="E1363">
        <v>0</v>
      </c>
      <c r="F1363">
        <v>210370905</v>
      </c>
      <c r="G1363">
        <v>200129.12</v>
      </c>
      <c r="H1363">
        <v>210196079</v>
      </c>
      <c r="I1363">
        <v>210196079</v>
      </c>
      <c r="J1363">
        <v>-1.444E-3</v>
      </c>
      <c r="K1363">
        <v>-1.444E-3</v>
      </c>
      <c r="M1363" t="s">
        <v>3</v>
      </c>
      <c r="N1363">
        <v>7000</v>
      </c>
      <c r="O1363">
        <v>42</v>
      </c>
      <c r="P1363">
        <v>25</v>
      </c>
      <c r="Q1363">
        <v>0</v>
      </c>
      <c r="R1363">
        <v>616063517</v>
      </c>
      <c r="S1363">
        <v>663052.13</v>
      </c>
      <c r="T1363">
        <v>615400464.87</v>
      </c>
      <c r="U1363">
        <v>615400464.87</v>
      </c>
      <c r="V1363">
        <v>0</v>
      </c>
      <c r="W1363">
        <v>0</v>
      </c>
    </row>
    <row r="1364" spans="1:23" x14ac:dyDescent="0.35">
      <c r="A1364" t="s">
        <v>3</v>
      </c>
      <c r="B1364">
        <v>6500</v>
      </c>
      <c r="C1364">
        <v>36</v>
      </c>
      <c r="D1364">
        <v>50</v>
      </c>
      <c r="E1364">
        <v>0</v>
      </c>
      <c r="F1364">
        <v>1094173691</v>
      </c>
      <c r="G1364">
        <v>1231619.02</v>
      </c>
      <c r="H1364">
        <v>1060950029</v>
      </c>
      <c r="I1364">
        <v>1092841506.48</v>
      </c>
      <c r="J1364">
        <v>0.299593</v>
      </c>
      <c r="K1364">
        <v>1.1019999999999999E-3</v>
      </c>
      <c r="M1364" t="s">
        <v>3</v>
      </c>
      <c r="N1364">
        <v>6750</v>
      </c>
      <c r="O1364">
        <v>42</v>
      </c>
      <c r="P1364">
        <v>45</v>
      </c>
      <c r="Q1364">
        <v>0</v>
      </c>
      <c r="R1364">
        <v>1142043551</v>
      </c>
      <c r="S1364">
        <v>1277192.8600000001</v>
      </c>
      <c r="T1364">
        <v>1140766358.1400001</v>
      </c>
      <c r="U1364">
        <v>1140766358.1400001</v>
      </c>
      <c r="V1364">
        <v>0</v>
      </c>
      <c r="W1364">
        <v>0</v>
      </c>
    </row>
    <row r="1365" spans="1:23" x14ac:dyDescent="0.35">
      <c r="A1365" t="s">
        <v>3</v>
      </c>
      <c r="B1365">
        <v>7250</v>
      </c>
      <c r="C1365">
        <v>30</v>
      </c>
      <c r="D1365">
        <v>110</v>
      </c>
      <c r="E1365">
        <v>0</v>
      </c>
      <c r="F1365">
        <v>2841411469</v>
      </c>
      <c r="G1365">
        <v>2705884.72</v>
      </c>
      <c r="H1365">
        <v>2784113852</v>
      </c>
      <c r="I1365">
        <v>2838222150.0300002</v>
      </c>
      <c r="J1365">
        <v>0.20768700000000001</v>
      </c>
      <c r="K1365">
        <v>2.0400000000000001E-3</v>
      </c>
      <c r="M1365" t="s">
        <v>2</v>
      </c>
      <c r="N1365">
        <v>3250</v>
      </c>
      <c r="O1365">
        <v>42</v>
      </c>
      <c r="P1365">
        <v>131</v>
      </c>
      <c r="Q1365">
        <v>0</v>
      </c>
      <c r="R1365">
        <v>1999718776</v>
      </c>
      <c r="S1365">
        <v>4140023.37</v>
      </c>
      <c r="T1365">
        <v>1995578752.6300001</v>
      </c>
      <c r="U1365">
        <v>1995578752.6300001</v>
      </c>
      <c r="V1365">
        <v>0</v>
      </c>
      <c r="W1365">
        <v>0</v>
      </c>
    </row>
    <row r="1366" spans="1:23" x14ac:dyDescent="0.35">
      <c r="A1366" t="s">
        <v>3</v>
      </c>
      <c r="B1366">
        <v>6750</v>
      </c>
      <c r="C1366">
        <v>30</v>
      </c>
      <c r="D1366">
        <v>81</v>
      </c>
      <c r="E1366">
        <v>0</v>
      </c>
      <c r="F1366">
        <v>2075306478</v>
      </c>
      <c r="G1366">
        <v>2157205.71</v>
      </c>
      <c r="H1366">
        <v>2072278286</v>
      </c>
      <c r="I1366">
        <v>2072278286</v>
      </c>
      <c r="J1366">
        <v>5.025E-3</v>
      </c>
      <c r="K1366">
        <v>5.025E-3</v>
      </c>
      <c r="M1366" t="s">
        <v>2</v>
      </c>
      <c r="N1366">
        <v>4750</v>
      </c>
      <c r="O1366">
        <v>36</v>
      </c>
      <c r="P1366">
        <v>146</v>
      </c>
      <c r="Q1366">
        <v>0</v>
      </c>
      <c r="R1366">
        <v>3355151705</v>
      </c>
      <c r="S1366">
        <v>5088764.5599999996</v>
      </c>
      <c r="T1366">
        <v>3326037102.77</v>
      </c>
      <c r="U1366">
        <v>3350062940.4400001</v>
      </c>
      <c r="V1366">
        <v>8.2626000000000005E-2</v>
      </c>
      <c r="W1366">
        <v>0</v>
      </c>
    </row>
    <row r="1367" spans="1:23" x14ac:dyDescent="0.35">
      <c r="A1367" t="s">
        <v>3</v>
      </c>
      <c r="B1367">
        <v>5750</v>
      </c>
      <c r="C1367">
        <v>24</v>
      </c>
      <c r="D1367">
        <v>21</v>
      </c>
      <c r="E1367">
        <v>0</v>
      </c>
      <c r="F1367">
        <v>603951058</v>
      </c>
      <c r="G1367">
        <v>727312.63</v>
      </c>
      <c r="H1367">
        <v>603056033</v>
      </c>
      <c r="I1367">
        <v>603056033</v>
      </c>
      <c r="J1367">
        <v>3.3270000000000001E-3</v>
      </c>
      <c r="K1367">
        <v>3.3270000000000001E-3</v>
      </c>
      <c r="M1367" t="s">
        <v>0</v>
      </c>
      <c r="N1367">
        <v>4750</v>
      </c>
      <c r="O1367">
        <v>36</v>
      </c>
      <c r="P1367">
        <v>4465</v>
      </c>
      <c r="Q1367">
        <v>0</v>
      </c>
      <c r="R1367">
        <v>140110060121</v>
      </c>
      <c r="S1367">
        <v>211733242.87</v>
      </c>
      <c r="T1367">
        <v>139204144538.03</v>
      </c>
      <c r="U1367">
        <v>139738867628.67001</v>
      </c>
      <c r="V1367">
        <v>5.7861000000000003E-2</v>
      </c>
      <c r="W1367">
        <v>1.3572000000000001E-2</v>
      </c>
    </row>
    <row r="1368" spans="1:23" x14ac:dyDescent="0.35">
      <c r="A1368" t="s">
        <v>3</v>
      </c>
      <c r="B1368">
        <v>6250</v>
      </c>
      <c r="C1368">
        <v>24</v>
      </c>
      <c r="D1368">
        <v>86</v>
      </c>
      <c r="E1368">
        <v>0</v>
      </c>
      <c r="F1368">
        <v>2295177381</v>
      </c>
      <c r="G1368">
        <v>2533548.62</v>
      </c>
      <c r="H1368">
        <v>2292157563</v>
      </c>
      <c r="I1368">
        <v>2292157563</v>
      </c>
      <c r="J1368">
        <v>2.539E-3</v>
      </c>
      <c r="K1368">
        <v>2.539E-3</v>
      </c>
      <c r="M1368" t="s">
        <v>1</v>
      </c>
      <c r="N1368">
        <v>4750</v>
      </c>
      <c r="O1368">
        <v>36</v>
      </c>
      <c r="P1368">
        <v>3080</v>
      </c>
      <c r="Q1368">
        <v>0</v>
      </c>
      <c r="R1368">
        <v>111752123127</v>
      </c>
      <c r="S1368">
        <v>169127354.22</v>
      </c>
      <c r="T1368">
        <v>110551597497.13</v>
      </c>
      <c r="U1368">
        <v>111316262711.59</v>
      </c>
      <c r="V1368">
        <v>0.1053</v>
      </c>
      <c r="W1368">
        <v>2.8268999999999999E-2</v>
      </c>
    </row>
    <row r="1369" spans="1:23" x14ac:dyDescent="0.35">
      <c r="A1369" t="s">
        <v>3</v>
      </c>
      <c r="B1369">
        <v>6750</v>
      </c>
      <c r="C1369">
        <v>24</v>
      </c>
      <c r="D1369">
        <v>117</v>
      </c>
      <c r="E1369">
        <v>0</v>
      </c>
      <c r="F1369">
        <v>3273397660</v>
      </c>
      <c r="G1369">
        <v>3275122.51</v>
      </c>
      <c r="H1369">
        <v>3269559113</v>
      </c>
      <c r="I1369">
        <v>3269559113</v>
      </c>
      <c r="J1369">
        <v>2.0639999999999999E-3</v>
      </c>
      <c r="K1369">
        <v>2.0639999999999999E-3</v>
      </c>
      <c r="M1369" t="s">
        <v>0</v>
      </c>
      <c r="N1369">
        <v>2750</v>
      </c>
      <c r="O1369">
        <v>42</v>
      </c>
      <c r="P1369">
        <v>87</v>
      </c>
      <c r="Q1369">
        <v>0</v>
      </c>
      <c r="R1369">
        <v>1954961237</v>
      </c>
      <c r="S1369">
        <v>4175725.36</v>
      </c>
      <c r="T1369">
        <v>1950785511.6400001</v>
      </c>
      <c r="U1369">
        <v>1950785511.6400001</v>
      </c>
      <c r="V1369">
        <v>0</v>
      </c>
      <c r="W1369">
        <v>0</v>
      </c>
    </row>
    <row r="1370" spans="1:23" x14ac:dyDescent="0.35">
      <c r="A1370" t="s">
        <v>3</v>
      </c>
      <c r="B1370">
        <v>6500</v>
      </c>
      <c r="C1370">
        <v>24</v>
      </c>
      <c r="D1370">
        <v>49</v>
      </c>
      <c r="E1370">
        <v>0</v>
      </c>
      <c r="F1370">
        <v>1217439506</v>
      </c>
      <c r="G1370">
        <v>1275208.58</v>
      </c>
      <c r="H1370">
        <v>1215864568</v>
      </c>
      <c r="I1370">
        <v>1215864568</v>
      </c>
      <c r="J1370">
        <v>2.9499999999999999E-3</v>
      </c>
      <c r="K1370">
        <v>2.9499999999999999E-3</v>
      </c>
      <c r="M1370" t="s">
        <v>2</v>
      </c>
      <c r="N1370">
        <v>7750</v>
      </c>
      <c r="O1370">
        <v>36</v>
      </c>
      <c r="P1370">
        <v>72</v>
      </c>
      <c r="Q1370">
        <v>0</v>
      </c>
      <c r="R1370">
        <v>971827073</v>
      </c>
      <c r="S1370">
        <v>881978.49</v>
      </c>
      <c r="T1370">
        <v>970945094.50999999</v>
      </c>
      <c r="U1370">
        <v>970945094.50999999</v>
      </c>
      <c r="V1370">
        <v>0</v>
      </c>
      <c r="W1370">
        <v>0</v>
      </c>
    </row>
    <row r="1371" spans="1:23" x14ac:dyDescent="0.35">
      <c r="A1371" t="s">
        <v>1</v>
      </c>
      <c r="B1371">
        <v>7500</v>
      </c>
      <c r="C1371">
        <v>36</v>
      </c>
      <c r="D1371">
        <v>270</v>
      </c>
      <c r="E1371">
        <v>0</v>
      </c>
      <c r="F1371">
        <v>6180595641</v>
      </c>
      <c r="G1371">
        <v>5847534.3600000003</v>
      </c>
      <c r="H1371">
        <v>5931960582</v>
      </c>
      <c r="I1371">
        <v>6083465196.6199999</v>
      </c>
      <c r="J1371">
        <v>0.38177</v>
      </c>
      <c r="K1371">
        <v>0.16352</v>
      </c>
      <c r="M1371" t="s">
        <v>0</v>
      </c>
      <c r="N1371">
        <v>8250</v>
      </c>
      <c r="O1371">
        <v>36</v>
      </c>
      <c r="P1371">
        <v>115</v>
      </c>
      <c r="Q1371">
        <v>0</v>
      </c>
      <c r="R1371">
        <v>2941721767</v>
      </c>
      <c r="S1371">
        <v>2420329.41</v>
      </c>
      <c r="T1371">
        <v>2883965080.1500001</v>
      </c>
      <c r="U1371">
        <v>2902065922.0300002</v>
      </c>
      <c r="V1371">
        <v>0.20378099999999999</v>
      </c>
      <c r="W1371">
        <v>0.14175199999999999</v>
      </c>
    </row>
    <row r="1372" spans="1:23" x14ac:dyDescent="0.35">
      <c r="A1372" t="s">
        <v>0</v>
      </c>
      <c r="B1372">
        <v>9000</v>
      </c>
      <c r="C1372">
        <v>30</v>
      </c>
      <c r="D1372">
        <v>272</v>
      </c>
      <c r="E1372">
        <v>0</v>
      </c>
      <c r="F1372">
        <v>6211119092</v>
      </c>
      <c r="G1372">
        <v>4485663.97</v>
      </c>
      <c r="H1372">
        <v>6123313571</v>
      </c>
      <c r="I1372">
        <v>6174254341.4799995</v>
      </c>
      <c r="J1372">
        <v>0.149614</v>
      </c>
      <c r="K1372">
        <v>6.0794000000000001E-2</v>
      </c>
      <c r="M1372" t="s">
        <v>3</v>
      </c>
      <c r="N1372">
        <v>6750</v>
      </c>
      <c r="O1372">
        <v>36</v>
      </c>
      <c r="P1372">
        <v>65</v>
      </c>
      <c r="Q1372">
        <v>0</v>
      </c>
      <c r="R1372">
        <v>1622164618</v>
      </c>
      <c r="S1372">
        <v>1765397.2</v>
      </c>
      <c r="T1372">
        <v>1620399220.8</v>
      </c>
      <c r="U1372">
        <v>1620399220.8</v>
      </c>
      <c r="V1372">
        <v>0</v>
      </c>
      <c r="W1372">
        <v>0</v>
      </c>
    </row>
    <row r="1373" spans="1:23" x14ac:dyDescent="0.35">
      <c r="A1373" t="s">
        <v>1</v>
      </c>
      <c r="B1373">
        <v>7750</v>
      </c>
      <c r="C1373">
        <v>36</v>
      </c>
      <c r="D1373">
        <v>349</v>
      </c>
      <c r="E1373">
        <v>0</v>
      </c>
      <c r="F1373">
        <v>8517905276</v>
      </c>
      <c r="G1373">
        <v>7672406.0499999998</v>
      </c>
      <c r="H1373">
        <v>7967949190</v>
      </c>
      <c r="I1373">
        <v>8224428169.8999996</v>
      </c>
      <c r="J1373">
        <v>0.54586900000000005</v>
      </c>
      <c r="K1373">
        <v>0.33605200000000002</v>
      </c>
      <c r="M1373" t="s">
        <v>3</v>
      </c>
      <c r="N1373">
        <v>6000</v>
      </c>
      <c r="O1373">
        <v>36</v>
      </c>
      <c r="P1373">
        <v>33</v>
      </c>
      <c r="Q1373">
        <v>0</v>
      </c>
      <c r="R1373">
        <v>798429854</v>
      </c>
      <c r="S1373">
        <v>984887.51</v>
      </c>
      <c r="T1373">
        <v>797444966.49000001</v>
      </c>
      <c r="U1373">
        <v>797444966.49000001</v>
      </c>
      <c r="V1373">
        <v>0</v>
      </c>
      <c r="W1373">
        <v>0</v>
      </c>
    </row>
    <row r="1374" spans="1:23" x14ac:dyDescent="0.35">
      <c r="A1374" t="s">
        <v>1</v>
      </c>
      <c r="B1374">
        <v>2000</v>
      </c>
      <c r="C1374">
        <v>120</v>
      </c>
      <c r="D1374">
        <v>4</v>
      </c>
      <c r="E1374">
        <v>0</v>
      </c>
      <c r="F1374">
        <v>60646515</v>
      </c>
      <c r="G1374">
        <v>198572.7</v>
      </c>
      <c r="H1374">
        <v>60425742</v>
      </c>
      <c r="I1374">
        <v>60425742</v>
      </c>
      <c r="J1374">
        <v>4.3839999999999999E-3</v>
      </c>
      <c r="K1374">
        <v>4.3839999999999999E-3</v>
      </c>
      <c r="M1374" t="s">
        <v>3</v>
      </c>
      <c r="N1374">
        <v>7000</v>
      </c>
      <c r="O1374">
        <v>36</v>
      </c>
      <c r="P1374">
        <v>72</v>
      </c>
      <c r="Q1374">
        <v>0</v>
      </c>
      <c r="R1374">
        <v>1753784442</v>
      </c>
      <c r="S1374">
        <v>1829635.52</v>
      </c>
      <c r="T1374">
        <v>1751954806.48</v>
      </c>
      <c r="U1374">
        <v>1751954806.48</v>
      </c>
      <c r="V1374">
        <v>0</v>
      </c>
      <c r="W1374">
        <v>0</v>
      </c>
    </row>
    <row r="1375" spans="1:23" x14ac:dyDescent="0.35">
      <c r="A1375" t="s">
        <v>1</v>
      </c>
      <c r="B1375">
        <v>2000</v>
      </c>
      <c r="C1375">
        <v>168</v>
      </c>
      <c r="D1375">
        <v>5</v>
      </c>
      <c r="E1375">
        <v>0</v>
      </c>
      <c r="F1375">
        <v>42971807</v>
      </c>
      <c r="G1375">
        <v>171488.04</v>
      </c>
      <c r="H1375">
        <v>42760643</v>
      </c>
      <c r="I1375">
        <v>42760643</v>
      </c>
      <c r="J1375">
        <v>1.1024000000000001E-2</v>
      </c>
      <c r="K1375">
        <v>1.1024000000000001E-2</v>
      </c>
      <c r="M1375" t="s">
        <v>2</v>
      </c>
      <c r="N1375">
        <v>7500</v>
      </c>
      <c r="O1375">
        <v>42</v>
      </c>
      <c r="P1375">
        <v>60</v>
      </c>
      <c r="Q1375">
        <v>0</v>
      </c>
      <c r="R1375">
        <v>846993775</v>
      </c>
      <c r="S1375">
        <v>827432.83</v>
      </c>
      <c r="T1375">
        <v>827672141.30999994</v>
      </c>
      <c r="U1375">
        <v>827672141.30999994</v>
      </c>
      <c r="V1375">
        <v>0.232736</v>
      </c>
      <c r="W1375">
        <v>0.232736</v>
      </c>
    </row>
    <row r="1376" spans="1:23" x14ac:dyDescent="0.35">
      <c r="A1376" t="s">
        <v>0</v>
      </c>
      <c r="B1376">
        <v>4250</v>
      </c>
      <c r="C1376">
        <v>36</v>
      </c>
      <c r="D1376">
        <v>820</v>
      </c>
      <c r="E1376">
        <v>0</v>
      </c>
      <c r="F1376">
        <v>23026959870</v>
      </c>
      <c r="G1376">
        <v>37605730.75</v>
      </c>
      <c r="H1376">
        <v>22987941227</v>
      </c>
      <c r="I1376">
        <v>22987941227</v>
      </c>
      <c r="J1376">
        <v>7.36E-4</v>
      </c>
      <c r="K1376">
        <v>7.36E-4</v>
      </c>
      <c r="M1376" t="s">
        <v>3</v>
      </c>
      <c r="N1376">
        <v>7250</v>
      </c>
      <c r="O1376">
        <v>42</v>
      </c>
      <c r="P1376">
        <v>18</v>
      </c>
      <c r="Q1376">
        <v>0</v>
      </c>
      <c r="R1376">
        <v>452071459</v>
      </c>
      <c r="S1376">
        <v>467098.25</v>
      </c>
      <c r="T1376">
        <v>451604360.75</v>
      </c>
      <c r="U1376">
        <v>451604360.75</v>
      </c>
      <c r="V1376">
        <v>0</v>
      </c>
      <c r="W1376">
        <v>0</v>
      </c>
    </row>
    <row r="1377" spans="1:23" x14ac:dyDescent="0.35">
      <c r="A1377" t="s">
        <v>0</v>
      </c>
      <c r="B1377">
        <v>4000</v>
      </c>
      <c r="C1377">
        <v>36</v>
      </c>
      <c r="D1377">
        <v>144</v>
      </c>
      <c r="E1377">
        <v>0</v>
      </c>
      <c r="F1377">
        <v>3930185851</v>
      </c>
      <c r="G1377">
        <v>6748628.9000000004</v>
      </c>
      <c r="H1377">
        <v>3876004973</v>
      </c>
      <c r="I1377">
        <v>3876004973</v>
      </c>
      <c r="J1377">
        <v>0.13558799999999999</v>
      </c>
      <c r="K1377">
        <v>0.13558799999999999</v>
      </c>
      <c r="M1377" t="s">
        <v>3</v>
      </c>
      <c r="N1377">
        <v>7500</v>
      </c>
      <c r="O1377">
        <v>42</v>
      </c>
      <c r="P1377">
        <v>5</v>
      </c>
      <c r="Q1377">
        <v>0</v>
      </c>
      <c r="R1377">
        <v>75300829</v>
      </c>
      <c r="S1377">
        <v>74024.89</v>
      </c>
      <c r="T1377">
        <v>75226804.109999999</v>
      </c>
      <c r="U1377">
        <v>75226804.109999999</v>
      </c>
      <c r="V1377">
        <v>0</v>
      </c>
      <c r="W1377">
        <v>0</v>
      </c>
    </row>
    <row r="1378" spans="1:23" x14ac:dyDescent="0.35">
      <c r="A1378" t="s">
        <v>0</v>
      </c>
      <c r="B1378">
        <v>3750</v>
      </c>
      <c r="C1378">
        <v>36</v>
      </c>
      <c r="D1378">
        <v>86</v>
      </c>
      <c r="E1378">
        <v>0</v>
      </c>
      <c r="F1378">
        <v>2470113416</v>
      </c>
      <c r="G1378">
        <v>4380940.8</v>
      </c>
      <c r="H1378">
        <v>2451606517</v>
      </c>
      <c r="I1378">
        <v>2451606517</v>
      </c>
      <c r="J1378">
        <v>6.6506999999999997E-2</v>
      </c>
      <c r="K1378">
        <v>6.6506999999999997E-2</v>
      </c>
      <c r="M1378" t="s">
        <v>3</v>
      </c>
      <c r="N1378">
        <v>7750</v>
      </c>
      <c r="O1378">
        <v>42</v>
      </c>
      <c r="P1378">
        <v>7</v>
      </c>
      <c r="Q1378">
        <v>0</v>
      </c>
      <c r="R1378">
        <v>141630167</v>
      </c>
      <c r="S1378">
        <v>134305.88</v>
      </c>
      <c r="T1378">
        <v>141495861.12</v>
      </c>
      <c r="U1378">
        <v>141495861.12</v>
      </c>
      <c r="V1378">
        <v>0</v>
      </c>
      <c r="W1378">
        <v>0</v>
      </c>
    </row>
    <row r="1379" spans="1:23" x14ac:dyDescent="0.35">
      <c r="A1379" t="s">
        <v>0</v>
      </c>
      <c r="B1379">
        <v>3500</v>
      </c>
      <c r="C1379">
        <v>36</v>
      </c>
      <c r="D1379">
        <v>47</v>
      </c>
      <c r="E1379">
        <v>0</v>
      </c>
      <c r="F1379">
        <v>1136947741</v>
      </c>
      <c r="G1379">
        <v>2109398.98</v>
      </c>
      <c r="H1379">
        <v>1120977894</v>
      </c>
      <c r="I1379">
        <v>1134575767.5799999</v>
      </c>
      <c r="J1379">
        <v>0.13686999999999999</v>
      </c>
      <c r="K1379">
        <v>2.7680000000000001E-3</v>
      </c>
      <c r="M1379" t="s">
        <v>3</v>
      </c>
      <c r="N1379">
        <v>5750</v>
      </c>
      <c r="O1379">
        <v>36</v>
      </c>
      <c r="P1379">
        <v>29</v>
      </c>
      <c r="Q1379">
        <v>0</v>
      </c>
      <c r="R1379">
        <v>744753713</v>
      </c>
      <c r="S1379">
        <v>962565.73</v>
      </c>
      <c r="T1379">
        <v>743791147.26999998</v>
      </c>
      <c r="U1379">
        <v>743791147.26999998</v>
      </c>
      <c r="V1379">
        <v>0</v>
      </c>
      <c r="W1379">
        <v>0</v>
      </c>
    </row>
    <row r="1380" spans="1:23" x14ac:dyDescent="0.35">
      <c r="A1380" t="s">
        <v>0</v>
      </c>
      <c r="B1380">
        <v>3000</v>
      </c>
      <c r="C1380">
        <v>36</v>
      </c>
      <c r="D1380">
        <v>32</v>
      </c>
      <c r="E1380">
        <v>0</v>
      </c>
      <c r="F1380">
        <v>754551203</v>
      </c>
      <c r="G1380">
        <v>1525262.77</v>
      </c>
      <c r="H1380">
        <v>745727986</v>
      </c>
      <c r="I1380">
        <v>745727986</v>
      </c>
      <c r="J1380">
        <v>0.110084</v>
      </c>
      <c r="K1380">
        <v>0.110084</v>
      </c>
      <c r="M1380" t="s">
        <v>2</v>
      </c>
      <c r="N1380">
        <v>5750</v>
      </c>
      <c r="O1380">
        <v>30</v>
      </c>
      <c r="P1380">
        <v>386</v>
      </c>
      <c r="Q1380">
        <v>0</v>
      </c>
      <c r="R1380">
        <v>8263700031</v>
      </c>
      <c r="S1380">
        <v>10328770.49</v>
      </c>
      <c r="T1380">
        <v>8253371260.5100002</v>
      </c>
      <c r="U1380">
        <v>8253371260.5100002</v>
      </c>
      <c r="V1380">
        <v>0</v>
      </c>
      <c r="W1380">
        <v>0</v>
      </c>
    </row>
    <row r="1381" spans="1:23" x14ac:dyDescent="0.35">
      <c r="A1381" t="s">
        <v>1</v>
      </c>
      <c r="B1381">
        <v>4500</v>
      </c>
      <c r="C1381">
        <v>36</v>
      </c>
      <c r="D1381">
        <v>645</v>
      </c>
      <c r="E1381">
        <v>0</v>
      </c>
      <c r="F1381">
        <v>22554520816</v>
      </c>
      <c r="G1381">
        <v>35691649.079999998</v>
      </c>
      <c r="H1381">
        <v>22160586832</v>
      </c>
      <c r="I1381">
        <v>22373983757.700001</v>
      </c>
      <c r="J1381">
        <v>0.17480100000000001</v>
      </c>
      <c r="K1381">
        <v>7.4399999999999994E-2</v>
      </c>
      <c r="M1381" t="s">
        <v>3</v>
      </c>
      <c r="N1381">
        <v>6500</v>
      </c>
      <c r="O1381">
        <v>36</v>
      </c>
      <c r="P1381">
        <v>44</v>
      </c>
      <c r="Q1381">
        <v>0</v>
      </c>
      <c r="R1381">
        <v>958182334</v>
      </c>
      <c r="S1381">
        <v>1081384.1399999999</v>
      </c>
      <c r="T1381">
        <v>924389079.13999999</v>
      </c>
      <c r="U1381">
        <v>957100949.86000001</v>
      </c>
      <c r="V1381">
        <v>0.34086699999999998</v>
      </c>
      <c r="W1381">
        <v>0</v>
      </c>
    </row>
    <row r="1382" spans="1:23" x14ac:dyDescent="0.35">
      <c r="A1382" t="s">
        <v>2</v>
      </c>
      <c r="B1382">
        <v>8000</v>
      </c>
      <c r="C1382">
        <v>42</v>
      </c>
      <c r="D1382">
        <v>2</v>
      </c>
      <c r="E1382">
        <v>0</v>
      </c>
      <c r="F1382">
        <v>27158827</v>
      </c>
      <c r="G1382">
        <v>23974.35</v>
      </c>
      <c r="H1382">
        <v>27138949</v>
      </c>
      <c r="I1382">
        <v>27138949</v>
      </c>
      <c r="J1382">
        <v>-1.8109999999999999E-3</v>
      </c>
      <c r="K1382">
        <v>-1.8109999999999999E-3</v>
      </c>
      <c r="M1382" t="s">
        <v>3</v>
      </c>
      <c r="N1382">
        <v>7250</v>
      </c>
      <c r="O1382">
        <v>30</v>
      </c>
      <c r="P1382">
        <v>120</v>
      </c>
      <c r="Q1382">
        <v>0</v>
      </c>
      <c r="R1382">
        <v>3105576446</v>
      </c>
      <c r="S1382">
        <v>2951556.04</v>
      </c>
      <c r="T1382">
        <v>3049254642.21</v>
      </c>
      <c r="U1382">
        <v>3084177474.8699999</v>
      </c>
      <c r="V1382">
        <v>0.187806</v>
      </c>
      <c r="W1382">
        <v>6.8998000000000004E-2</v>
      </c>
    </row>
    <row r="1383" spans="1:23" x14ac:dyDescent="0.35">
      <c r="A1383" t="s">
        <v>1</v>
      </c>
      <c r="B1383">
        <v>8000</v>
      </c>
      <c r="C1383">
        <v>42</v>
      </c>
      <c r="D1383">
        <v>24</v>
      </c>
      <c r="E1383">
        <v>0</v>
      </c>
      <c r="F1383">
        <v>535721261</v>
      </c>
      <c r="G1383">
        <v>475370.22</v>
      </c>
      <c r="H1383">
        <v>535506459</v>
      </c>
      <c r="I1383">
        <v>535506459</v>
      </c>
      <c r="J1383">
        <v>-5.8520000000000004E-3</v>
      </c>
      <c r="K1383">
        <v>-5.8520000000000004E-3</v>
      </c>
      <c r="M1383" t="s">
        <v>3</v>
      </c>
      <c r="N1383">
        <v>6750</v>
      </c>
      <c r="O1383">
        <v>30</v>
      </c>
      <c r="P1383">
        <v>84</v>
      </c>
      <c r="Q1383">
        <v>0</v>
      </c>
      <c r="R1383">
        <v>2061800770</v>
      </c>
      <c r="S1383">
        <v>2153673.2400000002</v>
      </c>
      <c r="T1383">
        <v>2059647096.76</v>
      </c>
      <c r="U1383">
        <v>2059647096.76</v>
      </c>
      <c r="V1383">
        <v>0</v>
      </c>
      <c r="W1383">
        <v>0</v>
      </c>
    </row>
    <row r="1384" spans="1:23" x14ac:dyDescent="0.35">
      <c r="A1384" t="s">
        <v>2</v>
      </c>
      <c r="B1384">
        <v>8000</v>
      </c>
      <c r="C1384">
        <v>36</v>
      </c>
      <c r="D1384">
        <v>4</v>
      </c>
      <c r="E1384">
        <v>0</v>
      </c>
      <c r="F1384">
        <v>59006264</v>
      </c>
      <c r="G1384">
        <v>51688.81</v>
      </c>
      <c r="H1384">
        <v>58840820</v>
      </c>
      <c r="I1384">
        <v>58840820</v>
      </c>
      <c r="J1384">
        <v>2.2890000000000001E-2</v>
      </c>
      <c r="K1384">
        <v>2.2890000000000001E-2</v>
      </c>
      <c r="M1384" t="s">
        <v>3</v>
      </c>
      <c r="N1384">
        <v>5750</v>
      </c>
      <c r="O1384">
        <v>24</v>
      </c>
      <c r="P1384">
        <v>26</v>
      </c>
      <c r="Q1384">
        <v>0</v>
      </c>
      <c r="R1384">
        <v>727020133</v>
      </c>
      <c r="S1384">
        <v>871987.41</v>
      </c>
      <c r="T1384">
        <v>726148145.59000003</v>
      </c>
      <c r="U1384">
        <v>726148145.59000003</v>
      </c>
      <c r="V1384">
        <v>0</v>
      </c>
      <c r="W1384">
        <v>0</v>
      </c>
    </row>
    <row r="1385" spans="1:23" x14ac:dyDescent="0.35">
      <c r="A1385" t="s">
        <v>1</v>
      </c>
      <c r="B1385">
        <v>8000</v>
      </c>
      <c r="C1385">
        <v>36</v>
      </c>
      <c r="D1385">
        <v>13</v>
      </c>
      <c r="E1385">
        <v>0</v>
      </c>
      <c r="F1385">
        <v>298847105</v>
      </c>
      <c r="G1385">
        <v>262614.57</v>
      </c>
      <c r="H1385">
        <v>298828857</v>
      </c>
      <c r="I1385">
        <v>298828857</v>
      </c>
      <c r="J1385">
        <v>-9.8569999999999994E-3</v>
      </c>
      <c r="K1385">
        <v>-9.8569999999999994E-3</v>
      </c>
      <c r="M1385" t="s">
        <v>3</v>
      </c>
      <c r="N1385">
        <v>6250</v>
      </c>
      <c r="O1385">
        <v>24</v>
      </c>
      <c r="P1385">
        <v>87</v>
      </c>
      <c r="Q1385">
        <v>0</v>
      </c>
      <c r="R1385">
        <v>2401094757</v>
      </c>
      <c r="S1385">
        <v>2643535.13</v>
      </c>
      <c r="T1385">
        <v>2398451221.8699999</v>
      </c>
      <c r="U1385">
        <v>2398451221.8699999</v>
      </c>
      <c r="V1385">
        <v>0</v>
      </c>
      <c r="W1385">
        <v>0</v>
      </c>
    </row>
    <row r="1386" spans="1:23" x14ac:dyDescent="0.35">
      <c r="A1386" t="s">
        <v>2</v>
      </c>
      <c r="B1386">
        <v>7500</v>
      </c>
      <c r="C1386">
        <v>36</v>
      </c>
      <c r="D1386">
        <v>50</v>
      </c>
      <c r="E1386">
        <v>0</v>
      </c>
      <c r="F1386">
        <v>718014600</v>
      </c>
      <c r="G1386">
        <v>679172.28</v>
      </c>
      <c r="H1386">
        <v>701421183</v>
      </c>
      <c r="I1386">
        <v>701421183</v>
      </c>
      <c r="J1386">
        <v>0.23582800000000001</v>
      </c>
      <c r="K1386">
        <v>0.23582800000000001</v>
      </c>
      <c r="M1386" t="s">
        <v>3</v>
      </c>
      <c r="N1386">
        <v>6750</v>
      </c>
      <c r="O1386">
        <v>24</v>
      </c>
      <c r="P1386">
        <v>79</v>
      </c>
      <c r="Q1386">
        <v>0</v>
      </c>
      <c r="R1386">
        <v>2173705668</v>
      </c>
      <c r="S1386">
        <v>2185976.2799999998</v>
      </c>
      <c r="T1386">
        <v>2127135812.5999999</v>
      </c>
      <c r="U1386">
        <v>2171519691.7199998</v>
      </c>
      <c r="V1386">
        <v>0.21929499999999999</v>
      </c>
      <c r="W1386">
        <v>0</v>
      </c>
    </row>
    <row r="1387" spans="1:23" x14ac:dyDescent="0.35">
      <c r="A1387" t="s">
        <v>1</v>
      </c>
      <c r="B1387">
        <v>3500</v>
      </c>
      <c r="C1387">
        <v>36</v>
      </c>
      <c r="D1387">
        <v>69</v>
      </c>
      <c r="E1387">
        <v>0</v>
      </c>
      <c r="F1387">
        <v>2059738488</v>
      </c>
      <c r="G1387">
        <v>3964053.04</v>
      </c>
      <c r="H1387">
        <v>2039130300</v>
      </c>
      <c r="I1387">
        <v>2055847689.1900001</v>
      </c>
      <c r="J1387">
        <v>9.2772999999999994E-2</v>
      </c>
      <c r="K1387">
        <v>-4.2700000000000002E-4</v>
      </c>
      <c r="M1387" t="s">
        <v>3</v>
      </c>
      <c r="N1387">
        <v>6250</v>
      </c>
      <c r="O1387">
        <v>20</v>
      </c>
      <c r="P1387">
        <v>24</v>
      </c>
      <c r="Q1387">
        <v>0</v>
      </c>
      <c r="R1387">
        <v>607586245</v>
      </c>
      <c r="S1387">
        <v>656134.22</v>
      </c>
      <c r="T1387">
        <v>606930110.77999997</v>
      </c>
      <c r="U1387">
        <v>606930110.77999997</v>
      </c>
      <c r="V1387">
        <v>0</v>
      </c>
      <c r="W1387">
        <v>0</v>
      </c>
    </row>
    <row r="1388" spans="1:23" x14ac:dyDescent="0.35">
      <c r="A1388" t="s">
        <v>3</v>
      </c>
      <c r="B1388">
        <v>5750</v>
      </c>
      <c r="C1388">
        <v>36</v>
      </c>
      <c r="D1388">
        <v>28</v>
      </c>
      <c r="E1388">
        <v>0</v>
      </c>
      <c r="F1388">
        <v>752696981</v>
      </c>
      <c r="G1388">
        <v>973651.91</v>
      </c>
      <c r="H1388">
        <v>751504908</v>
      </c>
      <c r="I1388">
        <v>751504908</v>
      </c>
      <c r="J1388">
        <v>3.4770000000000001E-3</v>
      </c>
      <c r="K1388">
        <v>3.4770000000000001E-3</v>
      </c>
      <c r="M1388" t="s">
        <v>3</v>
      </c>
      <c r="N1388">
        <v>6500</v>
      </c>
      <c r="O1388">
        <v>24</v>
      </c>
      <c r="P1388">
        <v>35</v>
      </c>
      <c r="Q1388">
        <v>0</v>
      </c>
      <c r="R1388">
        <v>876222327</v>
      </c>
      <c r="S1388">
        <v>920806.51</v>
      </c>
      <c r="T1388">
        <v>875301520.49000001</v>
      </c>
      <c r="U1388">
        <v>875301520.49000001</v>
      </c>
      <c r="V1388">
        <v>0</v>
      </c>
      <c r="W1388">
        <v>0</v>
      </c>
    </row>
    <row r="1389" spans="1:23" x14ac:dyDescent="0.35">
      <c r="A1389" t="s">
        <v>3</v>
      </c>
      <c r="B1389">
        <v>5250</v>
      </c>
      <c r="C1389">
        <v>36</v>
      </c>
      <c r="D1389">
        <v>7</v>
      </c>
      <c r="E1389">
        <v>0</v>
      </c>
      <c r="F1389">
        <v>203614262</v>
      </c>
      <c r="G1389">
        <v>285781.59000000003</v>
      </c>
      <c r="H1389">
        <v>203235668</v>
      </c>
      <c r="I1389">
        <v>203235668</v>
      </c>
      <c r="J1389">
        <v>5.4559999999999999E-3</v>
      </c>
      <c r="K1389">
        <v>5.4559999999999999E-3</v>
      </c>
      <c r="M1389" t="s">
        <v>3</v>
      </c>
      <c r="N1389">
        <v>6500</v>
      </c>
      <c r="O1389">
        <v>20</v>
      </c>
      <c r="P1389">
        <v>29</v>
      </c>
      <c r="Q1389">
        <v>0</v>
      </c>
      <c r="R1389">
        <v>660982987</v>
      </c>
      <c r="S1389">
        <v>680453.15</v>
      </c>
      <c r="T1389">
        <v>660302533.85000002</v>
      </c>
      <c r="U1389">
        <v>660302533.85000002</v>
      </c>
      <c r="V1389">
        <v>0</v>
      </c>
      <c r="W1389">
        <v>0</v>
      </c>
    </row>
    <row r="1390" spans="1:23" x14ac:dyDescent="0.35">
      <c r="A1390" t="s">
        <v>3</v>
      </c>
      <c r="B1390">
        <v>7250</v>
      </c>
      <c r="C1390">
        <v>36</v>
      </c>
      <c r="D1390">
        <v>35</v>
      </c>
      <c r="E1390">
        <v>0</v>
      </c>
      <c r="F1390">
        <v>779741647</v>
      </c>
      <c r="G1390">
        <v>774168.4</v>
      </c>
      <c r="H1390">
        <v>778063765</v>
      </c>
      <c r="I1390">
        <v>778063765</v>
      </c>
      <c r="J1390">
        <v>1.3820000000000001E-2</v>
      </c>
      <c r="K1390">
        <v>1.3820000000000001E-2</v>
      </c>
      <c r="M1390" t="s">
        <v>1</v>
      </c>
      <c r="N1390">
        <v>7500</v>
      </c>
      <c r="O1390">
        <v>36</v>
      </c>
      <c r="P1390">
        <v>235</v>
      </c>
      <c r="Q1390">
        <v>0</v>
      </c>
      <c r="R1390">
        <v>5263508864</v>
      </c>
      <c r="S1390">
        <v>4987093.55</v>
      </c>
      <c r="T1390">
        <v>5064751604.4300003</v>
      </c>
      <c r="U1390">
        <v>5235463077.0100002</v>
      </c>
      <c r="V1390">
        <v>0.36243799999999998</v>
      </c>
      <c r="W1390">
        <v>5.1322E-2</v>
      </c>
    </row>
    <row r="1391" spans="1:23" x14ac:dyDescent="0.35">
      <c r="A1391" t="s">
        <v>1</v>
      </c>
      <c r="B1391">
        <v>2000</v>
      </c>
      <c r="C1391">
        <v>144</v>
      </c>
      <c r="D1391">
        <v>18</v>
      </c>
      <c r="E1391">
        <v>0</v>
      </c>
      <c r="F1391">
        <v>225922508</v>
      </c>
      <c r="G1391">
        <v>871338.25</v>
      </c>
      <c r="H1391">
        <v>225075566</v>
      </c>
      <c r="I1391">
        <v>225075566</v>
      </c>
      <c r="J1391">
        <v>-1.297E-3</v>
      </c>
      <c r="K1391">
        <v>-1.297E-3</v>
      </c>
      <c r="M1391" t="s">
        <v>0</v>
      </c>
      <c r="N1391">
        <v>9000</v>
      </c>
      <c r="O1391">
        <v>30</v>
      </c>
      <c r="P1391">
        <v>259</v>
      </c>
      <c r="Q1391">
        <v>0</v>
      </c>
      <c r="R1391">
        <v>5959197692</v>
      </c>
      <c r="S1391">
        <v>4278413.26</v>
      </c>
      <c r="T1391">
        <v>5882362781.3999996</v>
      </c>
      <c r="U1391">
        <v>5938356545.4200001</v>
      </c>
      <c r="V1391">
        <v>0.136709</v>
      </c>
      <c r="W1391">
        <v>3.2847000000000001E-2</v>
      </c>
    </row>
    <row r="1392" spans="1:23" x14ac:dyDescent="0.35">
      <c r="A1392" t="s">
        <v>0</v>
      </c>
      <c r="B1392">
        <v>8000</v>
      </c>
      <c r="C1392">
        <v>18</v>
      </c>
      <c r="D1392">
        <v>153</v>
      </c>
      <c r="E1392">
        <v>0</v>
      </c>
      <c r="F1392">
        <v>4331372478</v>
      </c>
      <c r="G1392">
        <v>3369882.53</v>
      </c>
      <c r="H1392">
        <v>4025172597</v>
      </c>
      <c r="I1392">
        <v>4229853226.2800002</v>
      </c>
      <c r="J1392">
        <v>0.58094699999999999</v>
      </c>
      <c r="K1392">
        <v>0.24046500000000001</v>
      </c>
      <c r="M1392" t="s">
        <v>0</v>
      </c>
      <c r="N1392">
        <v>8250</v>
      </c>
      <c r="O1392">
        <v>24</v>
      </c>
      <c r="P1392">
        <v>743</v>
      </c>
      <c r="Q1392">
        <v>0</v>
      </c>
      <c r="R1392">
        <v>19163227742</v>
      </c>
      <c r="S1392">
        <v>14608581.18</v>
      </c>
      <c r="T1392">
        <v>18721833571.259998</v>
      </c>
      <c r="U1392">
        <v>18939108846.049999</v>
      </c>
      <c r="V1392">
        <v>0.23682900000000001</v>
      </c>
      <c r="W1392">
        <v>0.123587</v>
      </c>
    </row>
    <row r="1393" spans="1:23" x14ac:dyDescent="0.35">
      <c r="A1393" t="s">
        <v>3</v>
      </c>
      <c r="B1393">
        <v>7000</v>
      </c>
      <c r="C1393">
        <v>30</v>
      </c>
      <c r="D1393">
        <v>59</v>
      </c>
      <c r="E1393">
        <v>0</v>
      </c>
      <c r="F1393">
        <v>1573934314</v>
      </c>
      <c r="G1393">
        <v>1576440.13</v>
      </c>
      <c r="H1393">
        <v>1543593200</v>
      </c>
      <c r="I1393">
        <v>1572088506.5799999</v>
      </c>
      <c r="J1393">
        <v>0.19855300000000001</v>
      </c>
      <c r="K1393">
        <v>2.052E-3</v>
      </c>
      <c r="M1393" t="s">
        <v>0</v>
      </c>
      <c r="N1393">
        <v>8000</v>
      </c>
      <c r="O1393">
        <v>18</v>
      </c>
      <c r="P1393">
        <v>254</v>
      </c>
      <c r="Q1393">
        <v>0</v>
      </c>
      <c r="R1393">
        <v>6911673237</v>
      </c>
      <c r="S1393">
        <v>5380490.0899999999</v>
      </c>
      <c r="T1393">
        <v>6791175091.3599997</v>
      </c>
      <c r="U1393">
        <v>6850917137.5699997</v>
      </c>
      <c r="V1393">
        <v>0.182537</v>
      </c>
      <c r="W1393">
        <v>9.2017000000000002E-2</v>
      </c>
    </row>
    <row r="1394" spans="1:23" x14ac:dyDescent="0.35">
      <c r="A1394" t="s">
        <v>3</v>
      </c>
      <c r="B1394">
        <v>6500</v>
      </c>
      <c r="C1394">
        <v>30</v>
      </c>
      <c r="D1394">
        <v>33</v>
      </c>
      <c r="E1394">
        <v>0</v>
      </c>
      <c r="F1394">
        <v>740986226</v>
      </c>
      <c r="G1394">
        <v>806186.25</v>
      </c>
      <c r="H1394">
        <v>739955947</v>
      </c>
      <c r="I1394">
        <v>739955947</v>
      </c>
      <c r="J1394">
        <v>3.6229999999999999E-3</v>
      </c>
      <c r="K1394">
        <v>3.6229999999999999E-3</v>
      </c>
      <c r="M1394" t="s">
        <v>1</v>
      </c>
      <c r="N1394">
        <v>2000</v>
      </c>
      <c r="O1394">
        <v>120</v>
      </c>
      <c r="P1394">
        <v>5</v>
      </c>
      <c r="Q1394">
        <v>0</v>
      </c>
      <c r="R1394">
        <v>71319365</v>
      </c>
      <c r="S1394">
        <v>237837.32</v>
      </c>
      <c r="T1394">
        <v>71081527.680000007</v>
      </c>
      <c r="U1394">
        <v>71081527.680000007</v>
      </c>
      <c r="V1394">
        <v>0</v>
      </c>
      <c r="W1394">
        <v>0</v>
      </c>
    </row>
    <row r="1395" spans="1:23" x14ac:dyDescent="0.35">
      <c r="A1395" t="s">
        <v>3</v>
      </c>
      <c r="B1395">
        <v>6250</v>
      </c>
      <c r="C1395">
        <v>30</v>
      </c>
      <c r="D1395">
        <v>57</v>
      </c>
      <c r="E1395">
        <v>0</v>
      </c>
      <c r="F1395">
        <v>1417820490</v>
      </c>
      <c r="G1395">
        <v>1599139.35</v>
      </c>
      <c r="H1395">
        <v>1402228940</v>
      </c>
      <c r="I1395">
        <v>1415908718.73</v>
      </c>
      <c r="J1395">
        <v>0.112206</v>
      </c>
      <c r="K1395">
        <v>2.643E-3</v>
      </c>
      <c r="M1395" t="s">
        <v>1</v>
      </c>
      <c r="N1395">
        <v>2000</v>
      </c>
      <c r="O1395">
        <v>168</v>
      </c>
      <c r="P1395">
        <v>6</v>
      </c>
      <c r="Q1395">
        <v>0</v>
      </c>
      <c r="R1395">
        <v>51504257</v>
      </c>
      <c r="S1395">
        <v>204112.73</v>
      </c>
      <c r="T1395">
        <v>42937242.020000003</v>
      </c>
      <c r="U1395">
        <v>51300144.270000003</v>
      </c>
      <c r="V1395">
        <v>0.88070899999999996</v>
      </c>
      <c r="W1395">
        <v>0</v>
      </c>
    </row>
    <row r="1396" spans="1:23" x14ac:dyDescent="0.35">
      <c r="A1396" t="s">
        <v>0</v>
      </c>
      <c r="B1396">
        <v>5250</v>
      </c>
      <c r="C1396">
        <v>10</v>
      </c>
      <c r="D1396">
        <v>1298</v>
      </c>
      <c r="E1396">
        <v>0</v>
      </c>
      <c r="F1396">
        <v>45600175893</v>
      </c>
      <c r="G1396">
        <v>55631077.399999999</v>
      </c>
      <c r="H1396">
        <v>45323899644</v>
      </c>
      <c r="I1396">
        <v>45538574409.690002</v>
      </c>
      <c r="J1396">
        <v>5.6543999999999997E-2</v>
      </c>
      <c r="K1396">
        <v>1.57E-3</v>
      </c>
      <c r="M1396" t="s">
        <v>0</v>
      </c>
      <c r="N1396">
        <v>4250</v>
      </c>
      <c r="O1396">
        <v>36</v>
      </c>
      <c r="P1396">
        <v>789</v>
      </c>
      <c r="Q1396">
        <v>0</v>
      </c>
      <c r="R1396">
        <v>22283918630</v>
      </c>
      <c r="S1396">
        <v>36403460.210000001</v>
      </c>
      <c r="T1396">
        <v>22237253504.630001</v>
      </c>
      <c r="U1396">
        <v>22237253504.630001</v>
      </c>
      <c r="V1396">
        <v>5.5120000000000004E-3</v>
      </c>
      <c r="W1396">
        <v>5.5120000000000004E-3</v>
      </c>
    </row>
    <row r="1397" spans="1:23" x14ac:dyDescent="0.35">
      <c r="A1397" t="s">
        <v>2</v>
      </c>
      <c r="B1397">
        <v>5250</v>
      </c>
      <c r="C1397">
        <v>10</v>
      </c>
      <c r="D1397">
        <v>28</v>
      </c>
      <c r="E1397">
        <v>0</v>
      </c>
      <c r="F1397">
        <v>668534081</v>
      </c>
      <c r="G1397">
        <v>816397.99</v>
      </c>
      <c r="H1397">
        <v>667502789</v>
      </c>
      <c r="I1397">
        <v>667502789</v>
      </c>
      <c r="J1397">
        <v>3.8500000000000001E-3</v>
      </c>
      <c r="K1397">
        <v>3.8500000000000001E-3</v>
      </c>
      <c r="M1397" t="s">
        <v>0</v>
      </c>
      <c r="N1397">
        <v>4000</v>
      </c>
      <c r="O1397">
        <v>36</v>
      </c>
      <c r="P1397">
        <v>235</v>
      </c>
      <c r="Q1397">
        <v>0</v>
      </c>
      <c r="R1397">
        <v>6935607813</v>
      </c>
      <c r="S1397">
        <v>11901346.84</v>
      </c>
      <c r="T1397">
        <v>6884595073.5699997</v>
      </c>
      <c r="U1397">
        <v>6923706466.1599998</v>
      </c>
      <c r="V1397">
        <v>6.5611000000000003E-2</v>
      </c>
      <c r="W1397">
        <v>0</v>
      </c>
    </row>
    <row r="1398" spans="1:23" x14ac:dyDescent="0.35">
      <c r="A1398" t="s">
        <v>1</v>
      </c>
      <c r="B1398">
        <v>5250</v>
      </c>
      <c r="C1398">
        <v>10</v>
      </c>
      <c r="D1398">
        <v>1042</v>
      </c>
      <c r="E1398">
        <v>0</v>
      </c>
      <c r="F1398">
        <v>43975552023</v>
      </c>
      <c r="G1398">
        <v>53596023.890000001</v>
      </c>
      <c r="H1398">
        <v>43739865964</v>
      </c>
      <c r="I1398">
        <v>43910433976.769997</v>
      </c>
      <c r="J1398">
        <v>4.8571999999999997E-2</v>
      </c>
      <c r="K1398">
        <v>3.14E-3</v>
      </c>
      <c r="M1398" t="s">
        <v>0</v>
      </c>
      <c r="N1398">
        <v>3750</v>
      </c>
      <c r="O1398">
        <v>36</v>
      </c>
      <c r="P1398">
        <v>111</v>
      </c>
      <c r="Q1398">
        <v>0</v>
      </c>
      <c r="R1398">
        <v>2954103635</v>
      </c>
      <c r="S1398">
        <v>5243272.59</v>
      </c>
      <c r="T1398">
        <v>2934863935.4299998</v>
      </c>
      <c r="U1398">
        <v>2934863935.4299998</v>
      </c>
      <c r="V1398">
        <v>5.5397000000000002E-2</v>
      </c>
      <c r="W1398">
        <v>5.5397000000000002E-2</v>
      </c>
    </row>
    <row r="1399" spans="1:23" x14ac:dyDescent="0.35">
      <c r="A1399" t="s">
        <v>3</v>
      </c>
      <c r="B1399">
        <v>7500</v>
      </c>
      <c r="C1399">
        <v>36</v>
      </c>
      <c r="D1399">
        <v>19</v>
      </c>
      <c r="E1399">
        <v>0</v>
      </c>
      <c r="F1399">
        <v>360595294</v>
      </c>
      <c r="G1399">
        <v>341536.01</v>
      </c>
      <c r="H1399">
        <v>351871068</v>
      </c>
      <c r="I1399">
        <v>360158195.06999999</v>
      </c>
      <c r="J1399">
        <v>0.245919</v>
      </c>
      <c r="K1399">
        <v>3.176E-3</v>
      </c>
      <c r="M1399" t="s">
        <v>0</v>
      </c>
      <c r="N1399">
        <v>3500</v>
      </c>
      <c r="O1399">
        <v>36</v>
      </c>
      <c r="P1399">
        <v>65</v>
      </c>
      <c r="Q1399">
        <v>0</v>
      </c>
      <c r="R1399">
        <v>1661121735</v>
      </c>
      <c r="S1399">
        <v>3092314.21</v>
      </c>
      <c r="T1399">
        <v>1624045742.95</v>
      </c>
      <c r="U1399">
        <v>1658029420.79</v>
      </c>
      <c r="V1399">
        <v>0.21967500000000001</v>
      </c>
      <c r="W1399">
        <v>0</v>
      </c>
    </row>
    <row r="1400" spans="1:23" x14ac:dyDescent="0.35">
      <c r="A1400" t="s">
        <v>3</v>
      </c>
      <c r="B1400">
        <v>7750</v>
      </c>
      <c r="C1400">
        <v>36</v>
      </c>
      <c r="D1400">
        <v>26</v>
      </c>
      <c r="E1400">
        <v>0</v>
      </c>
      <c r="F1400">
        <v>424788023</v>
      </c>
      <c r="G1400">
        <v>387235.96</v>
      </c>
      <c r="H1400">
        <v>424200123</v>
      </c>
      <c r="I1400">
        <v>424200123</v>
      </c>
      <c r="J1400">
        <v>5.6540000000000002E-3</v>
      </c>
      <c r="K1400">
        <v>5.6540000000000002E-3</v>
      </c>
      <c r="M1400" t="s">
        <v>0</v>
      </c>
      <c r="N1400">
        <v>3000</v>
      </c>
      <c r="O1400">
        <v>36</v>
      </c>
      <c r="P1400">
        <v>42</v>
      </c>
      <c r="Q1400">
        <v>0</v>
      </c>
      <c r="R1400">
        <v>964667508</v>
      </c>
      <c r="S1400">
        <v>1948760.9</v>
      </c>
      <c r="T1400">
        <v>962718747.10000002</v>
      </c>
      <c r="U1400">
        <v>962718747.10000002</v>
      </c>
      <c r="V1400">
        <v>0</v>
      </c>
      <c r="W1400">
        <v>0</v>
      </c>
    </row>
    <row r="1401" spans="1:23" x14ac:dyDescent="0.35">
      <c r="A1401" t="s">
        <v>2</v>
      </c>
      <c r="B1401">
        <v>7250</v>
      </c>
      <c r="C1401">
        <v>20</v>
      </c>
      <c r="D1401">
        <v>810</v>
      </c>
      <c r="E1401">
        <v>0</v>
      </c>
      <c r="F1401">
        <v>12453659259</v>
      </c>
      <c r="G1401">
        <v>11254047.4</v>
      </c>
      <c r="H1401">
        <v>12326802031</v>
      </c>
      <c r="I1401">
        <v>12406119292.110001</v>
      </c>
      <c r="J1401">
        <v>0.105877</v>
      </c>
      <c r="K1401">
        <v>3.4409000000000002E-2</v>
      </c>
      <c r="M1401" t="s">
        <v>1</v>
      </c>
      <c r="N1401">
        <v>3000</v>
      </c>
      <c r="O1401">
        <v>36</v>
      </c>
      <c r="P1401">
        <v>52</v>
      </c>
      <c r="Q1401">
        <v>0</v>
      </c>
      <c r="R1401">
        <v>1516506775</v>
      </c>
      <c r="S1401">
        <v>3263569.72</v>
      </c>
      <c r="T1401">
        <v>1513243205.28</v>
      </c>
      <c r="U1401">
        <v>1513243205.28</v>
      </c>
      <c r="V1401">
        <v>0</v>
      </c>
      <c r="W1401">
        <v>0</v>
      </c>
    </row>
    <row r="1402" spans="1:23" x14ac:dyDescent="0.35">
      <c r="A1402" t="s">
        <v>1</v>
      </c>
      <c r="B1402">
        <v>8250</v>
      </c>
      <c r="C1402">
        <v>30</v>
      </c>
      <c r="D1402">
        <v>287</v>
      </c>
      <c r="E1402">
        <v>0</v>
      </c>
      <c r="F1402">
        <v>6352945696</v>
      </c>
      <c r="G1402">
        <v>5037588.5999999996</v>
      </c>
      <c r="H1402">
        <v>5872097816</v>
      </c>
      <c r="I1402">
        <v>6078204798.0900002</v>
      </c>
      <c r="J1402">
        <v>0.60709599999999997</v>
      </c>
      <c r="K1402">
        <v>0.40581800000000001</v>
      </c>
      <c r="M1402" t="s">
        <v>1</v>
      </c>
      <c r="N1402">
        <v>4500</v>
      </c>
      <c r="O1402">
        <v>36</v>
      </c>
      <c r="P1402">
        <v>678</v>
      </c>
      <c r="Q1402">
        <v>0</v>
      </c>
      <c r="R1402">
        <v>24083501822</v>
      </c>
      <c r="S1402">
        <v>38040619</v>
      </c>
      <c r="T1402">
        <v>24030663169.950001</v>
      </c>
      <c r="U1402">
        <v>24030663169.950001</v>
      </c>
      <c r="V1402">
        <v>7.3480000000000004E-3</v>
      </c>
      <c r="W1402">
        <v>7.3480000000000004E-3</v>
      </c>
    </row>
    <row r="1403" spans="1:23" x14ac:dyDescent="0.35">
      <c r="A1403" t="s">
        <v>2</v>
      </c>
      <c r="B1403">
        <v>8000</v>
      </c>
      <c r="C1403">
        <v>30</v>
      </c>
      <c r="D1403">
        <v>76</v>
      </c>
      <c r="E1403">
        <v>0</v>
      </c>
      <c r="F1403">
        <v>1140433261</v>
      </c>
      <c r="G1403">
        <v>941229.91</v>
      </c>
      <c r="H1403">
        <v>1139598983</v>
      </c>
      <c r="I1403">
        <v>1139598983</v>
      </c>
      <c r="J1403">
        <v>-1.126E-3</v>
      </c>
      <c r="K1403">
        <v>-1.126E-3</v>
      </c>
      <c r="M1403" t="s">
        <v>2</v>
      </c>
      <c r="N1403">
        <v>8000</v>
      </c>
      <c r="O1403">
        <v>36</v>
      </c>
      <c r="P1403">
        <v>6</v>
      </c>
      <c r="Q1403">
        <v>0</v>
      </c>
      <c r="R1403">
        <v>86249206</v>
      </c>
      <c r="S1403">
        <v>75172.210000000006</v>
      </c>
      <c r="T1403">
        <v>86174033.790000007</v>
      </c>
      <c r="U1403">
        <v>86174033.790000007</v>
      </c>
      <c r="V1403">
        <v>0</v>
      </c>
      <c r="W1403">
        <v>0</v>
      </c>
    </row>
    <row r="1404" spans="1:23" x14ac:dyDescent="0.35">
      <c r="A1404" t="s">
        <v>1</v>
      </c>
      <c r="B1404">
        <v>5250</v>
      </c>
      <c r="C1404">
        <v>30</v>
      </c>
      <c r="D1404">
        <v>2303</v>
      </c>
      <c r="E1404">
        <v>0</v>
      </c>
      <c r="F1404">
        <v>87247278220</v>
      </c>
      <c r="G1404">
        <v>117739416.12</v>
      </c>
      <c r="H1404">
        <v>86295741403</v>
      </c>
      <c r="I1404">
        <v>86938283016.300003</v>
      </c>
      <c r="J1404">
        <v>0.10884099999999999</v>
      </c>
      <c r="K1404">
        <v>2.5989999999999999E-2</v>
      </c>
      <c r="M1404" t="s">
        <v>1</v>
      </c>
      <c r="N1404">
        <v>8000</v>
      </c>
      <c r="O1404">
        <v>36</v>
      </c>
      <c r="P1404">
        <v>25</v>
      </c>
      <c r="Q1404">
        <v>0</v>
      </c>
      <c r="R1404">
        <v>593014799</v>
      </c>
      <c r="S1404">
        <v>518385.01</v>
      </c>
      <c r="T1404">
        <v>568085677.77999997</v>
      </c>
      <c r="U1404">
        <v>568085677.77999997</v>
      </c>
      <c r="V1404">
        <v>0.396144</v>
      </c>
      <c r="W1404">
        <v>0.396144</v>
      </c>
    </row>
    <row r="1405" spans="1:23" x14ac:dyDescent="0.35">
      <c r="A1405" t="s">
        <v>0</v>
      </c>
      <c r="B1405">
        <v>4500</v>
      </c>
      <c r="C1405">
        <v>36</v>
      </c>
      <c r="D1405">
        <v>1153</v>
      </c>
      <c r="E1405">
        <v>0</v>
      </c>
      <c r="F1405">
        <v>33764522083</v>
      </c>
      <c r="G1405">
        <v>53240572.969999999</v>
      </c>
      <c r="H1405">
        <v>33471046814</v>
      </c>
      <c r="I1405">
        <v>33624325367.02</v>
      </c>
      <c r="J1405">
        <v>8.2116999999999996E-2</v>
      </c>
      <c r="K1405">
        <v>3.0470000000000001E-2</v>
      </c>
      <c r="M1405" t="s">
        <v>2</v>
      </c>
      <c r="N1405">
        <v>7500</v>
      </c>
      <c r="O1405">
        <v>36</v>
      </c>
      <c r="P1405">
        <v>51</v>
      </c>
      <c r="Q1405">
        <v>0</v>
      </c>
      <c r="R1405">
        <v>681751153</v>
      </c>
      <c r="S1405">
        <v>646677.46</v>
      </c>
      <c r="T1405">
        <v>668768997.41999996</v>
      </c>
      <c r="U1405">
        <v>668768997.41999996</v>
      </c>
      <c r="V1405">
        <v>0.19677</v>
      </c>
      <c r="W1405">
        <v>0.19677</v>
      </c>
    </row>
    <row r="1406" spans="1:23" x14ac:dyDescent="0.35">
      <c r="A1406" t="s">
        <v>0</v>
      </c>
      <c r="B1406">
        <v>5250</v>
      </c>
      <c r="C1406">
        <v>30</v>
      </c>
      <c r="D1406">
        <v>4136</v>
      </c>
      <c r="E1406">
        <v>0</v>
      </c>
      <c r="F1406">
        <v>138394551987</v>
      </c>
      <c r="G1406">
        <v>186681346.53999999</v>
      </c>
      <c r="H1406">
        <v>137314248150</v>
      </c>
      <c r="I1406">
        <v>137938642242.81</v>
      </c>
      <c r="J1406">
        <v>7.4790999999999996E-2</v>
      </c>
      <c r="K1406">
        <v>2.3095999999999998E-2</v>
      </c>
      <c r="M1406" t="s">
        <v>0</v>
      </c>
      <c r="N1406">
        <v>3250</v>
      </c>
      <c r="O1406">
        <v>36</v>
      </c>
      <c r="P1406">
        <v>46</v>
      </c>
      <c r="Q1406">
        <v>0</v>
      </c>
      <c r="R1406">
        <v>1008499689</v>
      </c>
      <c r="S1406">
        <v>1948335.44</v>
      </c>
      <c r="T1406">
        <v>1006551353.5599999</v>
      </c>
      <c r="U1406">
        <v>1006551353.5599999</v>
      </c>
      <c r="V1406">
        <v>0</v>
      </c>
      <c r="W1406">
        <v>0</v>
      </c>
    </row>
    <row r="1407" spans="1:23" x14ac:dyDescent="0.35">
      <c r="A1407" t="s">
        <v>3</v>
      </c>
      <c r="B1407">
        <v>7750</v>
      </c>
      <c r="C1407">
        <v>30</v>
      </c>
      <c r="D1407">
        <v>39</v>
      </c>
      <c r="E1407">
        <v>0</v>
      </c>
      <c r="F1407">
        <v>855842222</v>
      </c>
      <c r="G1407">
        <v>754204.58</v>
      </c>
      <c r="H1407">
        <v>855017671</v>
      </c>
      <c r="I1407">
        <v>855017671</v>
      </c>
      <c r="J1407">
        <v>9.859999999999999E-4</v>
      </c>
      <c r="K1407">
        <v>9.859999999999999E-4</v>
      </c>
      <c r="M1407" t="s">
        <v>1</v>
      </c>
      <c r="N1407">
        <v>3500</v>
      </c>
      <c r="O1407">
        <v>36</v>
      </c>
      <c r="P1407">
        <v>82</v>
      </c>
      <c r="Q1407">
        <v>0</v>
      </c>
      <c r="R1407">
        <v>2686216805</v>
      </c>
      <c r="S1407">
        <v>5165901.58</v>
      </c>
      <c r="T1407">
        <v>2681050903.4200001</v>
      </c>
      <c r="U1407">
        <v>2681050903.4200001</v>
      </c>
      <c r="V1407">
        <v>0</v>
      </c>
      <c r="W1407">
        <v>0</v>
      </c>
    </row>
    <row r="1408" spans="1:23" x14ac:dyDescent="0.35">
      <c r="A1408" t="s">
        <v>0</v>
      </c>
      <c r="B1408">
        <v>8000</v>
      </c>
      <c r="C1408">
        <v>5</v>
      </c>
      <c r="D1408">
        <v>253</v>
      </c>
      <c r="E1408">
        <v>0</v>
      </c>
      <c r="F1408">
        <v>8481100000</v>
      </c>
      <c r="G1408">
        <v>5930610.9100000001</v>
      </c>
      <c r="H1408">
        <v>8448609279</v>
      </c>
      <c r="I1408">
        <v>8475290658.3699999</v>
      </c>
      <c r="J1408">
        <v>3.6940000000000001E-2</v>
      </c>
      <c r="K1408">
        <v>-1.7200000000000001E-4</v>
      </c>
      <c r="M1408" t="s">
        <v>3</v>
      </c>
      <c r="N1408">
        <v>7250</v>
      </c>
      <c r="O1408">
        <v>36</v>
      </c>
      <c r="P1408">
        <v>24</v>
      </c>
      <c r="Q1408">
        <v>0</v>
      </c>
      <c r="R1408">
        <v>532222970</v>
      </c>
      <c r="S1408">
        <v>530360.93000000005</v>
      </c>
      <c r="T1408">
        <v>496849803.75999999</v>
      </c>
      <c r="U1408">
        <v>531692609.06999999</v>
      </c>
      <c r="V1408">
        <v>0.55625000000000002</v>
      </c>
      <c r="W1408">
        <v>0</v>
      </c>
    </row>
    <row r="1409" spans="1:23" x14ac:dyDescent="0.35">
      <c r="A1409" t="s">
        <v>0</v>
      </c>
      <c r="B1409">
        <v>8250</v>
      </c>
      <c r="C1409">
        <v>5</v>
      </c>
      <c r="D1409">
        <v>330</v>
      </c>
      <c r="E1409">
        <v>0</v>
      </c>
      <c r="F1409">
        <v>10032900000</v>
      </c>
      <c r="G1409">
        <v>6609234.0999999996</v>
      </c>
      <c r="H1409">
        <v>9973977016</v>
      </c>
      <c r="I1409">
        <v>10030339956.860001</v>
      </c>
      <c r="J1409">
        <v>6.0807E-2</v>
      </c>
      <c r="K1409">
        <v>-4.8539999999999998E-3</v>
      </c>
      <c r="M1409" t="s">
        <v>3</v>
      </c>
      <c r="N1409">
        <v>7500</v>
      </c>
      <c r="O1409">
        <v>36</v>
      </c>
      <c r="P1409">
        <v>18</v>
      </c>
      <c r="Q1409">
        <v>0</v>
      </c>
      <c r="R1409">
        <v>292254937</v>
      </c>
      <c r="S1409">
        <v>278557.40999999997</v>
      </c>
      <c r="T1409">
        <v>280533155.12</v>
      </c>
      <c r="U1409">
        <v>280533155.12</v>
      </c>
      <c r="V1409">
        <v>0.38078699999999999</v>
      </c>
      <c r="W1409">
        <v>0.38078699999999999</v>
      </c>
    </row>
    <row r="1410" spans="1:23" x14ac:dyDescent="0.35">
      <c r="A1410" t="s">
        <v>0</v>
      </c>
      <c r="B1410">
        <v>7750</v>
      </c>
      <c r="C1410">
        <v>5</v>
      </c>
      <c r="D1410">
        <v>2420</v>
      </c>
      <c r="E1410">
        <v>0</v>
      </c>
      <c r="F1410">
        <v>67314200000</v>
      </c>
      <c r="G1410">
        <v>49008323.109999999</v>
      </c>
      <c r="H1410">
        <v>67214554490</v>
      </c>
      <c r="I1410">
        <v>67280405489.690002</v>
      </c>
      <c r="J1410">
        <v>8.9899999999999997E-3</v>
      </c>
      <c r="K1410">
        <v>-2.7160000000000001E-3</v>
      </c>
      <c r="M1410" t="s">
        <v>3</v>
      </c>
      <c r="N1410">
        <v>7750</v>
      </c>
      <c r="O1410">
        <v>36</v>
      </c>
      <c r="P1410">
        <v>23</v>
      </c>
      <c r="Q1410">
        <v>0</v>
      </c>
      <c r="R1410">
        <v>331687809</v>
      </c>
      <c r="S1410">
        <v>303842.65999999997</v>
      </c>
      <c r="T1410">
        <v>325021901.19999999</v>
      </c>
      <c r="U1410">
        <v>325021901.19999999</v>
      </c>
      <c r="V1410">
        <v>0.207376</v>
      </c>
      <c r="W1410">
        <v>0.207376</v>
      </c>
    </row>
    <row r="1411" spans="1:23" x14ac:dyDescent="0.35">
      <c r="A1411" t="s">
        <v>0</v>
      </c>
      <c r="B1411">
        <v>8000</v>
      </c>
      <c r="C1411">
        <v>6</v>
      </c>
      <c r="D1411">
        <v>118</v>
      </c>
      <c r="E1411">
        <v>0</v>
      </c>
      <c r="F1411">
        <v>3793992473</v>
      </c>
      <c r="G1411">
        <v>2715056.97</v>
      </c>
      <c r="H1411">
        <v>3726845840</v>
      </c>
      <c r="I1411">
        <v>3789434834.5999999</v>
      </c>
      <c r="J1411">
        <v>0.18579300000000001</v>
      </c>
      <c r="K1411">
        <v>5.8120000000000003E-3</v>
      </c>
      <c r="M1411" t="s">
        <v>3</v>
      </c>
      <c r="N1411">
        <v>5250</v>
      </c>
      <c r="O1411">
        <v>36</v>
      </c>
      <c r="P1411">
        <v>8</v>
      </c>
      <c r="Q1411">
        <v>0</v>
      </c>
      <c r="R1411">
        <v>209677531</v>
      </c>
      <c r="S1411">
        <v>292665.26</v>
      </c>
      <c r="T1411">
        <v>209384865.74000001</v>
      </c>
      <c r="U1411">
        <v>209384865.74000001</v>
      </c>
      <c r="V1411">
        <v>0</v>
      </c>
      <c r="W1411">
        <v>0</v>
      </c>
    </row>
    <row r="1412" spans="1:23" x14ac:dyDescent="0.35">
      <c r="A1412" t="s">
        <v>1</v>
      </c>
      <c r="B1412">
        <v>6250</v>
      </c>
      <c r="C1412">
        <v>8</v>
      </c>
      <c r="D1412">
        <v>9014</v>
      </c>
      <c r="E1412">
        <v>0</v>
      </c>
      <c r="F1412">
        <v>362886444513</v>
      </c>
      <c r="G1412">
        <v>365475525.52999997</v>
      </c>
      <c r="H1412">
        <v>340480853683</v>
      </c>
      <c r="I1412">
        <v>361390361099.78003</v>
      </c>
      <c r="J1412">
        <v>0.52853000000000006</v>
      </c>
      <c r="K1412">
        <v>3.6753000000000001E-2</v>
      </c>
      <c r="M1412" t="s">
        <v>1</v>
      </c>
      <c r="N1412">
        <v>2000</v>
      </c>
      <c r="O1412">
        <v>144</v>
      </c>
      <c r="P1412">
        <v>17</v>
      </c>
      <c r="Q1412">
        <v>0</v>
      </c>
      <c r="R1412">
        <v>216470188</v>
      </c>
      <c r="S1412">
        <v>830779.91</v>
      </c>
      <c r="T1412">
        <v>215639408.09</v>
      </c>
      <c r="U1412">
        <v>215639408.09</v>
      </c>
      <c r="V1412">
        <v>0</v>
      </c>
      <c r="W1412">
        <v>0</v>
      </c>
    </row>
    <row r="1413" spans="1:23" x14ac:dyDescent="0.35">
      <c r="A1413" t="s">
        <v>2</v>
      </c>
      <c r="B1413">
        <v>4250</v>
      </c>
      <c r="C1413">
        <v>36</v>
      </c>
      <c r="D1413">
        <v>39</v>
      </c>
      <c r="E1413">
        <v>0</v>
      </c>
      <c r="F1413">
        <v>704758407</v>
      </c>
      <c r="G1413">
        <v>1179703.31</v>
      </c>
      <c r="H1413">
        <v>703574829</v>
      </c>
      <c r="I1413">
        <v>703574829</v>
      </c>
      <c r="J1413">
        <v>6.6000000000000005E-5</v>
      </c>
      <c r="K1413">
        <v>6.6000000000000005E-5</v>
      </c>
      <c r="M1413" t="s">
        <v>3</v>
      </c>
      <c r="N1413">
        <v>7000</v>
      </c>
      <c r="O1413">
        <v>30</v>
      </c>
      <c r="P1413">
        <v>67</v>
      </c>
      <c r="Q1413">
        <v>0</v>
      </c>
      <c r="R1413">
        <v>1759156057</v>
      </c>
      <c r="S1413">
        <v>1760608.05</v>
      </c>
      <c r="T1413">
        <v>1731160466.9300001</v>
      </c>
      <c r="U1413">
        <v>1757395448.95</v>
      </c>
      <c r="V1413">
        <v>0.16498699999999999</v>
      </c>
      <c r="W1413">
        <v>0</v>
      </c>
    </row>
    <row r="1414" spans="1:23" x14ac:dyDescent="0.35">
      <c r="A1414" t="s">
        <v>1</v>
      </c>
      <c r="B1414">
        <v>3250</v>
      </c>
      <c r="C1414">
        <v>36</v>
      </c>
      <c r="D1414">
        <v>103</v>
      </c>
      <c r="E1414">
        <v>0</v>
      </c>
      <c r="F1414">
        <v>2962876226</v>
      </c>
      <c r="G1414">
        <v>5999508.9400000004</v>
      </c>
      <c r="H1414">
        <v>2904147037</v>
      </c>
      <c r="I1414">
        <v>2904147037</v>
      </c>
      <c r="J1414">
        <v>0.19384899999999999</v>
      </c>
      <c r="K1414">
        <v>0.19384899999999999</v>
      </c>
      <c r="M1414" t="s">
        <v>3</v>
      </c>
      <c r="N1414">
        <v>6500</v>
      </c>
      <c r="O1414">
        <v>30</v>
      </c>
      <c r="P1414">
        <v>41</v>
      </c>
      <c r="Q1414">
        <v>0</v>
      </c>
      <c r="R1414">
        <v>975220110</v>
      </c>
      <c r="S1414">
        <v>1064965.71</v>
      </c>
      <c r="T1414">
        <v>974155144.28999996</v>
      </c>
      <c r="U1414">
        <v>974155144.28999996</v>
      </c>
      <c r="V1414">
        <v>0</v>
      </c>
      <c r="W1414">
        <v>0</v>
      </c>
    </row>
    <row r="1415" spans="1:23" x14ac:dyDescent="0.35">
      <c r="A1415" t="s">
        <v>1</v>
      </c>
      <c r="B1415">
        <v>4000</v>
      </c>
      <c r="C1415">
        <v>36</v>
      </c>
      <c r="D1415">
        <v>142</v>
      </c>
      <c r="E1415">
        <v>0</v>
      </c>
      <c r="F1415">
        <v>4969600133</v>
      </c>
      <c r="G1415">
        <v>8616697.5199999996</v>
      </c>
      <c r="H1415">
        <v>4848196466</v>
      </c>
      <c r="I1415">
        <v>4879851627.4899998</v>
      </c>
      <c r="J1415">
        <v>0.24079400000000001</v>
      </c>
      <c r="K1415">
        <v>0.17924000000000001</v>
      </c>
      <c r="M1415" t="s">
        <v>3</v>
      </c>
      <c r="N1415">
        <v>6250</v>
      </c>
      <c r="O1415">
        <v>30</v>
      </c>
      <c r="P1415">
        <v>47</v>
      </c>
      <c r="Q1415">
        <v>0</v>
      </c>
      <c r="R1415">
        <v>1113499869</v>
      </c>
      <c r="S1415">
        <v>1257753.5</v>
      </c>
      <c r="T1415">
        <v>1112242115.5</v>
      </c>
      <c r="U1415">
        <v>1112242115.5</v>
      </c>
      <c r="V1415">
        <v>0</v>
      </c>
      <c r="W1415">
        <v>0</v>
      </c>
    </row>
    <row r="1416" spans="1:23" x14ac:dyDescent="0.35">
      <c r="A1416" t="s">
        <v>1</v>
      </c>
      <c r="B1416">
        <v>9000</v>
      </c>
      <c r="C1416">
        <v>30</v>
      </c>
      <c r="D1416">
        <v>29</v>
      </c>
      <c r="E1416">
        <v>0</v>
      </c>
      <c r="F1416">
        <v>799626295</v>
      </c>
      <c r="G1416">
        <v>576201.24</v>
      </c>
      <c r="H1416">
        <v>678832598</v>
      </c>
      <c r="I1416">
        <v>686444695.87</v>
      </c>
      <c r="J1416">
        <v>0.85844399999999998</v>
      </c>
      <c r="K1416">
        <v>0.83819399999999999</v>
      </c>
      <c r="M1416" t="s">
        <v>1</v>
      </c>
      <c r="N1416">
        <v>5250</v>
      </c>
      <c r="O1416">
        <v>30</v>
      </c>
      <c r="P1416">
        <v>2956</v>
      </c>
      <c r="Q1416">
        <v>0</v>
      </c>
      <c r="R1416">
        <v>110288080365</v>
      </c>
      <c r="S1416">
        <v>149494056.99000001</v>
      </c>
      <c r="T1416">
        <v>109546214544.27</v>
      </c>
      <c r="U1416">
        <v>110008346882.25</v>
      </c>
      <c r="V1416">
        <v>6.2583E-2</v>
      </c>
      <c r="W1416">
        <v>1.4079E-2</v>
      </c>
    </row>
    <row r="1417" spans="1:23" x14ac:dyDescent="0.35">
      <c r="A1417" t="s">
        <v>2</v>
      </c>
      <c r="B1417">
        <v>8250</v>
      </c>
      <c r="C1417">
        <v>30</v>
      </c>
      <c r="D1417">
        <v>121</v>
      </c>
      <c r="E1417">
        <v>0</v>
      </c>
      <c r="F1417">
        <v>1643807412</v>
      </c>
      <c r="G1417">
        <v>1295763.5</v>
      </c>
      <c r="H1417">
        <v>1565698412</v>
      </c>
      <c r="I1417">
        <v>1634794033.8199999</v>
      </c>
      <c r="J1417">
        <v>0.43688500000000002</v>
      </c>
      <c r="K1417">
        <v>5.4906999999999997E-2</v>
      </c>
      <c r="M1417" t="s">
        <v>0</v>
      </c>
      <c r="N1417">
        <v>5250</v>
      </c>
      <c r="O1417">
        <v>9</v>
      </c>
      <c r="P1417">
        <v>1299</v>
      </c>
      <c r="Q1417">
        <v>0</v>
      </c>
      <c r="R1417">
        <v>45689981089</v>
      </c>
      <c r="S1417">
        <v>55431213.670000002</v>
      </c>
      <c r="T1417">
        <v>45581052424.279999</v>
      </c>
      <c r="U1417">
        <v>45634549875.330002</v>
      </c>
      <c r="V1417">
        <v>1.396E-2</v>
      </c>
      <c r="W1417">
        <v>0</v>
      </c>
    </row>
    <row r="1418" spans="1:23" x14ac:dyDescent="0.35">
      <c r="A1418" t="s">
        <v>2</v>
      </c>
      <c r="B1418">
        <v>4250</v>
      </c>
      <c r="C1418">
        <v>30</v>
      </c>
      <c r="D1418">
        <v>25</v>
      </c>
      <c r="E1418">
        <v>0</v>
      </c>
      <c r="F1418">
        <v>484981327</v>
      </c>
      <c r="G1418">
        <v>784027.71</v>
      </c>
      <c r="H1418">
        <v>484371068</v>
      </c>
      <c r="I1418">
        <v>484371068</v>
      </c>
      <c r="J1418">
        <v>-4.3080000000000002E-3</v>
      </c>
      <c r="K1418">
        <v>-4.3080000000000002E-3</v>
      </c>
      <c r="M1418" t="s">
        <v>2</v>
      </c>
      <c r="N1418">
        <v>5250</v>
      </c>
      <c r="O1418">
        <v>9</v>
      </c>
      <c r="P1418">
        <v>28</v>
      </c>
      <c r="Q1418">
        <v>0</v>
      </c>
      <c r="R1418">
        <v>669319142</v>
      </c>
      <c r="S1418">
        <v>812837.02</v>
      </c>
      <c r="T1418">
        <v>668506304.98000002</v>
      </c>
      <c r="U1418">
        <v>668506304.98000002</v>
      </c>
      <c r="V1418">
        <v>0</v>
      </c>
      <c r="W1418">
        <v>0</v>
      </c>
    </row>
    <row r="1419" spans="1:23" x14ac:dyDescent="0.35">
      <c r="A1419" t="s">
        <v>2</v>
      </c>
      <c r="B1419">
        <v>5250</v>
      </c>
      <c r="C1419">
        <v>30</v>
      </c>
      <c r="D1419">
        <v>98</v>
      </c>
      <c r="E1419">
        <v>0</v>
      </c>
      <c r="F1419">
        <v>2350907807</v>
      </c>
      <c r="G1419">
        <v>3182048.17</v>
      </c>
      <c r="H1419">
        <v>2317829765</v>
      </c>
      <c r="I1419">
        <v>2347598599.6599998</v>
      </c>
      <c r="J1419">
        <v>0.14236799999999999</v>
      </c>
      <c r="K1419">
        <v>6.4899999999999995E-4</v>
      </c>
      <c r="M1419" t="s">
        <v>1</v>
      </c>
      <c r="N1419">
        <v>5250</v>
      </c>
      <c r="O1419">
        <v>9</v>
      </c>
      <c r="P1419">
        <v>1050</v>
      </c>
      <c r="Q1419">
        <v>0</v>
      </c>
      <c r="R1419">
        <v>44376667971</v>
      </c>
      <c r="S1419">
        <v>53784708.369999997</v>
      </c>
      <c r="T1419">
        <v>43980731045.650002</v>
      </c>
      <c r="U1419">
        <v>44218943258.980003</v>
      </c>
      <c r="V1419">
        <v>8.8697999999999999E-2</v>
      </c>
      <c r="W1419">
        <v>2.7747000000000001E-2</v>
      </c>
    </row>
    <row r="1420" spans="1:23" x14ac:dyDescent="0.35">
      <c r="A1420" t="s">
        <v>2</v>
      </c>
      <c r="B1420">
        <v>3500</v>
      </c>
      <c r="C1420">
        <v>36</v>
      </c>
      <c r="D1420">
        <v>30</v>
      </c>
      <c r="E1420">
        <v>0</v>
      </c>
      <c r="F1420">
        <v>434781517</v>
      </c>
      <c r="G1420">
        <v>855775.62</v>
      </c>
      <c r="H1420">
        <v>424522864</v>
      </c>
      <c r="I1420">
        <v>424522864</v>
      </c>
      <c r="J1420">
        <v>0.230772</v>
      </c>
      <c r="K1420">
        <v>0.230772</v>
      </c>
      <c r="M1420" t="s">
        <v>1</v>
      </c>
      <c r="N1420">
        <v>8250</v>
      </c>
      <c r="O1420">
        <v>30</v>
      </c>
      <c r="P1420">
        <v>277</v>
      </c>
      <c r="Q1420">
        <v>0</v>
      </c>
      <c r="R1420">
        <v>6167131494</v>
      </c>
      <c r="S1420">
        <v>4860832.3899999997</v>
      </c>
      <c r="T1420">
        <v>5871853075.7600002</v>
      </c>
      <c r="U1420">
        <v>6077049978.8800001</v>
      </c>
      <c r="V1420">
        <v>0.43944800000000001</v>
      </c>
      <c r="W1420">
        <v>0.153782</v>
      </c>
    </row>
    <row r="1421" spans="1:23" x14ac:dyDescent="0.35">
      <c r="A1421" t="s">
        <v>2</v>
      </c>
      <c r="B1421">
        <v>5000</v>
      </c>
      <c r="C1421">
        <v>30</v>
      </c>
      <c r="D1421">
        <v>136</v>
      </c>
      <c r="E1421">
        <v>0</v>
      </c>
      <c r="F1421">
        <v>3605782134</v>
      </c>
      <c r="G1421">
        <v>5054938.03</v>
      </c>
      <c r="H1421">
        <v>3599818584</v>
      </c>
      <c r="I1421">
        <v>3599818584</v>
      </c>
      <c r="J1421">
        <v>3.0200000000000001E-3</v>
      </c>
      <c r="K1421">
        <v>3.0200000000000001E-3</v>
      </c>
      <c r="M1421" t="s">
        <v>2</v>
      </c>
      <c r="N1421">
        <v>8000</v>
      </c>
      <c r="O1421">
        <v>30</v>
      </c>
      <c r="P1421">
        <v>62</v>
      </c>
      <c r="Q1421">
        <v>0</v>
      </c>
      <c r="R1421">
        <v>967424547</v>
      </c>
      <c r="S1421">
        <v>794932.75</v>
      </c>
      <c r="T1421">
        <v>886349672.77999997</v>
      </c>
      <c r="U1421">
        <v>958862198.88999999</v>
      </c>
      <c r="V1421">
        <v>0.64638700000000004</v>
      </c>
      <c r="W1421">
        <v>9.2204999999999995E-2</v>
      </c>
    </row>
    <row r="1422" spans="1:23" x14ac:dyDescent="0.35">
      <c r="A1422" t="s">
        <v>0</v>
      </c>
      <c r="B1422">
        <v>5000</v>
      </c>
      <c r="C1422">
        <v>24</v>
      </c>
      <c r="D1422">
        <v>9407</v>
      </c>
      <c r="E1422">
        <v>0</v>
      </c>
      <c r="F1422">
        <v>315219320256</v>
      </c>
      <c r="G1422">
        <v>430643344.75999999</v>
      </c>
      <c r="H1422">
        <v>313971830469</v>
      </c>
      <c r="I1422">
        <v>314482413551.64001</v>
      </c>
      <c r="J1422">
        <v>3.0657E-2</v>
      </c>
      <c r="K1422">
        <v>1.1597E-2</v>
      </c>
      <c r="M1422" t="s">
        <v>1</v>
      </c>
      <c r="N1422">
        <v>5000</v>
      </c>
      <c r="O1422">
        <v>30</v>
      </c>
      <c r="P1422">
        <v>3066</v>
      </c>
      <c r="Q1422">
        <v>0</v>
      </c>
      <c r="R1422">
        <v>108435652338</v>
      </c>
      <c r="S1422">
        <v>152546909.63</v>
      </c>
      <c r="T1422">
        <v>107653965457.46001</v>
      </c>
      <c r="U1422">
        <v>108059311267.38</v>
      </c>
      <c r="V1422">
        <v>6.7444000000000004E-2</v>
      </c>
      <c r="W1422">
        <v>2.4486999999999998E-2</v>
      </c>
    </row>
    <row r="1423" spans="1:23" x14ac:dyDescent="0.35">
      <c r="A1423" t="s">
        <v>2</v>
      </c>
      <c r="B1423">
        <v>5000</v>
      </c>
      <c r="C1423">
        <v>24</v>
      </c>
      <c r="D1423">
        <v>190</v>
      </c>
      <c r="E1423">
        <v>0</v>
      </c>
      <c r="F1423">
        <v>5208173298</v>
      </c>
      <c r="G1423">
        <v>7102989.79</v>
      </c>
      <c r="H1423">
        <v>5200182519</v>
      </c>
      <c r="I1423">
        <v>5200182519</v>
      </c>
      <c r="J1423">
        <v>2.0439999999999998E-3</v>
      </c>
      <c r="K1423">
        <v>2.0439999999999998E-3</v>
      </c>
      <c r="M1423" t="s">
        <v>0</v>
      </c>
      <c r="N1423">
        <v>4500</v>
      </c>
      <c r="O1423">
        <v>36</v>
      </c>
      <c r="P1423">
        <v>1244</v>
      </c>
      <c r="Q1423">
        <v>0</v>
      </c>
      <c r="R1423">
        <v>36906864562</v>
      </c>
      <c r="S1423">
        <v>58097636.609999999</v>
      </c>
      <c r="T1423">
        <v>36725042049.650002</v>
      </c>
      <c r="U1423">
        <v>36820563737.389999</v>
      </c>
      <c r="V1423">
        <v>3.9495000000000002E-2</v>
      </c>
      <c r="W1423">
        <v>9.1319999999999995E-3</v>
      </c>
    </row>
    <row r="1424" spans="1:23" x14ac:dyDescent="0.35">
      <c r="A1424" t="s">
        <v>1</v>
      </c>
      <c r="B1424">
        <v>5000</v>
      </c>
      <c r="C1424">
        <v>24</v>
      </c>
      <c r="D1424">
        <v>3483</v>
      </c>
      <c r="E1424">
        <v>0</v>
      </c>
      <c r="F1424">
        <v>127484003265</v>
      </c>
      <c r="G1424">
        <v>174229275.58000001</v>
      </c>
      <c r="H1424">
        <v>126982474784</v>
      </c>
      <c r="I1424">
        <v>127242328368.39999</v>
      </c>
      <c r="J1424">
        <v>3.0377000000000001E-2</v>
      </c>
      <c r="K1424">
        <v>6.3299999999999997E-3</v>
      </c>
      <c r="M1424" t="s">
        <v>0</v>
      </c>
      <c r="N1424">
        <v>5250</v>
      </c>
      <c r="O1424">
        <v>30</v>
      </c>
      <c r="P1424">
        <v>4943</v>
      </c>
      <c r="Q1424">
        <v>0</v>
      </c>
      <c r="R1424">
        <v>164176377967</v>
      </c>
      <c r="S1424">
        <v>222079608.37</v>
      </c>
      <c r="T1424">
        <v>162816971771.70999</v>
      </c>
      <c r="U1424">
        <v>163710137574.45999</v>
      </c>
      <c r="V1424">
        <v>8.0033999999999994E-2</v>
      </c>
      <c r="W1424">
        <v>1.7701000000000001E-2</v>
      </c>
    </row>
    <row r="1425" spans="1:23" x14ac:dyDescent="0.35">
      <c r="A1425" t="s">
        <v>2</v>
      </c>
      <c r="B1425">
        <v>5250</v>
      </c>
      <c r="C1425">
        <v>24</v>
      </c>
      <c r="D1425">
        <v>115</v>
      </c>
      <c r="E1425">
        <v>0</v>
      </c>
      <c r="F1425">
        <v>2726475403</v>
      </c>
      <c r="G1425">
        <v>3571568.36</v>
      </c>
      <c r="H1425">
        <v>2722781851</v>
      </c>
      <c r="I1425">
        <v>2722781851</v>
      </c>
      <c r="J1425">
        <v>5.3700000000000004E-4</v>
      </c>
      <c r="K1425">
        <v>5.3700000000000004E-4</v>
      </c>
      <c r="M1425" t="s">
        <v>3</v>
      </c>
      <c r="N1425">
        <v>7750</v>
      </c>
      <c r="O1425">
        <v>30</v>
      </c>
      <c r="P1425">
        <v>48</v>
      </c>
      <c r="Q1425">
        <v>0</v>
      </c>
      <c r="R1425">
        <v>954601597</v>
      </c>
      <c r="S1425">
        <v>839990.33</v>
      </c>
      <c r="T1425">
        <v>953761606.66999996</v>
      </c>
      <c r="U1425">
        <v>953761606.66999996</v>
      </c>
      <c r="V1425">
        <v>0</v>
      </c>
      <c r="W1425">
        <v>0</v>
      </c>
    </row>
    <row r="1426" spans="1:23" x14ac:dyDescent="0.35">
      <c r="A1426" t="s">
        <v>2</v>
      </c>
      <c r="B1426">
        <v>4750</v>
      </c>
      <c r="C1426">
        <v>20</v>
      </c>
      <c r="D1426">
        <v>19</v>
      </c>
      <c r="E1426">
        <v>0</v>
      </c>
      <c r="F1426">
        <v>439003440</v>
      </c>
      <c r="G1426">
        <v>616796.26</v>
      </c>
      <c r="H1426">
        <v>438595399</v>
      </c>
      <c r="I1426">
        <v>438595399</v>
      </c>
      <c r="J1426">
        <v>-5.7210000000000004E-3</v>
      </c>
      <c r="K1426">
        <v>-5.7210000000000004E-3</v>
      </c>
      <c r="M1426" t="s">
        <v>2</v>
      </c>
      <c r="N1426">
        <v>5500</v>
      </c>
      <c r="O1426">
        <v>54</v>
      </c>
      <c r="P1426">
        <v>16</v>
      </c>
      <c r="Q1426">
        <v>0</v>
      </c>
      <c r="R1426">
        <v>195909723</v>
      </c>
      <c r="S1426">
        <v>331353.09999999998</v>
      </c>
      <c r="T1426">
        <v>195578369.90000001</v>
      </c>
      <c r="U1426">
        <v>195578369.90000001</v>
      </c>
      <c r="V1426">
        <v>0</v>
      </c>
      <c r="W1426">
        <v>0</v>
      </c>
    </row>
    <row r="1427" spans="1:23" x14ac:dyDescent="0.35">
      <c r="A1427" t="s">
        <v>0</v>
      </c>
      <c r="B1427">
        <v>4750</v>
      </c>
      <c r="C1427">
        <v>20</v>
      </c>
      <c r="D1427">
        <v>811</v>
      </c>
      <c r="E1427">
        <v>0</v>
      </c>
      <c r="F1427">
        <v>24869650157</v>
      </c>
      <c r="G1427">
        <v>34782627.880000003</v>
      </c>
      <c r="H1427">
        <v>24787732560</v>
      </c>
      <c r="I1427">
        <v>24810649962</v>
      </c>
      <c r="J1427">
        <v>2.2508E-2</v>
      </c>
      <c r="K1427">
        <v>1.1623E-2</v>
      </c>
      <c r="M1427" t="s">
        <v>0</v>
      </c>
      <c r="N1427">
        <v>7750</v>
      </c>
      <c r="O1427">
        <v>5</v>
      </c>
      <c r="P1427">
        <v>3227</v>
      </c>
      <c r="Q1427">
        <v>0</v>
      </c>
      <c r="R1427">
        <v>89028800000</v>
      </c>
      <c r="S1427">
        <v>64861843</v>
      </c>
      <c r="T1427">
        <v>88683949179.429993</v>
      </c>
      <c r="U1427">
        <v>88963938157</v>
      </c>
      <c r="V1427">
        <v>3.7093000000000001E-2</v>
      </c>
      <c r="W1427">
        <v>0</v>
      </c>
    </row>
    <row r="1428" spans="1:23" x14ac:dyDescent="0.35">
      <c r="A1428" t="s">
        <v>3</v>
      </c>
      <c r="B1428">
        <v>5750</v>
      </c>
      <c r="C1428">
        <v>30</v>
      </c>
      <c r="D1428">
        <v>11</v>
      </c>
      <c r="E1428">
        <v>0</v>
      </c>
      <c r="F1428">
        <v>250485064</v>
      </c>
      <c r="G1428">
        <v>306727.96999999997</v>
      </c>
      <c r="H1428">
        <v>250147002</v>
      </c>
      <c r="I1428">
        <v>250147002</v>
      </c>
      <c r="J1428">
        <v>1.5E-3</v>
      </c>
      <c r="K1428">
        <v>1.5E-3</v>
      </c>
      <c r="M1428" t="s">
        <v>0</v>
      </c>
      <c r="N1428">
        <v>8000</v>
      </c>
      <c r="O1428">
        <v>5</v>
      </c>
      <c r="P1428">
        <v>353</v>
      </c>
      <c r="Q1428">
        <v>0</v>
      </c>
      <c r="R1428">
        <v>11662700000</v>
      </c>
      <c r="S1428">
        <v>8174547.6799999997</v>
      </c>
      <c r="T1428">
        <v>11643133271.33</v>
      </c>
      <c r="U1428">
        <v>11654525452.32</v>
      </c>
      <c r="V1428">
        <v>1.1658999999999999E-2</v>
      </c>
      <c r="W1428">
        <v>0</v>
      </c>
    </row>
    <row r="1429" spans="1:23" x14ac:dyDescent="0.35">
      <c r="A1429" t="s">
        <v>3</v>
      </c>
      <c r="B1429">
        <v>7500</v>
      </c>
      <c r="C1429">
        <v>30</v>
      </c>
      <c r="D1429">
        <v>31</v>
      </c>
      <c r="E1429">
        <v>0</v>
      </c>
      <c r="F1429">
        <v>827219932</v>
      </c>
      <c r="G1429">
        <v>762550.31</v>
      </c>
      <c r="H1429">
        <v>826217844</v>
      </c>
      <c r="I1429">
        <v>826217844</v>
      </c>
      <c r="J1429">
        <v>3.4689999999999999E-3</v>
      </c>
      <c r="K1429">
        <v>3.4689999999999999E-3</v>
      </c>
      <c r="M1429" t="s">
        <v>0</v>
      </c>
      <c r="N1429">
        <v>8250</v>
      </c>
      <c r="O1429">
        <v>5</v>
      </c>
      <c r="P1429">
        <v>441</v>
      </c>
      <c r="Q1429">
        <v>0</v>
      </c>
      <c r="R1429">
        <v>13534400000</v>
      </c>
      <c r="S1429">
        <v>8918259.1999999993</v>
      </c>
      <c r="T1429">
        <v>13483809347.42</v>
      </c>
      <c r="U1429">
        <v>13525481740.799999</v>
      </c>
      <c r="V1429">
        <v>3.6329E-2</v>
      </c>
      <c r="W1429">
        <v>0</v>
      </c>
    </row>
    <row r="1430" spans="1:23" x14ac:dyDescent="0.35">
      <c r="A1430" t="s">
        <v>3</v>
      </c>
      <c r="B1430">
        <v>6000</v>
      </c>
      <c r="C1430">
        <v>30</v>
      </c>
      <c r="D1430">
        <v>13</v>
      </c>
      <c r="E1430">
        <v>0</v>
      </c>
      <c r="F1430">
        <v>392185109</v>
      </c>
      <c r="G1430">
        <v>465719.89</v>
      </c>
      <c r="H1430">
        <v>391677949</v>
      </c>
      <c r="I1430">
        <v>391677949</v>
      </c>
      <c r="J1430">
        <v>1.2669999999999999E-3</v>
      </c>
      <c r="K1430">
        <v>1.2669999999999999E-3</v>
      </c>
      <c r="M1430" t="s">
        <v>1</v>
      </c>
      <c r="N1430">
        <v>6250</v>
      </c>
      <c r="O1430">
        <v>7</v>
      </c>
      <c r="P1430">
        <v>10992</v>
      </c>
      <c r="Q1430">
        <v>0</v>
      </c>
      <c r="R1430">
        <v>456790912410</v>
      </c>
      <c r="S1430">
        <v>457350799.48000002</v>
      </c>
      <c r="T1430">
        <v>363190762662.84998</v>
      </c>
      <c r="U1430">
        <v>455940030384.57001</v>
      </c>
      <c r="V1430">
        <v>0.93520099999999995</v>
      </c>
      <c r="W1430">
        <v>1.0289E-2</v>
      </c>
    </row>
    <row r="1431" spans="1:23" x14ac:dyDescent="0.35">
      <c r="A1431" t="s">
        <v>2</v>
      </c>
      <c r="B1431">
        <v>8250</v>
      </c>
      <c r="C1431">
        <v>36</v>
      </c>
      <c r="D1431">
        <v>1</v>
      </c>
      <c r="E1431">
        <v>0</v>
      </c>
      <c r="F1431">
        <v>25064457</v>
      </c>
      <c r="G1431">
        <v>21311.98</v>
      </c>
      <c r="H1431">
        <v>25027940</v>
      </c>
      <c r="I1431">
        <v>25027940</v>
      </c>
      <c r="J1431">
        <v>7.2550000000000002E-3</v>
      </c>
      <c r="K1431">
        <v>7.2550000000000002E-3</v>
      </c>
      <c r="M1431" t="s">
        <v>2</v>
      </c>
      <c r="N1431">
        <v>4250</v>
      </c>
      <c r="O1431">
        <v>36</v>
      </c>
      <c r="P1431">
        <v>48</v>
      </c>
      <c r="Q1431">
        <v>0</v>
      </c>
      <c r="R1431">
        <v>865608383</v>
      </c>
      <c r="S1431">
        <v>1462755.7</v>
      </c>
      <c r="T1431">
        <v>864145627.29999995</v>
      </c>
      <c r="U1431">
        <v>864145627.29999995</v>
      </c>
      <c r="V1431">
        <v>0</v>
      </c>
      <c r="W1431">
        <v>0</v>
      </c>
    </row>
    <row r="1432" spans="1:23" x14ac:dyDescent="0.35">
      <c r="A1432" t="s">
        <v>1</v>
      </c>
      <c r="B1432">
        <v>8500</v>
      </c>
      <c r="C1432">
        <v>30</v>
      </c>
      <c r="D1432">
        <v>38</v>
      </c>
      <c r="E1432">
        <v>0</v>
      </c>
      <c r="F1432">
        <v>765739212</v>
      </c>
      <c r="G1432">
        <v>574883.13</v>
      </c>
      <c r="H1432">
        <v>735335962</v>
      </c>
      <c r="I1432">
        <v>765264984.12</v>
      </c>
      <c r="J1432">
        <v>0.37922800000000001</v>
      </c>
      <c r="K1432">
        <v>-1.5790000000000001E-3</v>
      </c>
      <c r="M1432" t="s">
        <v>2</v>
      </c>
      <c r="N1432">
        <v>5250</v>
      </c>
      <c r="O1432">
        <v>30</v>
      </c>
      <c r="P1432">
        <v>136</v>
      </c>
      <c r="Q1432">
        <v>0</v>
      </c>
      <c r="R1432">
        <v>3320098358</v>
      </c>
      <c r="S1432">
        <v>4499304.34</v>
      </c>
      <c r="T1432">
        <v>3288791445.9499998</v>
      </c>
      <c r="U1432">
        <v>3315599053.6599998</v>
      </c>
      <c r="V1432">
        <v>9.2702999999999994E-2</v>
      </c>
      <c r="W1432">
        <v>0</v>
      </c>
    </row>
    <row r="1433" spans="1:23" x14ac:dyDescent="0.35">
      <c r="A1433" t="s">
        <v>0</v>
      </c>
      <c r="B1433">
        <v>4750</v>
      </c>
      <c r="C1433">
        <v>30</v>
      </c>
      <c r="D1433">
        <v>1570</v>
      </c>
      <c r="E1433">
        <v>0</v>
      </c>
      <c r="F1433">
        <v>48511010094</v>
      </c>
      <c r="G1433">
        <v>70768210.010000005</v>
      </c>
      <c r="H1433">
        <v>48310942532</v>
      </c>
      <c r="I1433">
        <v>48430100260.57</v>
      </c>
      <c r="J1433">
        <v>3.1519999999999999E-2</v>
      </c>
      <c r="K1433">
        <v>2.506E-3</v>
      </c>
      <c r="M1433" t="s">
        <v>1</v>
      </c>
      <c r="N1433">
        <v>3250</v>
      </c>
      <c r="O1433">
        <v>36</v>
      </c>
      <c r="P1433">
        <v>125</v>
      </c>
      <c r="Q1433">
        <v>0</v>
      </c>
      <c r="R1433">
        <v>3424541707</v>
      </c>
      <c r="S1433">
        <v>6910131.7699999996</v>
      </c>
      <c r="T1433">
        <v>3354004796.71</v>
      </c>
      <c r="U1433">
        <v>3379790403.2800002</v>
      </c>
      <c r="V1433">
        <v>0.20152600000000001</v>
      </c>
      <c r="W1433">
        <v>0.124831</v>
      </c>
    </row>
    <row r="1434" spans="1:23" x14ac:dyDescent="0.35">
      <c r="A1434" t="s">
        <v>0</v>
      </c>
      <c r="B1434">
        <v>4500</v>
      </c>
      <c r="C1434">
        <v>30</v>
      </c>
      <c r="D1434">
        <v>921</v>
      </c>
      <c r="E1434">
        <v>0</v>
      </c>
      <c r="F1434">
        <v>26920143042</v>
      </c>
      <c r="G1434">
        <v>41013410.07</v>
      </c>
      <c r="H1434">
        <v>26849459178</v>
      </c>
      <c r="I1434">
        <v>26875837141.779999</v>
      </c>
      <c r="J1434">
        <v>1.3146E-2</v>
      </c>
      <c r="K1434">
        <v>1.467E-3</v>
      </c>
      <c r="M1434" t="s">
        <v>1</v>
      </c>
      <c r="N1434">
        <v>4000</v>
      </c>
      <c r="O1434">
        <v>36</v>
      </c>
      <c r="P1434">
        <v>203</v>
      </c>
      <c r="Q1434">
        <v>0</v>
      </c>
      <c r="R1434">
        <v>7024294166</v>
      </c>
      <c r="S1434">
        <v>12144468.460000001</v>
      </c>
      <c r="T1434">
        <v>6948714427.1700001</v>
      </c>
      <c r="U1434">
        <v>7012149697.54</v>
      </c>
      <c r="V1434">
        <v>0.103146</v>
      </c>
      <c r="W1434">
        <v>0</v>
      </c>
    </row>
    <row r="1435" spans="1:23" x14ac:dyDescent="0.35">
      <c r="A1435" t="s">
        <v>0</v>
      </c>
      <c r="B1435">
        <v>8500</v>
      </c>
      <c r="C1435">
        <v>36</v>
      </c>
      <c r="D1435">
        <v>6</v>
      </c>
      <c r="E1435">
        <v>0</v>
      </c>
      <c r="F1435">
        <v>227586296</v>
      </c>
      <c r="G1435">
        <v>179574.66</v>
      </c>
      <c r="H1435">
        <v>227428993</v>
      </c>
      <c r="I1435">
        <v>227428993</v>
      </c>
      <c r="J1435">
        <v>-1.175E-3</v>
      </c>
      <c r="K1435">
        <v>-1.175E-3</v>
      </c>
      <c r="M1435" t="s">
        <v>1</v>
      </c>
      <c r="N1435">
        <v>4750</v>
      </c>
      <c r="O1435">
        <v>30</v>
      </c>
      <c r="P1435">
        <v>694</v>
      </c>
      <c r="Q1435">
        <v>0</v>
      </c>
      <c r="R1435">
        <v>24027551737</v>
      </c>
      <c r="S1435">
        <v>35341289.289999999</v>
      </c>
      <c r="T1435">
        <v>23834509882.330002</v>
      </c>
      <c r="U1435">
        <v>23886830268.470001</v>
      </c>
      <c r="V1435">
        <v>7.5978000000000004E-2</v>
      </c>
      <c r="W1435">
        <v>5.1379000000000001E-2</v>
      </c>
    </row>
    <row r="1436" spans="1:23" x14ac:dyDescent="0.35">
      <c r="A1436" t="s">
        <v>1</v>
      </c>
      <c r="B1436">
        <v>2500</v>
      </c>
      <c r="C1436">
        <v>36</v>
      </c>
      <c r="D1436">
        <v>11</v>
      </c>
      <c r="E1436">
        <v>0</v>
      </c>
      <c r="F1436">
        <v>360614735</v>
      </c>
      <c r="G1436">
        <v>819029.02</v>
      </c>
      <c r="H1436">
        <v>359740730</v>
      </c>
      <c r="I1436">
        <v>359740730</v>
      </c>
      <c r="J1436">
        <v>1.828E-3</v>
      </c>
      <c r="K1436">
        <v>1.828E-3</v>
      </c>
      <c r="M1436" t="s">
        <v>1</v>
      </c>
      <c r="N1436">
        <v>9000</v>
      </c>
      <c r="O1436">
        <v>30</v>
      </c>
      <c r="P1436">
        <v>29</v>
      </c>
      <c r="Q1436">
        <v>0</v>
      </c>
      <c r="R1436">
        <v>804194977</v>
      </c>
      <c r="S1436">
        <v>575094.68999999994</v>
      </c>
      <c r="T1436">
        <v>781265193.16999996</v>
      </c>
      <c r="U1436">
        <v>781265193.16999996</v>
      </c>
      <c r="V1436">
        <v>0.28701500000000002</v>
      </c>
      <c r="W1436">
        <v>0.28701500000000002</v>
      </c>
    </row>
    <row r="1437" spans="1:23" x14ac:dyDescent="0.35">
      <c r="A1437" t="s">
        <v>1</v>
      </c>
      <c r="B1437">
        <v>2250</v>
      </c>
      <c r="C1437">
        <v>36</v>
      </c>
      <c r="D1437">
        <v>33</v>
      </c>
      <c r="E1437">
        <v>0</v>
      </c>
      <c r="F1437">
        <v>1302850767</v>
      </c>
      <c r="G1437">
        <v>3042555.14</v>
      </c>
      <c r="H1437">
        <v>1299099454</v>
      </c>
      <c r="I1437">
        <v>1299099454</v>
      </c>
      <c r="J1437">
        <v>6.509E-3</v>
      </c>
      <c r="K1437">
        <v>6.509E-3</v>
      </c>
      <c r="M1437" t="s">
        <v>2</v>
      </c>
      <c r="N1437">
        <v>8250</v>
      </c>
      <c r="O1437">
        <v>30</v>
      </c>
      <c r="P1437">
        <v>87</v>
      </c>
      <c r="Q1437">
        <v>0</v>
      </c>
      <c r="R1437">
        <v>1215639687</v>
      </c>
      <c r="S1437">
        <v>956217.1</v>
      </c>
      <c r="T1437">
        <v>1201085223.8099999</v>
      </c>
      <c r="U1437">
        <v>1214683469.9000001</v>
      </c>
      <c r="V1437">
        <v>0.126275</v>
      </c>
      <c r="W1437">
        <v>0</v>
      </c>
    </row>
    <row r="1438" spans="1:23" x14ac:dyDescent="0.35">
      <c r="A1438" t="s">
        <v>1</v>
      </c>
      <c r="B1438">
        <v>2750</v>
      </c>
      <c r="C1438">
        <v>36</v>
      </c>
      <c r="D1438">
        <v>46</v>
      </c>
      <c r="E1438">
        <v>0</v>
      </c>
      <c r="F1438">
        <v>1372161317</v>
      </c>
      <c r="G1438">
        <v>3022038.05</v>
      </c>
      <c r="H1438">
        <v>1369148217</v>
      </c>
      <c r="I1438">
        <v>1369148217</v>
      </c>
      <c r="J1438">
        <v>-7.7999999999999999E-5</v>
      </c>
      <c r="K1438">
        <v>-7.7999999999999999E-5</v>
      </c>
      <c r="M1438" t="s">
        <v>2</v>
      </c>
      <c r="N1438">
        <v>4250</v>
      </c>
      <c r="O1438">
        <v>30</v>
      </c>
      <c r="P1438">
        <v>20</v>
      </c>
      <c r="Q1438">
        <v>0</v>
      </c>
      <c r="R1438">
        <v>324967653</v>
      </c>
      <c r="S1438">
        <v>533243.56999999995</v>
      </c>
      <c r="T1438">
        <v>324434409.43000001</v>
      </c>
      <c r="U1438">
        <v>324434409.43000001</v>
      </c>
      <c r="V1438">
        <v>0</v>
      </c>
      <c r="W1438">
        <v>0</v>
      </c>
    </row>
    <row r="1439" spans="1:23" x14ac:dyDescent="0.35">
      <c r="A1439" t="s">
        <v>1</v>
      </c>
      <c r="B1439">
        <v>2500</v>
      </c>
      <c r="C1439">
        <v>30</v>
      </c>
      <c r="D1439">
        <v>5</v>
      </c>
      <c r="E1439">
        <v>0</v>
      </c>
      <c r="F1439">
        <v>225472462</v>
      </c>
      <c r="G1439">
        <v>494699.81</v>
      </c>
      <c r="H1439">
        <v>224890570</v>
      </c>
      <c r="I1439">
        <v>224890570</v>
      </c>
      <c r="J1439">
        <v>4.6309999999999997E-3</v>
      </c>
      <c r="K1439">
        <v>4.6309999999999997E-3</v>
      </c>
      <c r="M1439" t="s">
        <v>2</v>
      </c>
      <c r="N1439">
        <v>3500</v>
      </c>
      <c r="O1439">
        <v>36</v>
      </c>
      <c r="P1439">
        <v>45</v>
      </c>
      <c r="Q1439">
        <v>0</v>
      </c>
      <c r="R1439">
        <v>714036564</v>
      </c>
      <c r="S1439">
        <v>1406499.88</v>
      </c>
      <c r="T1439">
        <v>698706414.47000003</v>
      </c>
      <c r="U1439">
        <v>712630064.12</v>
      </c>
      <c r="V1439">
        <v>0.21046500000000001</v>
      </c>
      <c r="W1439">
        <v>0</v>
      </c>
    </row>
    <row r="1440" spans="1:23" x14ac:dyDescent="0.35">
      <c r="A1440" t="s">
        <v>1</v>
      </c>
      <c r="B1440">
        <v>4250</v>
      </c>
      <c r="C1440">
        <v>36</v>
      </c>
      <c r="D1440">
        <v>473</v>
      </c>
      <c r="E1440">
        <v>0</v>
      </c>
      <c r="F1440">
        <v>15739480385</v>
      </c>
      <c r="G1440">
        <v>25983467.199999999</v>
      </c>
      <c r="H1440">
        <v>15680480178</v>
      </c>
      <c r="I1440">
        <v>15680480178</v>
      </c>
      <c r="J1440">
        <v>2.4884E-2</v>
      </c>
      <c r="K1440">
        <v>2.4884E-2</v>
      </c>
      <c r="M1440" t="s">
        <v>2</v>
      </c>
      <c r="N1440">
        <v>7750</v>
      </c>
      <c r="O1440">
        <v>24</v>
      </c>
      <c r="P1440">
        <v>341</v>
      </c>
      <c r="Q1440">
        <v>0</v>
      </c>
      <c r="R1440">
        <v>4713059430</v>
      </c>
      <c r="S1440">
        <v>3982813.11</v>
      </c>
      <c r="T1440">
        <v>4645091364.7799997</v>
      </c>
      <c r="U1440">
        <v>4690880716.6099997</v>
      </c>
      <c r="V1440">
        <v>0.151283</v>
      </c>
      <c r="W1440">
        <v>4.5358000000000002E-2</v>
      </c>
    </row>
    <row r="1441" spans="1:23" x14ac:dyDescent="0.35">
      <c r="A1441" t="s">
        <v>1</v>
      </c>
      <c r="B1441">
        <v>4750</v>
      </c>
      <c r="C1441">
        <v>30</v>
      </c>
      <c r="D1441">
        <v>643</v>
      </c>
      <c r="E1441">
        <v>0</v>
      </c>
      <c r="F1441">
        <v>21993038364</v>
      </c>
      <c r="G1441">
        <v>32215430.670000002</v>
      </c>
      <c r="H1441">
        <v>21676317504</v>
      </c>
      <c r="I1441">
        <v>21822843683.369999</v>
      </c>
      <c r="J1441">
        <v>0.144652</v>
      </c>
      <c r="K1441">
        <v>7.2741E-2</v>
      </c>
      <c r="M1441" t="s">
        <v>0</v>
      </c>
      <c r="N1441">
        <v>5000</v>
      </c>
      <c r="O1441">
        <v>24</v>
      </c>
      <c r="P1441">
        <v>8896</v>
      </c>
      <c r="Q1441">
        <v>0</v>
      </c>
      <c r="R1441">
        <v>299492890648</v>
      </c>
      <c r="S1441">
        <v>408366945.85000002</v>
      </c>
      <c r="T1441">
        <v>298248397277.85999</v>
      </c>
      <c r="U1441">
        <v>298918753358.59003</v>
      </c>
      <c r="V1441">
        <v>3.2992E-2</v>
      </c>
      <c r="W1441">
        <v>6.6220000000000003E-3</v>
      </c>
    </row>
    <row r="1442" spans="1:23" x14ac:dyDescent="0.35">
      <c r="A1442" t="s">
        <v>1</v>
      </c>
      <c r="B1442">
        <v>5000</v>
      </c>
      <c r="C1442">
        <v>30</v>
      </c>
      <c r="D1442">
        <v>2913</v>
      </c>
      <c r="E1442">
        <v>0</v>
      </c>
      <c r="F1442">
        <v>102023814679</v>
      </c>
      <c r="G1442">
        <v>143247476.33000001</v>
      </c>
      <c r="H1442">
        <v>101089209578</v>
      </c>
      <c r="I1442">
        <v>101598815890.42999</v>
      </c>
      <c r="J1442">
        <v>8.9208999999999997E-2</v>
      </c>
      <c r="K1442">
        <v>3.2641000000000003E-2</v>
      </c>
      <c r="M1442" t="s">
        <v>2</v>
      </c>
      <c r="N1442">
        <v>5000</v>
      </c>
      <c r="O1442">
        <v>24</v>
      </c>
      <c r="P1442">
        <v>176</v>
      </c>
      <c r="Q1442">
        <v>0</v>
      </c>
      <c r="R1442">
        <v>4769385608</v>
      </c>
      <c r="S1442">
        <v>6498106.5800000001</v>
      </c>
      <c r="T1442">
        <v>4762887501.4200001</v>
      </c>
      <c r="U1442">
        <v>4762887501.4200001</v>
      </c>
      <c r="V1442">
        <v>0</v>
      </c>
      <c r="W1442">
        <v>0</v>
      </c>
    </row>
    <row r="1443" spans="1:23" x14ac:dyDescent="0.35">
      <c r="A1443" t="s">
        <v>0</v>
      </c>
      <c r="B1443">
        <v>9000</v>
      </c>
      <c r="C1443">
        <v>36</v>
      </c>
      <c r="D1443">
        <v>5</v>
      </c>
      <c r="E1443">
        <v>0</v>
      </c>
      <c r="F1443">
        <v>156744882</v>
      </c>
      <c r="G1443">
        <v>117194.98</v>
      </c>
      <c r="H1443">
        <v>156517550</v>
      </c>
      <c r="I1443">
        <v>156517550</v>
      </c>
      <c r="J1443">
        <v>8.3990000000000002E-3</v>
      </c>
      <c r="K1443">
        <v>8.3990000000000002E-3</v>
      </c>
      <c r="M1443" t="s">
        <v>1</v>
      </c>
      <c r="N1443">
        <v>5000</v>
      </c>
      <c r="O1443">
        <v>24</v>
      </c>
      <c r="P1443">
        <v>3401</v>
      </c>
      <c r="Q1443">
        <v>0</v>
      </c>
      <c r="R1443">
        <v>125399182386</v>
      </c>
      <c r="S1443">
        <v>171085155.94999999</v>
      </c>
      <c r="T1443">
        <v>124730822336.78999</v>
      </c>
      <c r="U1443">
        <v>124863452422.2</v>
      </c>
      <c r="V1443">
        <v>4.6561999999999999E-2</v>
      </c>
      <c r="W1443">
        <v>3.4341999999999998E-2</v>
      </c>
    </row>
    <row r="1444" spans="1:23" x14ac:dyDescent="0.35">
      <c r="A1444" t="s">
        <v>3</v>
      </c>
      <c r="B1444">
        <v>6000</v>
      </c>
      <c r="C1444">
        <v>24</v>
      </c>
      <c r="D1444">
        <v>28</v>
      </c>
      <c r="E1444">
        <v>0</v>
      </c>
      <c r="F1444">
        <v>677742215</v>
      </c>
      <c r="G1444">
        <v>781739.22</v>
      </c>
      <c r="H1444">
        <v>676728748</v>
      </c>
      <c r="I1444">
        <v>676728748</v>
      </c>
      <c r="J1444">
        <v>4.0949999999999997E-3</v>
      </c>
      <c r="K1444">
        <v>4.0949999999999997E-3</v>
      </c>
      <c r="M1444" t="s">
        <v>2</v>
      </c>
      <c r="N1444">
        <v>5250</v>
      </c>
      <c r="O1444">
        <v>24</v>
      </c>
      <c r="P1444">
        <v>107</v>
      </c>
      <c r="Q1444">
        <v>0</v>
      </c>
      <c r="R1444">
        <v>2530550749</v>
      </c>
      <c r="S1444">
        <v>3303943.39</v>
      </c>
      <c r="T1444">
        <v>2527246805.6100001</v>
      </c>
      <c r="U1444">
        <v>2527246805.6100001</v>
      </c>
      <c r="V1444">
        <v>0</v>
      </c>
      <c r="W1444">
        <v>0</v>
      </c>
    </row>
    <row r="1445" spans="1:23" x14ac:dyDescent="0.35">
      <c r="A1445" t="s">
        <v>3</v>
      </c>
      <c r="B1445">
        <v>5500</v>
      </c>
      <c r="C1445">
        <v>24</v>
      </c>
      <c r="D1445">
        <v>1</v>
      </c>
      <c r="E1445">
        <v>0</v>
      </c>
      <c r="F1445">
        <v>12736487</v>
      </c>
      <c r="G1445">
        <v>15908.27</v>
      </c>
      <c r="H1445">
        <v>12708630</v>
      </c>
      <c r="I1445">
        <v>12708630</v>
      </c>
      <c r="J1445">
        <v>1.12E-2</v>
      </c>
      <c r="K1445">
        <v>1.12E-2</v>
      </c>
      <c r="M1445" t="s">
        <v>0</v>
      </c>
      <c r="N1445">
        <v>5250</v>
      </c>
      <c r="O1445">
        <v>20</v>
      </c>
      <c r="P1445">
        <v>1668</v>
      </c>
      <c r="Q1445">
        <v>0</v>
      </c>
      <c r="R1445">
        <v>57142245345</v>
      </c>
      <c r="S1445">
        <v>73514150.010000005</v>
      </c>
      <c r="T1445">
        <v>56985928148.120003</v>
      </c>
      <c r="U1445">
        <v>57045777732.360001</v>
      </c>
      <c r="V1445">
        <v>1.7250999999999999E-2</v>
      </c>
      <c r="W1445">
        <v>4.81E-3</v>
      </c>
    </row>
    <row r="1446" spans="1:23" x14ac:dyDescent="0.35">
      <c r="A1446" t="s">
        <v>0</v>
      </c>
      <c r="B1446">
        <v>8250</v>
      </c>
      <c r="C1446">
        <v>24</v>
      </c>
      <c r="D1446">
        <v>743</v>
      </c>
      <c r="E1446">
        <v>0</v>
      </c>
      <c r="F1446">
        <v>20244558778</v>
      </c>
      <c r="G1446">
        <v>15402427.15</v>
      </c>
      <c r="H1446">
        <v>19801725204</v>
      </c>
      <c r="I1446">
        <v>20061165214.75</v>
      </c>
      <c r="J1446">
        <v>0.225915</v>
      </c>
      <c r="K1446">
        <v>9.5156000000000004E-2</v>
      </c>
      <c r="M1446" t="s">
        <v>2</v>
      </c>
      <c r="N1446">
        <v>4750</v>
      </c>
      <c r="O1446">
        <v>18</v>
      </c>
      <c r="P1446">
        <v>20</v>
      </c>
      <c r="Q1446">
        <v>0</v>
      </c>
      <c r="R1446">
        <v>463734567</v>
      </c>
      <c r="S1446">
        <v>643216.01</v>
      </c>
      <c r="T1446">
        <v>463091350.99000001</v>
      </c>
      <c r="U1446">
        <v>463091350.99000001</v>
      </c>
      <c r="V1446">
        <v>0</v>
      </c>
      <c r="W1446">
        <v>0</v>
      </c>
    </row>
    <row r="1447" spans="1:23" x14ac:dyDescent="0.35">
      <c r="A1447" t="s">
        <v>3</v>
      </c>
      <c r="B1447">
        <v>7250</v>
      </c>
      <c r="C1447">
        <v>24</v>
      </c>
      <c r="D1447">
        <v>45</v>
      </c>
      <c r="E1447">
        <v>0</v>
      </c>
      <c r="F1447">
        <v>1205159283</v>
      </c>
      <c r="G1447">
        <v>1106396.3</v>
      </c>
      <c r="H1447">
        <v>1203786594</v>
      </c>
      <c r="I1447">
        <v>1203786594</v>
      </c>
      <c r="J1447">
        <v>2.6480000000000002E-3</v>
      </c>
      <c r="K1447">
        <v>2.6480000000000002E-3</v>
      </c>
      <c r="M1447" t="s">
        <v>0</v>
      </c>
      <c r="N1447">
        <v>4750</v>
      </c>
      <c r="O1447">
        <v>18</v>
      </c>
      <c r="P1447">
        <v>1203</v>
      </c>
      <c r="Q1447">
        <v>0</v>
      </c>
      <c r="R1447">
        <v>39200682249</v>
      </c>
      <c r="S1447">
        <v>54269736.189999998</v>
      </c>
      <c r="T1447">
        <v>39122068745.949997</v>
      </c>
      <c r="U1447">
        <v>39146412512.809998</v>
      </c>
      <c r="V1447">
        <v>7.4269999999999996E-3</v>
      </c>
      <c r="W1447">
        <v>0</v>
      </c>
    </row>
    <row r="1448" spans="1:23" x14ac:dyDescent="0.35">
      <c r="A1448" t="s">
        <v>3</v>
      </c>
      <c r="B1448">
        <v>7000</v>
      </c>
      <c r="C1448">
        <v>24</v>
      </c>
      <c r="D1448">
        <v>35</v>
      </c>
      <c r="E1448">
        <v>0</v>
      </c>
      <c r="F1448">
        <v>881275662</v>
      </c>
      <c r="G1448">
        <v>847255.51</v>
      </c>
      <c r="H1448">
        <v>880328681</v>
      </c>
      <c r="I1448">
        <v>880328681</v>
      </c>
      <c r="J1448">
        <v>1.3569999999999999E-3</v>
      </c>
      <c r="K1448">
        <v>1.3569999999999999E-3</v>
      </c>
      <c r="M1448" t="s">
        <v>0</v>
      </c>
      <c r="N1448">
        <v>4500</v>
      </c>
      <c r="O1448">
        <v>18</v>
      </c>
      <c r="P1448">
        <v>1271</v>
      </c>
      <c r="Q1448">
        <v>0</v>
      </c>
      <c r="R1448">
        <v>40277960785</v>
      </c>
      <c r="S1448">
        <v>58125253.159999996</v>
      </c>
      <c r="T1448">
        <v>40116226307.989998</v>
      </c>
      <c r="U1448">
        <v>40219835531.839996</v>
      </c>
      <c r="V1448">
        <v>3.0435E-2</v>
      </c>
      <c r="W1448">
        <v>0</v>
      </c>
    </row>
    <row r="1449" spans="1:23" x14ac:dyDescent="0.35">
      <c r="A1449" t="s">
        <v>1</v>
      </c>
      <c r="B1449">
        <v>3000</v>
      </c>
      <c r="C1449">
        <v>36</v>
      </c>
      <c r="D1449">
        <v>51</v>
      </c>
      <c r="E1449">
        <v>0</v>
      </c>
      <c r="F1449">
        <v>1535381728</v>
      </c>
      <c r="G1449">
        <v>3316592.56</v>
      </c>
      <c r="H1449">
        <v>1515757267</v>
      </c>
      <c r="I1449">
        <v>1515757267</v>
      </c>
      <c r="J1449">
        <v>0.120268</v>
      </c>
      <c r="K1449">
        <v>0.120268</v>
      </c>
      <c r="M1449" t="s">
        <v>0</v>
      </c>
      <c r="N1449">
        <v>4000</v>
      </c>
      <c r="O1449">
        <v>30</v>
      </c>
      <c r="P1449">
        <v>37</v>
      </c>
      <c r="Q1449">
        <v>0</v>
      </c>
      <c r="R1449">
        <v>1101707796</v>
      </c>
      <c r="S1449">
        <v>1824700.91</v>
      </c>
      <c r="T1449">
        <v>1099883095.0899999</v>
      </c>
      <c r="U1449">
        <v>1099883095.0899999</v>
      </c>
      <c r="V1449">
        <v>0</v>
      </c>
      <c r="W1449">
        <v>0</v>
      </c>
    </row>
    <row r="1450" spans="1:23" x14ac:dyDescent="0.35">
      <c r="A1450" t="s">
        <v>1</v>
      </c>
      <c r="B1450">
        <v>3000</v>
      </c>
      <c r="C1450">
        <v>30</v>
      </c>
      <c r="D1450">
        <v>25</v>
      </c>
      <c r="E1450">
        <v>0</v>
      </c>
      <c r="F1450">
        <v>702402627</v>
      </c>
      <c r="G1450">
        <v>1473043.6</v>
      </c>
      <c r="H1450">
        <v>700801168</v>
      </c>
      <c r="I1450">
        <v>700801168</v>
      </c>
      <c r="J1450">
        <v>2.1919999999999999E-3</v>
      </c>
      <c r="K1450">
        <v>2.1919999999999999E-3</v>
      </c>
      <c r="M1450" t="s">
        <v>3</v>
      </c>
      <c r="N1450">
        <v>5750</v>
      </c>
      <c r="O1450">
        <v>30</v>
      </c>
      <c r="P1450">
        <v>9</v>
      </c>
      <c r="Q1450">
        <v>0</v>
      </c>
      <c r="R1450">
        <v>233858270</v>
      </c>
      <c r="S1450">
        <v>292271.96000000002</v>
      </c>
      <c r="T1450">
        <v>233565998.03999999</v>
      </c>
      <c r="U1450">
        <v>233565998.03999999</v>
      </c>
      <c r="V1450">
        <v>0</v>
      </c>
      <c r="W1450">
        <v>0</v>
      </c>
    </row>
    <row r="1451" spans="1:23" x14ac:dyDescent="0.35">
      <c r="A1451" t="s">
        <v>2</v>
      </c>
      <c r="B1451">
        <v>9000</v>
      </c>
      <c r="C1451">
        <v>30</v>
      </c>
      <c r="D1451">
        <v>7</v>
      </c>
      <c r="E1451">
        <v>0</v>
      </c>
      <c r="F1451">
        <v>97357209</v>
      </c>
      <c r="G1451">
        <v>69480.990000000005</v>
      </c>
      <c r="H1451">
        <v>97344572</v>
      </c>
      <c r="I1451">
        <v>97344572</v>
      </c>
      <c r="J1451">
        <v>-7.0289999999999997E-3</v>
      </c>
      <c r="K1451">
        <v>-7.0289999999999997E-3</v>
      </c>
      <c r="M1451" t="s">
        <v>3</v>
      </c>
      <c r="N1451">
        <v>6000</v>
      </c>
      <c r="O1451">
        <v>30</v>
      </c>
      <c r="P1451">
        <v>11</v>
      </c>
      <c r="Q1451">
        <v>0</v>
      </c>
      <c r="R1451">
        <v>375163858</v>
      </c>
      <c r="S1451">
        <v>446211.96</v>
      </c>
      <c r="T1451">
        <v>374717646.04000002</v>
      </c>
      <c r="U1451">
        <v>374717646.04000002</v>
      </c>
      <c r="V1451">
        <v>0</v>
      </c>
      <c r="W1451">
        <v>0</v>
      </c>
    </row>
    <row r="1452" spans="1:23" x14ac:dyDescent="0.35">
      <c r="A1452" t="s">
        <v>2</v>
      </c>
      <c r="B1452">
        <v>8500</v>
      </c>
      <c r="C1452">
        <v>30</v>
      </c>
      <c r="D1452">
        <v>3</v>
      </c>
      <c r="E1452">
        <v>0</v>
      </c>
      <c r="F1452">
        <v>44985355</v>
      </c>
      <c r="G1452">
        <v>33796.53</v>
      </c>
      <c r="H1452">
        <v>44918518</v>
      </c>
      <c r="I1452">
        <v>44918518</v>
      </c>
      <c r="J1452">
        <v>8.7779999999999993E-3</v>
      </c>
      <c r="K1452">
        <v>8.7779999999999993E-3</v>
      </c>
      <c r="M1452" t="s">
        <v>3</v>
      </c>
      <c r="N1452">
        <v>7500</v>
      </c>
      <c r="O1452">
        <v>30</v>
      </c>
      <c r="P1452">
        <v>37</v>
      </c>
      <c r="Q1452">
        <v>0</v>
      </c>
      <c r="R1452">
        <v>974022956</v>
      </c>
      <c r="S1452">
        <v>893929.09</v>
      </c>
      <c r="T1452">
        <v>973129026.90999997</v>
      </c>
      <c r="U1452">
        <v>973129026.90999997</v>
      </c>
      <c r="V1452">
        <v>0</v>
      </c>
      <c r="W1452">
        <v>0</v>
      </c>
    </row>
    <row r="1453" spans="1:23" x14ac:dyDescent="0.35">
      <c r="A1453" t="s">
        <v>0</v>
      </c>
      <c r="B1453">
        <v>8500</v>
      </c>
      <c r="C1453">
        <v>24</v>
      </c>
      <c r="D1453">
        <v>33</v>
      </c>
      <c r="E1453">
        <v>0</v>
      </c>
      <c r="F1453">
        <v>727643533</v>
      </c>
      <c r="G1453">
        <v>534897.6</v>
      </c>
      <c r="H1453">
        <v>727156665</v>
      </c>
      <c r="I1453">
        <v>727156665</v>
      </c>
      <c r="J1453">
        <v>-7.9199999999999995E-4</v>
      </c>
      <c r="K1453">
        <v>-7.9199999999999995E-4</v>
      </c>
      <c r="M1453" t="s">
        <v>2</v>
      </c>
      <c r="N1453">
        <v>8250</v>
      </c>
      <c r="O1453">
        <v>36</v>
      </c>
      <c r="P1453">
        <v>1</v>
      </c>
      <c r="Q1453">
        <v>0</v>
      </c>
      <c r="R1453">
        <v>25100728</v>
      </c>
      <c r="S1453">
        <v>21181.4</v>
      </c>
      <c r="T1453">
        <v>25079546.600000001</v>
      </c>
      <c r="U1453">
        <v>25079546.600000001</v>
      </c>
      <c r="V1453">
        <v>0</v>
      </c>
      <c r="W1453">
        <v>0</v>
      </c>
    </row>
    <row r="1454" spans="1:23" x14ac:dyDescent="0.35">
      <c r="A1454" t="s">
        <v>1</v>
      </c>
      <c r="B1454">
        <v>8250</v>
      </c>
      <c r="C1454">
        <v>24</v>
      </c>
      <c r="D1454">
        <v>97</v>
      </c>
      <c r="E1454">
        <v>0</v>
      </c>
      <c r="F1454">
        <v>2311980534</v>
      </c>
      <c r="G1454">
        <v>1760938.44</v>
      </c>
      <c r="H1454">
        <v>2277745856</v>
      </c>
      <c r="I1454">
        <v>2310975436.0500002</v>
      </c>
      <c r="J1454">
        <v>0.15612000000000001</v>
      </c>
      <c r="K1454">
        <v>-3.9300000000000003E-3</v>
      </c>
      <c r="M1454" t="s">
        <v>1</v>
      </c>
      <c r="N1454">
        <v>8000</v>
      </c>
      <c r="O1454">
        <v>24</v>
      </c>
      <c r="P1454">
        <v>138</v>
      </c>
      <c r="Q1454">
        <v>0</v>
      </c>
      <c r="R1454">
        <v>3175956461</v>
      </c>
      <c r="S1454">
        <v>2541948.1800000002</v>
      </c>
      <c r="T1454">
        <v>2965205417.8299999</v>
      </c>
      <c r="U1454">
        <v>3117312936.48</v>
      </c>
      <c r="V1454">
        <v>0.55677100000000002</v>
      </c>
      <c r="W1454">
        <v>0.19254499999999999</v>
      </c>
    </row>
    <row r="1455" spans="1:23" x14ac:dyDescent="0.35">
      <c r="A1455" t="s">
        <v>0</v>
      </c>
      <c r="B1455">
        <v>8250</v>
      </c>
      <c r="C1455">
        <v>20</v>
      </c>
      <c r="D1455">
        <v>355</v>
      </c>
      <c r="E1455">
        <v>0</v>
      </c>
      <c r="F1455">
        <v>9752298601</v>
      </c>
      <c r="G1455">
        <v>7234824.3499999996</v>
      </c>
      <c r="H1455">
        <v>9599178567</v>
      </c>
      <c r="I1455">
        <v>9744854787.1399994</v>
      </c>
      <c r="J1455">
        <v>0.16545199999999999</v>
      </c>
      <c r="K1455">
        <v>2.5700000000000001E-4</v>
      </c>
      <c r="M1455" t="s">
        <v>1</v>
      </c>
      <c r="N1455">
        <v>8500</v>
      </c>
      <c r="O1455">
        <v>30</v>
      </c>
      <c r="P1455">
        <v>32</v>
      </c>
      <c r="Q1455">
        <v>0</v>
      </c>
      <c r="R1455">
        <v>667911606</v>
      </c>
      <c r="S1455">
        <v>499748.74</v>
      </c>
      <c r="T1455">
        <v>644623063.38999999</v>
      </c>
      <c r="U1455">
        <v>667411857.25999999</v>
      </c>
      <c r="V1455">
        <v>0.34070299999999998</v>
      </c>
      <c r="W1455">
        <v>0</v>
      </c>
    </row>
    <row r="1456" spans="1:23" x14ac:dyDescent="0.35">
      <c r="A1456" t="s">
        <v>3</v>
      </c>
      <c r="B1456">
        <v>8000</v>
      </c>
      <c r="C1456">
        <v>30</v>
      </c>
      <c r="D1456">
        <v>3</v>
      </c>
      <c r="E1456">
        <v>0</v>
      </c>
      <c r="F1456">
        <v>101845740</v>
      </c>
      <c r="G1456">
        <v>85241.34</v>
      </c>
      <c r="H1456">
        <v>41858855</v>
      </c>
      <c r="I1456">
        <v>101779669.91</v>
      </c>
      <c r="J1456">
        <v>0.99997599999999998</v>
      </c>
      <c r="K1456">
        <v>-2.261E-3</v>
      </c>
      <c r="M1456" t="s">
        <v>1</v>
      </c>
      <c r="N1456">
        <v>7750</v>
      </c>
      <c r="O1456">
        <v>24</v>
      </c>
      <c r="P1456">
        <v>752</v>
      </c>
      <c r="Q1456">
        <v>0</v>
      </c>
      <c r="R1456">
        <v>17466431074</v>
      </c>
      <c r="S1456">
        <v>14720926.310000001</v>
      </c>
      <c r="T1456">
        <v>16284031519.639999</v>
      </c>
      <c r="U1456">
        <v>17173614384.469999</v>
      </c>
      <c r="V1456">
        <v>0.56408499999999995</v>
      </c>
      <c r="W1456">
        <v>0.17518700000000001</v>
      </c>
    </row>
    <row r="1457" spans="1:23" x14ac:dyDescent="0.35">
      <c r="A1457" t="s">
        <v>1</v>
      </c>
      <c r="B1457">
        <v>5750</v>
      </c>
      <c r="C1457">
        <v>108</v>
      </c>
      <c r="D1457">
        <v>8</v>
      </c>
      <c r="E1457">
        <v>0</v>
      </c>
      <c r="F1457">
        <v>82141877</v>
      </c>
      <c r="G1457">
        <v>160942.35999999999</v>
      </c>
      <c r="H1457">
        <v>81975892</v>
      </c>
      <c r="I1457">
        <v>81975892</v>
      </c>
      <c r="J1457">
        <v>7.36E-4</v>
      </c>
      <c r="K1457">
        <v>7.36E-4</v>
      </c>
      <c r="M1457" t="s">
        <v>0</v>
      </c>
      <c r="N1457">
        <v>4750</v>
      </c>
      <c r="O1457">
        <v>30</v>
      </c>
      <c r="P1457">
        <v>1406</v>
      </c>
      <c r="Q1457">
        <v>0</v>
      </c>
      <c r="R1457">
        <v>43445735071</v>
      </c>
      <c r="S1457">
        <v>63539799.18</v>
      </c>
      <c r="T1457">
        <v>43316423446.809998</v>
      </c>
      <c r="U1457">
        <v>43361351070.629997</v>
      </c>
      <c r="V1457">
        <v>1.8016000000000001E-2</v>
      </c>
      <c r="W1457">
        <v>5.7419999999999997E-3</v>
      </c>
    </row>
    <row r="1458" spans="1:23" x14ac:dyDescent="0.35">
      <c r="A1458" t="s">
        <v>2</v>
      </c>
      <c r="B1458">
        <v>8250</v>
      </c>
      <c r="C1458">
        <v>24</v>
      </c>
      <c r="D1458">
        <v>20</v>
      </c>
      <c r="E1458">
        <v>0</v>
      </c>
      <c r="F1458">
        <v>255009111</v>
      </c>
      <c r="G1458">
        <v>200528.79</v>
      </c>
      <c r="H1458">
        <v>254847425</v>
      </c>
      <c r="I1458">
        <v>254847425</v>
      </c>
      <c r="J1458">
        <v>-1.8289999999999999E-3</v>
      </c>
      <c r="K1458">
        <v>-1.8289999999999999E-3</v>
      </c>
      <c r="M1458" t="s">
        <v>0</v>
      </c>
      <c r="N1458">
        <v>4500</v>
      </c>
      <c r="O1458">
        <v>30</v>
      </c>
      <c r="P1458">
        <v>836</v>
      </c>
      <c r="Q1458">
        <v>0</v>
      </c>
      <c r="R1458">
        <v>24137334125</v>
      </c>
      <c r="S1458">
        <v>36777229.780000001</v>
      </c>
      <c r="T1458">
        <v>24100556895.220001</v>
      </c>
      <c r="U1458">
        <v>24100556895.220001</v>
      </c>
      <c r="V1458">
        <v>0</v>
      </c>
      <c r="W1458">
        <v>0</v>
      </c>
    </row>
    <row r="1459" spans="1:23" x14ac:dyDescent="0.35">
      <c r="A1459" t="s">
        <v>2</v>
      </c>
      <c r="B1459">
        <v>4750</v>
      </c>
      <c r="C1459">
        <v>30</v>
      </c>
      <c r="D1459">
        <v>45</v>
      </c>
      <c r="E1459">
        <v>0</v>
      </c>
      <c r="F1459">
        <v>1063195723</v>
      </c>
      <c r="G1459">
        <v>1557334.18</v>
      </c>
      <c r="H1459">
        <v>1061564888</v>
      </c>
      <c r="I1459">
        <v>1061564888</v>
      </c>
      <c r="J1459">
        <v>8.2899999999999998E-4</v>
      </c>
      <c r="K1459">
        <v>8.2899999999999998E-4</v>
      </c>
      <c r="M1459" t="s">
        <v>0</v>
      </c>
      <c r="N1459">
        <v>8500</v>
      </c>
      <c r="O1459">
        <v>36</v>
      </c>
      <c r="P1459">
        <v>3</v>
      </c>
      <c r="Q1459">
        <v>0</v>
      </c>
      <c r="R1459">
        <v>108367089</v>
      </c>
      <c r="S1459">
        <v>85453.61</v>
      </c>
      <c r="T1459">
        <v>108281635.39</v>
      </c>
      <c r="U1459">
        <v>108281635.39</v>
      </c>
      <c r="V1459">
        <v>0</v>
      </c>
      <c r="W1459">
        <v>0</v>
      </c>
    </row>
    <row r="1460" spans="1:23" x14ac:dyDescent="0.35">
      <c r="A1460" t="s">
        <v>0</v>
      </c>
      <c r="B1460">
        <v>4750</v>
      </c>
      <c r="C1460">
        <v>24</v>
      </c>
      <c r="D1460">
        <v>2570</v>
      </c>
      <c r="E1460">
        <v>0</v>
      </c>
      <c r="F1460">
        <v>82422484559</v>
      </c>
      <c r="G1460">
        <v>117449715.34</v>
      </c>
      <c r="H1460">
        <v>82114832513</v>
      </c>
      <c r="I1460">
        <v>82291548885.610001</v>
      </c>
      <c r="J1460">
        <v>2.7342999999999999E-2</v>
      </c>
      <c r="K1460">
        <v>1.9620000000000002E-3</v>
      </c>
      <c r="M1460" t="s">
        <v>1</v>
      </c>
      <c r="N1460">
        <v>2500</v>
      </c>
      <c r="O1460">
        <v>30</v>
      </c>
      <c r="P1460">
        <v>7</v>
      </c>
      <c r="Q1460">
        <v>0</v>
      </c>
      <c r="R1460">
        <v>318979097</v>
      </c>
      <c r="S1460">
        <v>691341.78</v>
      </c>
      <c r="T1460">
        <v>318287755.22000003</v>
      </c>
      <c r="U1460">
        <v>318287755.22000003</v>
      </c>
      <c r="V1460">
        <v>0</v>
      </c>
      <c r="W1460">
        <v>0</v>
      </c>
    </row>
    <row r="1461" spans="1:23" x14ac:dyDescent="0.35">
      <c r="A1461" t="s">
        <v>2</v>
      </c>
      <c r="B1461">
        <v>4750</v>
      </c>
      <c r="C1461">
        <v>24</v>
      </c>
      <c r="D1461">
        <v>59</v>
      </c>
      <c r="E1461">
        <v>0</v>
      </c>
      <c r="F1461">
        <v>1543934935</v>
      </c>
      <c r="G1461">
        <v>2202820.2799999998</v>
      </c>
      <c r="H1461">
        <v>1541453830</v>
      </c>
      <c r="I1461">
        <v>1541453830</v>
      </c>
      <c r="J1461">
        <v>2.1610000000000002E-3</v>
      </c>
      <c r="K1461">
        <v>2.1610000000000002E-3</v>
      </c>
      <c r="M1461" t="s">
        <v>1</v>
      </c>
      <c r="N1461">
        <v>2250</v>
      </c>
      <c r="O1461">
        <v>36</v>
      </c>
      <c r="P1461">
        <v>28</v>
      </c>
      <c r="Q1461">
        <v>0</v>
      </c>
      <c r="R1461">
        <v>1076801412</v>
      </c>
      <c r="S1461">
        <v>2510136.12</v>
      </c>
      <c r="T1461">
        <v>1074291275.8800001</v>
      </c>
      <c r="U1461">
        <v>1074291275.8800001</v>
      </c>
      <c r="V1461">
        <v>0</v>
      </c>
      <c r="W1461">
        <v>0</v>
      </c>
    </row>
    <row r="1462" spans="1:23" x14ac:dyDescent="0.35">
      <c r="A1462" t="s">
        <v>1</v>
      </c>
      <c r="B1462">
        <v>4750</v>
      </c>
      <c r="C1462">
        <v>24</v>
      </c>
      <c r="D1462">
        <v>909</v>
      </c>
      <c r="E1462">
        <v>0</v>
      </c>
      <c r="F1462">
        <v>32648339496</v>
      </c>
      <c r="G1462">
        <v>46543209.829999998</v>
      </c>
      <c r="H1462">
        <v>32350144954</v>
      </c>
      <c r="I1462">
        <v>32525983868.130001</v>
      </c>
      <c r="J1462">
        <v>8.8673000000000002E-2</v>
      </c>
      <c r="K1462">
        <v>2.7512000000000002E-2</v>
      </c>
      <c r="M1462" t="s">
        <v>1</v>
      </c>
      <c r="N1462">
        <v>2750</v>
      </c>
      <c r="O1462">
        <v>36</v>
      </c>
      <c r="P1462">
        <v>49</v>
      </c>
      <c r="Q1462">
        <v>0</v>
      </c>
      <c r="R1462">
        <v>1439184417</v>
      </c>
      <c r="S1462">
        <v>3169250.16</v>
      </c>
      <c r="T1462">
        <v>1436015166.8399999</v>
      </c>
      <c r="U1462">
        <v>1436015166.8399999</v>
      </c>
      <c r="V1462">
        <v>0</v>
      </c>
      <c r="W1462">
        <v>0</v>
      </c>
    </row>
    <row r="1463" spans="1:23" x14ac:dyDescent="0.35">
      <c r="A1463" t="s">
        <v>0</v>
      </c>
      <c r="B1463">
        <v>5250</v>
      </c>
      <c r="C1463">
        <v>20</v>
      </c>
      <c r="D1463">
        <v>1575</v>
      </c>
      <c r="E1463">
        <v>0</v>
      </c>
      <c r="F1463">
        <v>54418575726</v>
      </c>
      <c r="G1463">
        <v>69983918.019999996</v>
      </c>
      <c r="H1463">
        <v>54248314813</v>
      </c>
      <c r="I1463">
        <v>54329165721.629997</v>
      </c>
      <c r="J1463">
        <v>2.189E-2</v>
      </c>
      <c r="K1463">
        <v>4.2750000000000002E-3</v>
      </c>
      <c r="M1463" t="s">
        <v>0</v>
      </c>
      <c r="N1463">
        <v>9000</v>
      </c>
      <c r="O1463">
        <v>24</v>
      </c>
      <c r="P1463">
        <v>70</v>
      </c>
      <c r="Q1463">
        <v>0</v>
      </c>
      <c r="R1463">
        <v>1697772779</v>
      </c>
      <c r="S1463">
        <v>1178072.1399999999</v>
      </c>
      <c r="T1463">
        <v>1675446972.29</v>
      </c>
      <c r="U1463">
        <v>1696594706.8599999</v>
      </c>
      <c r="V1463">
        <v>0.13964699999999999</v>
      </c>
      <c r="W1463">
        <v>0</v>
      </c>
    </row>
    <row r="1464" spans="1:23" x14ac:dyDescent="0.35">
      <c r="A1464" t="s">
        <v>2</v>
      </c>
      <c r="B1464">
        <v>5250</v>
      </c>
      <c r="C1464">
        <v>20</v>
      </c>
      <c r="D1464">
        <v>47</v>
      </c>
      <c r="E1464">
        <v>0</v>
      </c>
      <c r="F1464">
        <v>1092877390</v>
      </c>
      <c r="G1464">
        <v>1405473.05</v>
      </c>
      <c r="H1464">
        <v>1091475936</v>
      </c>
      <c r="I1464">
        <v>1091475936</v>
      </c>
      <c r="J1464">
        <v>-4.3999999999999999E-5</v>
      </c>
      <c r="K1464">
        <v>-4.3999999999999999E-5</v>
      </c>
      <c r="M1464" t="s">
        <v>0</v>
      </c>
      <c r="N1464">
        <v>8500</v>
      </c>
      <c r="O1464">
        <v>24</v>
      </c>
      <c r="P1464">
        <v>48</v>
      </c>
      <c r="Q1464">
        <v>0</v>
      </c>
      <c r="R1464">
        <v>1028821416</v>
      </c>
      <c r="S1464">
        <v>755604.18</v>
      </c>
      <c r="T1464">
        <v>1009244034.02</v>
      </c>
      <c r="U1464">
        <v>1028065811.8200001</v>
      </c>
      <c r="V1464">
        <v>0.198738</v>
      </c>
      <c r="W1464">
        <v>0</v>
      </c>
    </row>
    <row r="1465" spans="1:23" x14ac:dyDescent="0.35">
      <c r="A1465" t="s">
        <v>1</v>
      </c>
      <c r="B1465">
        <v>5250</v>
      </c>
      <c r="C1465">
        <v>20</v>
      </c>
      <c r="D1465">
        <v>724</v>
      </c>
      <c r="E1465">
        <v>0</v>
      </c>
      <c r="F1465">
        <v>27274368791</v>
      </c>
      <c r="G1465">
        <v>35058593.490000002</v>
      </c>
      <c r="H1465">
        <v>27118841437</v>
      </c>
      <c r="I1465">
        <v>27189529913.400002</v>
      </c>
      <c r="J1465">
        <v>5.1734000000000002E-2</v>
      </c>
      <c r="K1465">
        <v>2.1683000000000001E-2</v>
      </c>
      <c r="M1465" t="s">
        <v>3</v>
      </c>
      <c r="N1465">
        <v>6000</v>
      </c>
      <c r="O1465">
        <v>24</v>
      </c>
      <c r="P1465">
        <v>24</v>
      </c>
      <c r="Q1465">
        <v>0</v>
      </c>
      <c r="R1465">
        <v>534819453</v>
      </c>
      <c r="S1465">
        <v>615783.74</v>
      </c>
      <c r="T1465">
        <v>534203669.25999999</v>
      </c>
      <c r="U1465">
        <v>534203669.25999999</v>
      </c>
      <c r="V1465">
        <v>0</v>
      </c>
      <c r="W1465">
        <v>0</v>
      </c>
    </row>
    <row r="1466" spans="1:23" x14ac:dyDescent="0.35">
      <c r="A1466" t="s">
        <v>1</v>
      </c>
      <c r="B1466">
        <v>7750</v>
      </c>
      <c r="C1466">
        <v>20</v>
      </c>
      <c r="D1466">
        <v>236</v>
      </c>
      <c r="E1466">
        <v>0</v>
      </c>
      <c r="F1466">
        <v>5557985218</v>
      </c>
      <c r="G1466">
        <v>4586127.88</v>
      </c>
      <c r="H1466">
        <v>5381909633</v>
      </c>
      <c r="I1466">
        <v>5511183077.3699999</v>
      </c>
      <c r="J1466">
        <v>0.31345800000000001</v>
      </c>
      <c r="K1466">
        <v>8.7433999999999998E-2</v>
      </c>
      <c r="M1466" t="s">
        <v>3</v>
      </c>
      <c r="N1466">
        <v>7250</v>
      </c>
      <c r="O1466">
        <v>24</v>
      </c>
      <c r="P1466">
        <v>34</v>
      </c>
      <c r="Q1466">
        <v>0</v>
      </c>
      <c r="R1466">
        <v>914993658</v>
      </c>
      <c r="S1466">
        <v>839141.82</v>
      </c>
      <c r="T1466">
        <v>888194597.42999995</v>
      </c>
      <c r="U1466">
        <v>888194597.42999995</v>
      </c>
      <c r="V1466">
        <v>0.29205100000000001</v>
      </c>
      <c r="W1466">
        <v>0.29205100000000001</v>
      </c>
    </row>
    <row r="1467" spans="1:23" x14ac:dyDescent="0.35">
      <c r="A1467" t="s">
        <v>2</v>
      </c>
      <c r="B1467">
        <v>7750</v>
      </c>
      <c r="C1467">
        <v>20</v>
      </c>
      <c r="D1467">
        <v>166</v>
      </c>
      <c r="E1467">
        <v>0</v>
      </c>
      <c r="F1467">
        <v>2262632043</v>
      </c>
      <c r="G1467">
        <v>1860189.74</v>
      </c>
      <c r="H1467">
        <v>2118593903</v>
      </c>
      <c r="I1467">
        <v>2153788358.7399998</v>
      </c>
      <c r="J1467">
        <v>0.54103500000000004</v>
      </c>
      <c r="K1467">
        <v>0.440799</v>
      </c>
      <c r="M1467" t="s">
        <v>3</v>
      </c>
      <c r="N1467">
        <v>5500</v>
      </c>
      <c r="O1467">
        <v>24</v>
      </c>
      <c r="P1467">
        <v>2</v>
      </c>
      <c r="Q1467">
        <v>0</v>
      </c>
      <c r="R1467">
        <v>56375977</v>
      </c>
      <c r="S1467">
        <v>70641.100000000006</v>
      </c>
      <c r="T1467">
        <v>56305335.899999999</v>
      </c>
      <c r="U1467">
        <v>56305335.899999999</v>
      </c>
      <c r="V1467">
        <v>0</v>
      </c>
      <c r="W1467">
        <v>0</v>
      </c>
    </row>
    <row r="1468" spans="1:23" x14ac:dyDescent="0.35">
      <c r="A1468" t="s">
        <v>3</v>
      </c>
      <c r="B1468">
        <v>7500</v>
      </c>
      <c r="C1468">
        <v>24</v>
      </c>
      <c r="D1468">
        <v>4</v>
      </c>
      <c r="E1468">
        <v>0</v>
      </c>
      <c r="F1468">
        <v>81144767</v>
      </c>
      <c r="G1468">
        <v>71673.89</v>
      </c>
      <c r="H1468">
        <v>80977409</v>
      </c>
      <c r="I1468">
        <v>80977409</v>
      </c>
      <c r="J1468">
        <v>1.4059E-2</v>
      </c>
      <c r="K1468">
        <v>1.4059E-2</v>
      </c>
      <c r="M1468" t="s">
        <v>3</v>
      </c>
      <c r="N1468">
        <v>7000</v>
      </c>
      <c r="O1468">
        <v>24</v>
      </c>
      <c r="P1468">
        <v>30</v>
      </c>
      <c r="Q1468">
        <v>0</v>
      </c>
      <c r="R1468">
        <v>769937214</v>
      </c>
      <c r="S1468">
        <v>742286.99</v>
      </c>
      <c r="T1468">
        <v>721268837.82000005</v>
      </c>
      <c r="U1468">
        <v>769194927.00999999</v>
      </c>
      <c r="V1468">
        <v>0.53755200000000003</v>
      </c>
      <c r="W1468">
        <v>0</v>
      </c>
    </row>
    <row r="1469" spans="1:23" x14ac:dyDescent="0.35">
      <c r="A1469" t="s">
        <v>3</v>
      </c>
      <c r="B1469">
        <v>7750</v>
      </c>
      <c r="C1469">
        <v>24</v>
      </c>
      <c r="D1469">
        <v>9</v>
      </c>
      <c r="E1469">
        <v>0</v>
      </c>
      <c r="F1469">
        <v>205981355</v>
      </c>
      <c r="G1469">
        <v>174747.63</v>
      </c>
      <c r="H1469">
        <v>205813448</v>
      </c>
      <c r="I1469">
        <v>205813448</v>
      </c>
      <c r="J1469">
        <v>-3.9899999999999999E-4</v>
      </c>
      <c r="K1469">
        <v>-3.9899999999999999E-4</v>
      </c>
      <c r="M1469" t="s">
        <v>1</v>
      </c>
      <c r="N1469">
        <v>3000</v>
      </c>
      <c r="O1469">
        <v>30</v>
      </c>
      <c r="P1469">
        <v>25</v>
      </c>
      <c r="Q1469">
        <v>0</v>
      </c>
      <c r="R1469">
        <v>766137064</v>
      </c>
      <c r="S1469">
        <v>1605994.99</v>
      </c>
      <c r="T1469">
        <v>764531069.00999999</v>
      </c>
      <c r="U1469">
        <v>764531069.00999999</v>
      </c>
      <c r="V1469">
        <v>0</v>
      </c>
      <c r="W1469">
        <v>0</v>
      </c>
    </row>
    <row r="1470" spans="1:23" x14ac:dyDescent="0.35">
      <c r="A1470" t="s">
        <v>0</v>
      </c>
      <c r="B1470">
        <v>9000</v>
      </c>
      <c r="C1470">
        <v>24</v>
      </c>
      <c r="D1470">
        <v>72</v>
      </c>
      <c r="E1470">
        <v>0</v>
      </c>
      <c r="F1470">
        <v>1831604971</v>
      </c>
      <c r="G1470">
        <v>1265084.6100000001</v>
      </c>
      <c r="H1470">
        <v>1806659252</v>
      </c>
      <c r="I1470">
        <v>1830588015.71</v>
      </c>
      <c r="J1470">
        <v>0.14457600000000001</v>
      </c>
      <c r="K1470">
        <v>-1.627E-3</v>
      </c>
      <c r="M1470" t="s">
        <v>2</v>
      </c>
      <c r="N1470">
        <v>7250</v>
      </c>
      <c r="O1470">
        <v>18</v>
      </c>
      <c r="P1470">
        <v>629</v>
      </c>
      <c r="Q1470">
        <v>0</v>
      </c>
      <c r="R1470">
        <v>9696007740</v>
      </c>
      <c r="S1470">
        <v>8647051.25</v>
      </c>
      <c r="T1470">
        <v>9467453684.1900005</v>
      </c>
      <c r="U1470">
        <v>9631981029.8799992</v>
      </c>
      <c r="V1470">
        <v>0.240652</v>
      </c>
      <c r="W1470">
        <v>6.6427E-2</v>
      </c>
    </row>
    <row r="1471" spans="1:23" x14ac:dyDescent="0.35">
      <c r="A1471" t="s">
        <v>1</v>
      </c>
      <c r="B1471">
        <v>7500</v>
      </c>
      <c r="C1471">
        <v>20</v>
      </c>
      <c r="D1471">
        <v>343</v>
      </c>
      <c r="E1471">
        <v>0</v>
      </c>
      <c r="F1471">
        <v>8999047208</v>
      </c>
      <c r="G1471">
        <v>7886785.0099999998</v>
      </c>
      <c r="H1471">
        <v>8363548144</v>
      </c>
      <c r="I1471">
        <v>8673819799.4200001</v>
      </c>
      <c r="J1471">
        <v>0.58000799999999997</v>
      </c>
      <c r="K1471">
        <v>0.35001599999999999</v>
      </c>
      <c r="M1471" t="s">
        <v>2</v>
      </c>
      <c r="N1471">
        <v>9000</v>
      </c>
      <c r="O1471">
        <v>30</v>
      </c>
      <c r="P1471">
        <v>7</v>
      </c>
      <c r="Q1471">
        <v>0</v>
      </c>
      <c r="R1471">
        <v>97422525</v>
      </c>
      <c r="S1471">
        <v>68978.039999999994</v>
      </c>
      <c r="T1471">
        <v>97353546.959999993</v>
      </c>
      <c r="U1471">
        <v>97353546.959999993</v>
      </c>
      <c r="V1471">
        <v>0</v>
      </c>
      <c r="W1471">
        <v>0</v>
      </c>
    </row>
    <row r="1472" spans="1:23" x14ac:dyDescent="0.35">
      <c r="A1472" t="s">
        <v>2</v>
      </c>
      <c r="B1472">
        <v>7500</v>
      </c>
      <c r="C1472">
        <v>20</v>
      </c>
      <c r="D1472">
        <v>164</v>
      </c>
      <c r="E1472">
        <v>0</v>
      </c>
      <c r="F1472">
        <v>2393093193</v>
      </c>
      <c r="G1472">
        <v>2078095.23</v>
      </c>
      <c r="H1472">
        <v>2351756444</v>
      </c>
      <c r="I1472">
        <v>2368444465.4200001</v>
      </c>
      <c r="J1472">
        <v>0.180034</v>
      </c>
      <c r="K1472">
        <v>0.107489</v>
      </c>
      <c r="M1472" t="s">
        <v>2</v>
      </c>
      <c r="N1472">
        <v>8500</v>
      </c>
      <c r="O1472">
        <v>30</v>
      </c>
      <c r="P1472">
        <v>2</v>
      </c>
      <c r="Q1472">
        <v>0</v>
      </c>
      <c r="R1472">
        <v>28740511</v>
      </c>
      <c r="S1472">
        <v>21408.43</v>
      </c>
      <c r="T1472">
        <v>28719102.57</v>
      </c>
      <c r="U1472">
        <v>28719102.57</v>
      </c>
      <c r="V1472">
        <v>0</v>
      </c>
      <c r="W1472">
        <v>0</v>
      </c>
    </row>
    <row r="1473" spans="1:23" x14ac:dyDescent="0.35">
      <c r="A1473" t="s">
        <v>2</v>
      </c>
      <c r="B1473">
        <v>6750</v>
      </c>
      <c r="C1473">
        <v>18</v>
      </c>
      <c r="D1473">
        <v>955</v>
      </c>
      <c r="E1473">
        <v>0</v>
      </c>
      <c r="F1473">
        <v>16708774125</v>
      </c>
      <c r="G1473">
        <v>16352037.189999999</v>
      </c>
      <c r="H1473">
        <v>16428566846</v>
      </c>
      <c r="I1473">
        <v>16651852544.93</v>
      </c>
      <c r="J1473">
        <v>0.173875</v>
      </c>
      <c r="K1473">
        <v>2.8750000000000001E-2</v>
      </c>
      <c r="M1473" t="s">
        <v>2</v>
      </c>
      <c r="N1473">
        <v>8250</v>
      </c>
      <c r="O1473">
        <v>24</v>
      </c>
      <c r="P1473">
        <v>53</v>
      </c>
      <c r="Q1473">
        <v>0</v>
      </c>
      <c r="R1473">
        <v>668095780</v>
      </c>
      <c r="S1473">
        <v>518362.61</v>
      </c>
      <c r="T1473">
        <v>647126038.63</v>
      </c>
      <c r="U1473">
        <v>657685210.03999996</v>
      </c>
      <c r="V1473">
        <v>0.311388</v>
      </c>
      <c r="W1473">
        <v>0.16389999999999999</v>
      </c>
    </row>
    <row r="1474" spans="1:23" x14ac:dyDescent="0.35">
      <c r="A1474" t="s">
        <v>0</v>
      </c>
      <c r="B1474">
        <v>5000</v>
      </c>
      <c r="C1474">
        <v>20</v>
      </c>
      <c r="D1474">
        <v>3835</v>
      </c>
      <c r="E1474">
        <v>0</v>
      </c>
      <c r="F1474">
        <v>127353276902</v>
      </c>
      <c r="G1474">
        <v>170806411.69</v>
      </c>
      <c r="H1474">
        <v>126937090743</v>
      </c>
      <c r="I1474">
        <v>127068249305.38</v>
      </c>
      <c r="J1474">
        <v>2.2877999999999999E-2</v>
      </c>
      <c r="K1474">
        <v>1.0710000000000001E-2</v>
      </c>
      <c r="M1474" t="s">
        <v>3</v>
      </c>
      <c r="N1474">
        <v>7250</v>
      </c>
      <c r="O1474">
        <v>20</v>
      </c>
      <c r="P1474">
        <v>22</v>
      </c>
      <c r="Q1474">
        <v>0</v>
      </c>
      <c r="R1474">
        <v>577260094</v>
      </c>
      <c r="S1474">
        <v>523744.94</v>
      </c>
      <c r="T1474">
        <v>576736349.05999994</v>
      </c>
      <c r="U1474">
        <v>576736349.05999994</v>
      </c>
      <c r="V1474">
        <v>0</v>
      </c>
      <c r="W1474">
        <v>0</v>
      </c>
    </row>
    <row r="1475" spans="1:23" x14ac:dyDescent="0.35">
      <c r="A1475" t="s">
        <v>0</v>
      </c>
      <c r="B1475">
        <v>5000</v>
      </c>
      <c r="C1475">
        <v>12</v>
      </c>
      <c r="D1475">
        <v>4699</v>
      </c>
      <c r="E1475">
        <v>0</v>
      </c>
      <c r="F1475">
        <v>167595881237</v>
      </c>
      <c r="G1475">
        <v>215276245.80000001</v>
      </c>
      <c r="H1475">
        <v>167179278515</v>
      </c>
      <c r="I1475">
        <v>167322558940.26999</v>
      </c>
      <c r="J1475">
        <v>1.4319999999999999E-2</v>
      </c>
      <c r="K1475">
        <v>4.1479999999999998E-3</v>
      </c>
      <c r="M1475" t="s">
        <v>3</v>
      </c>
      <c r="N1475">
        <v>7000</v>
      </c>
      <c r="O1475">
        <v>20</v>
      </c>
      <c r="P1475">
        <v>29</v>
      </c>
      <c r="Q1475">
        <v>0</v>
      </c>
      <c r="R1475">
        <v>679675529</v>
      </c>
      <c r="S1475">
        <v>641938.13</v>
      </c>
      <c r="T1475">
        <v>679033590.87</v>
      </c>
      <c r="U1475">
        <v>679033590.87</v>
      </c>
      <c r="V1475">
        <v>0</v>
      </c>
      <c r="W1475">
        <v>0</v>
      </c>
    </row>
    <row r="1476" spans="1:23" x14ac:dyDescent="0.35">
      <c r="A1476" t="s">
        <v>0</v>
      </c>
      <c r="B1476">
        <v>4750</v>
      </c>
      <c r="C1476">
        <v>16</v>
      </c>
      <c r="D1476">
        <v>2267</v>
      </c>
      <c r="E1476">
        <v>0</v>
      </c>
      <c r="F1476">
        <v>80848715612</v>
      </c>
      <c r="G1476">
        <v>111068901.72</v>
      </c>
      <c r="H1476">
        <v>80500198694</v>
      </c>
      <c r="I1476">
        <v>80694112866.910004</v>
      </c>
      <c r="J1476">
        <v>3.4680000000000002E-2</v>
      </c>
      <c r="K1476">
        <v>6.4419999999999998E-3</v>
      </c>
      <c r="M1476" t="s">
        <v>2</v>
      </c>
      <c r="N1476">
        <v>8500</v>
      </c>
      <c r="O1476">
        <v>24</v>
      </c>
      <c r="P1476">
        <v>1</v>
      </c>
      <c r="Q1476">
        <v>0</v>
      </c>
      <c r="R1476">
        <v>16287366</v>
      </c>
      <c r="S1476">
        <v>12159.23</v>
      </c>
      <c r="T1476">
        <v>16275206.77</v>
      </c>
      <c r="U1476">
        <v>16275206.77</v>
      </c>
      <c r="V1476">
        <v>0</v>
      </c>
      <c r="W1476">
        <v>0</v>
      </c>
    </row>
    <row r="1477" spans="1:23" x14ac:dyDescent="0.35">
      <c r="A1477" t="s">
        <v>1</v>
      </c>
      <c r="B1477">
        <v>7250</v>
      </c>
      <c r="C1477">
        <v>18</v>
      </c>
      <c r="D1477">
        <v>1268</v>
      </c>
      <c r="E1477">
        <v>0</v>
      </c>
      <c r="F1477">
        <v>31425438289</v>
      </c>
      <c r="G1477">
        <v>28146688.670000002</v>
      </c>
      <c r="H1477">
        <v>29771680245</v>
      </c>
      <c r="I1477">
        <v>31147475093.07</v>
      </c>
      <c r="J1477">
        <v>0.47132499999999999</v>
      </c>
      <c r="K1477">
        <v>9.1331999999999997E-2</v>
      </c>
      <c r="M1477" t="s">
        <v>1</v>
      </c>
      <c r="N1477">
        <v>8250</v>
      </c>
      <c r="O1477">
        <v>24</v>
      </c>
      <c r="P1477">
        <v>106</v>
      </c>
      <c r="Q1477">
        <v>0</v>
      </c>
      <c r="R1477">
        <v>2483518438</v>
      </c>
      <c r="S1477">
        <v>1887566.2</v>
      </c>
      <c r="T1477">
        <v>2347748160.0799999</v>
      </c>
      <c r="U1477">
        <v>2422006856.52</v>
      </c>
      <c r="V1477">
        <v>0.48572199999999999</v>
      </c>
      <c r="W1477">
        <v>0.25294</v>
      </c>
    </row>
    <row r="1478" spans="1:23" x14ac:dyDescent="0.35">
      <c r="A1478" t="s">
        <v>0</v>
      </c>
      <c r="B1478">
        <v>4500</v>
      </c>
      <c r="C1478">
        <v>24</v>
      </c>
      <c r="D1478">
        <v>1560</v>
      </c>
      <c r="E1478">
        <v>0</v>
      </c>
      <c r="F1478">
        <v>48242280875</v>
      </c>
      <c r="G1478">
        <v>71640596.430000007</v>
      </c>
      <c r="H1478">
        <v>48043409716</v>
      </c>
      <c r="I1478">
        <v>48144924013.610001</v>
      </c>
      <c r="J1478">
        <v>3.1192999999999999E-2</v>
      </c>
      <c r="K1478">
        <v>6.378E-3</v>
      </c>
      <c r="M1478" t="s">
        <v>0</v>
      </c>
      <c r="N1478">
        <v>8250</v>
      </c>
      <c r="O1478">
        <v>20</v>
      </c>
      <c r="P1478">
        <v>418</v>
      </c>
      <c r="Q1478">
        <v>0</v>
      </c>
      <c r="R1478">
        <v>11601337993</v>
      </c>
      <c r="S1478">
        <v>8628966.6400000006</v>
      </c>
      <c r="T1478">
        <v>11332837906.309999</v>
      </c>
      <c r="U1478">
        <v>11524455651.879999</v>
      </c>
      <c r="V1478">
        <v>0.238037</v>
      </c>
      <c r="W1478">
        <v>6.8359000000000003E-2</v>
      </c>
    </row>
    <row r="1479" spans="1:23" x14ac:dyDescent="0.35">
      <c r="A1479" t="s">
        <v>1</v>
      </c>
      <c r="B1479">
        <v>4500</v>
      </c>
      <c r="C1479">
        <v>24</v>
      </c>
      <c r="D1479">
        <v>755</v>
      </c>
      <c r="E1479">
        <v>0</v>
      </c>
      <c r="F1479">
        <v>25125936456</v>
      </c>
      <c r="G1479">
        <v>37409431.340000004</v>
      </c>
      <c r="H1479">
        <v>24989463977</v>
      </c>
      <c r="I1479">
        <v>25086130417.220001</v>
      </c>
      <c r="J1479">
        <v>4.6299E-2</v>
      </c>
      <c r="K1479">
        <v>1.1440000000000001E-3</v>
      </c>
      <c r="M1479" t="s">
        <v>0</v>
      </c>
      <c r="N1479">
        <v>8250</v>
      </c>
      <c r="O1479">
        <v>18</v>
      </c>
      <c r="P1479">
        <v>314</v>
      </c>
      <c r="Q1479">
        <v>0</v>
      </c>
      <c r="R1479">
        <v>9238033514</v>
      </c>
      <c r="S1479">
        <v>6747039.2999999998</v>
      </c>
      <c r="T1479">
        <v>8928692461.8799992</v>
      </c>
      <c r="U1479">
        <v>9102751780.1599998</v>
      </c>
      <c r="V1479">
        <v>0.32944200000000001</v>
      </c>
      <c r="W1479">
        <v>0.15476100000000001</v>
      </c>
    </row>
    <row r="1480" spans="1:23" x14ac:dyDescent="0.35">
      <c r="A1480" t="s">
        <v>1</v>
      </c>
      <c r="B1480">
        <v>8500</v>
      </c>
      <c r="C1480">
        <v>24</v>
      </c>
      <c r="D1480">
        <v>18</v>
      </c>
      <c r="E1480">
        <v>0</v>
      </c>
      <c r="F1480">
        <v>459315317</v>
      </c>
      <c r="G1480">
        <v>327725.76</v>
      </c>
      <c r="H1480">
        <v>437814776</v>
      </c>
      <c r="I1480">
        <v>437814776</v>
      </c>
      <c r="J1480">
        <v>0.43238599999999999</v>
      </c>
      <c r="K1480">
        <v>0.43238599999999999</v>
      </c>
      <c r="M1480" t="s">
        <v>3</v>
      </c>
      <c r="N1480">
        <v>8000</v>
      </c>
      <c r="O1480">
        <v>30</v>
      </c>
      <c r="P1480">
        <v>3</v>
      </c>
      <c r="Q1480">
        <v>0</v>
      </c>
      <c r="R1480">
        <v>101931312</v>
      </c>
      <c r="S1480">
        <v>84686.33</v>
      </c>
      <c r="T1480">
        <v>101846625.67</v>
      </c>
      <c r="U1480">
        <v>101846625.67</v>
      </c>
      <c r="V1480">
        <v>0</v>
      </c>
      <c r="W1480">
        <v>0</v>
      </c>
    </row>
    <row r="1481" spans="1:23" x14ac:dyDescent="0.35">
      <c r="A1481" t="s">
        <v>2</v>
      </c>
      <c r="B1481">
        <v>8000</v>
      </c>
      <c r="C1481">
        <v>24</v>
      </c>
      <c r="D1481">
        <v>30</v>
      </c>
      <c r="E1481">
        <v>0</v>
      </c>
      <c r="F1481">
        <v>421483053</v>
      </c>
      <c r="G1481">
        <v>343817.47</v>
      </c>
      <c r="H1481">
        <v>421189132</v>
      </c>
      <c r="I1481">
        <v>421189132</v>
      </c>
      <c r="J1481">
        <v>-1.4220000000000001E-3</v>
      </c>
      <c r="K1481">
        <v>-1.4220000000000001E-3</v>
      </c>
      <c r="M1481" t="s">
        <v>1</v>
      </c>
      <c r="N1481">
        <v>5750</v>
      </c>
      <c r="O1481">
        <v>108</v>
      </c>
      <c r="P1481">
        <v>5</v>
      </c>
      <c r="Q1481">
        <v>0</v>
      </c>
      <c r="R1481">
        <v>49117562</v>
      </c>
      <c r="S1481">
        <v>96607.67</v>
      </c>
      <c r="T1481">
        <v>49020954.329999998</v>
      </c>
      <c r="U1481">
        <v>49020954.329999998</v>
      </c>
      <c r="V1481">
        <v>0</v>
      </c>
      <c r="W1481">
        <v>0</v>
      </c>
    </row>
    <row r="1482" spans="1:23" x14ac:dyDescent="0.35">
      <c r="A1482" t="s">
        <v>3</v>
      </c>
      <c r="B1482">
        <v>7000</v>
      </c>
      <c r="C1482">
        <v>18</v>
      </c>
      <c r="D1482">
        <v>10</v>
      </c>
      <c r="E1482">
        <v>0</v>
      </c>
      <c r="F1482">
        <v>215589589</v>
      </c>
      <c r="G1482">
        <v>201244.82</v>
      </c>
      <c r="H1482">
        <v>215384664</v>
      </c>
      <c r="I1482">
        <v>215384664</v>
      </c>
      <c r="J1482">
        <v>2.05E-4</v>
      </c>
      <c r="K1482">
        <v>2.05E-4</v>
      </c>
      <c r="M1482" t="s">
        <v>2</v>
      </c>
      <c r="N1482">
        <v>8000</v>
      </c>
      <c r="O1482">
        <v>24</v>
      </c>
      <c r="P1482">
        <v>47</v>
      </c>
      <c r="Q1482">
        <v>0</v>
      </c>
      <c r="R1482">
        <v>651375938</v>
      </c>
      <c r="S1482">
        <v>527454.44999999995</v>
      </c>
      <c r="T1482">
        <v>650848483.54999995</v>
      </c>
      <c r="U1482">
        <v>650848483.54999995</v>
      </c>
      <c r="V1482">
        <v>0</v>
      </c>
      <c r="W1482">
        <v>0</v>
      </c>
    </row>
    <row r="1483" spans="1:23" x14ac:dyDescent="0.35">
      <c r="A1483" t="s">
        <v>2</v>
      </c>
      <c r="B1483">
        <v>7250</v>
      </c>
      <c r="C1483">
        <v>18</v>
      </c>
      <c r="D1483">
        <v>396</v>
      </c>
      <c r="E1483">
        <v>0</v>
      </c>
      <c r="F1483">
        <v>6003435908</v>
      </c>
      <c r="G1483">
        <v>5353116.8899999997</v>
      </c>
      <c r="H1483">
        <v>5929768719</v>
      </c>
      <c r="I1483">
        <v>5998102254.5900002</v>
      </c>
      <c r="J1483">
        <v>0.12831999999999999</v>
      </c>
      <c r="K1483">
        <v>-3.8999999999999999E-5</v>
      </c>
      <c r="M1483" t="s">
        <v>0</v>
      </c>
      <c r="N1483">
        <v>4750</v>
      </c>
      <c r="O1483">
        <v>24</v>
      </c>
      <c r="P1483">
        <v>2453</v>
      </c>
      <c r="Q1483">
        <v>0</v>
      </c>
      <c r="R1483">
        <v>79082233690</v>
      </c>
      <c r="S1483">
        <v>112576242.03</v>
      </c>
      <c r="T1483">
        <v>78940426849.869995</v>
      </c>
      <c r="U1483">
        <v>78969657447.970001</v>
      </c>
      <c r="V1483">
        <v>4.4260000000000002E-3</v>
      </c>
      <c r="W1483">
        <v>0</v>
      </c>
    </row>
    <row r="1484" spans="1:23" x14ac:dyDescent="0.35">
      <c r="A1484" t="s">
        <v>3</v>
      </c>
      <c r="B1484">
        <v>7000</v>
      </c>
      <c r="C1484">
        <v>20</v>
      </c>
      <c r="D1484">
        <v>29</v>
      </c>
      <c r="E1484">
        <v>0</v>
      </c>
      <c r="F1484">
        <v>697175361</v>
      </c>
      <c r="G1484">
        <v>658535.42000000004</v>
      </c>
      <c r="H1484">
        <v>673672590</v>
      </c>
      <c r="I1484">
        <v>673672590</v>
      </c>
      <c r="J1484">
        <v>0.329538</v>
      </c>
      <c r="K1484">
        <v>0.329538</v>
      </c>
      <c r="M1484" t="s">
        <v>2</v>
      </c>
      <c r="N1484">
        <v>4750</v>
      </c>
      <c r="O1484">
        <v>24</v>
      </c>
      <c r="P1484">
        <v>67</v>
      </c>
      <c r="Q1484">
        <v>0</v>
      </c>
      <c r="R1484">
        <v>1725723290</v>
      </c>
      <c r="S1484">
        <v>2458344.37</v>
      </c>
      <c r="T1484">
        <v>1694345055.4300001</v>
      </c>
      <c r="U1484">
        <v>1723264945.6300001</v>
      </c>
      <c r="V1484">
        <v>0.18356</v>
      </c>
      <c r="W1484">
        <v>0</v>
      </c>
    </row>
    <row r="1485" spans="1:23" x14ac:dyDescent="0.35">
      <c r="A1485" t="s">
        <v>1</v>
      </c>
      <c r="B1485">
        <v>8250</v>
      </c>
      <c r="C1485">
        <v>20</v>
      </c>
      <c r="D1485">
        <v>64</v>
      </c>
      <c r="E1485">
        <v>0</v>
      </c>
      <c r="F1485">
        <v>1775241364</v>
      </c>
      <c r="G1485">
        <v>1311566.3799999999</v>
      </c>
      <c r="H1485">
        <v>1539970660</v>
      </c>
      <c r="I1485">
        <v>1666822896.0699999</v>
      </c>
      <c r="J1485">
        <v>0.81655900000000003</v>
      </c>
      <c r="K1485">
        <v>0.52610299999999999</v>
      </c>
      <c r="M1485" t="s">
        <v>1</v>
      </c>
      <c r="N1485">
        <v>4750</v>
      </c>
      <c r="O1485">
        <v>24</v>
      </c>
      <c r="P1485">
        <v>907</v>
      </c>
      <c r="Q1485">
        <v>0</v>
      </c>
      <c r="R1485">
        <v>32572236786</v>
      </c>
      <c r="S1485">
        <v>46395891.060000002</v>
      </c>
      <c r="T1485">
        <v>32456090203.41</v>
      </c>
      <c r="U1485">
        <v>32525840894.939999</v>
      </c>
      <c r="V1485">
        <v>2.5395999999999998E-2</v>
      </c>
      <c r="W1485">
        <v>0</v>
      </c>
    </row>
    <row r="1486" spans="1:23" x14ac:dyDescent="0.35">
      <c r="A1486" t="s">
        <v>3</v>
      </c>
      <c r="B1486">
        <v>6500</v>
      </c>
      <c r="C1486">
        <v>20</v>
      </c>
      <c r="D1486">
        <v>22</v>
      </c>
      <c r="E1486">
        <v>0</v>
      </c>
      <c r="F1486">
        <v>530452848</v>
      </c>
      <c r="G1486">
        <v>546206.98</v>
      </c>
      <c r="H1486">
        <v>529640179</v>
      </c>
      <c r="I1486">
        <v>529640179</v>
      </c>
      <c r="J1486">
        <v>6.0109999999999999E-3</v>
      </c>
      <c r="K1486">
        <v>6.0109999999999999E-3</v>
      </c>
      <c r="M1486" t="s">
        <v>2</v>
      </c>
      <c r="N1486">
        <v>5250</v>
      </c>
      <c r="O1486">
        <v>20</v>
      </c>
      <c r="P1486">
        <v>40</v>
      </c>
      <c r="Q1486">
        <v>0</v>
      </c>
      <c r="R1486">
        <v>931454818</v>
      </c>
      <c r="S1486">
        <v>1197653.82</v>
      </c>
      <c r="T1486">
        <v>930257164.17999995</v>
      </c>
      <c r="U1486">
        <v>930257164.17999995</v>
      </c>
      <c r="V1486">
        <v>0</v>
      </c>
      <c r="W1486">
        <v>0</v>
      </c>
    </row>
    <row r="1487" spans="1:23" x14ac:dyDescent="0.35">
      <c r="A1487" t="s">
        <v>3</v>
      </c>
      <c r="B1487">
        <v>7250</v>
      </c>
      <c r="C1487">
        <v>20</v>
      </c>
      <c r="D1487">
        <v>14</v>
      </c>
      <c r="E1487">
        <v>0</v>
      </c>
      <c r="F1487">
        <v>390874194</v>
      </c>
      <c r="G1487">
        <v>355073.31</v>
      </c>
      <c r="H1487">
        <v>390435062</v>
      </c>
      <c r="I1487">
        <v>390435062</v>
      </c>
      <c r="J1487">
        <v>2.578E-3</v>
      </c>
      <c r="K1487">
        <v>2.578E-3</v>
      </c>
      <c r="M1487" t="s">
        <v>1</v>
      </c>
      <c r="N1487">
        <v>5250</v>
      </c>
      <c r="O1487">
        <v>20</v>
      </c>
      <c r="P1487">
        <v>686</v>
      </c>
      <c r="Q1487">
        <v>0</v>
      </c>
      <c r="R1487">
        <v>25270823879</v>
      </c>
      <c r="S1487">
        <v>32503111.920000002</v>
      </c>
      <c r="T1487">
        <v>25092374476.91</v>
      </c>
      <c r="U1487">
        <v>25238320767.080002</v>
      </c>
      <c r="V1487">
        <v>6.7143999999999995E-2</v>
      </c>
      <c r="W1487">
        <v>0</v>
      </c>
    </row>
    <row r="1488" spans="1:23" x14ac:dyDescent="0.35">
      <c r="A1488" t="s">
        <v>2</v>
      </c>
      <c r="B1488">
        <v>7500</v>
      </c>
      <c r="C1488">
        <v>18</v>
      </c>
      <c r="D1488">
        <v>147</v>
      </c>
      <c r="E1488">
        <v>0</v>
      </c>
      <c r="F1488">
        <v>2229369557</v>
      </c>
      <c r="G1488">
        <v>1888368.98</v>
      </c>
      <c r="H1488">
        <v>2217475208</v>
      </c>
      <c r="I1488">
        <v>2217475208</v>
      </c>
      <c r="J1488">
        <v>5.2548999999999998E-2</v>
      </c>
      <c r="K1488">
        <v>5.2548999999999998E-2</v>
      </c>
      <c r="M1488" t="s">
        <v>2</v>
      </c>
      <c r="N1488">
        <v>5250</v>
      </c>
      <c r="O1488">
        <v>18</v>
      </c>
      <c r="P1488">
        <v>62</v>
      </c>
      <c r="Q1488">
        <v>0</v>
      </c>
      <c r="R1488">
        <v>1465116416</v>
      </c>
      <c r="S1488">
        <v>1862316.12</v>
      </c>
      <c r="T1488">
        <v>1463254099.8800001</v>
      </c>
      <c r="U1488">
        <v>1463254099.8800001</v>
      </c>
      <c r="V1488">
        <v>0</v>
      </c>
      <c r="W1488">
        <v>0</v>
      </c>
    </row>
    <row r="1489" spans="1:23" x14ac:dyDescent="0.35">
      <c r="A1489" t="s">
        <v>1</v>
      </c>
      <c r="B1489">
        <v>7750</v>
      </c>
      <c r="C1489">
        <v>18</v>
      </c>
      <c r="D1489">
        <v>209</v>
      </c>
      <c r="E1489">
        <v>0</v>
      </c>
      <c r="F1489">
        <v>4923460580</v>
      </c>
      <c r="G1489">
        <v>3985808.2</v>
      </c>
      <c r="H1489">
        <v>4738625399</v>
      </c>
      <c r="I1489">
        <v>4858676121.8500004</v>
      </c>
      <c r="J1489">
        <v>0.361788</v>
      </c>
      <c r="K1489">
        <v>0.13852400000000001</v>
      </c>
      <c r="M1489" t="s">
        <v>1</v>
      </c>
      <c r="N1489">
        <v>7250</v>
      </c>
      <c r="O1489">
        <v>18</v>
      </c>
      <c r="P1489">
        <v>2352</v>
      </c>
      <c r="Q1489">
        <v>0</v>
      </c>
      <c r="R1489">
        <v>61674543400</v>
      </c>
      <c r="S1489">
        <v>55118881.32</v>
      </c>
      <c r="T1489">
        <v>58001217251.190002</v>
      </c>
      <c r="U1489">
        <v>60927949060.349998</v>
      </c>
      <c r="V1489">
        <v>0.51591200000000004</v>
      </c>
      <c r="W1489">
        <v>0.12654599999999999</v>
      </c>
    </row>
    <row r="1490" spans="1:23" x14ac:dyDescent="0.35">
      <c r="A1490" t="s">
        <v>1</v>
      </c>
      <c r="B1490">
        <v>5000</v>
      </c>
      <c r="C1490">
        <v>20</v>
      </c>
      <c r="D1490">
        <v>1372</v>
      </c>
      <c r="E1490">
        <v>0</v>
      </c>
      <c r="F1490">
        <v>48567078786</v>
      </c>
      <c r="G1490">
        <v>65223843.719999999</v>
      </c>
      <c r="H1490">
        <v>48436182783</v>
      </c>
      <c r="I1490">
        <v>48488785301.209999</v>
      </c>
      <c r="J1490">
        <v>1.6105999999999999E-2</v>
      </c>
      <c r="K1490">
        <v>3.2239999999999999E-3</v>
      </c>
      <c r="M1490" t="s">
        <v>2</v>
      </c>
      <c r="N1490">
        <v>7750</v>
      </c>
      <c r="O1490">
        <v>18</v>
      </c>
      <c r="P1490">
        <v>184</v>
      </c>
      <c r="Q1490">
        <v>0</v>
      </c>
      <c r="R1490">
        <v>2309668337</v>
      </c>
      <c r="S1490">
        <v>1885578.24</v>
      </c>
      <c r="T1490">
        <v>2276221259.9899998</v>
      </c>
      <c r="U1490">
        <v>2290735454.5799999</v>
      </c>
      <c r="V1490">
        <v>0.1522</v>
      </c>
      <c r="W1490">
        <v>8.5061999999999999E-2</v>
      </c>
    </row>
    <row r="1491" spans="1:23" x14ac:dyDescent="0.35">
      <c r="A1491" t="s">
        <v>3</v>
      </c>
      <c r="B1491">
        <v>6750</v>
      </c>
      <c r="C1491">
        <v>18</v>
      </c>
      <c r="D1491">
        <v>50</v>
      </c>
      <c r="E1491">
        <v>0</v>
      </c>
      <c r="F1491">
        <v>1585435787</v>
      </c>
      <c r="G1491">
        <v>1550945.51</v>
      </c>
      <c r="H1491">
        <v>1583471478</v>
      </c>
      <c r="I1491">
        <v>1583471478</v>
      </c>
      <c r="J1491">
        <v>3.124E-3</v>
      </c>
      <c r="K1491">
        <v>3.124E-3</v>
      </c>
      <c r="M1491" t="s">
        <v>3</v>
      </c>
      <c r="N1491">
        <v>7500</v>
      </c>
      <c r="O1491">
        <v>24</v>
      </c>
      <c r="P1491">
        <v>2</v>
      </c>
      <c r="Q1491">
        <v>0</v>
      </c>
      <c r="R1491">
        <v>38703828</v>
      </c>
      <c r="S1491">
        <v>34401.769999999997</v>
      </c>
      <c r="T1491">
        <v>38669426.229999997</v>
      </c>
      <c r="U1491">
        <v>38669426.229999997</v>
      </c>
      <c r="V1491">
        <v>0</v>
      </c>
      <c r="W1491">
        <v>0</v>
      </c>
    </row>
    <row r="1492" spans="1:23" x14ac:dyDescent="0.35">
      <c r="A1492" t="s">
        <v>1</v>
      </c>
      <c r="B1492">
        <v>7500</v>
      </c>
      <c r="C1492">
        <v>18</v>
      </c>
      <c r="D1492">
        <v>228</v>
      </c>
      <c r="E1492">
        <v>0</v>
      </c>
      <c r="F1492">
        <v>5538372034</v>
      </c>
      <c r="G1492">
        <v>4706651.29</v>
      </c>
      <c r="H1492">
        <v>5165136336</v>
      </c>
      <c r="I1492">
        <v>5441187070.1800003</v>
      </c>
      <c r="J1492">
        <v>0.562334</v>
      </c>
      <c r="K1492">
        <v>0.18295800000000001</v>
      </c>
      <c r="M1492" t="s">
        <v>3</v>
      </c>
      <c r="N1492">
        <v>7750</v>
      </c>
      <c r="O1492">
        <v>24</v>
      </c>
      <c r="P1492">
        <v>8</v>
      </c>
      <c r="Q1492">
        <v>0</v>
      </c>
      <c r="R1492">
        <v>244422942</v>
      </c>
      <c r="S1492">
        <v>207596.88</v>
      </c>
      <c r="T1492">
        <v>244215345.12</v>
      </c>
      <c r="U1492">
        <v>244215345.12</v>
      </c>
      <c r="V1492">
        <v>0</v>
      </c>
      <c r="W1492">
        <v>0</v>
      </c>
    </row>
    <row r="1493" spans="1:23" x14ac:dyDescent="0.35">
      <c r="A1493" t="s">
        <v>3</v>
      </c>
      <c r="B1493">
        <v>7500</v>
      </c>
      <c r="C1493">
        <v>20</v>
      </c>
      <c r="D1493">
        <v>4</v>
      </c>
      <c r="E1493">
        <v>0</v>
      </c>
      <c r="F1493">
        <v>86340089</v>
      </c>
      <c r="G1493">
        <v>74600.31</v>
      </c>
      <c r="H1493">
        <v>86131346</v>
      </c>
      <c r="I1493">
        <v>86131346</v>
      </c>
      <c r="J1493">
        <v>1.8485000000000001E-2</v>
      </c>
      <c r="K1493">
        <v>1.8485000000000001E-2</v>
      </c>
      <c r="M1493" t="s">
        <v>1</v>
      </c>
      <c r="N1493">
        <v>7500</v>
      </c>
      <c r="O1493">
        <v>18</v>
      </c>
      <c r="P1493">
        <v>269</v>
      </c>
      <c r="Q1493">
        <v>0</v>
      </c>
      <c r="R1493">
        <v>6915911222</v>
      </c>
      <c r="S1493">
        <v>5894683.21</v>
      </c>
      <c r="T1493">
        <v>6442650606.0100002</v>
      </c>
      <c r="U1493">
        <v>6861560337.4200001</v>
      </c>
      <c r="V1493">
        <v>0.56813499999999995</v>
      </c>
      <c r="W1493">
        <v>8.0911999999999998E-2</v>
      </c>
    </row>
    <row r="1494" spans="1:23" x14ac:dyDescent="0.35">
      <c r="A1494" t="s">
        <v>2</v>
      </c>
      <c r="B1494">
        <v>3250</v>
      </c>
      <c r="C1494">
        <v>24</v>
      </c>
      <c r="D1494">
        <v>19</v>
      </c>
      <c r="E1494">
        <v>0</v>
      </c>
      <c r="F1494">
        <v>353700628</v>
      </c>
      <c r="G1494">
        <v>668947.32999999996</v>
      </c>
      <c r="H1494">
        <v>353214560</v>
      </c>
      <c r="I1494">
        <v>353214560</v>
      </c>
      <c r="J1494">
        <v>-6.2220000000000001E-3</v>
      </c>
      <c r="K1494">
        <v>-6.2220000000000001E-3</v>
      </c>
      <c r="M1494" t="s">
        <v>2</v>
      </c>
      <c r="N1494">
        <v>7500</v>
      </c>
      <c r="O1494">
        <v>20</v>
      </c>
      <c r="P1494">
        <v>162</v>
      </c>
      <c r="Q1494">
        <v>0</v>
      </c>
      <c r="R1494">
        <v>2482071377</v>
      </c>
      <c r="S1494">
        <v>2142789.4700000002</v>
      </c>
      <c r="T1494">
        <v>2397513934.0500002</v>
      </c>
      <c r="U1494">
        <v>2463502045.3099999</v>
      </c>
      <c r="V1494">
        <v>0.33316499999999999</v>
      </c>
      <c r="W1494">
        <v>7.6589000000000004E-2</v>
      </c>
    </row>
    <row r="1495" spans="1:23" x14ac:dyDescent="0.35">
      <c r="A1495" t="s">
        <v>1</v>
      </c>
      <c r="B1495">
        <v>7250</v>
      </c>
      <c r="C1495">
        <v>6</v>
      </c>
      <c r="D1495">
        <v>1431</v>
      </c>
      <c r="E1495">
        <v>0</v>
      </c>
      <c r="F1495">
        <v>45446514283</v>
      </c>
      <c r="G1495">
        <v>37595841.060000002</v>
      </c>
      <c r="H1495">
        <v>45106661163</v>
      </c>
      <c r="I1495">
        <v>45258149853.959999</v>
      </c>
      <c r="J1495">
        <v>7.6953999999999995E-2</v>
      </c>
      <c r="K1495">
        <v>3.9092000000000002E-2</v>
      </c>
      <c r="M1495" t="s">
        <v>0</v>
      </c>
      <c r="N1495">
        <v>5000</v>
      </c>
      <c r="O1495">
        <v>20</v>
      </c>
      <c r="P1495">
        <v>3546</v>
      </c>
      <c r="Q1495">
        <v>0</v>
      </c>
      <c r="R1495">
        <v>116526351839</v>
      </c>
      <c r="S1495">
        <v>156381639.78999999</v>
      </c>
      <c r="T1495">
        <v>116222915830.57001</v>
      </c>
      <c r="U1495">
        <v>116307803987.24001</v>
      </c>
      <c r="V1495">
        <v>1.5039E-2</v>
      </c>
      <c r="W1495">
        <v>6.3829999999999998E-3</v>
      </c>
    </row>
    <row r="1496" spans="1:23" x14ac:dyDescent="0.35">
      <c r="A1496" t="s">
        <v>1</v>
      </c>
      <c r="B1496">
        <v>7250</v>
      </c>
      <c r="C1496">
        <v>16</v>
      </c>
      <c r="D1496">
        <v>617</v>
      </c>
      <c r="E1496">
        <v>0</v>
      </c>
      <c r="F1496">
        <v>15880081128</v>
      </c>
      <c r="G1496">
        <v>13952281.93</v>
      </c>
      <c r="H1496">
        <v>14838960121</v>
      </c>
      <c r="I1496">
        <v>15519112982.98</v>
      </c>
      <c r="J1496">
        <v>0.55176400000000003</v>
      </c>
      <c r="K1496">
        <v>0.23289699999999999</v>
      </c>
      <c r="M1496" t="s">
        <v>0</v>
      </c>
      <c r="N1496">
        <v>5000</v>
      </c>
      <c r="O1496">
        <v>10</v>
      </c>
      <c r="P1496">
        <v>2824</v>
      </c>
      <c r="Q1496">
        <v>0</v>
      </c>
      <c r="R1496">
        <v>100615968415</v>
      </c>
      <c r="S1496">
        <v>128247768.45</v>
      </c>
      <c r="T1496">
        <v>100414541333.77</v>
      </c>
      <c r="U1496">
        <v>100487720646.55</v>
      </c>
      <c r="V1496">
        <v>8.6929999999999993E-3</v>
      </c>
      <c r="W1496">
        <v>0</v>
      </c>
    </row>
    <row r="1497" spans="1:23" x14ac:dyDescent="0.35">
      <c r="A1497" t="s">
        <v>2</v>
      </c>
      <c r="B1497">
        <v>7750</v>
      </c>
      <c r="C1497">
        <v>18</v>
      </c>
      <c r="D1497">
        <v>83</v>
      </c>
      <c r="E1497">
        <v>0</v>
      </c>
      <c r="F1497">
        <v>968610695</v>
      </c>
      <c r="G1497">
        <v>794599.91</v>
      </c>
      <c r="H1497">
        <v>955920023</v>
      </c>
      <c r="I1497">
        <v>955920023</v>
      </c>
      <c r="J1497">
        <v>0.13782</v>
      </c>
      <c r="K1497">
        <v>0.13782</v>
      </c>
      <c r="M1497" t="s">
        <v>0</v>
      </c>
      <c r="N1497">
        <v>5000</v>
      </c>
      <c r="O1497">
        <v>12</v>
      </c>
      <c r="P1497">
        <v>3493</v>
      </c>
      <c r="Q1497">
        <v>0</v>
      </c>
      <c r="R1497">
        <v>124979615327</v>
      </c>
      <c r="S1497">
        <v>160752597.06999999</v>
      </c>
      <c r="T1497">
        <v>124652271509.98</v>
      </c>
      <c r="U1497">
        <v>124818862729.92999</v>
      </c>
      <c r="V1497">
        <v>1.5879000000000001E-2</v>
      </c>
      <c r="W1497">
        <v>0</v>
      </c>
    </row>
    <row r="1498" spans="1:23" x14ac:dyDescent="0.35">
      <c r="A1498" t="s">
        <v>0</v>
      </c>
      <c r="B1498">
        <v>9000</v>
      </c>
      <c r="C1498">
        <v>20</v>
      </c>
      <c r="D1498">
        <v>32</v>
      </c>
      <c r="E1498">
        <v>0</v>
      </c>
      <c r="F1498">
        <v>785744844</v>
      </c>
      <c r="G1498">
        <v>529102.19999999995</v>
      </c>
      <c r="H1498">
        <v>785203920</v>
      </c>
      <c r="I1498">
        <v>785203920</v>
      </c>
      <c r="J1498">
        <v>1.8100000000000001E-4</v>
      </c>
      <c r="K1498">
        <v>1.8100000000000001E-4</v>
      </c>
      <c r="M1498" t="s">
        <v>1</v>
      </c>
      <c r="N1498">
        <v>7250</v>
      </c>
      <c r="O1498">
        <v>16</v>
      </c>
      <c r="P1498">
        <v>596</v>
      </c>
      <c r="Q1498">
        <v>0</v>
      </c>
      <c r="R1498">
        <v>14743731688</v>
      </c>
      <c r="S1498">
        <v>12995836.24</v>
      </c>
      <c r="T1498">
        <v>13824898947.34</v>
      </c>
      <c r="U1498">
        <v>14481736794.540001</v>
      </c>
      <c r="V1498">
        <v>0.532748</v>
      </c>
      <c r="W1498">
        <v>0.18485799999999999</v>
      </c>
    </row>
    <row r="1499" spans="1:23" x14ac:dyDescent="0.35">
      <c r="A1499" t="s">
        <v>0</v>
      </c>
      <c r="B1499">
        <v>8500</v>
      </c>
      <c r="C1499">
        <v>20</v>
      </c>
      <c r="D1499">
        <v>10</v>
      </c>
      <c r="E1499">
        <v>0</v>
      </c>
      <c r="F1499">
        <v>288951181</v>
      </c>
      <c r="G1499">
        <v>204701.52</v>
      </c>
      <c r="H1499">
        <v>288771438</v>
      </c>
      <c r="I1499">
        <v>288771438</v>
      </c>
      <c r="J1499">
        <v>-1.0369999999999999E-3</v>
      </c>
      <c r="K1499">
        <v>-1.0369999999999999E-3</v>
      </c>
      <c r="M1499" t="s">
        <v>0</v>
      </c>
      <c r="N1499">
        <v>4500</v>
      </c>
      <c r="O1499">
        <v>24</v>
      </c>
      <c r="P1499">
        <v>1529</v>
      </c>
      <c r="Q1499">
        <v>0</v>
      </c>
      <c r="R1499">
        <v>47033756943</v>
      </c>
      <c r="S1499">
        <v>69672658.549999997</v>
      </c>
      <c r="T1499">
        <v>46932924825.739998</v>
      </c>
      <c r="U1499">
        <v>46964084284.449997</v>
      </c>
      <c r="V1499">
        <v>7.9209999999999992E-3</v>
      </c>
      <c r="W1499">
        <v>0</v>
      </c>
    </row>
    <row r="1500" spans="1:23" x14ac:dyDescent="0.35">
      <c r="A1500" t="s">
        <v>3</v>
      </c>
      <c r="B1500">
        <v>7750</v>
      </c>
      <c r="C1500">
        <v>20</v>
      </c>
      <c r="D1500">
        <v>4</v>
      </c>
      <c r="E1500">
        <v>0</v>
      </c>
      <c r="F1500">
        <v>81053813</v>
      </c>
      <c r="G1500">
        <v>66558.899999999994</v>
      </c>
      <c r="H1500">
        <v>80980840</v>
      </c>
      <c r="I1500">
        <v>80980840</v>
      </c>
      <c r="J1500">
        <v>9.4899999999999997E-4</v>
      </c>
      <c r="K1500">
        <v>9.4899999999999997E-4</v>
      </c>
      <c r="M1500" t="s">
        <v>1</v>
      </c>
      <c r="N1500">
        <v>4500</v>
      </c>
      <c r="O1500">
        <v>24</v>
      </c>
      <c r="P1500">
        <v>752</v>
      </c>
      <c r="Q1500">
        <v>0</v>
      </c>
      <c r="R1500">
        <v>24899909146</v>
      </c>
      <c r="S1500">
        <v>36952804.450000003</v>
      </c>
      <c r="T1500">
        <v>24742228200.98</v>
      </c>
      <c r="U1500">
        <v>24775577448.5</v>
      </c>
      <c r="V1500">
        <v>5.6655999999999998E-2</v>
      </c>
      <c r="W1500">
        <v>4.1307000000000003E-2</v>
      </c>
    </row>
    <row r="1501" spans="1:23" x14ac:dyDescent="0.35">
      <c r="A1501" t="s">
        <v>0</v>
      </c>
      <c r="B1501">
        <v>8250</v>
      </c>
      <c r="C1501">
        <v>18</v>
      </c>
      <c r="D1501">
        <v>234</v>
      </c>
      <c r="E1501">
        <v>0</v>
      </c>
      <c r="F1501">
        <v>6900851823</v>
      </c>
      <c r="G1501">
        <v>5036500.2699999996</v>
      </c>
      <c r="H1501">
        <v>6692084576</v>
      </c>
      <c r="I1501">
        <v>6882818523.3299999</v>
      </c>
      <c r="J1501">
        <v>0.30204799999999998</v>
      </c>
      <c r="K1501">
        <v>2.2367999999999999E-2</v>
      </c>
      <c r="M1501" t="s">
        <v>1</v>
      </c>
      <c r="N1501">
        <v>8250</v>
      </c>
      <c r="O1501">
        <v>20</v>
      </c>
      <c r="P1501">
        <v>43</v>
      </c>
      <c r="Q1501">
        <v>0</v>
      </c>
      <c r="R1501">
        <v>1105744380</v>
      </c>
      <c r="S1501">
        <v>824720.09</v>
      </c>
      <c r="T1501">
        <v>1064205212.0700001</v>
      </c>
      <c r="U1501">
        <v>1064205212.0700001</v>
      </c>
      <c r="V1501">
        <v>0.36249300000000001</v>
      </c>
      <c r="W1501">
        <v>0.36249300000000001</v>
      </c>
    </row>
    <row r="1502" spans="1:23" x14ac:dyDescent="0.35">
      <c r="A1502" t="s">
        <v>3</v>
      </c>
      <c r="B1502">
        <v>7750</v>
      </c>
      <c r="C1502">
        <v>18</v>
      </c>
      <c r="D1502">
        <v>3</v>
      </c>
      <c r="E1502">
        <v>0</v>
      </c>
      <c r="F1502">
        <v>47289217</v>
      </c>
      <c r="G1502">
        <v>38605.79</v>
      </c>
      <c r="H1502">
        <v>47222871</v>
      </c>
      <c r="I1502">
        <v>47222871</v>
      </c>
      <c r="J1502">
        <v>7.0169999999999998E-3</v>
      </c>
      <c r="K1502">
        <v>7.0169999999999998E-3</v>
      </c>
      <c r="M1502" t="s">
        <v>1</v>
      </c>
      <c r="N1502">
        <v>8500</v>
      </c>
      <c r="O1502">
        <v>24</v>
      </c>
      <c r="P1502">
        <v>10</v>
      </c>
      <c r="Q1502">
        <v>0</v>
      </c>
      <c r="R1502">
        <v>236848409</v>
      </c>
      <c r="S1502">
        <v>171916.83</v>
      </c>
      <c r="T1502">
        <v>181245346.75999999</v>
      </c>
      <c r="U1502">
        <v>181245346.75999999</v>
      </c>
      <c r="V1502">
        <v>0.95921500000000004</v>
      </c>
      <c r="W1502">
        <v>0.95921500000000004</v>
      </c>
    </row>
    <row r="1503" spans="1:23" x14ac:dyDescent="0.35">
      <c r="A1503" t="s">
        <v>3</v>
      </c>
      <c r="B1503">
        <v>6500</v>
      </c>
      <c r="C1503">
        <v>18</v>
      </c>
      <c r="D1503">
        <v>41</v>
      </c>
      <c r="E1503">
        <v>0</v>
      </c>
      <c r="F1503">
        <v>1063342524</v>
      </c>
      <c r="G1503">
        <v>1086993.94</v>
      </c>
      <c r="H1503">
        <v>1061999754</v>
      </c>
      <c r="I1503">
        <v>1061999754</v>
      </c>
      <c r="J1503">
        <v>2.8830000000000001E-3</v>
      </c>
      <c r="K1503">
        <v>2.8830000000000001E-3</v>
      </c>
      <c r="M1503" t="s">
        <v>3</v>
      </c>
      <c r="N1503">
        <v>7000</v>
      </c>
      <c r="O1503">
        <v>18</v>
      </c>
      <c r="P1503">
        <v>23</v>
      </c>
      <c r="Q1503">
        <v>0</v>
      </c>
      <c r="R1503">
        <v>523427440</v>
      </c>
      <c r="S1503">
        <v>488811.9</v>
      </c>
      <c r="T1503">
        <v>522938628.10000002</v>
      </c>
      <c r="U1503">
        <v>522938628.10000002</v>
      </c>
      <c r="V1503">
        <v>0</v>
      </c>
      <c r="W1503">
        <v>0</v>
      </c>
    </row>
    <row r="1504" spans="1:23" x14ac:dyDescent="0.35">
      <c r="A1504" t="s">
        <v>1</v>
      </c>
      <c r="B1504">
        <v>7500</v>
      </c>
      <c r="C1504">
        <v>16</v>
      </c>
      <c r="D1504">
        <v>245</v>
      </c>
      <c r="E1504">
        <v>0</v>
      </c>
      <c r="F1504">
        <v>5165823792</v>
      </c>
      <c r="G1504">
        <v>4325936.6900000004</v>
      </c>
      <c r="H1504">
        <v>4872059803</v>
      </c>
      <c r="I1504">
        <v>5109488446.2700005</v>
      </c>
      <c r="J1504">
        <v>0.499388</v>
      </c>
      <c r="K1504">
        <v>0.114345</v>
      </c>
      <c r="M1504" t="s">
        <v>2</v>
      </c>
      <c r="N1504">
        <v>7250</v>
      </c>
      <c r="O1504">
        <v>16</v>
      </c>
      <c r="P1504">
        <v>286</v>
      </c>
      <c r="Q1504">
        <v>0</v>
      </c>
      <c r="R1504">
        <v>4211133443</v>
      </c>
      <c r="S1504">
        <v>3681493.92</v>
      </c>
      <c r="T1504">
        <v>4113902966.5700002</v>
      </c>
      <c r="U1504">
        <v>4172040100.71</v>
      </c>
      <c r="V1504">
        <v>0.23630100000000001</v>
      </c>
      <c r="W1504">
        <v>9.6370999999999998E-2</v>
      </c>
    </row>
    <row r="1505" spans="1:23" x14ac:dyDescent="0.35">
      <c r="A1505" t="s">
        <v>3</v>
      </c>
      <c r="B1505">
        <v>6000</v>
      </c>
      <c r="C1505">
        <v>16</v>
      </c>
      <c r="D1505">
        <v>46</v>
      </c>
      <c r="E1505">
        <v>0</v>
      </c>
      <c r="F1505">
        <v>1206263102</v>
      </c>
      <c r="G1505">
        <v>1328080.6100000001</v>
      </c>
      <c r="H1505">
        <v>1204683236</v>
      </c>
      <c r="I1505">
        <v>1204683236</v>
      </c>
      <c r="J1505">
        <v>2.5019999999999999E-3</v>
      </c>
      <c r="K1505">
        <v>2.5019999999999999E-3</v>
      </c>
      <c r="M1505" t="s">
        <v>2</v>
      </c>
      <c r="N1505">
        <v>8250</v>
      </c>
      <c r="O1505">
        <v>20</v>
      </c>
      <c r="P1505">
        <v>4</v>
      </c>
      <c r="Q1505">
        <v>0</v>
      </c>
      <c r="R1505">
        <v>50875036</v>
      </c>
      <c r="S1505">
        <v>37871.54</v>
      </c>
      <c r="T1505">
        <v>50837164.460000001</v>
      </c>
      <c r="U1505">
        <v>50837164.460000001</v>
      </c>
      <c r="V1505">
        <v>0</v>
      </c>
      <c r="W1505">
        <v>0</v>
      </c>
    </row>
    <row r="1506" spans="1:23" x14ac:dyDescent="0.35">
      <c r="A1506" t="s">
        <v>3</v>
      </c>
      <c r="B1506">
        <v>5750</v>
      </c>
      <c r="C1506">
        <v>16</v>
      </c>
      <c r="D1506">
        <v>25</v>
      </c>
      <c r="E1506">
        <v>0</v>
      </c>
      <c r="F1506">
        <v>756442820</v>
      </c>
      <c r="G1506">
        <v>876323.33</v>
      </c>
      <c r="H1506">
        <v>755230636</v>
      </c>
      <c r="I1506">
        <v>755230636</v>
      </c>
      <c r="J1506">
        <v>5.3150000000000003E-3</v>
      </c>
      <c r="K1506">
        <v>5.3150000000000003E-3</v>
      </c>
      <c r="M1506" t="s">
        <v>2</v>
      </c>
      <c r="N1506">
        <v>8000</v>
      </c>
      <c r="O1506">
        <v>20</v>
      </c>
      <c r="P1506">
        <v>4</v>
      </c>
      <c r="Q1506">
        <v>0</v>
      </c>
      <c r="R1506">
        <v>73626631</v>
      </c>
      <c r="S1506">
        <v>56961.21</v>
      </c>
      <c r="T1506">
        <v>73569669.790000007</v>
      </c>
      <c r="U1506">
        <v>73569669.790000007</v>
      </c>
      <c r="V1506">
        <v>0</v>
      </c>
      <c r="W1506">
        <v>0</v>
      </c>
    </row>
    <row r="1507" spans="1:23" x14ac:dyDescent="0.35">
      <c r="A1507" t="s">
        <v>3</v>
      </c>
      <c r="B1507">
        <v>5500</v>
      </c>
      <c r="C1507">
        <v>16</v>
      </c>
      <c r="D1507">
        <v>13</v>
      </c>
      <c r="E1507">
        <v>0</v>
      </c>
      <c r="F1507">
        <v>375011760</v>
      </c>
      <c r="G1507">
        <v>454546.17</v>
      </c>
      <c r="H1507">
        <v>374446419</v>
      </c>
      <c r="I1507">
        <v>374446419</v>
      </c>
      <c r="J1507">
        <v>3.5400000000000002E-3</v>
      </c>
      <c r="K1507">
        <v>3.5400000000000002E-3</v>
      </c>
      <c r="M1507" t="s">
        <v>1</v>
      </c>
      <c r="N1507">
        <v>8250</v>
      </c>
      <c r="O1507">
        <v>18</v>
      </c>
      <c r="P1507">
        <v>72</v>
      </c>
      <c r="Q1507">
        <v>0</v>
      </c>
      <c r="R1507">
        <v>1942844987</v>
      </c>
      <c r="S1507">
        <v>1418307.2</v>
      </c>
      <c r="T1507">
        <v>1777712291.75</v>
      </c>
      <c r="U1507">
        <v>1867865115.55</v>
      </c>
      <c r="V1507">
        <v>0.65227500000000005</v>
      </c>
      <c r="W1507">
        <v>0.37071999999999999</v>
      </c>
    </row>
    <row r="1508" spans="1:23" x14ac:dyDescent="0.35">
      <c r="A1508" t="s">
        <v>3</v>
      </c>
      <c r="B1508">
        <v>5250</v>
      </c>
      <c r="C1508">
        <v>16</v>
      </c>
      <c r="D1508">
        <v>20</v>
      </c>
      <c r="E1508">
        <v>0</v>
      </c>
      <c r="F1508">
        <v>536537735</v>
      </c>
      <c r="G1508">
        <v>675999.28</v>
      </c>
      <c r="H1508">
        <v>535889675</v>
      </c>
      <c r="I1508">
        <v>535889675</v>
      </c>
      <c r="J1508">
        <v>-6.2500000000000001E-4</v>
      </c>
      <c r="K1508">
        <v>-6.2500000000000001E-4</v>
      </c>
      <c r="M1508" t="s">
        <v>1</v>
      </c>
      <c r="N1508">
        <v>7750</v>
      </c>
      <c r="O1508">
        <v>18</v>
      </c>
      <c r="P1508">
        <v>233</v>
      </c>
      <c r="Q1508">
        <v>0</v>
      </c>
      <c r="R1508">
        <v>5644232853</v>
      </c>
      <c r="S1508">
        <v>4594927.66</v>
      </c>
      <c r="T1508">
        <v>5245302079.3500004</v>
      </c>
      <c r="U1508">
        <v>5490082819.1099997</v>
      </c>
      <c r="V1508">
        <v>0.58067500000000005</v>
      </c>
      <c r="W1508">
        <v>0.27548499999999998</v>
      </c>
    </row>
    <row r="1509" spans="1:23" x14ac:dyDescent="0.35">
      <c r="A1509" t="s">
        <v>2</v>
      </c>
      <c r="B1509">
        <v>8250</v>
      </c>
      <c r="C1509">
        <v>20</v>
      </c>
      <c r="D1509">
        <v>1</v>
      </c>
      <c r="E1509">
        <v>0</v>
      </c>
      <c r="F1509">
        <v>15626343</v>
      </c>
      <c r="G1509">
        <v>11498.02</v>
      </c>
      <c r="H1509">
        <v>15626343</v>
      </c>
      <c r="I1509">
        <v>15626343</v>
      </c>
      <c r="J1509">
        <v>-8.8660000000000006E-3</v>
      </c>
      <c r="K1509">
        <v>-8.8660000000000006E-3</v>
      </c>
      <c r="M1509" t="s">
        <v>3</v>
      </c>
      <c r="N1509">
        <v>7250</v>
      </c>
      <c r="O1509">
        <v>18</v>
      </c>
      <c r="P1509">
        <v>15</v>
      </c>
      <c r="Q1509">
        <v>0</v>
      </c>
      <c r="R1509">
        <v>392858547</v>
      </c>
      <c r="S1509">
        <v>353456.08</v>
      </c>
      <c r="T1509">
        <v>392505090.92000002</v>
      </c>
      <c r="U1509">
        <v>392505090.92000002</v>
      </c>
      <c r="V1509">
        <v>0</v>
      </c>
      <c r="W1509">
        <v>0</v>
      </c>
    </row>
    <row r="1510" spans="1:23" x14ac:dyDescent="0.35">
      <c r="A1510" t="s">
        <v>1</v>
      </c>
      <c r="B1510">
        <v>8250</v>
      </c>
      <c r="C1510">
        <v>18</v>
      </c>
      <c r="D1510">
        <v>29</v>
      </c>
      <c r="E1510">
        <v>0</v>
      </c>
      <c r="F1510">
        <v>697294093</v>
      </c>
      <c r="G1510">
        <v>510086.58</v>
      </c>
      <c r="H1510">
        <v>666685365</v>
      </c>
      <c r="I1510">
        <v>680001547.72000003</v>
      </c>
      <c r="J1510">
        <v>0.41109499999999999</v>
      </c>
      <c r="K1510">
        <v>0.25349100000000002</v>
      </c>
      <c r="M1510" t="s">
        <v>2</v>
      </c>
      <c r="N1510">
        <v>7500</v>
      </c>
      <c r="O1510">
        <v>18</v>
      </c>
      <c r="P1510">
        <v>153</v>
      </c>
      <c r="Q1510">
        <v>0</v>
      </c>
      <c r="R1510">
        <v>2174210241</v>
      </c>
      <c r="S1510">
        <v>1849123.73</v>
      </c>
      <c r="T1510">
        <v>2064610745.1700001</v>
      </c>
      <c r="U1510">
        <v>2113990940.8699999</v>
      </c>
      <c r="V1510">
        <v>0.45661800000000002</v>
      </c>
      <c r="W1510">
        <v>0.27860099999999999</v>
      </c>
    </row>
    <row r="1511" spans="1:23" x14ac:dyDescent="0.35">
      <c r="A1511" t="s">
        <v>3</v>
      </c>
      <c r="B1511">
        <v>6000</v>
      </c>
      <c r="C1511">
        <v>14</v>
      </c>
      <c r="D1511">
        <v>31</v>
      </c>
      <c r="E1511">
        <v>0</v>
      </c>
      <c r="F1511">
        <v>755257876</v>
      </c>
      <c r="G1511">
        <v>824360.16</v>
      </c>
      <c r="H1511">
        <v>754324268</v>
      </c>
      <c r="I1511">
        <v>754324268</v>
      </c>
      <c r="J1511">
        <v>1.7340000000000001E-3</v>
      </c>
      <c r="K1511">
        <v>1.7340000000000001E-3</v>
      </c>
      <c r="M1511" t="s">
        <v>1</v>
      </c>
      <c r="N1511">
        <v>5000</v>
      </c>
      <c r="O1511">
        <v>20</v>
      </c>
      <c r="P1511">
        <v>1334</v>
      </c>
      <c r="Q1511">
        <v>0</v>
      </c>
      <c r="R1511">
        <v>46546654549</v>
      </c>
      <c r="S1511">
        <v>62486858.229999997</v>
      </c>
      <c r="T1511">
        <v>46332742488.629997</v>
      </c>
      <c r="U1511">
        <v>46426537416.120003</v>
      </c>
      <c r="V1511">
        <v>3.8346999999999999E-2</v>
      </c>
      <c r="W1511">
        <v>1.4756999999999999E-2</v>
      </c>
    </row>
    <row r="1512" spans="1:23" x14ac:dyDescent="0.35">
      <c r="A1512" t="s">
        <v>2</v>
      </c>
      <c r="B1512">
        <v>6500</v>
      </c>
      <c r="C1512">
        <v>8</v>
      </c>
      <c r="D1512">
        <v>745</v>
      </c>
      <c r="E1512">
        <v>0</v>
      </c>
      <c r="F1512">
        <v>15387465974</v>
      </c>
      <c r="G1512">
        <v>14823256.99</v>
      </c>
      <c r="H1512">
        <v>15246800914</v>
      </c>
      <c r="I1512">
        <v>15370629835.4</v>
      </c>
      <c r="J1512">
        <v>9.3841999999999995E-2</v>
      </c>
      <c r="K1512">
        <v>1.5690000000000001E-3</v>
      </c>
      <c r="M1512" t="s">
        <v>0</v>
      </c>
      <c r="N1512">
        <v>9000</v>
      </c>
      <c r="O1512">
        <v>20</v>
      </c>
      <c r="P1512">
        <v>41</v>
      </c>
      <c r="Q1512">
        <v>0</v>
      </c>
      <c r="R1512">
        <v>1041921302</v>
      </c>
      <c r="S1512">
        <v>702868.98</v>
      </c>
      <c r="T1512">
        <v>1016926331.4</v>
      </c>
      <c r="U1512">
        <v>1016926331.4</v>
      </c>
      <c r="V1512">
        <v>0.24654799999999999</v>
      </c>
      <c r="W1512">
        <v>0.24654799999999999</v>
      </c>
    </row>
    <row r="1513" spans="1:23" x14ac:dyDescent="0.35">
      <c r="A1513" t="s">
        <v>2</v>
      </c>
      <c r="B1513">
        <v>8000</v>
      </c>
      <c r="C1513">
        <v>20</v>
      </c>
      <c r="D1513">
        <v>5</v>
      </c>
      <c r="E1513">
        <v>0</v>
      </c>
      <c r="F1513">
        <v>100338212</v>
      </c>
      <c r="G1513">
        <v>77914.990000000005</v>
      </c>
      <c r="H1513">
        <v>100303631</v>
      </c>
      <c r="I1513">
        <v>100303631</v>
      </c>
      <c r="J1513">
        <v>-5.195E-3</v>
      </c>
      <c r="K1513">
        <v>-5.195E-3</v>
      </c>
      <c r="M1513" t="s">
        <v>3</v>
      </c>
      <c r="N1513">
        <v>6000</v>
      </c>
      <c r="O1513">
        <v>20</v>
      </c>
      <c r="P1513">
        <v>12</v>
      </c>
      <c r="Q1513">
        <v>0</v>
      </c>
      <c r="R1513">
        <v>295748475</v>
      </c>
      <c r="S1513">
        <v>336495.09</v>
      </c>
      <c r="T1513">
        <v>266945533.06999999</v>
      </c>
      <c r="U1513">
        <v>295411979.91000003</v>
      </c>
      <c r="V1513">
        <v>0.70313000000000003</v>
      </c>
      <c r="W1513">
        <v>0</v>
      </c>
    </row>
    <row r="1514" spans="1:23" x14ac:dyDescent="0.35">
      <c r="A1514" t="s">
        <v>1</v>
      </c>
      <c r="B1514">
        <v>8000</v>
      </c>
      <c r="C1514">
        <v>18</v>
      </c>
      <c r="D1514">
        <v>106</v>
      </c>
      <c r="E1514">
        <v>0</v>
      </c>
      <c r="F1514">
        <v>2157710025</v>
      </c>
      <c r="G1514">
        <v>1663884.34</v>
      </c>
      <c r="H1514">
        <v>1889014980</v>
      </c>
      <c r="I1514">
        <v>2155993476.8800001</v>
      </c>
      <c r="J1514">
        <v>0.795122</v>
      </c>
      <c r="K1514">
        <v>2.9300000000000002E-4</v>
      </c>
      <c r="M1514" t="s">
        <v>3</v>
      </c>
      <c r="N1514">
        <v>5750</v>
      </c>
      <c r="O1514">
        <v>20</v>
      </c>
      <c r="P1514">
        <v>4</v>
      </c>
      <c r="Q1514">
        <v>0</v>
      </c>
      <c r="R1514">
        <v>96945924</v>
      </c>
      <c r="S1514">
        <v>113321.33</v>
      </c>
      <c r="T1514">
        <v>96832602.670000002</v>
      </c>
      <c r="U1514">
        <v>96832602.670000002</v>
      </c>
      <c r="V1514">
        <v>0</v>
      </c>
      <c r="W1514">
        <v>0</v>
      </c>
    </row>
    <row r="1515" spans="1:23" x14ac:dyDescent="0.35">
      <c r="A1515" t="s">
        <v>2</v>
      </c>
      <c r="B1515">
        <v>7250</v>
      </c>
      <c r="C1515">
        <v>14</v>
      </c>
      <c r="D1515">
        <v>331</v>
      </c>
      <c r="E1515">
        <v>0</v>
      </c>
      <c r="F1515">
        <v>4854316879</v>
      </c>
      <c r="G1515">
        <v>4199318.78</v>
      </c>
      <c r="H1515">
        <v>4762383773</v>
      </c>
      <c r="I1515">
        <v>4822287187.1700001</v>
      </c>
      <c r="J1515">
        <v>0.19656899999999999</v>
      </c>
      <c r="K1515">
        <v>6.6669000000000006E-2</v>
      </c>
      <c r="M1515" t="s">
        <v>3</v>
      </c>
      <c r="N1515">
        <v>7500</v>
      </c>
      <c r="O1515">
        <v>20</v>
      </c>
      <c r="P1515">
        <v>4</v>
      </c>
      <c r="Q1515">
        <v>0</v>
      </c>
      <c r="R1515">
        <v>99612889</v>
      </c>
      <c r="S1515">
        <v>85704.62</v>
      </c>
      <c r="T1515">
        <v>99527184.379999995</v>
      </c>
      <c r="U1515">
        <v>99527184.379999995</v>
      </c>
      <c r="V1515">
        <v>0</v>
      </c>
      <c r="W1515">
        <v>0</v>
      </c>
    </row>
    <row r="1516" spans="1:23" x14ac:dyDescent="0.35">
      <c r="A1516" t="s">
        <v>2</v>
      </c>
      <c r="B1516">
        <v>7750</v>
      </c>
      <c r="C1516">
        <v>16</v>
      </c>
      <c r="D1516">
        <v>10</v>
      </c>
      <c r="E1516">
        <v>0</v>
      </c>
      <c r="F1516">
        <v>107704195</v>
      </c>
      <c r="G1516">
        <v>85737.48</v>
      </c>
      <c r="H1516">
        <v>107606203</v>
      </c>
      <c r="I1516">
        <v>107606203</v>
      </c>
      <c r="J1516">
        <v>1.364E-3</v>
      </c>
      <c r="K1516">
        <v>1.364E-3</v>
      </c>
      <c r="M1516" t="s">
        <v>3</v>
      </c>
      <c r="N1516">
        <v>7750</v>
      </c>
      <c r="O1516">
        <v>20</v>
      </c>
      <c r="P1516">
        <v>5</v>
      </c>
      <c r="Q1516">
        <v>0</v>
      </c>
      <c r="R1516">
        <v>91776272</v>
      </c>
      <c r="S1516">
        <v>75368.06</v>
      </c>
      <c r="T1516">
        <v>91700903.939999998</v>
      </c>
      <c r="U1516">
        <v>91700903.939999998</v>
      </c>
      <c r="V1516">
        <v>0</v>
      </c>
      <c r="W1516">
        <v>0</v>
      </c>
    </row>
    <row r="1517" spans="1:23" x14ac:dyDescent="0.35">
      <c r="A1517" t="s">
        <v>2</v>
      </c>
      <c r="B1517">
        <v>7250</v>
      </c>
      <c r="C1517">
        <v>16</v>
      </c>
      <c r="D1517">
        <v>287</v>
      </c>
      <c r="E1517">
        <v>0</v>
      </c>
      <c r="F1517">
        <v>4194781534</v>
      </c>
      <c r="G1517">
        <v>3669789.72</v>
      </c>
      <c r="H1517">
        <v>4078919993</v>
      </c>
      <c r="I1517">
        <v>4112864183.9299998</v>
      </c>
      <c r="J1517">
        <v>0.27770099999999998</v>
      </c>
      <c r="K1517">
        <v>0.20224700000000001</v>
      </c>
      <c r="M1517" t="s">
        <v>3</v>
      </c>
      <c r="N1517">
        <v>6500</v>
      </c>
      <c r="O1517">
        <v>18</v>
      </c>
      <c r="P1517">
        <v>38</v>
      </c>
      <c r="Q1517">
        <v>0</v>
      </c>
      <c r="R1517">
        <v>1019786259</v>
      </c>
      <c r="S1517">
        <v>1038944.05</v>
      </c>
      <c r="T1517">
        <v>1018747314.95</v>
      </c>
      <c r="U1517">
        <v>1018747314.95</v>
      </c>
      <c r="V1517">
        <v>0</v>
      </c>
      <c r="W1517">
        <v>0</v>
      </c>
    </row>
    <row r="1518" spans="1:23" x14ac:dyDescent="0.35">
      <c r="A1518" t="s">
        <v>1</v>
      </c>
      <c r="B1518">
        <v>7500</v>
      </c>
      <c r="C1518">
        <v>6</v>
      </c>
      <c r="D1518">
        <v>196</v>
      </c>
      <c r="E1518">
        <v>0</v>
      </c>
      <c r="F1518">
        <v>6719892114</v>
      </c>
      <c r="G1518">
        <v>5277246.29</v>
      </c>
      <c r="H1518">
        <v>6711317654</v>
      </c>
      <c r="I1518">
        <v>6711317654</v>
      </c>
      <c r="J1518">
        <v>5.8719999999999996E-3</v>
      </c>
      <c r="K1518">
        <v>5.8719999999999996E-3</v>
      </c>
      <c r="M1518" t="s">
        <v>3</v>
      </c>
      <c r="N1518">
        <v>7500</v>
      </c>
      <c r="O1518">
        <v>18</v>
      </c>
      <c r="P1518">
        <v>2</v>
      </c>
      <c r="Q1518">
        <v>0</v>
      </c>
      <c r="R1518">
        <v>29320226</v>
      </c>
      <c r="S1518">
        <v>25276.52</v>
      </c>
      <c r="T1518">
        <v>29294949.48</v>
      </c>
      <c r="U1518">
        <v>29294949.48</v>
      </c>
      <c r="V1518">
        <v>0</v>
      </c>
      <c r="W1518">
        <v>0</v>
      </c>
    </row>
    <row r="1519" spans="1:23" x14ac:dyDescent="0.35">
      <c r="A1519" t="s">
        <v>3</v>
      </c>
      <c r="B1519">
        <v>6500</v>
      </c>
      <c r="C1519">
        <v>16</v>
      </c>
      <c r="D1519">
        <v>28</v>
      </c>
      <c r="E1519">
        <v>0</v>
      </c>
      <c r="F1519">
        <v>647167394</v>
      </c>
      <c r="G1519">
        <v>654320.23</v>
      </c>
      <c r="H1519">
        <v>618839898</v>
      </c>
      <c r="I1519">
        <v>646417481.37</v>
      </c>
      <c r="J1519">
        <v>0.40810099999999999</v>
      </c>
      <c r="K1519">
        <v>1.771E-3</v>
      </c>
      <c r="M1519" t="s">
        <v>1</v>
      </c>
      <c r="N1519">
        <v>7500</v>
      </c>
      <c r="O1519">
        <v>16</v>
      </c>
      <c r="P1519">
        <v>244</v>
      </c>
      <c r="Q1519">
        <v>0</v>
      </c>
      <c r="R1519">
        <v>5504177139</v>
      </c>
      <c r="S1519">
        <v>4616787.87</v>
      </c>
      <c r="T1519">
        <v>5188710515.6000004</v>
      </c>
      <c r="U1519">
        <v>5446604441.0299997</v>
      </c>
      <c r="V1519">
        <v>0.50221800000000005</v>
      </c>
      <c r="W1519">
        <v>0.10953499999999999</v>
      </c>
    </row>
    <row r="1520" spans="1:23" x14ac:dyDescent="0.35">
      <c r="A1520" t="s">
        <v>3</v>
      </c>
      <c r="B1520">
        <v>6000</v>
      </c>
      <c r="C1520">
        <v>18</v>
      </c>
      <c r="D1520">
        <v>16</v>
      </c>
      <c r="E1520">
        <v>0</v>
      </c>
      <c r="F1520">
        <v>386099761</v>
      </c>
      <c r="G1520">
        <v>431730.58</v>
      </c>
      <c r="H1520">
        <v>385686558</v>
      </c>
      <c r="I1520">
        <v>385686558</v>
      </c>
      <c r="J1520">
        <v>-5.7600000000000001E-4</v>
      </c>
      <c r="K1520">
        <v>-5.7600000000000001E-4</v>
      </c>
      <c r="M1520" t="s">
        <v>1</v>
      </c>
      <c r="N1520">
        <v>8000</v>
      </c>
      <c r="O1520">
        <v>18</v>
      </c>
      <c r="P1520">
        <v>151</v>
      </c>
      <c r="Q1520">
        <v>0</v>
      </c>
      <c r="R1520">
        <v>3450356913</v>
      </c>
      <c r="S1520">
        <v>2662342.15</v>
      </c>
      <c r="T1520">
        <v>3239389087.98</v>
      </c>
      <c r="U1520">
        <v>3402817519.9299998</v>
      </c>
      <c r="V1520">
        <v>0.52633600000000003</v>
      </c>
      <c r="W1520">
        <v>0.14538300000000001</v>
      </c>
    </row>
    <row r="1521" spans="1:23" x14ac:dyDescent="0.35">
      <c r="A1521" t="s">
        <v>2</v>
      </c>
      <c r="B1521">
        <v>4750</v>
      </c>
      <c r="C1521">
        <v>18</v>
      </c>
      <c r="D1521">
        <v>36</v>
      </c>
      <c r="E1521">
        <v>0</v>
      </c>
      <c r="F1521">
        <v>915169637</v>
      </c>
      <c r="G1521">
        <v>1264356.45</v>
      </c>
      <c r="H1521">
        <v>913847224</v>
      </c>
      <c r="I1521">
        <v>913847224</v>
      </c>
      <c r="J1521">
        <v>7.6099999999999996E-4</v>
      </c>
      <c r="K1521">
        <v>7.6099999999999996E-4</v>
      </c>
      <c r="M1521" t="s">
        <v>2</v>
      </c>
      <c r="N1521">
        <v>3250</v>
      </c>
      <c r="O1521">
        <v>24</v>
      </c>
      <c r="P1521">
        <v>19</v>
      </c>
      <c r="Q1521">
        <v>0</v>
      </c>
      <c r="R1521">
        <v>363509192</v>
      </c>
      <c r="S1521">
        <v>691786.27</v>
      </c>
      <c r="T1521">
        <v>362817405.73000002</v>
      </c>
      <c r="U1521">
        <v>362817405.73000002</v>
      </c>
      <c r="V1521">
        <v>0</v>
      </c>
      <c r="W1521">
        <v>0</v>
      </c>
    </row>
    <row r="1522" spans="1:23" x14ac:dyDescent="0.35">
      <c r="A1522" t="s">
        <v>0</v>
      </c>
      <c r="B1522">
        <v>4250</v>
      </c>
      <c r="C1522">
        <v>18</v>
      </c>
      <c r="D1522">
        <v>964</v>
      </c>
      <c r="E1522">
        <v>0</v>
      </c>
      <c r="F1522">
        <v>29254745425</v>
      </c>
      <c r="G1522">
        <v>44047865.369999997</v>
      </c>
      <c r="H1522">
        <v>29208002214</v>
      </c>
      <c r="I1522">
        <v>29208002214</v>
      </c>
      <c r="J1522">
        <v>1.1050000000000001E-3</v>
      </c>
      <c r="K1522">
        <v>1.1050000000000001E-3</v>
      </c>
      <c r="M1522" t="s">
        <v>0</v>
      </c>
      <c r="N1522">
        <v>8500</v>
      </c>
      <c r="O1522">
        <v>20</v>
      </c>
      <c r="P1522">
        <v>12</v>
      </c>
      <c r="Q1522">
        <v>0</v>
      </c>
      <c r="R1522">
        <v>314839548</v>
      </c>
      <c r="S1522">
        <v>225029.91</v>
      </c>
      <c r="T1522">
        <v>280270567.95999998</v>
      </c>
      <c r="U1522">
        <v>314614518.08999997</v>
      </c>
      <c r="V1522">
        <v>0.749942</v>
      </c>
      <c r="W1522">
        <v>0</v>
      </c>
    </row>
    <row r="1523" spans="1:23" x14ac:dyDescent="0.35">
      <c r="A1523" t="s">
        <v>2</v>
      </c>
      <c r="B1523">
        <v>4250</v>
      </c>
      <c r="C1523">
        <v>18</v>
      </c>
      <c r="D1523">
        <v>27</v>
      </c>
      <c r="E1523">
        <v>0</v>
      </c>
      <c r="F1523">
        <v>615375128</v>
      </c>
      <c r="G1523">
        <v>936466.04</v>
      </c>
      <c r="H1523">
        <v>614318337</v>
      </c>
      <c r="I1523">
        <v>614318337</v>
      </c>
      <c r="J1523">
        <v>2.3440000000000002E-3</v>
      </c>
      <c r="K1523">
        <v>2.3440000000000002E-3</v>
      </c>
      <c r="M1523" t="s">
        <v>1</v>
      </c>
      <c r="N1523">
        <v>7250</v>
      </c>
      <c r="O1523">
        <v>5</v>
      </c>
      <c r="P1523">
        <v>4878</v>
      </c>
      <c r="Q1523">
        <v>0</v>
      </c>
      <c r="R1523">
        <v>158265900000</v>
      </c>
      <c r="S1523">
        <v>128780360.15000001</v>
      </c>
      <c r="T1523">
        <v>157480152102.26999</v>
      </c>
      <c r="U1523">
        <v>157910204808.51001</v>
      </c>
      <c r="V1523">
        <v>4.8690999999999998E-2</v>
      </c>
      <c r="W1523">
        <v>1.7069999999999998E-2</v>
      </c>
    </row>
    <row r="1524" spans="1:23" x14ac:dyDescent="0.35">
      <c r="A1524" t="s">
        <v>1</v>
      </c>
      <c r="B1524">
        <v>4250</v>
      </c>
      <c r="C1524">
        <v>18</v>
      </c>
      <c r="D1524">
        <v>347</v>
      </c>
      <c r="E1524">
        <v>0</v>
      </c>
      <c r="F1524">
        <v>12236555749</v>
      </c>
      <c r="G1524">
        <v>18471879.899999999</v>
      </c>
      <c r="H1524">
        <v>12120713629</v>
      </c>
      <c r="I1524">
        <v>12156280672.76</v>
      </c>
      <c r="J1524">
        <v>9.1417999999999999E-2</v>
      </c>
      <c r="K1524">
        <v>5.8952999999999998E-2</v>
      </c>
      <c r="M1524" t="s">
        <v>1</v>
      </c>
      <c r="N1524">
        <v>7250</v>
      </c>
      <c r="O1524">
        <v>14</v>
      </c>
      <c r="P1524">
        <v>1095</v>
      </c>
      <c r="Q1524">
        <v>0</v>
      </c>
      <c r="R1524">
        <v>28872313243</v>
      </c>
      <c r="S1524">
        <v>25054768.780000001</v>
      </c>
      <c r="T1524">
        <v>26342457323.119999</v>
      </c>
      <c r="U1524">
        <v>28168912067.349998</v>
      </c>
      <c r="V1524">
        <v>0.66344899999999996</v>
      </c>
      <c r="W1524">
        <v>0.24821199999999999</v>
      </c>
    </row>
    <row r="1525" spans="1:23" x14ac:dyDescent="0.35">
      <c r="A1525" t="s">
        <v>0</v>
      </c>
      <c r="B1525">
        <v>4250</v>
      </c>
      <c r="C1525">
        <v>16</v>
      </c>
      <c r="D1525">
        <v>1555</v>
      </c>
      <c r="E1525">
        <v>0</v>
      </c>
      <c r="F1525">
        <v>51597650449</v>
      </c>
      <c r="G1525">
        <v>77060212.810000002</v>
      </c>
      <c r="H1525">
        <v>51516028875</v>
      </c>
      <c r="I1525">
        <v>51516028875</v>
      </c>
      <c r="J1525">
        <v>1.06E-3</v>
      </c>
      <c r="K1525">
        <v>1.06E-3</v>
      </c>
      <c r="M1525" t="s">
        <v>3</v>
      </c>
      <c r="N1525">
        <v>6750</v>
      </c>
      <c r="O1525">
        <v>16</v>
      </c>
      <c r="P1525">
        <v>26</v>
      </c>
      <c r="Q1525">
        <v>0</v>
      </c>
      <c r="R1525">
        <v>795789960</v>
      </c>
      <c r="S1525">
        <v>767584.29</v>
      </c>
      <c r="T1525">
        <v>795022375.71000004</v>
      </c>
      <c r="U1525">
        <v>795022375.71000004</v>
      </c>
      <c r="V1525">
        <v>0</v>
      </c>
      <c r="W1525">
        <v>0</v>
      </c>
    </row>
    <row r="1526" spans="1:23" x14ac:dyDescent="0.35">
      <c r="A1526" t="s">
        <v>0</v>
      </c>
      <c r="B1526">
        <v>4500</v>
      </c>
      <c r="C1526">
        <v>16</v>
      </c>
      <c r="D1526">
        <v>1836</v>
      </c>
      <c r="E1526">
        <v>0</v>
      </c>
      <c r="F1526">
        <v>62097739195</v>
      </c>
      <c r="G1526">
        <v>88880581.359999999</v>
      </c>
      <c r="H1526">
        <v>61915079950</v>
      </c>
      <c r="I1526">
        <v>61977962944.489998</v>
      </c>
      <c r="J1526">
        <v>1.7971999999999998E-2</v>
      </c>
      <c r="K1526">
        <v>5.9540000000000001E-3</v>
      </c>
      <c r="M1526" t="s">
        <v>3</v>
      </c>
      <c r="N1526">
        <v>7750</v>
      </c>
      <c r="O1526">
        <v>18</v>
      </c>
      <c r="P1526">
        <v>4</v>
      </c>
      <c r="Q1526">
        <v>0</v>
      </c>
      <c r="R1526">
        <v>68628549</v>
      </c>
      <c r="S1526">
        <v>55471.66</v>
      </c>
      <c r="T1526">
        <v>68573077.340000004</v>
      </c>
      <c r="U1526">
        <v>68573077.340000004</v>
      </c>
      <c r="V1526">
        <v>0</v>
      </c>
      <c r="W1526">
        <v>0</v>
      </c>
    </row>
    <row r="1527" spans="1:23" x14ac:dyDescent="0.35">
      <c r="A1527" t="s">
        <v>2</v>
      </c>
      <c r="B1527">
        <v>4250</v>
      </c>
      <c r="C1527">
        <v>16</v>
      </c>
      <c r="D1527">
        <v>50</v>
      </c>
      <c r="E1527">
        <v>0</v>
      </c>
      <c r="F1527">
        <v>1119980886</v>
      </c>
      <c r="G1527">
        <v>1671809.66</v>
      </c>
      <c r="H1527">
        <v>1118175924</v>
      </c>
      <c r="I1527">
        <v>1118175924</v>
      </c>
      <c r="J1527">
        <v>1.426E-3</v>
      </c>
      <c r="K1527">
        <v>1.426E-3</v>
      </c>
      <c r="M1527" t="s">
        <v>1</v>
      </c>
      <c r="N1527">
        <v>7750</v>
      </c>
      <c r="O1527">
        <v>16</v>
      </c>
      <c r="P1527">
        <v>211</v>
      </c>
      <c r="Q1527">
        <v>0</v>
      </c>
      <c r="R1527">
        <v>4958747788</v>
      </c>
      <c r="S1527">
        <v>3933674.71</v>
      </c>
      <c r="T1527">
        <v>4655105962.5699997</v>
      </c>
      <c r="U1527">
        <v>4873523002.6899996</v>
      </c>
      <c r="V1527">
        <v>0.52674799999999999</v>
      </c>
      <c r="W1527">
        <v>0.179919</v>
      </c>
    </row>
    <row r="1528" spans="1:23" x14ac:dyDescent="0.35">
      <c r="A1528" t="s">
        <v>2</v>
      </c>
      <c r="B1528">
        <v>4750</v>
      </c>
      <c r="C1528">
        <v>16</v>
      </c>
      <c r="D1528">
        <v>38</v>
      </c>
      <c r="E1528">
        <v>0</v>
      </c>
      <c r="F1528">
        <v>968206818</v>
      </c>
      <c r="G1528">
        <v>1325933.26</v>
      </c>
      <c r="H1528">
        <v>947998590</v>
      </c>
      <c r="I1528">
        <v>966947285.75999999</v>
      </c>
      <c r="J1528">
        <v>0.21048800000000001</v>
      </c>
      <c r="K1528">
        <v>-8.2299999999999995E-4</v>
      </c>
      <c r="M1528" t="s">
        <v>2</v>
      </c>
      <c r="N1528">
        <v>5000</v>
      </c>
      <c r="O1528">
        <v>14</v>
      </c>
      <c r="P1528">
        <v>131</v>
      </c>
      <c r="Q1528">
        <v>0</v>
      </c>
      <c r="R1528">
        <v>3301693906</v>
      </c>
      <c r="S1528">
        <v>4287279.28</v>
      </c>
      <c r="T1528">
        <v>3244874652.5500002</v>
      </c>
      <c r="U1528">
        <v>3260493827.2800002</v>
      </c>
      <c r="V1528">
        <v>0.17507500000000001</v>
      </c>
      <c r="W1528">
        <v>0.12620999999999999</v>
      </c>
    </row>
    <row r="1529" spans="1:23" x14ac:dyDescent="0.35">
      <c r="A1529" t="s">
        <v>2</v>
      </c>
      <c r="B1529">
        <v>4500</v>
      </c>
      <c r="C1529">
        <v>16</v>
      </c>
      <c r="D1529">
        <v>49</v>
      </c>
      <c r="E1529">
        <v>0</v>
      </c>
      <c r="F1529">
        <v>1200397717</v>
      </c>
      <c r="G1529">
        <v>1721606.55</v>
      </c>
      <c r="H1529">
        <v>1187720319</v>
      </c>
      <c r="I1529">
        <v>1198518753.21</v>
      </c>
      <c r="J1529">
        <v>0.104188</v>
      </c>
      <c r="K1529">
        <v>1.572E-3</v>
      </c>
      <c r="M1529" t="s">
        <v>3</v>
      </c>
      <c r="N1529">
        <v>6000</v>
      </c>
      <c r="O1529">
        <v>14</v>
      </c>
      <c r="P1529">
        <v>31</v>
      </c>
      <c r="Q1529">
        <v>0</v>
      </c>
      <c r="R1529">
        <v>832979661</v>
      </c>
      <c r="S1529">
        <v>905856.48</v>
      </c>
      <c r="T1529">
        <v>832073804.51999998</v>
      </c>
      <c r="U1529">
        <v>832073804.51999998</v>
      </c>
      <c r="V1529">
        <v>0</v>
      </c>
      <c r="W1529">
        <v>0</v>
      </c>
    </row>
    <row r="1530" spans="1:23" x14ac:dyDescent="0.35">
      <c r="A1530" t="s">
        <v>1</v>
      </c>
      <c r="B1530">
        <v>4250</v>
      </c>
      <c r="C1530">
        <v>16</v>
      </c>
      <c r="D1530">
        <v>517</v>
      </c>
      <c r="E1530">
        <v>0</v>
      </c>
      <c r="F1530">
        <v>18097797530</v>
      </c>
      <c r="G1530">
        <v>27045318.879999999</v>
      </c>
      <c r="H1530">
        <v>17995210069</v>
      </c>
      <c r="I1530">
        <v>17995210069</v>
      </c>
      <c r="J1530">
        <v>4.8954999999999999E-2</v>
      </c>
      <c r="K1530">
        <v>4.8954999999999999E-2</v>
      </c>
      <c r="M1530" t="s">
        <v>3</v>
      </c>
      <c r="N1530">
        <v>5250</v>
      </c>
      <c r="O1530">
        <v>16</v>
      </c>
      <c r="P1530">
        <v>18</v>
      </c>
      <c r="Q1530">
        <v>0</v>
      </c>
      <c r="R1530">
        <v>485269232</v>
      </c>
      <c r="S1530">
        <v>610231.14</v>
      </c>
      <c r="T1530">
        <v>484659000.86000001</v>
      </c>
      <c r="U1530">
        <v>484659000.86000001</v>
      </c>
      <c r="V1530">
        <v>0</v>
      </c>
      <c r="W1530">
        <v>0</v>
      </c>
    </row>
    <row r="1531" spans="1:23" x14ac:dyDescent="0.35">
      <c r="A1531" t="s">
        <v>1</v>
      </c>
      <c r="B1531">
        <v>4500</v>
      </c>
      <c r="C1531">
        <v>16</v>
      </c>
      <c r="D1531">
        <v>841</v>
      </c>
      <c r="E1531">
        <v>0</v>
      </c>
      <c r="F1531">
        <v>30142245646</v>
      </c>
      <c r="G1531">
        <v>43187776.840000004</v>
      </c>
      <c r="H1531">
        <v>29935223578</v>
      </c>
      <c r="I1531">
        <v>30023559850.41</v>
      </c>
      <c r="J1531">
        <v>6.3309000000000004E-2</v>
      </c>
      <c r="K1531">
        <v>2.9645999999999999E-2</v>
      </c>
      <c r="M1531" t="s">
        <v>2</v>
      </c>
      <c r="N1531">
        <v>8250</v>
      </c>
      <c r="O1531">
        <v>18</v>
      </c>
      <c r="P1531">
        <v>2</v>
      </c>
      <c r="Q1531">
        <v>0</v>
      </c>
      <c r="R1531">
        <v>25704149</v>
      </c>
      <c r="S1531">
        <v>18714.96</v>
      </c>
      <c r="T1531">
        <v>25685434.039999999</v>
      </c>
      <c r="U1531">
        <v>25685434.039999999</v>
      </c>
      <c r="V1531">
        <v>0</v>
      </c>
      <c r="W1531">
        <v>0</v>
      </c>
    </row>
    <row r="1532" spans="1:23" x14ac:dyDescent="0.35">
      <c r="A1532" t="s">
        <v>2</v>
      </c>
      <c r="B1532">
        <v>4750</v>
      </c>
      <c r="C1532">
        <v>14</v>
      </c>
      <c r="D1532">
        <v>41</v>
      </c>
      <c r="E1532">
        <v>0</v>
      </c>
      <c r="F1532">
        <v>930881252</v>
      </c>
      <c r="G1532">
        <v>1267209.73</v>
      </c>
      <c r="H1532">
        <v>929531612</v>
      </c>
      <c r="I1532">
        <v>929531612</v>
      </c>
      <c r="J1532">
        <v>1.062E-3</v>
      </c>
      <c r="K1532">
        <v>1.062E-3</v>
      </c>
      <c r="M1532" t="s">
        <v>3</v>
      </c>
      <c r="N1532">
        <v>6000</v>
      </c>
      <c r="O1532">
        <v>12</v>
      </c>
      <c r="P1532">
        <v>23</v>
      </c>
      <c r="Q1532">
        <v>0</v>
      </c>
      <c r="R1532">
        <v>534787093</v>
      </c>
      <c r="S1532">
        <v>577720.27</v>
      </c>
      <c r="T1532">
        <v>534209372.73000002</v>
      </c>
      <c r="U1532">
        <v>534209372.73000002</v>
      </c>
      <c r="V1532">
        <v>0</v>
      </c>
      <c r="W1532">
        <v>0</v>
      </c>
    </row>
    <row r="1533" spans="1:23" x14ac:dyDescent="0.35">
      <c r="A1533" t="s">
        <v>0</v>
      </c>
      <c r="B1533">
        <v>4750</v>
      </c>
      <c r="C1533">
        <v>14</v>
      </c>
      <c r="D1533">
        <v>1241</v>
      </c>
      <c r="E1533">
        <v>0</v>
      </c>
      <c r="F1533">
        <v>42436624228</v>
      </c>
      <c r="G1533">
        <v>57683239.049999997</v>
      </c>
      <c r="H1533">
        <v>42294980236</v>
      </c>
      <c r="I1533">
        <v>42375059525.260002</v>
      </c>
      <c r="J1533">
        <v>2.3484999999999999E-2</v>
      </c>
      <c r="K1533">
        <v>1.0970000000000001E-3</v>
      </c>
      <c r="M1533" t="s">
        <v>3</v>
      </c>
      <c r="N1533">
        <v>6000</v>
      </c>
      <c r="O1533">
        <v>16</v>
      </c>
      <c r="P1533">
        <v>45</v>
      </c>
      <c r="Q1533">
        <v>0</v>
      </c>
      <c r="R1533">
        <v>1126322137</v>
      </c>
      <c r="S1533">
        <v>1240153.1599999999</v>
      </c>
      <c r="T1533">
        <v>1125081983.8399999</v>
      </c>
      <c r="U1533">
        <v>1125081983.8399999</v>
      </c>
      <c r="V1533">
        <v>0</v>
      </c>
      <c r="W1533">
        <v>0</v>
      </c>
    </row>
    <row r="1534" spans="1:23" x14ac:dyDescent="0.35">
      <c r="A1534" t="s">
        <v>1</v>
      </c>
      <c r="B1534">
        <v>4750</v>
      </c>
      <c r="C1534">
        <v>14</v>
      </c>
      <c r="D1534">
        <v>466</v>
      </c>
      <c r="E1534">
        <v>0</v>
      </c>
      <c r="F1534">
        <v>18176858276</v>
      </c>
      <c r="G1534">
        <v>24713801.539999999</v>
      </c>
      <c r="H1534">
        <v>17997066824</v>
      </c>
      <c r="I1534">
        <v>18115110516.349998</v>
      </c>
      <c r="J1534">
        <v>9.7709000000000004E-2</v>
      </c>
      <c r="K1534">
        <v>2.4177000000000001E-2</v>
      </c>
      <c r="M1534" t="s">
        <v>0</v>
      </c>
      <c r="N1534">
        <v>8250</v>
      </c>
      <c r="O1534">
        <v>16</v>
      </c>
      <c r="P1534">
        <v>210</v>
      </c>
      <c r="Q1534">
        <v>0</v>
      </c>
      <c r="R1534">
        <v>6044597932</v>
      </c>
      <c r="S1534">
        <v>4343553.57</v>
      </c>
      <c r="T1534">
        <v>6014818477.8900003</v>
      </c>
      <c r="U1534">
        <v>6040254378.4300003</v>
      </c>
      <c r="V1534">
        <v>4.9343999999999999E-2</v>
      </c>
      <c r="W1534">
        <v>0</v>
      </c>
    </row>
    <row r="1535" spans="1:23" x14ac:dyDescent="0.35">
      <c r="A1535" t="s">
        <v>1</v>
      </c>
      <c r="B1535">
        <v>4250</v>
      </c>
      <c r="C1535">
        <v>14</v>
      </c>
      <c r="D1535">
        <v>292</v>
      </c>
      <c r="E1535">
        <v>0</v>
      </c>
      <c r="F1535">
        <v>9935250101</v>
      </c>
      <c r="G1535">
        <v>14715166.310000001</v>
      </c>
      <c r="H1535">
        <v>9918818289</v>
      </c>
      <c r="I1535">
        <v>9918818289</v>
      </c>
      <c r="J1535">
        <v>2.0709999999999999E-3</v>
      </c>
      <c r="K1535">
        <v>2.0709999999999999E-3</v>
      </c>
      <c r="M1535" t="s">
        <v>2</v>
      </c>
      <c r="N1535">
        <v>6500</v>
      </c>
      <c r="O1535">
        <v>7</v>
      </c>
      <c r="P1535">
        <v>747</v>
      </c>
      <c r="Q1535">
        <v>0</v>
      </c>
      <c r="R1535">
        <v>15453088682</v>
      </c>
      <c r="S1535">
        <v>14792843.85</v>
      </c>
      <c r="T1535">
        <v>15389148186.299999</v>
      </c>
      <c r="U1535">
        <v>15438295838.15</v>
      </c>
      <c r="V1535">
        <v>3.7504999999999997E-2</v>
      </c>
      <c r="W1535">
        <v>0</v>
      </c>
    </row>
    <row r="1536" spans="1:23" x14ac:dyDescent="0.35">
      <c r="A1536" t="s">
        <v>0</v>
      </c>
      <c r="B1536">
        <v>4250</v>
      </c>
      <c r="C1536">
        <v>14</v>
      </c>
      <c r="D1536">
        <v>695</v>
      </c>
      <c r="E1536">
        <v>0</v>
      </c>
      <c r="F1536">
        <v>23936383413</v>
      </c>
      <c r="G1536">
        <v>35413183.659999996</v>
      </c>
      <c r="H1536">
        <v>23898377313</v>
      </c>
      <c r="I1536">
        <v>23898377313</v>
      </c>
      <c r="J1536">
        <v>1.299E-3</v>
      </c>
      <c r="K1536">
        <v>1.299E-3</v>
      </c>
      <c r="M1536" t="s">
        <v>2</v>
      </c>
      <c r="N1536">
        <v>8000</v>
      </c>
      <c r="O1536">
        <v>18</v>
      </c>
      <c r="P1536">
        <v>4</v>
      </c>
      <c r="Q1536">
        <v>0</v>
      </c>
      <c r="R1536">
        <v>73486655</v>
      </c>
      <c r="S1536">
        <v>56400.74</v>
      </c>
      <c r="T1536">
        <v>73430254.260000005</v>
      </c>
      <c r="U1536">
        <v>73430254.260000005</v>
      </c>
      <c r="V1536">
        <v>0</v>
      </c>
      <c r="W1536">
        <v>0</v>
      </c>
    </row>
    <row r="1537" spans="1:23" x14ac:dyDescent="0.35">
      <c r="A1537" t="s">
        <v>1</v>
      </c>
      <c r="B1537">
        <v>5000</v>
      </c>
      <c r="C1537">
        <v>14</v>
      </c>
      <c r="D1537">
        <v>2057</v>
      </c>
      <c r="E1537">
        <v>0</v>
      </c>
      <c r="F1537">
        <v>79477260255</v>
      </c>
      <c r="G1537">
        <v>103446007.31999999</v>
      </c>
      <c r="H1537">
        <v>79010960832</v>
      </c>
      <c r="I1537">
        <v>79149441622.970001</v>
      </c>
      <c r="J1537">
        <v>5.3430999999999999E-2</v>
      </c>
      <c r="K1537">
        <v>3.3355999999999997E-2</v>
      </c>
      <c r="M1537" t="s">
        <v>1</v>
      </c>
      <c r="N1537">
        <v>8000</v>
      </c>
      <c r="O1537">
        <v>16</v>
      </c>
      <c r="P1537">
        <v>56</v>
      </c>
      <c r="Q1537">
        <v>0</v>
      </c>
      <c r="R1537">
        <v>1129306924</v>
      </c>
      <c r="S1537">
        <v>856139.25</v>
      </c>
      <c r="T1537">
        <v>1020068214.49</v>
      </c>
      <c r="U1537">
        <v>1114174827.72</v>
      </c>
      <c r="V1537">
        <v>0.70202600000000004</v>
      </c>
      <c r="W1537">
        <v>0.14158100000000001</v>
      </c>
    </row>
    <row r="1538" spans="1:23" x14ac:dyDescent="0.35">
      <c r="A1538" t="s">
        <v>0</v>
      </c>
      <c r="B1538">
        <v>5250</v>
      </c>
      <c r="C1538">
        <v>14</v>
      </c>
      <c r="D1538">
        <v>2309</v>
      </c>
      <c r="E1538">
        <v>0</v>
      </c>
      <c r="F1538">
        <v>79144164156</v>
      </c>
      <c r="G1538">
        <v>98589323.290000007</v>
      </c>
      <c r="H1538">
        <v>78677179461</v>
      </c>
      <c r="I1538">
        <v>79011881570.830002</v>
      </c>
      <c r="J1538">
        <v>5.4448999999999997E-2</v>
      </c>
      <c r="K1538">
        <v>5.097E-3</v>
      </c>
      <c r="M1538" t="s">
        <v>1</v>
      </c>
      <c r="N1538">
        <v>8250</v>
      </c>
      <c r="O1538">
        <v>16</v>
      </c>
      <c r="P1538">
        <v>9</v>
      </c>
      <c r="Q1538">
        <v>0</v>
      </c>
      <c r="R1538">
        <v>201195253</v>
      </c>
      <c r="S1538">
        <v>144679.26</v>
      </c>
      <c r="T1538">
        <v>185238961.81</v>
      </c>
      <c r="U1538">
        <v>185238961.81</v>
      </c>
      <c r="V1538">
        <v>0.62550700000000004</v>
      </c>
      <c r="W1538">
        <v>0.62550700000000004</v>
      </c>
    </row>
    <row r="1539" spans="1:23" x14ac:dyDescent="0.35">
      <c r="A1539" t="s">
        <v>2</v>
      </c>
      <c r="B1539">
        <v>5000</v>
      </c>
      <c r="C1539">
        <v>14</v>
      </c>
      <c r="D1539">
        <v>114</v>
      </c>
      <c r="E1539">
        <v>0</v>
      </c>
      <c r="F1539">
        <v>2923832722</v>
      </c>
      <c r="G1539">
        <v>3798718.75</v>
      </c>
      <c r="H1539">
        <v>2907140960</v>
      </c>
      <c r="I1539">
        <v>2907140960</v>
      </c>
      <c r="J1539">
        <v>5.1651000000000002E-2</v>
      </c>
      <c r="K1539">
        <v>5.1651000000000002E-2</v>
      </c>
      <c r="M1539" t="s">
        <v>0</v>
      </c>
      <c r="N1539">
        <v>8500</v>
      </c>
      <c r="O1539">
        <v>18</v>
      </c>
      <c r="P1539">
        <v>9</v>
      </c>
      <c r="Q1539">
        <v>0</v>
      </c>
      <c r="R1539">
        <v>264242442</v>
      </c>
      <c r="S1539">
        <v>185119.39</v>
      </c>
      <c r="T1539">
        <v>264057322.61000001</v>
      </c>
      <c r="U1539">
        <v>264057322.61000001</v>
      </c>
      <c r="V1539">
        <v>0</v>
      </c>
      <c r="W1539">
        <v>0</v>
      </c>
    </row>
    <row r="1540" spans="1:23" x14ac:dyDescent="0.35">
      <c r="A1540" t="s">
        <v>1</v>
      </c>
      <c r="B1540">
        <v>5250</v>
      </c>
      <c r="C1540">
        <v>14</v>
      </c>
      <c r="D1540">
        <v>1775</v>
      </c>
      <c r="E1540">
        <v>0</v>
      </c>
      <c r="F1540">
        <v>70548636230</v>
      </c>
      <c r="G1540">
        <v>87856994.959999993</v>
      </c>
      <c r="H1540">
        <v>69707041638</v>
      </c>
      <c r="I1540">
        <v>70245415171.559998</v>
      </c>
      <c r="J1540">
        <v>0.120936</v>
      </c>
      <c r="K1540">
        <v>3.6024E-2</v>
      </c>
      <c r="M1540" t="s">
        <v>0</v>
      </c>
      <c r="N1540">
        <v>9000</v>
      </c>
      <c r="O1540">
        <v>18</v>
      </c>
      <c r="P1540">
        <v>34</v>
      </c>
      <c r="Q1540">
        <v>0</v>
      </c>
      <c r="R1540">
        <v>791072847</v>
      </c>
      <c r="S1540">
        <v>528968.46</v>
      </c>
      <c r="T1540">
        <v>759935461.83000004</v>
      </c>
      <c r="U1540">
        <v>790543878.53999996</v>
      </c>
      <c r="V1540">
        <v>0.37719900000000001</v>
      </c>
      <c r="W1540">
        <v>0</v>
      </c>
    </row>
    <row r="1541" spans="1:23" x14ac:dyDescent="0.35">
      <c r="A1541" t="s">
        <v>1</v>
      </c>
      <c r="B1541">
        <v>5000</v>
      </c>
      <c r="C1541">
        <v>12</v>
      </c>
      <c r="D1541">
        <v>1789</v>
      </c>
      <c r="E1541">
        <v>0</v>
      </c>
      <c r="F1541">
        <v>67380325935</v>
      </c>
      <c r="G1541">
        <v>86511908.409999996</v>
      </c>
      <c r="H1541">
        <v>67159276451</v>
      </c>
      <c r="I1541">
        <v>67247497859.650002</v>
      </c>
      <c r="J1541">
        <v>2.3699000000000001E-2</v>
      </c>
      <c r="K1541">
        <v>8.2170000000000003E-3</v>
      </c>
      <c r="M1541" t="s">
        <v>2</v>
      </c>
      <c r="N1541">
        <v>7250</v>
      </c>
      <c r="O1541">
        <v>14</v>
      </c>
      <c r="P1541">
        <v>314</v>
      </c>
      <c r="Q1541">
        <v>0</v>
      </c>
      <c r="R1541">
        <v>4608140345</v>
      </c>
      <c r="S1541">
        <v>3986856.96</v>
      </c>
      <c r="T1541">
        <v>4528772876.3900003</v>
      </c>
      <c r="U1541">
        <v>4572496102.5600004</v>
      </c>
      <c r="V1541">
        <v>0.179565</v>
      </c>
      <c r="W1541">
        <v>7.9394000000000006E-2</v>
      </c>
    </row>
    <row r="1542" spans="1:23" x14ac:dyDescent="0.35">
      <c r="A1542" t="s">
        <v>0</v>
      </c>
      <c r="B1542">
        <v>4750</v>
      </c>
      <c r="C1542">
        <v>12</v>
      </c>
      <c r="D1542">
        <v>1578</v>
      </c>
      <c r="E1542">
        <v>0</v>
      </c>
      <c r="F1542">
        <v>53154794696</v>
      </c>
      <c r="G1542">
        <v>71462927.519999996</v>
      </c>
      <c r="H1542">
        <v>53075259237</v>
      </c>
      <c r="I1542">
        <v>53075259237</v>
      </c>
      <c r="J1542">
        <v>1.8209999999999999E-3</v>
      </c>
      <c r="K1542">
        <v>1.8209999999999999E-3</v>
      </c>
      <c r="M1542" t="s">
        <v>2</v>
      </c>
      <c r="N1542">
        <v>7500</v>
      </c>
      <c r="O1542">
        <v>16</v>
      </c>
      <c r="P1542">
        <v>125</v>
      </c>
      <c r="Q1542">
        <v>0</v>
      </c>
      <c r="R1542">
        <v>1944455558</v>
      </c>
      <c r="S1542">
        <v>1640043.93</v>
      </c>
      <c r="T1542">
        <v>1878602758.74</v>
      </c>
      <c r="U1542">
        <v>1886280604.7</v>
      </c>
      <c r="V1542">
        <v>0.33167000000000002</v>
      </c>
      <c r="W1542">
        <v>0.29817500000000002</v>
      </c>
    </row>
    <row r="1543" spans="1:23" x14ac:dyDescent="0.35">
      <c r="A1543" t="s">
        <v>2</v>
      </c>
      <c r="B1543">
        <v>5000</v>
      </c>
      <c r="C1543">
        <v>12</v>
      </c>
      <c r="D1543">
        <v>143</v>
      </c>
      <c r="E1543">
        <v>0</v>
      </c>
      <c r="F1543">
        <v>3811891235</v>
      </c>
      <c r="G1543">
        <v>4893758.08</v>
      </c>
      <c r="H1543">
        <v>3806445837</v>
      </c>
      <c r="I1543">
        <v>3806445837</v>
      </c>
      <c r="J1543">
        <v>1.735E-3</v>
      </c>
      <c r="K1543">
        <v>1.735E-3</v>
      </c>
      <c r="M1543" t="s">
        <v>2</v>
      </c>
      <c r="N1543">
        <v>7750</v>
      </c>
      <c r="O1543">
        <v>16</v>
      </c>
      <c r="P1543">
        <v>19</v>
      </c>
      <c r="Q1543">
        <v>0</v>
      </c>
      <c r="R1543">
        <v>201062888</v>
      </c>
      <c r="S1543">
        <v>159985.10999999999</v>
      </c>
      <c r="T1543">
        <v>200902902.88999999</v>
      </c>
      <c r="U1543">
        <v>200902902.88999999</v>
      </c>
      <c r="V1543">
        <v>0</v>
      </c>
      <c r="W1543">
        <v>0</v>
      </c>
    </row>
    <row r="1544" spans="1:23" x14ac:dyDescent="0.35">
      <c r="A1544" t="s">
        <v>0</v>
      </c>
      <c r="B1544">
        <v>5250</v>
      </c>
      <c r="C1544">
        <v>12</v>
      </c>
      <c r="D1544">
        <v>2036</v>
      </c>
      <c r="E1544">
        <v>0</v>
      </c>
      <c r="F1544">
        <v>71621299037</v>
      </c>
      <c r="G1544">
        <v>88155856.269999996</v>
      </c>
      <c r="H1544">
        <v>71308355777</v>
      </c>
      <c r="I1544">
        <v>71501110105.679993</v>
      </c>
      <c r="J1544">
        <v>3.7019000000000003E-2</v>
      </c>
      <c r="K1544">
        <v>5.3540000000000003E-3</v>
      </c>
      <c r="M1544" t="s">
        <v>1</v>
      </c>
      <c r="N1544">
        <v>7500</v>
      </c>
      <c r="O1544">
        <v>5</v>
      </c>
      <c r="P1544">
        <v>502</v>
      </c>
      <c r="Q1544">
        <v>0</v>
      </c>
      <c r="R1544">
        <v>16515900000</v>
      </c>
      <c r="S1544">
        <v>12812795.470000001</v>
      </c>
      <c r="T1544">
        <v>16418954542.049999</v>
      </c>
      <c r="U1544">
        <v>16458824304.02</v>
      </c>
      <c r="V1544">
        <v>5.9444999999999998E-2</v>
      </c>
      <c r="W1544">
        <v>3.1690000000000003E-2</v>
      </c>
    </row>
    <row r="1545" spans="1:23" x14ac:dyDescent="0.35">
      <c r="A1545" t="s">
        <v>2</v>
      </c>
      <c r="B1545">
        <v>5250</v>
      </c>
      <c r="C1545">
        <v>12</v>
      </c>
      <c r="D1545">
        <v>49</v>
      </c>
      <c r="E1545">
        <v>0</v>
      </c>
      <c r="F1545">
        <v>1171202116</v>
      </c>
      <c r="G1545">
        <v>1437695.74</v>
      </c>
      <c r="H1545">
        <v>1169709623</v>
      </c>
      <c r="I1545">
        <v>1169709623</v>
      </c>
      <c r="J1545">
        <v>5.6099999999999998E-4</v>
      </c>
      <c r="K1545">
        <v>5.6099999999999998E-4</v>
      </c>
      <c r="M1545" t="s">
        <v>3</v>
      </c>
      <c r="N1545">
        <v>6500</v>
      </c>
      <c r="O1545">
        <v>14</v>
      </c>
      <c r="P1545">
        <v>43</v>
      </c>
      <c r="Q1545">
        <v>0</v>
      </c>
      <c r="R1545">
        <v>1050946018</v>
      </c>
      <c r="S1545">
        <v>1046384.71</v>
      </c>
      <c r="T1545">
        <v>1049899633.29</v>
      </c>
      <c r="U1545">
        <v>1049899633.29</v>
      </c>
      <c r="V1545">
        <v>0</v>
      </c>
      <c r="W1545">
        <v>0</v>
      </c>
    </row>
    <row r="1546" spans="1:23" x14ac:dyDescent="0.35">
      <c r="A1546" t="s">
        <v>1</v>
      </c>
      <c r="B1546">
        <v>5250</v>
      </c>
      <c r="C1546">
        <v>12</v>
      </c>
      <c r="D1546">
        <v>992</v>
      </c>
      <c r="E1546">
        <v>0</v>
      </c>
      <c r="F1546">
        <v>39552829899</v>
      </c>
      <c r="G1546">
        <v>48619805.909999996</v>
      </c>
      <c r="H1546">
        <v>39425240492</v>
      </c>
      <c r="I1546">
        <v>39452816909.830002</v>
      </c>
      <c r="J1546">
        <v>2.3696999999999999E-2</v>
      </c>
      <c r="K1546">
        <v>1.5481E-2</v>
      </c>
      <c r="M1546" t="s">
        <v>1</v>
      </c>
      <c r="N1546">
        <v>4750</v>
      </c>
      <c r="O1546">
        <v>18</v>
      </c>
      <c r="P1546">
        <v>561</v>
      </c>
      <c r="Q1546">
        <v>0</v>
      </c>
      <c r="R1546">
        <v>19847370981</v>
      </c>
      <c r="S1546">
        <v>27536866.809999999</v>
      </c>
      <c r="T1546">
        <v>19725374716.09</v>
      </c>
      <c r="U1546">
        <v>19734151802.91</v>
      </c>
      <c r="V1546">
        <v>5.5640000000000002E-2</v>
      </c>
      <c r="W1546">
        <v>5.0591999999999998E-2</v>
      </c>
    </row>
    <row r="1547" spans="1:23" x14ac:dyDescent="0.35">
      <c r="A1547" t="s">
        <v>2</v>
      </c>
      <c r="B1547">
        <v>5750</v>
      </c>
      <c r="C1547">
        <v>12</v>
      </c>
      <c r="D1547">
        <v>185</v>
      </c>
      <c r="E1547">
        <v>0</v>
      </c>
      <c r="F1547">
        <v>4175818983</v>
      </c>
      <c r="G1547">
        <v>4698270.57</v>
      </c>
      <c r="H1547">
        <v>4154943433</v>
      </c>
      <c r="I1547">
        <v>4170252869.4899998</v>
      </c>
      <c r="J1547">
        <v>4.5511000000000003E-2</v>
      </c>
      <c r="K1547">
        <v>2.4910000000000002E-3</v>
      </c>
      <c r="M1547" t="s">
        <v>0</v>
      </c>
      <c r="N1547">
        <v>4250</v>
      </c>
      <c r="O1547">
        <v>16</v>
      </c>
      <c r="P1547">
        <v>1220</v>
      </c>
      <c r="Q1547">
        <v>0</v>
      </c>
      <c r="R1547">
        <v>39056516874</v>
      </c>
      <c r="S1547">
        <v>58296242.43</v>
      </c>
      <c r="T1547">
        <v>38998220631.57</v>
      </c>
      <c r="U1547">
        <v>38998220631.57</v>
      </c>
      <c r="V1547">
        <v>0</v>
      </c>
      <c r="W1547">
        <v>0</v>
      </c>
    </row>
    <row r="1548" spans="1:23" x14ac:dyDescent="0.35">
      <c r="A1548" t="s">
        <v>2</v>
      </c>
      <c r="B1548">
        <v>4750</v>
      </c>
      <c r="C1548">
        <v>12</v>
      </c>
      <c r="D1548">
        <v>54</v>
      </c>
      <c r="E1548">
        <v>0</v>
      </c>
      <c r="F1548">
        <v>1328711603</v>
      </c>
      <c r="G1548">
        <v>1783199.61</v>
      </c>
      <c r="H1548">
        <v>1326719115</v>
      </c>
      <c r="I1548">
        <v>1326719115</v>
      </c>
      <c r="J1548">
        <v>1.8890000000000001E-3</v>
      </c>
      <c r="K1548">
        <v>1.8890000000000001E-3</v>
      </c>
      <c r="M1548" t="s">
        <v>2</v>
      </c>
      <c r="N1548">
        <v>4250</v>
      </c>
      <c r="O1548">
        <v>16</v>
      </c>
      <c r="P1548">
        <v>43</v>
      </c>
      <c r="Q1548">
        <v>0</v>
      </c>
      <c r="R1548">
        <v>958430009</v>
      </c>
      <c r="S1548">
        <v>1437497</v>
      </c>
      <c r="T1548">
        <v>956992512</v>
      </c>
      <c r="U1548">
        <v>956992512</v>
      </c>
      <c r="V1548">
        <v>0</v>
      </c>
      <c r="W1548">
        <v>0</v>
      </c>
    </row>
    <row r="1549" spans="1:23" x14ac:dyDescent="0.35">
      <c r="A1549" t="s">
        <v>2</v>
      </c>
      <c r="B1549">
        <v>5500</v>
      </c>
      <c r="C1549">
        <v>12</v>
      </c>
      <c r="D1549">
        <v>142</v>
      </c>
      <c r="E1549">
        <v>0</v>
      </c>
      <c r="F1549">
        <v>3212820418</v>
      </c>
      <c r="G1549">
        <v>3770680.55</v>
      </c>
      <c r="H1549">
        <v>3208753288</v>
      </c>
      <c r="I1549">
        <v>3208753288</v>
      </c>
      <c r="J1549">
        <v>1.1069999999999999E-3</v>
      </c>
      <c r="K1549">
        <v>1.1069999999999999E-3</v>
      </c>
      <c r="M1549" t="s">
        <v>1</v>
      </c>
      <c r="N1549">
        <v>4250</v>
      </c>
      <c r="O1549">
        <v>16</v>
      </c>
      <c r="P1549">
        <v>459</v>
      </c>
      <c r="Q1549">
        <v>0</v>
      </c>
      <c r="R1549">
        <v>16358994025</v>
      </c>
      <c r="S1549">
        <v>24454828.940000001</v>
      </c>
      <c r="T1549">
        <v>16183087552.1</v>
      </c>
      <c r="U1549">
        <v>16259480221.66</v>
      </c>
      <c r="V1549">
        <v>0.10561</v>
      </c>
      <c r="W1549">
        <v>5.3690000000000002E-2</v>
      </c>
    </row>
    <row r="1550" spans="1:23" x14ac:dyDescent="0.35">
      <c r="A1550" t="s">
        <v>1</v>
      </c>
      <c r="B1550">
        <v>4750</v>
      </c>
      <c r="C1550">
        <v>12</v>
      </c>
      <c r="D1550">
        <v>505</v>
      </c>
      <c r="E1550">
        <v>0</v>
      </c>
      <c r="F1550">
        <v>19058684411</v>
      </c>
      <c r="G1550">
        <v>25591126.57</v>
      </c>
      <c r="H1550">
        <v>19029509132</v>
      </c>
      <c r="I1550">
        <v>19029509132</v>
      </c>
      <c r="J1550">
        <v>2.2539999999999999E-3</v>
      </c>
      <c r="K1550">
        <v>2.2539999999999999E-3</v>
      </c>
      <c r="M1550" t="s">
        <v>2</v>
      </c>
      <c r="N1550">
        <v>4750</v>
      </c>
      <c r="O1550">
        <v>16</v>
      </c>
      <c r="P1550">
        <v>47</v>
      </c>
      <c r="Q1550">
        <v>0</v>
      </c>
      <c r="R1550">
        <v>1255528760</v>
      </c>
      <c r="S1550">
        <v>1720480.09</v>
      </c>
      <c r="T1550">
        <v>1253808279.9100001</v>
      </c>
      <c r="U1550">
        <v>1253808279.9100001</v>
      </c>
      <c r="V1550">
        <v>0</v>
      </c>
      <c r="W1550">
        <v>0</v>
      </c>
    </row>
    <row r="1551" spans="1:23" x14ac:dyDescent="0.35">
      <c r="A1551" t="s">
        <v>2</v>
      </c>
      <c r="B1551">
        <v>8250</v>
      </c>
      <c r="C1551">
        <v>18</v>
      </c>
      <c r="D1551">
        <v>2</v>
      </c>
      <c r="E1551">
        <v>0</v>
      </c>
      <c r="F1551">
        <v>27045404</v>
      </c>
      <c r="G1551">
        <v>19656.400000000001</v>
      </c>
      <c r="H1551">
        <v>27033102</v>
      </c>
      <c r="I1551">
        <v>27033102</v>
      </c>
      <c r="J1551">
        <v>-3.2680000000000001E-3</v>
      </c>
      <c r="K1551">
        <v>-3.2680000000000001E-3</v>
      </c>
      <c r="M1551" t="s">
        <v>0</v>
      </c>
      <c r="N1551">
        <v>4250</v>
      </c>
      <c r="O1551">
        <v>14</v>
      </c>
      <c r="P1551">
        <v>1245</v>
      </c>
      <c r="Q1551">
        <v>0</v>
      </c>
      <c r="R1551">
        <v>42726945903</v>
      </c>
      <c r="S1551">
        <v>63234306.759999998</v>
      </c>
      <c r="T1551">
        <v>42585403712.690002</v>
      </c>
      <c r="U1551">
        <v>42623780665.18</v>
      </c>
      <c r="V1551">
        <v>2.1773000000000001E-2</v>
      </c>
      <c r="W1551">
        <v>1.1157E-2</v>
      </c>
    </row>
    <row r="1552" spans="1:23" x14ac:dyDescent="0.35">
      <c r="A1552" t="s">
        <v>2</v>
      </c>
      <c r="B1552">
        <v>7500</v>
      </c>
      <c r="C1552">
        <v>16</v>
      </c>
      <c r="D1552">
        <v>52</v>
      </c>
      <c r="E1552">
        <v>0</v>
      </c>
      <c r="F1552">
        <v>776863885</v>
      </c>
      <c r="G1552">
        <v>660907.68000000005</v>
      </c>
      <c r="H1552">
        <v>776246783</v>
      </c>
      <c r="I1552">
        <v>776246783</v>
      </c>
      <c r="J1552">
        <v>-6.7699999999999998E-4</v>
      </c>
      <c r="K1552">
        <v>-6.7699999999999998E-4</v>
      </c>
      <c r="M1552" t="s">
        <v>1</v>
      </c>
      <c r="N1552">
        <v>4250</v>
      </c>
      <c r="O1552">
        <v>14</v>
      </c>
      <c r="P1552">
        <v>435</v>
      </c>
      <c r="Q1552">
        <v>0</v>
      </c>
      <c r="R1552">
        <v>14883473021</v>
      </c>
      <c r="S1552">
        <v>22043523.52</v>
      </c>
      <c r="T1552">
        <v>14787472903.65</v>
      </c>
      <c r="U1552">
        <v>14787472903.65</v>
      </c>
      <c r="V1552">
        <v>5.8026000000000001E-2</v>
      </c>
      <c r="W1552">
        <v>5.8026000000000001E-2</v>
      </c>
    </row>
    <row r="1553" spans="1:23" x14ac:dyDescent="0.35">
      <c r="A1553" t="s">
        <v>0</v>
      </c>
      <c r="B1553">
        <v>8000</v>
      </c>
      <c r="C1553">
        <v>16</v>
      </c>
      <c r="D1553">
        <v>136</v>
      </c>
      <c r="E1553">
        <v>0</v>
      </c>
      <c r="F1553">
        <v>3743998081</v>
      </c>
      <c r="G1553">
        <v>2862041.22</v>
      </c>
      <c r="H1553">
        <v>3586764587</v>
      </c>
      <c r="I1553">
        <v>3674800150.0300002</v>
      </c>
      <c r="J1553">
        <v>0.39665699999999998</v>
      </c>
      <c r="K1553">
        <v>0.19307199999999999</v>
      </c>
      <c r="M1553" t="s">
        <v>2</v>
      </c>
      <c r="N1553">
        <v>4250</v>
      </c>
      <c r="O1553">
        <v>14</v>
      </c>
      <c r="P1553">
        <v>40</v>
      </c>
      <c r="Q1553">
        <v>0</v>
      </c>
      <c r="R1553">
        <v>940070395</v>
      </c>
      <c r="S1553">
        <v>1392328.88</v>
      </c>
      <c r="T1553">
        <v>938678066.12</v>
      </c>
      <c r="U1553">
        <v>938678066.12</v>
      </c>
      <c r="V1553">
        <v>0</v>
      </c>
      <c r="W1553">
        <v>0</v>
      </c>
    </row>
    <row r="1554" spans="1:23" x14ac:dyDescent="0.35">
      <c r="A1554" t="s">
        <v>3</v>
      </c>
      <c r="B1554">
        <v>6000</v>
      </c>
      <c r="C1554">
        <v>20</v>
      </c>
      <c r="D1554">
        <v>4</v>
      </c>
      <c r="E1554">
        <v>0</v>
      </c>
      <c r="F1554">
        <v>81449547</v>
      </c>
      <c r="G1554">
        <v>92606.22</v>
      </c>
      <c r="H1554">
        <v>81352157</v>
      </c>
      <c r="I1554">
        <v>81352157</v>
      </c>
      <c r="J1554">
        <v>7.0500000000000001E-4</v>
      </c>
      <c r="K1554">
        <v>7.0500000000000001E-4</v>
      </c>
      <c r="M1554" t="s">
        <v>1</v>
      </c>
      <c r="N1554">
        <v>4500</v>
      </c>
      <c r="O1554">
        <v>14</v>
      </c>
      <c r="P1554">
        <v>918</v>
      </c>
      <c r="Q1554">
        <v>0</v>
      </c>
      <c r="R1554">
        <v>31763263634</v>
      </c>
      <c r="S1554">
        <v>44962587.350000001</v>
      </c>
      <c r="T1554">
        <v>31689289997.990002</v>
      </c>
      <c r="U1554">
        <v>31694364207.740002</v>
      </c>
      <c r="V1554">
        <v>1.0905E-2</v>
      </c>
      <c r="W1554">
        <v>9.0060000000000001E-3</v>
      </c>
    </row>
    <row r="1555" spans="1:23" x14ac:dyDescent="0.35">
      <c r="A1555" t="s">
        <v>0</v>
      </c>
      <c r="B1555">
        <v>8500</v>
      </c>
      <c r="C1555">
        <v>18</v>
      </c>
      <c r="D1555">
        <v>7</v>
      </c>
      <c r="E1555">
        <v>0</v>
      </c>
      <c r="F1555">
        <v>176914906</v>
      </c>
      <c r="G1555">
        <v>124110.27</v>
      </c>
      <c r="H1555">
        <v>176795858</v>
      </c>
      <c r="I1555">
        <v>176795858</v>
      </c>
      <c r="J1555">
        <v>-3.4299999999999999E-4</v>
      </c>
      <c r="K1555">
        <v>-3.4299999999999999E-4</v>
      </c>
      <c r="M1555" t="s">
        <v>0</v>
      </c>
      <c r="N1555">
        <v>4750</v>
      </c>
      <c r="O1555">
        <v>14</v>
      </c>
      <c r="P1555">
        <v>1532</v>
      </c>
      <c r="Q1555">
        <v>0</v>
      </c>
      <c r="R1555">
        <v>53663884211</v>
      </c>
      <c r="S1555">
        <v>72993565.329999998</v>
      </c>
      <c r="T1555">
        <v>53422677122.779999</v>
      </c>
      <c r="U1555">
        <v>53564270776.120003</v>
      </c>
      <c r="V1555">
        <v>3.6972999999999999E-2</v>
      </c>
      <c r="W1555">
        <v>5.9360000000000003E-3</v>
      </c>
    </row>
    <row r="1556" spans="1:23" x14ac:dyDescent="0.35">
      <c r="A1556" t="s">
        <v>0</v>
      </c>
      <c r="B1556">
        <v>9000</v>
      </c>
      <c r="C1556">
        <v>18</v>
      </c>
      <c r="D1556">
        <v>23</v>
      </c>
      <c r="E1556">
        <v>0</v>
      </c>
      <c r="F1556">
        <v>542053005</v>
      </c>
      <c r="G1556">
        <v>364123.9</v>
      </c>
      <c r="H1556">
        <v>541690836</v>
      </c>
      <c r="I1556">
        <v>541690836</v>
      </c>
      <c r="J1556">
        <v>-4.3000000000000002E-5</v>
      </c>
      <c r="K1556">
        <v>-4.3000000000000002E-5</v>
      </c>
      <c r="M1556" t="s">
        <v>2</v>
      </c>
      <c r="N1556">
        <v>4750</v>
      </c>
      <c r="O1556">
        <v>14</v>
      </c>
      <c r="P1556">
        <v>31</v>
      </c>
      <c r="Q1556">
        <v>0</v>
      </c>
      <c r="R1556">
        <v>700565084</v>
      </c>
      <c r="S1556">
        <v>949394.48</v>
      </c>
      <c r="T1556">
        <v>699615689.51999998</v>
      </c>
      <c r="U1556">
        <v>699615689.51999998</v>
      </c>
      <c r="V1556">
        <v>0</v>
      </c>
      <c r="W1556">
        <v>0</v>
      </c>
    </row>
    <row r="1557" spans="1:23" x14ac:dyDescent="0.35">
      <c r="A1557" t="s">
        <v>3</v>
      </c>
      <c r="B1557">
        <v>7250</v>
      </c>
      <c r="C1557">
        <v>18</v>
      </c>
      <c r="D1557">
        <v>11</v>
      </c>
      <c r="E1557">
        <v>0</v>
      </c>
      <c r="F1557">
        <v>268545910</v>
      </c>
      <c r="G1557">
        <v>241640.91</v>
      </c>
      <c r="H1557">
        <v>268275501</v>
      </c>
      <c r="I1557">
        <v>268275501</v>
      </c>
      <c r="J1557">
        <v>1.2849999999999999E-3</v>
      </c>
      <c r="K1557">
        <v>1.2849999999999999E-3</v>
      </c>
      <c r="M1557" t="s">
        <v>1</v>
      </c>
      <c r="N1557">
        <v>4750</v>
      </c>
      <c r="O1557">
        <v>14</v>
      </c>
      <c r="P1557">
        <v>890</v>
      </c>
      <c r="Q1557">
        <v>0</v>
      </c>
      <c r="R1557">
        <v>36517296393</v>
      </c>
      <c r="S1557">
        <v>49638657.159999996</v>
      </c>
      <c r="T1557">
        <v>36175871559.220001</v>
      </c>
      <c r="U1557">
        <v>36379247260.470001</v>
      </c>
      <c r="V1557">
        <v>9.1781000000000001E-2</v>
      </c>
      <c r="W1557">
        <v>2.8669E-2</v>
      </c>
    </row>
    <row r="1558" spans="1:23" x14ac:dyDescent="0.35">
      <c r="A1558" t="s">
        <v>1</v>
      </c>
      <c r="B1558">
        <v>7750</v>
      </c>
      <c r="C1558">
        <v>16</v>
      </c>
      <c r="D1558">
        <v>184</v>
      </c>
      <c r="E1558">
        <v>0</v>
      </c>
      <c r="F1558">
        <v>5038437490</v>
      </c>
      <c r="G1558">
        <v>3993978.69</v>
      </c>
      <c r="H1558">
        <v>4838427710</v>
      </c>
      <c r="I1558">
        <v>4906686052.4799995</v>
      </c>
      <c r="J1558">
        <v>0.37884400000000001</v>
      </c>
      <c r="K1558">
        <v>0.26523400000000003</v>
      </c>
      <c r="M1558" t="s">
        <v>2</v>
      </c>
      <c r="N1558">
        <v>5000</v>
      </c>
      <c r="O1558">
        <v>12</v>
      </c>
      <c r="P1558">
        <v>113</v>
      </c>
      <c r="Q1558">
        <v>0</v>
      </c>
      <c r="R1558">
        <v>2930310781</v>
      </c>
      <c r="S1558">
        <v>3763933.87</v>
      </c>
      <c r="T1558">
        <v>2926546847.1300001</v>
      </c>
      <c r="U1558">
        <v>2926546847.1300001</v>
      </c>
      <c r="V1558">
        <v>0</v>
      </c>
      <c r="W1558">
        <v>0</v>
      </c>
    </row>
    <row r="1559" spans="1:23" x14ac:dyDescent="0.35">
      <c r="A1559" t="s">
        <v>2</v>
      </c>
      <c r="B1559">
        <v>7000</v>
      </c>
      <c r="C1559">
        <v>14</v>
      </c>
      <c r="D1559">
        <v>433</v>
      </c>
      <c r="E1559">
        <v>0</v>
      </c>
      <c r="F1559">
        <v>6885124895</v>
      </c>
      <c r="G1559">
        <v>6261861.4699999997</v>
      </c>
      <c r="H1559">
        <v>6724291486</v>
      </c>
      <c r="I1559">
        <v>6804836651.7299995</v>
      </c>
      <c r="J1559">
        <v>0.23850399999999999</v>
      </c>
      <c r="K1559">
        <v>0.121657</v>
      </c>
      <c r="M1559" t="s">
        <v>0</v>
      </c>
      <c r="N1559">
        <v>4750</v>
      </c>
      <c r="O1559">
        <v>12</v>
      </c>
      <c r="P1559">
        <v>1369</v>
      </c>
      <c r="Q1559">
        <v>0</v>
      </c>
      <c r="R1559">
        <v>45538995507</v>
      </c>
      <c r="S1559">
        <v>61211316.25</v>
      </c>
      <c r="T1559">
        <v>45392770520.440002</v>
      </c>
      <c r="U1559">
        <v>45477784190.75</v>
      </c>
      <c r="V1559">
        <v>2.2172999999999998E-2</v>
      </c>
      <c r="W1559">
        <v>0</v>
      </c>
    </row>
    <row r="1560" spans="1:23" x14ac:dyDescent="0.35">
      <c r="A1560" t="s">
        <v>0</v>
      </c>
      <c r="B1560">
        <v>5250</v>
      </c>
      <c r="C1560">
        <v>9</v>
      </c>
      <c r="D1560">
        <v>983</v>
      </c>
      <c r="E1560">
        <v>0</v>
      </c>
      <c r="F1560">
        <v>35482267236</v>
      </c>
      <c r="G1560">
        <v>43089133.140000001</v>
      </c>
      <c r="H1560">
        <v>35410929568</v>
      </c>
      <c r="I1560">
        <v>35433052687.690002</v>
      </c>
      <c r="J1560">
        <v>9.5119999999999996E-3</v>
      </c>
      <c r="K1560">
        <v>2.0699999999999998E-3</v>
      </c>
      <c r="M1560" t="s">
        <v>1</v>
      </c>
      <c r="N1560">
        <v>4750</v>
      </c>
      <c r="O1560">
        <v>12</v>
      </c>
      <c r="P1560">
        <v>422</v>
      </c>
      <c r="Q1560">
        <v>0</v>
      </c>
      <c r="R1560">
        <v>15854585858</v>
      </c>
      <c r="S1560">
        <v>21304858.870000001</v>
      </c>
      <c r="T1560">
        <v>15822676128.610001</v>
      </c>
      <c r="U1560">
        <v>15833280999.129999</v>
      </c>
      <c r="V1560">
        <v>7.9970000000000006E-3</v>
      </c>
      <c r="W1560">
        <v>0</v>
      </c>
    </row>
    <row r="1561" spans="1:23" x14ac:dyDescent="0.35">
      <c r="A1561" t="s">
        <v>2</v>
      </c>
      <c r="B1561">
        <v>5250</v>
      </c>
      <c r="C1561">
        <v>8</v>
      </c>
      <c r="D1561">
        <v>14</v>
      </c>
      <c r="E1561">
        <v>0</v>
      </c>
      <c r="F1561">
        <v>294874633</v>
      </c>
      <c r="G1561">
        <v>356239.25</v>
      </c>
      <c r="H1561">
        <v>294625825</v>
      </c>
      <c r="I1561">
        <v>294625825</v>
      </c>
      <c r="J1561">
        <v>-4.3810000000000003E-3</v>
      </c>
      <c r="K1561">
        <v>-4.3810000000000003E-3</v>
      </c>
      <c r="M1561" t="s">
        <v>2</v>
      </c>
      <c r="N1561">
        <v>4750</v>
      </c>
      <c r="O1561">
        <v>12</v>
      </c>
      <c r="P1561">
        <v>53</v>
      </c>
      <c r="Q1561">
        <v>0</v>
      </c>
      <c r="R1561">
        <v>1270059020</v>
      </c>
      <c r="S1561">
        <v>1709311.11</v>
      </c>
      <c r="T1561">
        <v>1268349708.8900001</v>
      </c>
      <c r="U1561">
        <v>1268349708.8900001</v>
      </c>
      <c r="V1561">
        <v>0</v>
      </c>
      <c r="W1561">
        <v>0</v>
      </c>
    </row>
    <row r="1562" spans="1:23" x14ac:dyDescent="0.35">
      <c r="A1562" t="s">
        <v>0</v>
      </c>
      <c r="B1562">
        <v>5250</v>
      </c>
      <c r="C1562">
        <v>8</v>
      </c>
      <c r="D1562">
        <v>643</v>
      </c>
      <c r="E1562">
        <v>0</v>
      </c>
      <c r="F1562">
        <v>22362213504</v>
      </c>
      <c r="G1562">
        <v>27033139.800000001</v>
      </c>
      <c r="H1562">
        <v>22306163261</v>
      </c>
      <c r="I1562">
        <v>22332300427.099998</v>
      </c>
      <c r="J1562">
        <v>1.546E-2</v>
      </c>
      <c r="K1562">
        <v>1.544E-3</v>
      </c>
      <c r="M1562" t="s">
        <v>1</v>
      </c>
      <c r="N1562">
        <v>5000</v>
      </c>
      <c r="O1562">
        <v>12</v>
      </c>
      <c r="P1562">
        <v>1389</v>
      </c>
      <c r="Q1562">
        <v>0</v>
      </c>
      <c r="R1562">
        <v>53459368535</v>
      </c>
      <c r="S1562">
        <v>68724333.129999995</v>
      </c>
      <c r="T1562">
        <v>53359962525.419998</v>
      </c>
      <c r="U1562">
        <v>53390644201.870003</v>
      </c>
      <c r="V1562">
        <v>6.8649999999999996E-3</v>
      </c>
      <c r="W1562">
        <v>0</v>
      </c>
    </row>
    <row r="1563" spans="1:23" x14ac:dyDescent="0.35">
      <c r="A1563" t="s">
        <v>2</v>
      </c>
      <c r="B1563">
        <v>7000</v>
      </c>
      <c r="C1563">
        <v>7</v>
      </c>
      <c r="D1563">
        <v>335</v>
      </c>
      <c r="E1563">
        <v>0</v>
      </c>
      <c r="F1563">
        <v>5653694372</v>
      </c>
      <c r="G1563">
        <v>4922997.17</v>
      </c>
      <c r="H1563">
        <v>5596819431</v>
      </c>
      <c r="I1563">
        <v>5648479863.4399996</v>
      </c>
      <c r="J1563">
        <v>0.104863</v>
      </c>
      <c r="K1563">
        <v>6.1899999999999998E-4</v>
      </c>
      <c r="M1563" t="s">
        <v>0</v>
      </c>
      <c r="N1563">
        <v>5250</v>
      </c>
      <c r="O1563">
        <v>12</v>
      </c>
      <c r="P1563">
        <v>1583</v>
      </c>
      <c r="Q1563">
        <v>0</v>
      </c>
      <c r="R1563">
        <v>54676633420</v>
      </c>
      <c r="S1563">
        <v>67278820.159999996</v>
      </c>
      <c r="T1563">
        <v>54448329103.169998</v>
      </c>
      <c r="U1563">
        <v>54609354599.839996</v>
      </c>
      <c r="V1563">
        <v>3.4773999999999999E-2</v>
      </c>
      <c r="W1563">
        <v>0</v>
      </c>
    </row>
    <row r="1564" spans="1:23" x14ac:dyDescent="0.35">
      <c r="A1564" t="s">
        <v>1</v>
      </c>
      <c r="B1564">
        <v>8000</v>
      </c>
      <c r="C1564">
        <v>16</v>
      </c>
      <c r="D1564">
        <v>10</v>
      </c>
      <c r="E1564">
        <v>0</v>
      </c>
      <c r="F1564">
        <v>283910008</v>
      </c>
      <c r="G1564">
        <v>214925.63</v>
      </c>
      <c r="H1564">
        <v>234538087</v>
      </c>
      <c r="I1564">
        <v>283836318.77999997</v>
      </c>
      <c r="J1564">
        <v>0.89786699999999997</v>
      </c>
      <c r="K1564">
        <v>-5.986E-3</v>
      </c>
      <c r="M1564" t="s">
        <v>1</v>
      </c>
      <c r="N1564">
        <v>5250</v>
      </c>
      <c r="O1564">
        <v>12</v>
      </c>
      <c r="P1564">
        <v>824</v>
      </c>
      <c r="Q1564">
        <v>0</v>
      </c>
      <c r="R1564">
        <v>33295599563</v>
      </c>
      <c r="S1564">
        <v>40971307.32</v>
      </c>
      <c r="T1564">
        <v>32792307221.580002</v>
      </c>
      <c r="U1564">
        <v>33254628255.68</v>
      </c>
      <c r="V1564">
        <v>0.15447</v>
      </c>
      <c r="W1564">
        <v>0</v>
      </c>
    </row>
    <row r="1565" spans="1:23" x14ac:dyDescent="0.35">
      <c r="A1565" t="s">
        <v>0</v>
      </c>
      <c r="B1565">
        <v>4000</v>
      </c>
      <c r="C1565">
        <v>16</v>
      </c>
      <c r="D1565">
        <v>3314</v>
      </c>
      <c r="E1565">
        <v>0</v>
      </c>
      <c r="F1565">
        <v>109655765233</v>
      </c>
      <c r="G1565">
        <v>170898588.88</v>
      </c>
      <c r="H1565">
        <v>109405880597</v>
      </c>
      <c r="I1565">
        <v>109461640925.53</v>
      </c>
      <c r="J1565">
        <v>8.6099999999999996E-3</v>
      </c>
      <c r="K1565">
        <v>2.539E-3</v>
      </c>
      <c r="M1565" t="s">
        <v>0</v>
      </c>
      <c r="N1565">
        <v>5500</v>
      </c>
      <c r="O1565">
        <v>12</v>
      </c>
      <c r="P1565">
        <v>2653</v>
      </c>
      <c r="Q1565">
        <v>0</v>
      </c>
      <c r="R1565">
        <v>87507107817</v>
      </c>
      <c r="S1565">
        <v>103087169.26000001</v>
      </c>
      <c r="T1565">
        <v>86976463880.179993</v>
      </c>
      <c r="U1565">
        <v>87404020647.740005</v>
      </c>
      <c r="V1565">
        <v>5.7081E-2</v>
      </c>
      <c r="W1565">
        <v>0</v>
      </c>
    </row>
    <row r="1566" spans="1:23" x14ac:dyDescent="0.35">
      <c r="A1566" t="s">
        <v>2</v>
      </c>
      <c r="B1566">
        <v>4000</v>
      </c>
      <c r="C1566">
        <v>16</v>
      </c>
      <c r="D1566">
        <v>116</v>
      </c>
      <c r="E1566">
        <v>0</v>
      </c>
      <c r="F1566">
        <v>3268379114</v>
      </c>
      <c r="G1566">
        <v>5091086.75</v>
      </c>
      <c r="H1566">
        <v>3262524963</v>
      </c>
      <c r="I1566">
        <v>3262524963</v>
      </c>
      <c r="J1566">
        <v>2.7980000000000001E-3</v>
      </c>
      <c r="K1566">
        <v>2.7980000000000001E-3</v>
      </c>
      <c r="M1566" t="s">
        <v>2</v>
      </c>
      <c r="N1566">
        <v>5250</v>
      </c>
      <c r="O1566">
        <v>12</v>
      </c>
      <c r="P1566">
        <v>31</v>
      </c>
      <c r="Q1566">
        <v>0</v>
      </c>
      <c r="R1566">
        <v>711196509</v>
      </c>
      <c r="S1566">
        <v>875289.71</v>
      </c>
      <c r="T1566">
        <v>710321219.28999996</v>
      </c>
      <c r="U1566">
        <v>710321219.28999996</v>
      </c>
      <c r="V1566">
        <v>0</v>
      </c>
      <c r="W1566">
        <v>0</v>
      </c>
    </row>
    <row r="1567" spans="1:23" x14ac:dyDescent="0.35">
      <c r="A1567" t="s">
        <v>1</v>
      </c>
      <c r="B1567">
        <v>4000</v>
      </c>
      <c r="C1567">
        <v>16</v>
      </c>
      <c r="D1567">
        <v>1047</v>
      </c>
      <c r="E1567">
        <v>0</v>
      </c>
      <c r="F1567">
        <v>37402378630</v>
      </c>
      <c r="G1567">
        <v>58321356.509999998</v>
      </c>
      <c r="H1567">
        <v>37264857982</v>
      </c>
      <c r="I1567">
        <v>37264857982</v>
      </c>
      <c r="J1567">
        <v>2.5115999999999999E-2</v>
      </c>
      <c r="K1567">
        <v>2.5115999999999999E-2</v>
      </c>
      <c r="M1567" t="s">
        <v>2</v>
      </c>
      <c r="N1567">
        <v>5500</v>
      </c>
      <c r="O1567">
        <v>12</v>
      </c>
      <c r="P1567">
        <v>104</v>
      </c>
      <c r="Q1567">
        <v>0</v>
      </c>
      <c r="R1567">
        <v>2357189229</v>
      </c>
      <c r="S1567">
        <v>2768063.27</v>
      </c>
      <c r="T1567">
        <v>2354421165.73</v>
      </c>
      <c r="U1567">
        <v>2354421165.73</v>
      </c>
      <c r="V1567">
        <v>0</v>
      </c>
      <c r="W1567">
        <v>0</v>
      </c>
    </row>
    <row r="1568" spans="1:23" x14ac:dyDescent="0.35">
      <c r="A1568" t="s">
        <v>0</v>
      </c>
      <c r="B1568">
        <v>4000</v>
      </c>
      <c r="C1568">
        <v>14</v>
      </c>
      <c r="D1568">
        <v>2224</v>
      </c>
      <c r="E1568">
        <v>0</v>
      </c>
      <c r="F1568">
        <v>74121516236</v>
      </c>
      <c r="G1568">
        <v>114371606.89</v>
      </c>
      <c r="H1568">
        <v>73994668329</v>
      </c>
      <c r="I1568">
        <v>73994911392.149994</v>
      </c>
      <c r="J1568">
        <v>2.0179999999999998E-3</v>
      </c>
      <c r="K1568">
        <v>1.9789999999999999E-3</v>
      </c>
      <c r="M1568" t="s">
        <v>0</v>
      </c>
      <c r="N1568">
        <v>4750</v>
      </c>
      <c r="O1568">
        <v>10</v>
      </c>
      <c r="P1568">
        <v>778</v>
      </c>
      <c r="Q1568">
        <v>0</v>
      </c>
      <c r="R1568">
        <v>26831929828</v>
      </c>
      <c r="S1568">
        <v>35770042.159999996</v>
      </c>
      <c r="T1568">
        <v>26796159785.84</v>
      </c>
      <c r="U1568">
        <v>26796159785.84</v>
      </c>
      <c r="V1568">
        <v>0</v>
      </c>
      <c r="W1568">
        <v>0</v>
      </c>
    </row>
    <row r="1569" spans="1:23" x14ac:dyDescent="0.35">
      <c r="A1569" t="s">
        <v>2</v>
      </c>
      <c r="B1569">
        <v>4250</v>
      </c>
      <c r="C1569">
        <v>14</v>
      </c>
      <c r="D1569">
        <v>27</v>
      </c>
      <c r="E1569">
        <v>0</v>
      </c>
      <c r="F1569">
        <v>674435131</v>
      </c>
      <c r="G1569">
        <v>997854.55</v>
      </c>
      <c r="H1569">
        <v>673359746</v>
      </c>
      <c r="I1569">
        <v>673359746</v>
      </c>
      <c r="J1569">
        <v>1.379E-3</v>
      </c>
      <c r="K1569">
        <v>1.379E-3</v>
      </c>
      <c r="M1569" t="s">
        <v>1</v>
      </c>
      <c r="N1569">
        <v>4750</v>
      </c>
      <c r="O1569">
        <v>10</v>
      </c>
      <c r="P1569">
        <v>267</v>
      </c>
      <c r="Q1569">
        <v>0</v>
      </c>
      <c r="R1569">
        <v>10316481224</v>
      </c>
      <c r="S1569">
        <v>13735770.609999999</v>
      </c>
      <c r="T1569">
        <v>10302745453.389999</v>
      </c>
      <c r="U1569">
        <v>10302745453.389999</v>
      </c>
      <c r="V1569">
        <v>0</v>
      </c>
      <c r="W1569">
        <v>0</v>
      </c>
    </row>
    <row r="1570" spans="1:23" x14ac:dyDescent="0.35">
      <c r="A1570" t="s">
        <v>0</v>
      </c>
      <c r="B1570">
        <v>4750</v>
      </c>
      <c r="C1570">
        <v>10</v>
      </c>
      <c r="D1570">
        <v>839</v>
      </c>
      <c r="E1570">
        <v>0</v>
      </c>
      <c r="F1570">
        <v>28192252705</v>
      </c>
      <c r="G1570">
        <v>37642565.920000002</v>
      </c>
      <c r="H1570">
        <v>28149327063</v>
      </c>
      <c r="I1570">
        <v>28149327063</v>
      </c>
      <c r="J1570">
        <v>2.2460000000000002E-3</v>
      </c>
      <c r="K1570">
        <v>2.2460000000000002E-3</v>
      </c>
      <c r="M1570" t="s">
        <v>0</v>
      </c>
      <c r="N1570">
        <v>5250</v>
      </c>
      <c r="O1570">
        <v>10</v>
      </c>
      <c r="P1570">
        <v>1260</v>
      </c>
      <c r="Q1570">
        <v>0</v>
      </c>
      <c r="R1570">
        <v>44541974239</v>
      </c>
      <c r="S1570">
        <v>54440259.280000001</v>
      </c>
      <c r="T1570">
        <v>44290195003.550003</v>
      </c>
      <c r="U1570">
        <v>44487533979.720001</v>
      </c>
      <c r="V1570">
        <v>5.1887999999999997E-2</v>
      </c>
      <c r="W1570">
        <v>0</v>
      </c>
    </row>
    <row r="1571" spans="1:23" x14ac:dyDescent="0.35">
      <c r="A1571" t="s">
        <v>2</v>
      </c>
      <c r="B1571">
        <v>4750</v>
      </c>
      <c r="C1571">
        <v>10</v>
      </c>
      <c r="D1571">
        <v>26</v>
      </c>
      <c r="E1571">
        <v>0</v>
      </c>
      <c r="F1571">
        <v>645165004</v>
      </c>
      <c r="G1571">
        <v>861241.32</v>
      </c>
      <c r="H1571">
        <v>644369251</v>
      </c>
      <c r="I1571">
        <v>644369251</v>
      </c>
      <c r="J1571">
        <v>-1.219E-3</v>
      </c>
      <c r="K1571">
        <v>-1.219E-3</v>
      </c>
      <c r="M1571" t="s">
        <v>2</v>
      </c>
      <c r="N1571">
        <v>5250</v>
      </c>
      <c r="O1571">
        <v>10</v>
      </c>
      <c r="P1571">
        <v>35</v>
      </c>
      <c r="Q1571">
        <v>0</v>
      </c>
      <c r="R1571">
        <v>835962490</v>
      </c>
      <c r="S1571">
        <v>1018969.07</v>
      </c>
      <c r="T1571">
        <v>834943520.92999995</v>
      </c>
      <c r="U1571">
        <v>834943520.92999995</v>
      </c>
      <c r="V1571">
        <v>0</v>
      </c>
      <c r="W1571">
        <v>0</v>
      </c>
    </row>
    <row r="1572" spans="1:23" x14ac:dyDescent="0.35">
      <c r="A1572" t="s">
        <v>1</v>
      </c>
      <c r="B1572">
        <v>4750</v>
      </c>
      <c r="C1572">
        <v>10</v>
      </c>
      <c r="D1572">
        <v>268</v>
      </c>
      <c r="E1572">
        <v>0</v>
      </c>
      <c r="F1572">
        <v>10392125918</v>
      </c>
      <c r="G1572">
        <v>13865330.65</v>
      </c>
      <c r="H1572">
        <v>10367423251</v>
      </c>
      <c r="I1572">
        <v>10367423251</v>
      </c>
      <c r="J1572">
        <v>1.2442999999999999E-2</v>
      </c>
      <c r="K1572">
        <v>1.2442999999999999E-2</v>
      </c>
      <c r="M1572" t="s">
        <v>1</v>
      </c>
      <c r="N1572">
        <v>5250</v>
      </c>
      <c r="O1572">
        <v>10</v>
      </c>
      <c r="P1572">
        <v>671</v>
      </c>
      <c r="Q1572">
        <v>0</v>
      </c>
      <c r="R1572">
        <v>26970439531</v>
      </c>
      <c r="S1572">
        <v>32919594.940000001</v>
      </c>
      <c r="T1572">
        <v>26696765511.869999</v>
      </c>
      <c r="U1572">
        <v>26865176760.619999</v>
      </c>
      <c r="V1572">
        <v>0.10201300000000001</v>
      </c>
      <c r="W1572">
        <v>3.1717000000000002E-2</v>
      </c>
    </row>
    <row r="1573" spans="1:23" x14ac:dyDescent="0.35">
      <c r="A1573" t="s">
        <v>0</v>
      </c>
      <c r="B1573">
        <v>5000</v>
      </c>
      <c r="C1573">
        <v>10</v>
      </c>
      <c r="D1573">
        <v>2484</v>
      </c>
      <c r="E1573">
        <v>0</v>
      </c>
      <c r="F1573">
        <v>88656113002</v>
      </c>
      <c r="G1573">
        <v>113115824.63</v>
      </c>
      <c r="H1573">
        <v>88424372653</v>
      </c>
      <c r="I1573">
        <v>88529236148.289993</v>
      </c>
      <c r="J1573">
        <v>1.5938999999999998E-2</v>
      </c>
      <c r="K1573">
        <v>1.861E-3</v>
      </c>
      <c r="M1573" t="s">
        <v>3</v>
      </c>
      <c r="N1573">
        <v>6500</v>
      </c>
      <c r="O1573">
        <v>16</v>
      </c>
      <c r="P1573">
        <v>29</v>
      </c>
      <c r="Q1573">
        <v>0</v>
      </c>
      <c r="R1573">
        <v>722668487</v>
      </c>
      <c r="S1573">
        <v>729879.59</v>
      </c>
      <c r="T1573">
        <v>698453440.36000001</v>
      </c>
      <c r="U1573">
        <v>698453440.36000001</v>
      </c>
      <c r="V1573">
        <v>0.327297</v>
      </c>
      <c r="W1573">
        <v>0.327297</v>
      </c>
    </row>
    <row r="1574" spans="1:23" x14ac:dyDescent="0.35">
      <c r="A1574" t="s">
        <v>1</v>
      </c>
      <c r="B1574">
        <v>5000</v>
      </c>
      <c r="C1574">
        <v>10</v>
      </c>
      <c r="D1574">
        <v>954</v>
      </c>
      <c r="E1574">
        <v>0</v>
      </c>
      <c r="F1574">
        <v>37627102500</v>
      </c>
      <c r="G1574">
        <v>47995102.869999997</v>
      </c>
      <c r="H1574">
        <v>37446852335</v>
      </c>
      <c r="I1574">
        <v>37528155553.620003</v>
      </c>
      <c r="J1574">
        <v>4.1373E-2</v>
      </c>
      <c r="K1574">
        <v>1.6129000000000001E-2</v>
      </c>
      <c r="M1574" t="s">
        <v>0</v>
      </c>
      <c r="N1574">
        <v>8000</v>
      </c>
      <c r="O1574">
        <v>16</v>
      </c>
      <c r="P1574">
        <v>126</v>
      </c>
      <c r="Q1574">
        <v>0</v>
      </c>
      <c r="R1574">
        <v>3447568371</v>
      </c>
      <c r="S1574">
        <v>2636845.9300000002</v>
      </c>
      <c r="T1574">
        <v>3403184188.8099999</v>
      </c>
      <c r="U1574">
        <v>3444931525.0700002</v>
      </c>
      <c r="V1574">
        <v>0.136013</v>
      </c>
      <c r="W1574">
        <v>0</v>
      </c>
    </row>
    <row r="1575" spans="1:23" x14ac:dyDescent="0.35">
      <c r="A1575" t="s">
        <v>2</v>
      </c>
      <c r="B1575">
        <v>5000</v>
      </c>
      <c r="C1575">
        <v>10</v>
      </c>
      <c r="D1575">
        <v>58</v>
      </c>
      <c r="E1575">
        <v>0</v>
      </c>
      <c r="F1575">
        <v>1535261742</v>
      </c>
      <c r="G1575">
        <v>1960323.99</v>
      </c>
      <c r="H1575">
        <v>1533332833</v>
      </c>
      <c r="I1575">
        <v>1533332833</v>
      </c>
      <c r="J1575">
        <v>-2.4600000000000002E-4</v>
      </c>
      <c r="K1575">
        <v>-2.4600000000000002E-4</v>
      </c>
      <c r="M1575" t="s">
        <v>0</v>
      </c>
      <c r="N1575">
        <v>8000</v>
      </c>
      <c r="O1575">
        <v>14</v>
      </c>
      <c r="P1575">
        <v>202</v>
      </c>
      <c r="Q1575">
        <v>0</v>
      </c>
      <c r="R1575">
        <v>5580963048</v>
      </c>
      <c r="S1575">
        <v>4190028.03</v>
      </c>
      <c r="T1575">
        <v>5521986656.96</v>
      </c>
      <c r="U1575">
        <v>5558737786.5799999</v>
      </c>
      <c r="V1575">
        <v>0.11164300000000001</v>
      </c>
      <c r="W1575">
        <v>3.8096999999999999E-2</v>
      </c>
    </row>
    <row r="1576" spans="1:23" x14ac:dyDescent="0.35">
      <c r="A1576" t="s">
        <v>2</v>
      </c>
      <c r="B1576">
        <v>5500</v>
      </c>
      <c r="C1576">
        <v>10</v>
      </c>
      <c r="D1576">
        <v>103</v>
      </c>
      <c r="E1576">
        <v>0</v>
      </c>
      <c r="F1576">
        <v>2334362608</v>
      </c>
      <c r="G1576">
        <v>2719745.75</v>
      </c>
      <c r="H1576">
        <v>2331183794</v>
      </c>
      <c r="I1576">
        <v>2331183794</v>
      </c>
      <c r="J1576">
        <v>2.3570000000000002E-3</v>
      </c>
      <c r="K1576">
        <v>2.3570000000000002E-3</v>
      </c>
      <c r="M1576" t="s">
        <v>3</v>
      </c>
      <c r="N1576">
        <v>5750</v>
      </c>
      <c r="O1576">
        <v>18</v>
      </c>
      <c r="P1576">
        <v>8</v>
      </c>
      <c r="Q1576">
        <v>0</v>
      </c>
      <c r="R1576">
        <v>245190532</v>
      </c>
      <c r="S1576">
        <v>284455.67999999999</v>
      </c>
      <c r="T1576">
        <v>244906076.31999999</v>
      </c>
      <c r="U1576">
        <v>244906076.31999999</v>
      </c>
      <c r="V1576">
        <v>0</v>
      </c>
      <c r="W1576">
        <v>0</v>
      </c>
    </row>
    <row r="1577" spans="1:23" x14ac:dyDescent="0.35">
      <c r="A1577" t="s">
        <v>2</v>
      </c>
      <c r="B1577">
        <v>5000</v>
      </c>
      <c r="C1577">
        <v>9</v>
      </c>
      <c r="D1577">
        <v>53</v>
      </c>
      <c r="E1577">
        <v>0</v>
      </c>
      <c r="F1577">
        <v>1451334258</v>
      </c>
      <c r="G1577">
        <v>1844444.64</v>
      </c>
      <c r="H1577">
        <v>1449443712</v>
      </c>
      <c r="I1577">
        <v>1449443712</v>
      </c>
      <c r="J1577">
        <v>3.8099999999999999E-4</v>
      </c>
      <c r="K1577">
        <v>3.8099999999999999E-4</v>
      </c>
      <c r="M1577" t="s">
        <v>1</v>
      </c>
      <c r="N1577">
        <v>7500</v>
      </c>
      <c r="O1577">
        <v>14</v>
      </c>
      <c r="P1577">
        <v>305</v>
      </c>
      <c r="Q1577">
        <v>0</v>
      </c>
      <c r="R1577">
        <v>7336624768</v>
      </c>
      <c r="S1577">
        <v>6064924.7300000004</v>
      </c>
      <c r="T1577">
        <v>6854173461.6000004</v>
      </c>
      <c r="U1577">
        <v>7276992113.1400003</v>
      </c>
      <c r="V1577">
        <v>0.55319799999999997</v>
      </c>
      <c r="W1577">
        <v>8.4182999999999994E-2</v>
      </c>
    </row>
    <row r="1578" spans="1:23" x14ac:dyDescent="0.35">
      <c r="A1578" t="s">
        <v>0</v>
      </c>
      <c r="B1578">
        <v>5000</v>
      </c>
      <c r="C1578">
        <v>9</v>
      </c>
      <c r="D1578">
        <v>2786</v>
      </c>
      <c r="E1578">
        <v>0</v>
      </c>
      <c r="F1578">
        <v>98662281176</v>
      </c>
      <c r="G1578">
        <v>125222768.58</v>
      </c>
      <c r="H1578">
        <v>98472287912</v>
      </c>
      <c r="I1578">
        <v>98526839280.179993</v>
      </c>
      <c r="J1578">
        <v>7.8490000000000001E-3</v>
      </c>
      <c r="K1578">
        <v>1.242E-3</v>
      </c>
      <c r="M1578" t="s">
        <v>1</v>
      </c>
      <c r="N1578">
        <v>7750</v>
      </c>
      <c r="O1578">
        <v>14</v>
      </c>
      <c r="P1578">
        <v>297</v>
      </c>
      <c r="Q1578">
        <v>0</v>
      </c>
      <c r="R1578">
        <v>8329056950</v>
      </c>
      <c r="S1578">
        <v>6512858.1299999999</v>
      </c>
      <c r="T1578">
        <v>7708116952.5900002</v>
      </c>
      <c r="U1578">
        <v>8040738262.9099998</v>
      </c>
      <c r="V1578">
        <v>0.60131400000000002</v>
      </c>
      <c r="W1578">
        <v>0.338362</v>
      </c>
    </row>
    <row r="1579" spans="1:23" x14ac:dyDescent="0.35">
      <c r="A1579" t="s">
        <v>1</v>
      </c>
      <c r="B1579">
        <v>5000</v>
      </c>
      <c r="C1579">
        <v>9</v>
      </c>
      <c r="D1579">
        <v>1037</v>
      </c>
      <c r="E1579">
        <v>0</v>
      </c>
      <c r="F1579">
        <v>40189932484</v>
      </c>
      <c r="G1579">
        <v>50984750.079999998</v>
      </c>
      <c r="H1579">
        <v>40087242339</v>
      </c>
      <c r="I1579">
        <v>40133112970.160004</v>
      </c>
      <c r="J1579">
        <v>1.533E-2</v>
      </c>
      <c r="K1579">
        <v>1.7409999999999999E-3</v>
      </c>
      <c r="M1579" t="s">
        <v>0</v>
      </c>
      <c r="N1579">
        <v>5250</v>
      </c>
      <c r="O1579">
        <v>8</v>
      </c>
      <c r="P1579">
        <v>985</v>
      </c>
      <c r="Q1579">
        <v>0</v>
      </c>
      <c r="R1579">
        <v>35603183839</v>
      </c>
      <c r="S1579">
        <v>42996347.700000003</v>
      </c>
      <c r="T1579">
        <v>35485367502.330002</v>
      </c>
      <c r="U1579">
        <v>35560187491.300003</v>
      </c>
      <c r="V1579">
        <v>2.4929E-2</v>
      </c>
      <c r="W1579">
        <v>0</v>
      </c>
    </row>
    <row r="1580" spans="1:23" x14ac:dyDescent="0.35">
      <c r="A1580" t="s">
        <v>0</v>
      </c>
      <c r="B1580">
        <v>5250</v>
      </c>
      <c r="C1580">
        <v>7</v>
      </c>
      <c r="D1580">
        <v>618</v>
      </c>
      <c r="E1580">
        <v>0</v>
      </c>
      <c r="F1580">
        <v>21533130821</v>
      </c>
      <c r="G1580">
        <v>25874702.280000001</v>
      </c>
      <c r="H1580">
        <v>21478522341</v>
      </c>
      <c r="I1580">
        <v>21478522341</v>
      </c>
      <c r="J1580">
        <v>1.5896E-2</v>
      </c>
      <c r="K1580">
        <v>1.5896E-2</v>
      </c>
      <c r="M1580" t="s">
        <v>2</v>
      </c>
      <c r="N1580">
        <v>5250</v>
      </c>
      <c r="O1580">
        <v>7</v>
      </c>
      <c r="P1580">
        <v>14</v>
      </c>
      <c r="Q1580">
        <v>0</v>
      </c>
      <c r="R1580">
        <v>295329292</v>
      </c>
      <c r="S1580">
        <v>354820.53</v>
      </c>
      <c r="T1580">
        <v>294974471.47000003</v>
      </c>
      <c r="U1580">
        <v>294974471.47000003</v>
      </c>
      <c r="V1580">
        <v>0</v>
      </c>
      <c r="W1580">
        <v>0</v>
      </c>
    </row>
    <row r="1581" spans="1:23" x14ac:dyDescent="0.35">
      <c r="A1581" t="s">
        <v>2</v>
      </c>
      <c r="B1581">
        <v>5000</v>
      </c>
      <c r="C1581">
        <v>7</v>
      </c>
      <c r="D1581">
        <v>65</v>
      </c>
      <c r="E1581">
        <v>0</v>
      </c>
      <c r="F1581">
        <v>1812022100</v>
      </c>
      <c r="G1581">
        <v>2275422.67</v>
      </c>
      <c r="H1581">
        <v>1808551829</v>
      </c>
      <c r="I1581">
        <v>1808551829</v>
      </c>
      <c r="J1581">
        <v>7.8840000000000004E-3</v>
      </c>
      <c r="K1581">
        <v>7.8840000000000004E-3</v>
      </c>
      <c r="M1581" t="s">
        <v>0</v>
      </c>
      <c r="N1581">
        <v>5250</v>
      </c>
      <c r="O1581">
        <v>7</v>
      </c>
      <c r="P1581">
        <v>646</v>
      </c>
      <c r="Q1581">
        <v>0</v>
      </c>
      <c r="R1581">
        <v>22489874995</v>
      </c>
      <c r="S1581">
        <v>27037360.739999998</v>
      </c>
      <c r="T1581">
        <v>22444662857.450001</v>
      </c>
      <c r="U1581">
        <v>22462837634.259998</v>
      </c>
      <c r="V1581">
        <v>9.6550000000000004E-3</v>
      </c>
      <c r="W1581">
        <v>0</v>
      </c>
    </row>
    <row r="1582" spans="1:23" x14ac:dyDescent="0.35">
      <c r="A1582" t="s">
        <v>0</v>
      </c>
      <c r="B1582">
        <v>5000</v>
      </c>
      <c r="C1582">
        <v>7</v>
      </c>
      <c r="D1582">
        <v>2249</v>
      </c>
      <c r="E1582">
        <v>0</v>
      </c>
      <c r="F1582">
        <v>78994657960</v>
      </c>
      <c r="G1582">
        <v>99138952.980000004</v>
      </c>
      <c r="H1582">
        <v>78794207744</v>
      </c>
      <c r="I1582">
        <v>78850552139.009995</v>
      </c>
      <c r="J1582">
        <v>1.5282E-2</v>
      </c>
      <c r="K1582">
        <v>6.8100000000000001E-3</v>
      </c>
      <c r="M1582" t="s">
        <v>2</v>
      </c>
      <c r="N1582">
        <v>5750</v>
      </c>
      <c r="O1582">
        <v>10</v>
      </c>
      <c r="P1582">
        <v>114</v>
      </c>
      <c r="Q1582">
        <v>0</v>
      </c>
      <c r="R1582">
        <v>2657046974</v>
      </c>
      <c r="S1582">
        <v>2971585.34</v>
      </c>
      <c r="T1582">
        <v>2654075388.6599998</v>
      </c>
      <c r="U1582">
        <v>2654075388.6599998</v>
      </c>
      <c r="V1582">
        <v>0</v>
      </c>
      <c r="W1582">
        <v>0</v>
      </c>
    </row>
    <row r="1583" spans="1:23" x14ac:dyDescent="0.35">
      <c r="A1583" t="s">
        <v>0</v>
      </c>
      <c r="B1583">
        <v>4750</v>
      </c>
      <c r="C1583">
        <v>6</v>
      </c>
      <c r="D1583">
        <v>861</v>
      </c>
      <c r="E1583">
        <v>0</v>
      </c>
      <c r="F1583">
        <v>27941159638</v>
      </c>
      <c r="G1583">
        <v>36567580.32</v>
      </c>
      <c r="H1583">
        <v>27833222472</v>
      </c>
      <c r="I1583">
        <v>27833222472</v>
      </c>
      <c r="J1583">
        <v>3.0224000000000001E-2</v>
      </c>
      <c r="K1583">
        <v>3.0224000000000001E-2</v>
      </c>
      <c r="M1583" t="s">
        <v>2</v>
      </c>
      <c r="N1583">
        <v>7000</v>
      </c>
      <c r="O1583">
        <v>6</v>
      </c>
      <c r="P1583">
        <v>335</v>
      </c>
      <c r="Q1583">
        <v>0</v>
      </c>
      <c r="R1583">
        <v>5662256410</v>
      </c>
      <c r="S1583">
        <v>4897925.0199999996</v>
      </c>
      <c r="T1583">
        <v>5657358484.9799995</v>
      </c>
      <c r="U1583">
        <v>5657358484.9799995</v>
      </c>
      <c r="V1583">
        <v>0</v>
      </c>
      <c r="W1583">
        <v>0</v>
      </c>
    </row>
    <row r="1584" spans="1:23" x14ac:dyDescent="0.35">
      <c r="A1584" t="s">
        <v>0</v>
      </c>
      <c r="B1584">
        <v>4750</v>
      </c>
      <c r="C1584">
        <v>9</v>
      </c>
      <c r="D1584">
        <v>1047</v>
      </c>
      <c r="E1584">
        <v>0</v>
      </c>
      <c r="F1584">
        <v>34774529755</v>
      </c>
      <c r="G1584">
        <v>46196715.619999997</v>
      </c>
      <c r="H1584">
        <v>34724919014</v>
      </c>
      <c r="I1584">
        <v>34724919014</v>
      </c>
      <c r="J1584">
        <v>1.1770000000000001E-3</v>
      </c>
      <c r="K1584">
        <v>1.1770000000000001E-3</v>
      </c>
      <c r="M1584" t="s">
        <v>0</v>
      </c>
      <c r="N1584">
        <v>4000</v>
      </c>
      <c r="O1584">
        <v>16</v>
      </c>
      <c r="P1584">
        <v>2447</v>
      </c>
      <c r="Q1584">
        <v>0</v>
      </c>
      <c r="R1584">
        <v>79178181678</v>
      </c>
      <c r="S1584">
        <v>123404279.14</v>
      </c>
      <c r="T1584">
        <v>79054777398.860001</v>
      </c>
      <c r="U1584">
        <v>79054777398.860001</v>
      </c>
      <c r="V1584">
        <v>0</v>
      </c>
      <c r="W1584">
        <v>0</v>
      </c>
    </row>
    <row r="1585" spans="1:23" x14ac:dyDescent="0.35">
      <c r="A1585" t="s">
        <v>2</v>
      </c>
      <c r="B1585">
        <v>4750</v>
      </c>
      <c r="C1585">
        <v>6</v>
      </c>
      <c r="D1585">
        <v>20</v>
      </c>
      <c r="E1585">
        <v>0</v>
      </c>
      <c r="F1585">
        <v>451729413</v>
      </c>
      <c r="G1585">
        <v>589867.85</v>
      </c>
      <c r="H1585">
        <v>450154747</v>
      </c>
      <c r="I1585">
        <v>450154747</v>
      </c>
      <c r="J1585">
        <v>2.5849E-2</v>
      </c>
      <c r="K1585">
        <v>2.5849E-2</v>
      </c>
      <c r="M1585" t="s">
        <v>1</v>
      </c>
      <c r="N1585">
        <v>4500</v>
      </c>
      <c r="O1585">
        <v>16</v>
      </c>
      <c r="P1585">
        <v>738</v>
      </c>
      <c r="Q1585">
        <v>0</v>
      </c>
      <c r="R1585">
        <v>27366449455</v>
      </c>
      <c r="S1585">
        <v>39187577.280000001</v>
      </c>
      <c r="T1585">
        <v>27207681665.66</v>
      </c>
      <c r="U1585">
        <v>27297985284.540001</v>
      </c>
      <c r="V1585">
        <v>5.1193000000000002E-2</v>
      </c>
      <c r="W1585">
        <v>1.2762000000000001E-2</v>
      </c>
    </row>
    <row r="1586" spans="1:23" x14ac:dyDescent="0.35">
      <c r="A1586" t="s">
        <v>0</v>
      </c>
      <c r="B1586">
        <v>5000</v>
      </c>
      <c r="C1586">
        <v>6</v>
      </c>
      <c r="D1586">
        <v>2090</v>
      </c>
      <c r="E1586">
        <v>0</v>
      </c>
      <c r="F1586">
        <v>74245388661</v>
      </c>
      <c r="G1586">
        <v>92716445.069999993</v>
      </c>
      <c r="H1586">
        <v>73960310163</v>
      </c>
      <c r="I1586">
        <v>73997017189.240005</v>
      </c>
      <c r="J1586">
        <v>3.0651999999999999E-2</v>
      </c>
      <c r="K1586">
        <v>2.487E-2</v>
      </c>
      <c r="M1586" t="s">
        <v>0</v>
      </c>
      <c r="N1586">
        <v>4000</v>
      </c>
      <c r="O1586">
        <v>14</v>
      </c>
      <c r="P1586">
        <v>3292</v>
      </c>
      <c r="Q1586">
        <v>0</v>
      </c>
      <c r="R1586">
        <v>110866156137</v>
      </c>
      <c r="S1586">
        <v>171160006.31999999</v>
      </c>
      <c r="T1586">
        <v>110694996130.67999</v>
      </c>
      <c r="U1586">
        <v>110694996130.67999</v>
      </c>
      <c r="V1586">
        <v>0</v>
      </c>
      <c r="W1586">
        <v>0</v>
      </c>
    </row>
    <row r="1587" spans="1:23" x14ac:dyDescent="0.35">
      <c r="A1587" t="s">
        <v>2</v>
      </c>
      <c r="B1587">
        <v>5000</v>
      </c>
      <c r="C1587">
        <v>6</v>
      </c>
      <c r="D1587">
        <v>65</v>
      </c>
      <c r="E1587">
        <v>0</v>
      </c>
      <c r="F1587">
        <v>1866142474</v>
      </c>
      <c r="G1587">
        <v>2326604.44</v>
      </c>
      <c r="H1587">
        <v>1860625552</v>
      </c>
      <c r="I1587">
        <v>1860625552</v>
      </c>
      <c r="J1587">
        <v>2.0323000000000001E-2</v>
      </c>
      <c r="K1587">
        <v>2.0323000000000001E-2</v>
      </c>
      <c r="M1587" t="s">
        <v>2</v>
      </c>
      <c r="N1587">
        <v>4000</v>
      </c>
      <c r="O1587">
        <v>14</v>
      </c>
      <c r="P1587">
        <v>105</v>
      </c>
      <c r="Q1587">
        <v>0</v>
      </c>
      <c r="R1587">
        <v>2952902466</v>
      </c>
      <c r="S1587">
        <v>4553961.7699999996</v>
      </c>
      <c r="T1587">
        <v>2948348504.23</v>
      </c>
      <c r="U1587">
        <v>2948348504.23</v>
      </c>
      <c r="V1587">
        <v>0</v>
      </c>
      <c r="W1587">
        <v>0</v>
      </c>
    </row>
    <row r="1588" spans="1:23" x14ac:dyDescent="0.35">
      <c r="A1588" t="s">
        <v>0</v>
      </c>
      <c r="B1588">
        <v>5250</v>
      </c>
      <c r="C1588">
        <v>6</v>
      </c>
      <c r="D1588">
        <v>682</v>
      </c>
      <c r="E1588">
        <v>0</v>
      </c>
      <c r="F1588">
        <v>23585365290</v>
      </c>
      <c r="G1588">
        <v>28209357.219999999</v>
      </c>
      <c r="H1588">
        <v>23480053565</v>
      </c>
      <c r="I1588">
        <v>23528095019.27</v>
      </c>
      <c r="J1588">
        <v>3.8531000000000003E-2</v>
      </c>
      <c r="K1588">
        <v>1.4685999999999999E-2</v>
      </c>
      <c r="M1588" t="s">
        <v>1</v>
      </c>
      <c r="N1588">
        <v>4000</v>
      </c>
      <c r="O1588">
        <v>14</v>
      </c>
      <c r="P1588">
        <v>990</v>
      </c>
      <c r="Q1588">
        <v>0</v>
      </c>
      <c r="R1588">
        <v>35754327606</v>
      </c>
      <c r="S1588">
        <v>55187746</v>
      </c>
      <c r="T1588">
        <v>35699139859.989998</v>
      </c>
      <c r="U1588">
        <v>35699139859.989998</v>
      </c>
      <c r="V1588">
        <v>0</v>
      </c>
      <c r="W1588">
        <v>0</v>
      </c>
    </row>
    <row r="1589" spans="1:23" x14ac:dyDescent="0.35">
      <c r="A1589" t="s">
        <v>1</v>
      </c>
      <c r="B1589">
        <v>5250</v>
      </c>
      <c r="C1589">
        <v>6</v>
      </c>
      <c r="D1589">
        <v>469</v>
      </c>
      <c r="E1589">
        <v>0</v>
      </c>
      <c r="F1589">
        <v>18872513457</v>
      </c>
      <c r="G1589">
        <v>22502399.710000001</v>
      </c>
      <c r="H1589">
        <v>18731857363</v>
      </c>
      <c r="I1589">
        <v>18731857363</v>
      </c>
      <c r="J1589">
        <v>7.2594000000000006E-2</v>
      </c>
      <c r="K1589">
        <v>7.2594000000000006E-2</v>
      </c>
      <c r="M1589" t="s">
        <v>2</v>
      </c>
      <c r="N1589">
        <v>4750</v>
      </c>
      <c r="O1589">
        <v>10</v>
      </c>
      <c r="P1589">
        <v>28</v>
      </c>
      <c r="Q1589">
        <v>0</v>
      </c>
      <c r="R1589">
        <v>680923359</v>
      </c>
      <c r="S1589">
        <v>906423.44</v>
      </c>
      <c r="T1589">
        <v>680016935.55999994</v>
      </c>
      <c r="U1589">
        <v>680016935.55999994</v>
      </c>
      <c r="V1589">
        <v>0</v>
      </c>
      <c r="W1589">
        <v>0</v>
      </c>
    </row>
    <row r="1590" spans="1:23" x14ac:dyDescent="0.35">
      <c r="A1590" t="s">
        <v>2</v>
      </c>
      <c r="B1590">
        <v>5500</v>
      </c>
      <c r="C1590">
        <v>6</v>
      </c>
      <c r="D1590">
        <v>62</v>
      </c>
      <c r="E1590">
        <v>0</v>
      </c>
      <c r="F1590">
        <v>1592971131</v>
      </c>
      <c r="G1590">
        <v>1817723.58</v>
      </c>
      <c r="H1590">
        <v>1588241430</v>
      </c>
      <c r="I1590">
        <v>1588241430</v>
      </c>
      <c r="J1590">
        <v>2.1717E-2</v>
      </c>
      <c r="K1590">
        <v>2.1717E-2</v>
      </c>
      <c r="M1590" t="s">
        <v>1</v>
      </c>
      <c r="N1590">
        <v>5500</v>
      </c>
      <c r="O1590">
        <v>10</v>
      </c>
      <c r="P1590">
        <v>1668</v>
      </c>
      <c r="Q1590">
        <v>0</v>
      </c>
      <c r="R1590">
        <v>70874321352</v>
      </c>
      <c r="S1590">
        <v>82727832.290000007</v>
      </c>
      <c r="T1590">
        <v>69775666076.399994</v>
      </c>
      <c r="U1590">
        <v>70677177598.869995</v>
      </c>
      <c r="V1590">
        <v>0.159077</v>
      </c>
      <c r="W1590">
        <v>1.9200999999999999E-2</v>
      </c>
    </row>
    <row r="1591" spans="1:23" x14ac:dyDescent="0.35">
      <c r="A1591" t="s">
        <v>3</v>
      </c>
      <c r="B1591">
        <v>6750</v>
      </c>
      <c r="C1591">
        <v>14</v>
      </c>
      <c r="D1591">
        <v>36</v>
      </c>
      <c r="E1591">
        <v>0</v>
      </c>
      <c r="F1591">
        <v>1056627911</v>
      </c>
      <c r="G1591">
        <v>1008611.21</v>
      </c>
      <c r="H1591">
        <v>1055576399</v>
      </c>
      <c r="I1591">
        <v>1055576399</v>
      </c>
      <c r="J1591">
        <v>4.8700000000000002E-4</v>
      </c>
      <c r="K1591">
        <v>4.8700000000000002E-4</v>
      </c>
      <c r="M1591" t="s">
        <v>2</v>
      </c>
      <c r="N1591">
        <v>5500</v>
      </c>
      <c r="O1591">
        <v>10</v>
      </c>
      <c r="P1591">
        <v>89</v>
      </c>
      <c r="Q1591">
        <v>0</v>
      </c>
      <c r="R1591">
        <v>2021230037</v>
      </c>
      <c r="S1591">
        <v>2353102.75</v>
      </c>
      <c r="T1591">
        <v>2018876934.25</v>
      </c>
      <c r="U1591">
        <v>2018876934.25</v>
      </c>
      <c r="V1591">
        <v>0</v>
      </c>
      <c r="W1591">
        <v>0</v>
      </c>
    </row>
    <row r="1592" spans="1:23" x14ac:dyDescent="0.35">
      <c r="A1592" t="s">
        <v>0</v>
      </c>
      <c r="B1592">
        <v>4500</v>
      </c>
      <c r="C1592">
        <v>20</v>
      </c>
      <c r="D1592">
        <v>808</v>
      </c>
      <c r="E1592">
        <v>0</v>
      </c>
      <c r="F1592">
        <v>24933708939</v>
      </c>
      <c r="G1592">
        <v>36360766.700000003</v>
      </c>
      <c r="H1592">
        <v>24893322776</v>
      </c>
      <c r="I1592">
        <v>24893322776</v>
      </c>
      <c r="J1592">
        <v>1.936E-3</v>
      </c>
      <c r="K1592">
        <v>1.936E-3</v>
      </c>
      <c r="M1592" t="s">
        <v>0</v>
      </c>
      <c r="N1592">
        <v>4750</v>
      </c>
      <c r="O1592">
        <v>9</v>
      </c>
      <c r="P1592">
        <v>840</v>
      </c>
      <c r="Q1592">
        <v>0</v>
      </c>
      <c r="R1592">
        <v>28260990048</v>
      </c>
      <c r="S1592">
        <v>37536635.799999997</v>
      </c>
      <c r="T1592">
        <v>28194122585.25</v>
      </c>
      <c r="U1592">
        <v>28223453412.209999</v>
      </c>
      <c r="V1592">
        <v>1.2383E-2</v>
      </c>
      <c r="W1592">
        <v>0</v>
      </c>
    </row>
    <row r="1593" spans="1:23" x14ac:dyDescent="0.35">
      <c r="A1593" t="s">
        <v>0</v>
      </c>
      <c r="B1593">
        <v>8250</v>
      </c>
      <c r="C1593">
        <v>16</v>
      </c>
      <c r="D1593">
        <v>202</v>
      </c>
      <c r="E1593">
        <v>0</v>
      </c>
      <c r="F1593">
        <v>6165409439</v>
      </c>
      <c r="G1593">
        <v>4434860.8899999997</v>
      </c>
      <c r="H1593">
        <v>6047628464</v>
      </c>
      <c r="I1593">
        <v>6160363616.7200003</v>
      </c>
      <c r="J1593">
        <v>0.19961599999999999</v>
      </c>
      <c r="K1593">
        <v>1.188E-3</v>
      </c>
      <c r="M1593" t="s">
        <v>2</v>
      </c>
      <c r="N1593">
        <v>4750</v>
      </c>
      <c r="O1593">
        <v>9</v>
      </c>
      <c r="P1593">
        <v>26</v>
      </c>
      <c r="Q1593">
        <v>0</v>
      </c>
      <c r="R1593">
        <v>646166065</v>
      </c>
      <c r="S1593">
        <v>858062.93</v>
      </c>
      <c r="T1593">
        <v>645308002.07000005</v>
      </c>
      <c r="U1593">
        <v>645308002.07000005</v>
      </c>
      <c r="V1593">
        <v>0</v>
      </c>
      <c r="W1593">
        <v>0</v>
      </c>
    </row>
    <row r="1594" spans="1:23" x14ac:dyDescent="0.35">
      <c r="A1594" t="s">
        <v>1</v>
      </c>
      <c r="B1594">
        <v>7750</v>
      </c>
      <c r="C1594">
        <v>9</v>
      </c>
      <c r="D1594">
        <v>217</v>
      </c>
      <c r="E1594">
        <v>0</v>
      </c>
      <c r="F1594">
        <v>6522100394</v>
      </c>
      <c r="G1594">
        <v>4953000.87</v>
      </c>
      <c r="H1594">
        <v>5823708941</v>
      </c>
      <c r="I1594">
        <v>6287404870.1499996</v>
      </c>
      <c r="J1594">
        <v>0.74047700000000005</v>
      </c>
      <c r="K1594">
        <v>0.34970400000000001</v>
      </c>
      <c r="M1594" t="s">
        <v>1</v>
      </c>
      <c r="N1594">
        <v>4750</v>
      </c>
      <c r="O1594">
        <v>9</v>
      </c>
      <c r="P1594">
        <v>268</v>
      </c>
      <c r="Q1594">
        <v>0</v>
      </c>
      <c r="R1594">
        <v>10408245925</v>
      </c>
      <c r="S1594">
        <v>13814137.48</v>
      </c>
      <c r="T1594">
        <v>10394431787.52</v>
      </c>
      <c r="U1594">
        <v>10394431787.52</v>
      </c>
      <c r="V1594">
        <v>0</v>
      </c>
      <c r="W1594">
        <v>0</v>
      </c>
    </row>
    <row r="1595" spans="1:23" x14ac:dyDescent="0.35">
      <c r="A1595" t="s">
        <v>1</v>
      </c>
      <c r="B1595">
        <v>7750</v>
      </c>
      <c r="C1595">
        <v>8</v>
      </c>
      <c r="D1595">
        <v>288</v>
      </c>
      <c r="E1595">
        <v>0</v>
      </c>
      <c r="F1595">
        <v>8125628127</v>
      </c>
      <c r="G1595">
        <v>6154094.1699999999</v>
      </c>
      <c r="H1595">
        <v>6810360016</v>
      </c>
      <c r="I1595">
        <v>8002441307.6999998</v>
      </c>
      <c r="J1595">
        <v>0.87853099999999995</v>
      </c>
      <c r="K1595">
        <v>0.15978000000000001</v>
      </c>
      <c r="M1595" t="s">
        <v>0</v>
      </c>
      <c r="N1595">
        <v>5000</v>
      </c>
      <c r="O1595">
        <v>9</v>
      </c>
      <c r="P1595">
        <v>2489</v>
      </c>
      <c r="Q1595">
        <v>0</v>
      </c>
      <c r="R1595">
        <v>88987196840</v>
      </c>
      <c r="S1595">
        <v>112924644.56</v>
      </c>
      <c r="T1595">
        <v>88775457975.100006</v>
      </c>
      <c r="U1595">
        <v>88874272195.440002</v>
      </c>
      <c r="V1595">
        <v>1.3244000000000001E-2</v>
      </c>
      <c r="W1595">
        <v>0</v>
      </c>
    </row>
    <row r="1596" spans="1:23" x14ac:dyDescent="0.35">
      <c r="A1596" t="s">
        <v>3</v>
      </c>
      <c r="B1596">
        <v>5250</v>
      </c>
      <c r="C1596">
        <v>18</v>
      </c>
      <c r="D1596">
        <v>7</v>
      </c>
      <c r="E1596">
        <v>0</v>
      </c>
      <c r="F1596">
        <v>154364155</v>
      </c>
      <c r="G1596">
        <v>194941.71</v>
      </c>
      <c r="H1596">
        <v>153987773</v>
      </c>
      <c r="I1596">
        <v>153987773</v>
      </c>
      <c r="J1596">
        <v>1.4014E-2</v>
      </c>
      <c r="K1596">
        <v>1.4014E-2</v>
      </c>
      <c r="M1596" t="s">
        <v>1</v>
      </c>
      <c r="N1596">
        <v>5000</v>
      </c>
      <c r="O1596">
        <v>9</v>
      </c>
      <c r="P1596">
        <v>957</v>
      </c>
      <c r="Q1596">
        <v>0</v>
      </c>
      <c r="R1596">
        <v>37902758376</v>
      </c>
      <c r="S1596">
        <v>48098717.649999999</v>
      </c>
      <c r="T1596">
        <v>37634485437.779999</v>
      </c>
      <c r="U1596">
        <v>37854659658.349998</v>
      </c>
      <c r="V1596">
        <v>6.7523E-2</v>
      </c>
      <c r="W1596">
        <v>0</v>
      </c>
    </row>
    <row r="1597" spans="1:23" x14ac:dyDescent="0.35">
      <c r="A1597" t="s">
        <v>3</v>
      </c>
      <c r="B1597">
        <v>7250</v>
      </c>
      <c r="C1597">
        <v>16</v>
      </c>
      <c r="D1597">
        <v>4</v>
      </c>
      <c r="E1597">
        <v>0</v>
      </c>
      <c r="F1597">
        <v>129016460</v>
      </c>
      <c r="G1597">
        <v>114663.6</v>
      </c>
      <c r="H1597">
        <v>128899849</v>
      </c>
      <c r="I1597">
        <v>128899849</v>
      </c>
      <c r="J1597">
        <v>1.8100000000000001E-4</v>
      </c>
      <c r="K1597">
        <v>1.8100000000000001E-4</v>
      </c>
      <c r="M1597" t="s">
        <v>2</v>
      </c>
      <c r="N1597">
        <v>5000</v>
      </c>
      <c r="O1597">
        <v>9</v>
      </c>
      <c r="P1597">
        <v>58</v>
      </c>
      <c r="Q1597">
        <v>0</v>
      </c>
      <c r="R1597">
        <v>1537284063</v>
      </c>
      <c r="S1597">
        <v>1952342.12</v>
      </c>
      <c r="T1597">
        <v>1535331720.8800001</v>
      </c>
      <c r="U1597">
        <v>1535331720.8800001</v>
      </c>
      <c r="V1597">
        <v>0</v>
      </c>
      <c r="W1597">
        <v>0</v>
      </c>
    </row>
    <row r="1598" spans="1:23" x14ac:dyDescent="0.35">
      <c r="A1598" t="s">
        <v>3</v>
      </c>
      <c r="B1598">
        <v>7000</v>
      </c>
      <c r="C1598">
        <v>12</v>
      </c>
      <c r="D1598">
        <v>14</v>
      </c>
      <c r="E1598">
        <v>0</v>
      </c>
      <c r="F1598">
        <v>270984085</v>
      </c>
      <c r="G1598">
        <v>244455.4</v>
      </c>
      <c r="H1598">
        <v>270573401</v>
      </c>
      <c r="I1598">
        <v>270573401</v>
      </c>
      <c r="J1598">
        <v>7.3359999999999996E-3</v>
      </c>
      <c r="K1598">
        <v>7.3359999999999996E-3</v>
      </c>
      <c r="M1598" t="s">
        <v>2</v>
      </c>
      <c r="N1598">
        <v>5500</v>
      </c>
      <c r="O1598">
        <v>9</v>
      </c>
      <c r="P1598">
        <v>103</v>
      </c>
      <c r="Q1598">
        <v>0</v>
      </c>
      <c r="R1598">
        <v>2337233497</v>
      </c>
      <c r="S1598">
        <v>2707595.77</v>
      </c>
      <c r="T1598">
        <v>2334525901.23</v>
      </c>
      <c r="U1598">
        <v>2334525901.23</v>
      </c>
      <c r="V1598">
        <v>0</v>
      </c>
      <c r="W1598">
        <v>0</v>
      </c>
    </row>
    <row r="1599" spans="1:23" x14ac:dyDescent="0.35">
      <c r="A1599" t="s">
        <v>3</v>
      </c>
      <c r="B1599">
        <v>6500</v>
      </c>
      <c r="C1599">
        <v>14</v>
      </c>
      <c r="D1599">
        <v>43</v>
      </c>
      <c r="E1599">
        <v>0</v>
      </c>
      <c r="F1599">
        <v>1215309223</v>
      </c>
      <c r="G1599">
        <v>1207010.72</v>
      </c>
      <c r="H1599">
        <v>1213867538</v>
      </c>
      <c r="I1599">
        <v>1213867538</v>
      </c>
      <c r="J1599">
        <v>2.3149999999999998E-3</v>
      </c>
      <c r="K1599">
        <v>2.3149999999999998E-3</v>
      </c>
      <c r="M1599" t="s">
        <v>2</v>
      </c>
      <c r="N1599">
        <v>5000</v>
      </c>
      <c r="O1599">
        <v>8</v>
      </c>
      <c r="P1599">
        <v>53</v>
      </c>
      <c r="Q1599">
        <v>0</v>
      </c>
      <c r="R1599">
        <v>1453124444</v>
      </c>
      <c r="S1599">
        <v>1836796.26</v>
      </c>
      <c r="T1599">
        <v>1451287647.74</v>
      </c>
      <c r="U1599">
        <v>1451287647.74</v>
      </c>
      <c r="V1599">
        <v>0</v>
      </c>
      <c r="W1599">
        <v>0</v>
      </c>
    </row>
    <row r="1600" spans="1:23" x14ac:dyDescent="0.35">
      <c r="A1600" t="s">
        <v>0</v>
      </c>
      <c r="B1600">
        <v>8000</v>
      </c>
      <c r="C1600">
        <v>14</v>
      </c>
      <c r="D1600">
        <v>200</v>
      </c>
      <c r="E1600">
        <v>0</v>
      </c>
      <c r="F1600">
        <v>5681794073</v>
      </c>
      <c r="G1600">
        <v>4263594.22</v>
      </c>
      <c r="H1600">
        <v>5637563180</v>
      </c>
      <c r="I1600">
        <v>5658952303.79</v>
      </c>
      <c r="J1600">
        <v>8.1221000000000002E-2</v>
      </c>
      <c r="K1600">
        <v>3.8538999999999997E-2</v>
      </c>
      <c r="M1600" t="s">
        <v>0</v>
      </c>
      <c r="N1600">
        <v>5000</v>
      </c>
      <c r="O1600">
        <v>8</v>
      </c>
      <c r="P1600">
        <v>2779</v>
      </c>
      <c r="Q1600">
        <v>0</v>
      </c>
      <c r="R1600">
        <v>98571568318</v>
      </c>
      <c r="S1600">
        <v>124436437.20999999</v>
      </c>
      <c r="T1600">
        <v>98447131880.789993</v>
      </c>
      <c r="U1600">
        <v>98447131880.789993</v>
      </c>
      <c r="V1600">
        <v>0</v>
      </c>
      <c r="W1600">
        <v>0</v>
      </c>
    </row>
    <row r="1601" spans="1:23" x14ac:dyDescent="0.35">
      <c r="A1601" t="s">
        <v>0</v>
      </c>
      <c r="B1601">
        <v>8250</v>
      </c>
      <c r="C1601">
        <v>14</v>
      </c>
      <c r="D1601">
        <v>289</v>
      </c>
      <c r="E1601">
        <v>0</v>
      </c>
      <c r="F1601">
        <v>8730672722</v>
      </c>
      <c r="G1601">
        <v>6203622.8700000001</v>
      </c>
      <c r="H1601">
        <v>8560216616</v>
      </c>
      <c r="I1601">
        <v>8723957020.6000004</v>
      </c>
      <c r="J1601">
        <v>0.20380400000000001</v>
      </c>
      <c r="K1601">
        <v>7.0399999999999998E-4</v>
      </c>
      <c r="M1601" t="s">
        <v>1</v>
      </c>
      <c r="N1601">
        <v>5000</v>
      </c>
      <c r="O1601">
        <v>8</v>
      </c>
      <c r="P1601">
        <v>1039</v>
      </c>
      <c r="Q1601">
        <v>0</v>
      </c>
      <c r="R1601">
        <v>40242870327</v>
      </c>
      <c r="S1601">
        <v>50776042.119999997</v>
      </c>
      <c r="T1601">
        <v>40191286957.940002</v>
      </c>
      <c r="U1601">
        <v>40192094284.879997</v>
      </c>
      <c r="V1601">
        <v>2.41E-4</v>
      </c>
      <c r="W1601">
        <v>0</v>
      </c>
    </row>
    <row r="1602" spans="1:23" x14ac:dyDescent="0.35">
      <c r="A1602" t="s">
        <v>0</v>
      </c>
      <c r="B1602">
        <v>8000</v>
      </c>
      <c r="C1602">
        <v>12</v>
      </c>
      <c r="D1602">
        <v>156</v>
      </c>
      <c r="E1602">
        <v>0</v>
      </c>
      <c r="F1602">
        <v>4863978754</v>
      </c>
      <c r="G1602">
        <v>3599964.24</v>
      </c>
      <c r="H1602">
        <v>4694977550</v>
      </c>
      <c r="I1602">
        <v>4860805174.8500004</v>
      </c>
      <c r="J1602">
        <v>0.33976800000000001</v>
      </c>
      <c r="K1602">
        <v>-1.052E-3</v>
      </c>
      <c r="M1602" t="s">
        <v>0</v>
      </c>
      <c r="N1602">
        <v>5250</v>
      </c>
      <c r="O1602">
        <v>6</v>
      </c>
      <c r="P1602">
        <v>617</v>
      </c>
      <c r="Q1602">
        <v>0</v>
      </c>
      <c r="R1602">
        <v>21531127883</v>
      </c>
      <c r="S1602">
        <v>25729418.390000001</v>
      </c>
      <c r="T1602">
        <v>21491955626.080002</v>
      </c>
      <c r="U1602">
        <v>21505398464.610001</v>
      </c>
      <c r="V1602">
        <v>7.4660000000000004E-3</v>
      </c>
      <c r="W1602">
        <v>0</v>
      </c>
    </row>
    <row r="1603" spans="1:23" x14ac:dyDescent="0.35">
      <c r="A1603" t="s">
        <v>0</v>
      </c>
      <c r="B1603">
        <v>8250</v>
      </c>
      <c r="C1603">
        <v>12</v>
      </c>
      <c r="D1603">
        <v>190</v>
      </c>
      <c r="E1603">
        <v>0</v>
      </c>
      <c r="F1603">
        <v>5951225084</v>
      </c>
      <c r="G1603">
        <v>4174737.72</v>
      </c>
      <c r="H1603">
        <v>5764172410</v>
      </c>
      <c r="I1603">
        <v>5944159166.9799995</v>
      </c>
      <c r="J1603">
        <v>0.31239299999999998</v>
      </c>
      <c r="K1603">
        <v>5.8139999999999997E-3</v>
      </c>
      <c r="M1603" t="s">
        <v>2</v>
      </c>
      <c r="N1603">
        <v>5000</v>
      </c>
      <c r="O1603">
        <v>6</v>
      </c>
      <c r="P1603">
        <v>65</v>
      </c>
      <c r="Q1603">
        <v>0</v>
      </c>
      <c r="R1603">
        <v>1818173046</v>
      </c>
      <c r="S1603">
        <v>2270896.35</v>
      </c>
      <c r="T1603">
        <v>1815902149.6500001</v>
      </c>
      <c r="U1603">
        <v>1815902149.6500001</v>
      </c>
      <c r="V1603">
        <v>0</v>
      </c>
      <c r="W1603">
        <v>0</v>
      </c>
    </row>
    <row r="1604" spans="1:23" x14ac:dyDescent="0.35">
      <c r="A1604" t="s">
        <v>2</v>
      </c>
      <c r="B1604">
        <v>7750</v>
      </c>
      <c r="C1604">
        <v>14</v>
      </c>
      <c r="D1604">
        <v>30</v>
      </c>
      <c r="E1604">
        <v>0</v>
      </c>
      <c r="F1604">
        <v>414502089</v>
      </c>
      <c r="G1604">
        <v>326801.40000000002</v>
      </c>
      <c r="H1604">
        <v>414216332</v>
      </c>
      <c r="I1604">
        <v>414216332</v>
      </c>
      <c r="J1604">
        <v>-1.189E-3</v>
      </c>
      <c r="K1604">
        <v>-1.189E-3</v>
      </c>
      <c r="M1604" t="s">
        <v>0</v>
      </c>
      <c r="N1604">
        <v>5000</v>
      </c>
      <c r="O1604">
        <v>6</v>
      </c>
      <c r="P1604">
        <v>2246</v>
      </c>
      <c r="Q1604">
        <v>0</v>
      </c>
      <c r="R1604">
        <v>79086778718</v>
      </c>
      <c r="S1604">
        <v>98726058.450000003</v>
      </c>
      <c r="T1604">
        <v>78988052659.550003</v>
      </c>
      <c r="U1604">
        <v>78988052659.550003</v>
      </c>
      <c r="V1604">
        <v>0</v>
      </c>
      <c r="W1604">
        <v>0</v>
      </c>
    </row>
    <row r="1605" spans="1:23" x14ac:dyDescent="0.35">
      <c r="A1605" t="s">
        <v>2</v>
      </c>
      <c r="B1605">
        <v>7250</v>
      </c>
      <c r="C1605">
        <v>12</v>
      </c>
      <c r="D1605">
        <v>514</v>
      </c>
      <c r="E1605">
        <v>0</v>
      </c>
      <c r="F1605">
        <v>7784439577</v>
      </c>
      <c r="G1605">
        <v>6636338.6500000004</v>
      </c>
      <c r="H1605">
        <v>7617576330</v>
      </c>
      <c r="I1605">
        <v>7699816639.1199999</v>
      </c>
      <c r="J1605">
        <v>0.22086700000000001</v>
      </c>
      <c r="K1605">
        <v>0.113811</v>
      </c>
      <c r="M1605" t="s">
        <v>0</v>
      </c>
      <c r="N1605">
        <v>4750</v>
      </c>
      <c r="O1605">
        <v>5</v>
      </c>
      <c r="P1605">
        <v>5475</v>
      </c>
      <c r="Q1605">
        <v>0</v>
      </c>
      <c r="R1605">
        <v>185937700000</v>
      </c>
      <c r="S1605">
        <v>238195283.36000001</v>
      </c>
      <c r="T1605">
        <v>185656758925.64999</v>
      </c>
      <c r="U1605">
        <v>185699504716.64001</v>
      </c>
      <c r="V1605">
        <v>2.7550000000000001E-3</v>
      </c>
      <c r="W1605">
        <v>0</v>
      </c>
    </row>
    <row r="1606" spans="1:23" x14ac:dyDescent="0.35">
      <c r="A1606" t="s">
        <v>2</v>
      </c>
      <c r="B1606">
        <v>7000</v>
      </c>
      <c r="C1606">
        <v>9</v>
      </c>
      <c r="D1606">
        <v>256</v>
      </c>
      <c r="E1606">
        <v>0</v>
      </c>
      <c r="F1606">
        <v>4517515998</v>
      </c>
      <c r="G1606">
        <v>3992062.32</v>
      </c>
      <c r="H1606">
        <v>4461958540</v>
      </c>
      <c r="I1606">
        <v>4513249400.5</v>
      </c>
      <c r="J1606">
        <v>0.128694</v>
      </c>
      <c r="K1606">
        <v>7.2900000000000005E-4</v>
      </c>
      <c r="M1606" t="s">
        <v>0</v>
      </c>
      <c r="N1606">
        <v>4750</v>
      </c>
      <c r="O1606">
        <v>8</v>
      </c>
      <c r="P1606">
        <v>1048</v>
      </c>
      <c r="Q1606">
        <v>0</v>
      </c>
      <c r="R1606">
        <v>34860054345</v>
      </c>
      <c r="S1606">
        <v>46068001.380000003</v>
      </c>
      <c r="T1606">
        <v>34776887498.519997</v>
      </c>
      <c r="U1606">
        <v>34813986343.620003</v>
      </c>
      <c r="V1606">
        <v>1.2696000000000001E-2</v>
      </c>
      <c r="W1606">
        <v>0</v>
      </c>
    </row>
    <row r="1607" spans="1:23" x14ac:dyDescent="0.35">
      <c r="A1607" t="s">
        <v>1</v>
      </c>
      <c r="B1607">
        <v>7750</v>
      </c>
      <c r="C1607">
        <v>14</v>
      </c>
      <c r="D1607">
        <v>312</v>
      </c>
      <c r="E1607">
        <v>0</v>
      </c>
      <c r="F1607">
        <v>8192175584</v>
      </c>
      <c r="G1607">
        <v>6405957.1699999999</v>
      </c>
      <c r="H1607">
        <v>7698799291</v>
      </c>
      <c r="I1607">
        <v>7836260581.3299999</v>
      </c>
      <c r="J1607">
        <v>0.52068700000000001</v>
      </c>
      <c r="K1607">
        <v>0.407383</v>
      </c>
      <c r="M1607" t="s">
        <v>2</v>
      </c>
      <c r="N1607">
        <v>4750</v>
      </c>
      <c r="O1607">
        <v>5</v>
      </c>
      <c r="P1607">
        <v>131</v>
      </c>
      <c r="Q1607">
        <v>0</v>
      </c>
      <c r="R1607">
        <v>3210400000</v>
      </c>
      <c r="S1607">
        <v>4090060.25</v>
      </c>
      <c r="T1607">
        <v>3206309939.75</v>
      </c>
      <c r="U1607">
        <v>3206309939.75</v>
      </c>
      <c r="V1607">
        <v>0</v>
      </c>
      <c r="W1607">
        <v>0</v>
      </c>
    </row>
    <row r="1608" spans="1:23" x14ac:dyDescent="0.35">
      <c r="A1608" t="s">
        <v>1</v>
      </c>
      <c r="B1608">
        <v>7500</v>
      </c>
      <c r="C1608">
        <v>14</v>
      </c>
      <c r="D1608">
        <v>316</v>
      </c>
      <c r="E1608">
        <v>0</v>
      </c>
      <c r="F1608">
        <v>8129606257</v>
      </c>
      <c r="G1608">
        <v>6747649.71</v>
      </c>
      <c r="H1608">
        <v>7608743727</v>
      </c>
      <c r="I1608">
        <v>8014432305.6800003</v>
      </c>
      <c r="J1608">
        <v>0.54339499999999996</v>
      </c>
      <c r="K1608">
        <v>0.148813</v>
      </c>
      <c r="M1608" t="s">
        <v>0</v>
      </c>
      <c r="N1608">
        <v>5250</v>
      </c>
      <c r="O1608">
        <v>5</v>
      </c>
      <c r="P1608">
        <v>15357</v>
      </c>
      <c r="Q1608">
        <v>0</v>
      </c>
      <c r="R1608">
        <v>546736600000</v>
      </c>
      <c r="S1608">
        <v>639179588.13</v>
      </c>
      <c r="T1608">
        <v>545545567524.32001</v>
      </c>
      <c r="U1608">
        <v>545999534068.53998</v>
      </c>
      <c r="V1608">
        <v>1.2045E-2</v>
      </c>
      <c r="W1608">
        <v>2.1459999999999999E-3</v>
      </c>
    </row>
    <row r="1609" spans="1:23" x14ac:dyDescent="0.35">
      <c r="A1609" t="s">
        <v>1</v>
      </c>
      <c r="B1609">
        <v>4750</v>
      </c>
      <c r="C1609">
        <v>5</v>
      </c>
      <c r="D1609">
        <v>3267</v>
      </c>
      <c r="E1609">
        <v>0</v>
      </c>
      <c r="F1609">
        <v>134946200000</v>
      </c>
      <c r="G1609">
        <v>172090793.96000001</v>
      </c>
      <c r="H1609">
        <v>134743048700</v>
      </c>
      <c r="I1609">
        <v>134868589673.34</v>
      </c>
      <c r="J1609">
        <v>2.7590000000000002E-3</v>
      </c>
      <c r="K1609">
        <v>-8.4340000000000005E-3</v>
      </c>
      <c r="M1609" t="s">
        <v>0</v>
      </c>
      <c r="N1609">
        <v>4500</v>
      </c>
      <c r="O1609">
        <v>20</v>
      </c>
      <c r="P1609">
        <v>520</v>
      </c>
      <c r="Q1609">
        <v>0</v>
      </c>
      <c r="R1609">
        <v>16016658629</v>
      </c>
      <c r="S1609">
        <v>23385523.120000001</v>
      </c>
      <c r="T1609">
        <v>15964335945.139999</v>
      </c>
      <c r="U1609">
        <v>15964335945.139999</v>
      </c>
      <c r="V1609">
        <v>2.1465999999999999E-2</v>
      </c>
      <c r="W1609">
        <v>2.1465999999999999E-2</v>
      </c>
    </row>
    <row r="1610" spans="1:23" x14ac:dyDescent="0.35">
      <c r="A1610" t="s">
        <v>2</v>
      </c>
      <c r="B1610">
        <v>8000</v>
      </c>
      <c r="C1610">
        <v>18</v>
      </c>
      <c r="D1610">
        <v>1</v>
      </c>
      <c r="E1610">
        <v>0</v>
      </c>
      <c r="F1610">
        <v>21997310</v>
      </c>
      <c r="G1610">
        <v>16882.54</v>
      </c>
      <c r="H1610">
        <v>21997310</v>
      </c>
      <c r="I1610">
        <v>21997310</v>
      </c>
      <c r="J1610">
        <v>-9.2490000000000003E-3</v>
      </c>
      <c r="K1610">
        <v>-9.2490000000000003E-3</v>
      </c>
      <c r="M1610" t="s">
        <v>0</v>
      </c>
      <c r="N1610">
        <v>4750</v>
      </c>
      <c r="O1610">
        <v>20</v>
      </c>
      <c r="P1610">
        <v>884</v>
      </c>
      <c r="Q1610">
        <v>0</v>
      </c>
      <c r="R1610">
        <v>27304013040</v>
      </c>
      <c r="S1610">
        <v>38235112.030000001</v>
      </c>
      <c r="T1610">
        <v>27240876758.380001</v>
      </c>
      <c r="U1610">
        <v>27265777927.970001</v>
      </c>
      <c r="V1610">
        <v>1.0888999999999999E-2</v>
      </c>
      <c r="W1610">
        <v>0</v>
      </c>
    </row>
    <row r="1611" spans="1:23" x14ac:dyDescent="0.35">
      <c r="A1611" t="s">
        <v>1</v>
      </c>
      <c r="B1611">
        <v>8250</v>
      </c>
      <c r="C1611">
        <v>16</v>
      </c>
      <c r="D1611">
        <v>2</v>
      </c>
      <c r="E1611">
        <v>0</v>
      </c>
      <c r="F1611">
        <v>40344423</v>
      </c>
      <c r="G1611">
        <v>29156.959999999999</v>
      </c>
      <c r="H1611">
        <v>40291818</v>
      </c>
      <c r="I1611">
        <v>40291818</v>
      </c>
      <c r="J1611">
        <v>6.9519999999999998E-3</v>
      </c>
      <c r="K1611">
        <v>6.9519999999999998E-3</v>
      </c>
      <c r="M1611" t="s">
        <v>1</v>
      </c>
      <c r="N1611">
        <v>7750</v>
      </c>
      <c r="O1611">
        <v>8</v>
      </c>
      <c r="P1611">
        <v>259</v>
      </c>
      <c r="Q1611">
        <v>0</v>
      </c>
      <c r="R1611">
        <v>8054392660</v>
      </c>
      <c r="S1611">
        <v>6072831.6699999999</v>
      </c>
      <c r="T1611">
        <v>6505767679.7600002</v>
      </c>
      <c r="U1611">
        <v>7926744572.7600002</v>
      </c>
      <c r="V1611">
        <v>0.92200800000000005</v>
      </c>
      <c r="W1611">
        <v>0.166826</v>
      </c>
    </row>
    <row r="1612" spans="1:23" x14ac:dyDescent="0.35">
      <c r="A1612" t="s">
        <v>1</v>
      </c>
      <c r="B1612">
        <v>7500</v>
      </c>
      <c r="C1612">
        <v>12</v>
      </c>
      <c r="D1612">
        <v>425</v>
      </c>
      <c r="E1612">
        <v>0</v>
      </c>
      <c r="F1612">
        <v>10862243301</v>
      </c>
      <c r="G1612">
        <v>8860530.3399999999</v>
      </c>
      <c r="H1612">
        <v>9818455686</v>
      </c>
      <c r="I1612">
        <v>10767224268.34</v>
      </c>
      <c r="J1612">
        <v>0.699264</v>
      </c>
      <c r="K1612">
        <v>9.1138999999999998E-2</v>
      </c>
      <c r="M1612" t="s">
        <v>1</v>
      </c>
      <c r="N1612">
        <v>7750</v>
      </c>
      <c r="O1612">
        <v>7</v>
      </c>
      <c r="P1612">
        <v>550</v>
      </c>
      <c r="Q1612">
        <v>0</v>
      </c>
      <c r="R1612">
        <v>16948355353</v>
      </c>
      <c r="S1612">
        <v>12840523.01</v>
      </c>
      <c r="T1612">
        <v>8154762300.8900003</v>
      </c>
      <c r="U1612">
        <v>16834138336.4</v>
      </c>
      <c r="V1612">
        <v>0.99984300000000004</v>
      </c>
      <c r="W1612">
        <v>6.9462999999999997E-2</v>
      </c>
    </row>
    <row r="1613" spans="1:23" x14ac:dyDescent="0.35">
      <c r="A1613" t="s">
        <v>3</v>
      </c>
      <c r="B1613">
        <v>7000</v>
      </c>
      <c r="C1613">
        <v>14</v>
      </c>
      <c r="D1613">
        <v>14</v>
      </c>
      <c r="E1613">
        <v>0</v>
      </c>
      <c r="F1613">
        <v>368844328</v>
      </c>
      <c r="G1613">
        <v>335667.1</v>
      </c>
      <c r="H1613">
        <v>358234720</v>
      </c>
      <c r="I1613">
        <v>368504506.19999999</v>
      </c>
      <c r="J1613">
        <v>0.28751500000000002</v>
      </c>
      <c r="K1613">
        <v>1.35E-4</v>
      </c>
      <c r="M1613" t="s">
        <v>2</v>
      </c>
      <c r="N1613">
        <v>7250</v>
      </c>
      <c r="O1613">
        <v>12</v>
      </c>
      <c r="P1613">
        <v>433</v>
      </c>
      <c r="Q1613">
        <v>0</v>
      </c>
      <c r="R1613">
        <v>6363786475</v>
      </c>
      <c r="S1613">
        <v>5414365.8799999999</v>
      </c>
      <c r="T1613">
        <v>6216907954.9899998</v>
      </c>
      <c r="U1613">
        <v>6315026977.8100004</v>
      </c>
      <c r="V1613">
        <v>0.23644100000000001</v>
      </c>
      <c r="W1613">
        <v>7.8741000000000005E-2</v>
      </c>
    </row>
    <row r="1614" spans="1:23" x14ac:dyDescent="0.35">
      <c r="A1614" t="s">
        <v>3</v>
      </c>
      <c r="B1614">
        <v>7250</v>
      </c>
      <c r="C1614">
        <v>14</v>
      </c>
      <c r="D1614">
        <v>4</v>
      </c>
      <c r="E1614">
        <v>0</v>
      </c>
      <c r="F1614">
        <v>75918973</v>
      </c>
      <c r="G1614">
        <v>66199.929999999993</v>
      </c>
      <c r="H1614">
        <v>75852629</v>
      </c>
      <c r="I1614">
        <v>75852629</v>
      </c>
      <c r="J1614">
        <v>2.3E-5</v>
      </c>
      <c r="K1614">
        <v>2.3E-5</v>
      </c>
      <c r="M1614" t="s">
        <v>2</v>
      </c>
      <c r="N1614">
        <v>7000</v>
      </c>
      <c r="O1614">
        <v>12</v>
      </c>
      <c r="P1614">
        <v>433</v>
      </c>
      <c r="Q1614">
        <v>0</v>
      </c>
      <c r="R1614">
        <v>7234020044</v>
      </c>
      <c r="S1614">
        <v>6489434.8399999999</v>
      </c>
      <c r="T1614">
        <v>7053520124.4499998</v>
      </c>
      <c r="U1614">
        <v>7215300075.7600002</v>
      </c>
      <c r="V1614">
        <v>0.25336700000000001</v>
      </c>
      <c r="W1614">
        <v>2.0101000000000001E-2</v>
      </c>
    </row>
    <row r="1615" spans="1:23" x14ac:dyDescent="0.35">
      <c r="A1615" t="s">
        <v>1</v>
      </c>
      <c r="B1615">
        <v>4500</v>
      </c>
      <c r="C1615">
        <v>18</v>
      </c>
      <c r="D1615">
        <v>577</v>
      </c>
      <c r="E1615">
        <v>0</v>
      </c>
      <c r="F1615">
        <v>20599541135</v>
      </c>
      <c r="G1615">
        <v>29792268.57</v>
      </c>
      <c r="H1615">
        <v>20532123410</v>
      </c>
      <c r="I1615">
        <v>20566566304.25</v>
      </c>
      <c r="J1615">
        <v>2.1699E-2</v>
      </c>
      <c r="K1615">
        <v>1.8519999999999999E-3</v>
      </c>
      <c r="M1615" t="s">
        <v>1</v>
      </c>
      <c r="N1615">
        <v>7000</v>
      </c>
      <c r="O1615">
        <v>10</v>
      </c>
      <c r="P1615">
        <v>481</v>
      </c>
      <c r="Q1615">
        <v>0</v>
      </c>
      <c r="R1615">
        <v>13519296535</v>
      </c>
      <c r="S1615">
        <v>11968934.630000001</v>
      </c>
      <c r="T1615">
        <v>12260696817.1</v>
      </c>
      <c r="U1615">
        <v>13378388984.75</v>
      </c>
      <c r="V1615">
        <v>0.68680300000000005</v>
      </c>
      <c r="W1615">
        <v>0.10863200000000001</v>
      </c>
    </row>
    <row r="1616" spans="1:23" x14ac:dyDescent="0.35">
      <c r="A1616" t="s">
        <v>3</v>
      </c>
      <c r="B1616">
        <v>7500</v>
      </c>
      <c r="C1616">
        <v>14</v>
      </c>
      <c r="D1616">
        <v>1</v>
      </c>
      <c r="E1616">
        <v>0</v>
      </c>
      <c r="F1616">
        <v>18730358</v>
      </c>
      <c r="G1616">
        <v>15333.57</v>
      </c>
      <c r="H1616">
        <v>18714518</v>
      </c>
      <c r="I1616">
        <v>18714518</v>
      </c>
      <c r="J1616">
        <v>3.2400000000000001E-4</v>
      </c>
      <c r="K1616">
        <v>3.2400000000000001E-4</v>
      </c>
      <c r="M1616" t="s">
        <v>0</v>
      </c>
      <c r="N1616">
        <v>9000</v>
      </c>
      <c r="O1616">
        <v>16</v>
      </c>
      <c r="P1616">
        <v>6</v>
      </c>
      <c r="Q1616">
        <v>0</v>
      </c>
      <c r="R1616">
        <v>192250832</v>
      </c>
      <c r="S1616">
        <v>126036.84</v>
      </c>
      <c r="T1616">
        <v>192124795.16</v>
      </c>
      <c r="U1616">
        <v>192124795.16</v>
      </c>
      <c r="V1616">
        <v>0</v>
      </c>
      <c r="W1616">
        <v>0</v>
      </c>
    </row>
    <row r="1617" spans="1:23" x14ac:dyDescent="0.35">
      <c r="A1617" t="s">
        <v>3</v>
      </c>
      <c r="B1617">
        <v>6500</v>
      </c>
      <c r="C1617">
        <v>12</v>
      </c>
      <c r="D1617">
        <v>66</v>
      </c>
      <c r="E1617">
        <v>0</v>
      </c>
      <c r="F1617">
        <v>1916865093</v>
      </c>
      <c r="G1617">
        <v>1891634.46</v>
      </c>
      <c r="H1617">
        <v>1914368269</v>
      </c>
      <c r="I1617">
        <v>1914368269</v>
      </c>
      <c r="J1617">
        <v>3.7820000000000002E-3</v>
      </c>
      <c r="K1617">
        <v>3.7820000000000002E-3</v>
      </c>
      <c r="M1617" t="s">
        <v>0</v>
      </c>
      <c r="N1617">
        <v>8500</v>
      </c>
      <c r="O1617">
        <v>16</v>
      </c>
      <c r="P1617">
        <v>2</v>
      </c>
      <c r="Q1617">
        <v>0</v>
      </c>
      <c r="R1617">
        <v>65048484</v>
      </c>
      <c r="S1617">
        <v>44662.51</v>
      </c>
      <c r="T1617">
        <v>65003821.490000002</v>
      </c>
      <c r="U1617">
        <v>65003821.490000002</v>
      </c>
      <c r="V1617">
        <v>0</v>
      </c>
      <c r="W1617">
        <v>0</v>
      </c>
    </row>
    <row r="1618" spans="1:23" x14ac:dyDescent="0.35">
      <c r="A1618" t="s">
        <v>3</v>
      </c>
      <c r="B1618">
        <v>7250</v>
      </c>
      <c r="C1618">
        <v>12</v>
      </c>
      <c r="D1618">
        <v>7</v>
      </c>
      <c r="E1618">
        <v>0</v>
      </c>
      <c r="F1618">
        <v>160551001</v>
      </c>
      <c r="G1618">
        <v>137747.84</v>
      </c>
      <c r="H1618">
        <v>160416421</v>
      </c>
      <c r="I1618">
        <v>160416421</v>
      </c>
      <c r="J1618">
        <v>-2.3699999999999999E-4</v>
      </c>
      <c r="K1618">
        <v>-2.3699999999999999E-4</v>
      </c>
      <c r="M1618" t="s">
        <v>3</v>
      </c>
      <c r="N1618">
        <v>7250</v>
      </c>
      <c r="O1618">
        <v>16</v>
      </c>
      <c r="P1618">
        <v>8</v>
      </c>
      <c r="Q1618">
        <v>0</v>
      </c>
      <c r="R1618">
        <v>231936130</v>
      </c>
      <c r="S1618">
        <v>206185.62</v>
      </c>
      <c r="T1618">
        <v>231729944.38</v>
      </c>
      <c r="U1618">
        <v>231729944.38</v>
      </c>
      <c r="V1618">
        <v>0</v>
      </c>
      <c r="W1618">
        <v>0</v>
      </c>
    </row>
    <row r="1619" spans="1:23" x14ac:dyDescent="0.35">
      <c r="A1619" t="s">
        <v>3</v>
      </c>
      <c r="B1619">
        <v>6000</v>
      </c>
      <c r="C1619">
        <v>12</v>
      </c>
      <c r="D1619">
        <v>18</v>
      </c>
      <c r="E1619">
        <v>0</v>
      </c>
      <c r="F1619">
        <v>433196363</v>
      </c>
      <c r="G1619">
        <v>465648.98</v>
      </c>
      <c r="H1619">
        <v>432499361</v>
      </c>
      <c r="I1619">
        <v>432499361</v>
      </c>
      <c r="J1619">
        <v>6.3899999999999998E-3</v>
      </c>
      <c r="K1619">
        <v>6.3899999999999998E-3</v>
      </c>
      <c r="M1619" t="s">
        <v>3</v>
      </c>
      <c r="N1619">
        <v>6000</v>
      </c>
      <c r="O1619">
        <v>18</v>
      </c>
      <c r="P1619">
        <v>3</v>
      </c>
      <c r="Q1619">
        <v>0</v>
      </c>
      <c r="R1619">
        <v>69445778</v>
      </c>
      <c r="S1619">
        <v>78548.84</v>
      </c>
      <c r="T1619">
        <v>69367229.159999996</v>
      </c>
      <c r="U1619">
        <v>69367229.159999996</v>
      </c>
      <c r="V1619">
        <v>0</v>
      </c>
      <c r="W1619">
        <v>0</v>
      </c>
    </row>
    <row r="1620" spans="1:23" x14ac:dyDescent="0.35">
      <c r="A1620" t="s">
        <v>3</v>
      </c>
      <c r="B1620">
        <v>6250</v>
      </c>
      <c r="C1620">
        <v>12</v>
      </c>
      <c r="D1620">
        <v>42</v>
      </c>
      <c r="E1620">
        <v>0</v>
      </c>
      <c r="F1620">
        <v>1153509432</v>
      </c>
      <c r="G1620">
        <v>1181893.32</v>
      </c>
      <c r="H1620">
        <v>1151693986</v>
      </c>
      <c r="I1620">
        <v>1151693986</v>
      </c>
      <c r="J1620">
        <v>6.5709999999999996E-3</v>
      </c>
      <c r="K1620">
        <v>6.5709999999999996E-3</v>
      </c>
      <c r="M1620" t="s">
        <v>3</v>
      </c>
      <c r="N1620">
        <v>5500</v>
      </c>
      <c r="O1620">
        <v>18</v>
      </c>
      <c r="P1620">
        <v>2</v>
      </c>
      <c r="Q1620">
        <v>0</v>
      </c>
      <c r="R1620">
        <v>75530857</v>
      </c>
      <c r="S1620">
        <v>92345.12</v>
      </c>
      <c r="T1620">
        <v>75438511.879999995</v>
      </c>
      <c r="U1620">
        <v>75438511.879999995</v>
      </c>
      <c r="V1620">
        <v>0</v>
      </c>
      <c r="W1620">
        <v>0</v>
      </c>
    </row>
    <row r="1621" spans="1:23" x14ac:dyDescent="0.35">
      <c r="A1621" t="s">
        <v>3</v>
      </c>
      <c r="B1621">
        <v>6250</v>
      </c>
      <c r="C1621">
        <v>10</v>
      </c>
      <c r="D1621">
        <v>39</v>
      </c>
      <c r="E1621">
        <v>0</v>
      </c>
      <c r="F1621">
        <v>1223735096</v>
      </c>
      <c r="G1621">
        <v>1244372.2</v>
      </c>
      <c r="H1621">
        <v>1222297607</v>
      </c>
      <c r="I1621">
        <v>1222297607</v>
      </c>
      <c r="J1621">
        <v>1.892E-3</v>
      </c>
      <c r="K1621">
        <v>1.892E-3</v>
      </c>
      <c r="M1621" t="s">
        <v>3</v>
      </c>
      <c r="N1621">
        <v>7000</v>
      </c>
      <c r="O1621">
        <v>16</v>
      </c>
      <c r="P1621">
        <v>4</v>
      </c>
      <c r="Q1621">
        <v>0</v>
      </c>
      <c r="R1621">
        <v>98904599</v>
      </c>
      <c r="S1621">
        <v>90487.11</v>
      </c>
      <c r="T1621">
        <v>79090679.590000004</v>
      </c>
      <c r="U1621">
        <v>98814111.890000001</v>
      </c>
      <c r="V1621">
        <v>0.93067900000000003</v>
      </c>
      <c r="W1621">
        <v>0</v>
      </c>
    </row>
    <row r="1622" spans="1:23" x14ac:dyDescent="0.35">
      <c r="A1622" t="s">
        <v>3</v>
      </c>
      <c r="B1622">
        <v>5000</v>
      </c>
      <c r="C1622">
        <v>16</v>
      </c>
      <c r="D1622">
        <v>4</v>
      </c>
      <c r="E1622">
        <v>0</v>
      </c>
      <c r="F1622">
        <v>108986969</v>
      </c>
      <c r="G1622">
        <v>143026.25</v>
      </c>
      <c r="H1622">
        <v>108833284</v>
      </c>
      <c r="I1622">
        <v>108833284</v>
      </c>
      <c r="J1622">
        <v>1.173E-3</v>
      </c>
      <c r="K1622">
        <v>1.173E-3</v>
      </c>
      <c r="M1622" t="s">
        <v>3</v>
      </c>
      <c r="N1622">
        <v>7000</v>
      </c>
      <c r="O1622">
        <v>12</v>
      </c>
      <c r="P1622">
        <v>18</v>
      </c>
      <c r="Q1622">
        <v>0</v>
      </c>
      <c r="R1622">
        <v>441888185</v>
      </c>
      <c r="S1622">
        <v>398565.36</v>
      </c>
      <c r="T1622">
        <v>441489619.63999999</v>
      </c>
      <c r="U1622">
        <v>441489619.63999999</v>
      </c>
      <c r="V1622">
        <v>0</v>
      </c>
      <c r="W1622">
        <v>0</v>
      </c>
    </row>
    <row r="1623" spans="1:23" x14ac:dyDescent="0.35">
      <c r="A1623" t="s">
        <v>3</v>
      </c>
      <c r="B1623">
        <v>5750</v>
      </c>
      <c r="C1623">
        <v>12</v>
      </c>
      <c r="D1623">
        <v>13</v>
      </c>
      <c r="E1623">
        <v>0</v>
      </c>
      <c r="F1623">
        <v>395518933</v>
      </c>
      <c r="G1623">
        <v>443864.55</v>
      </c>
      <c r="H1623">
        <v>394723903</v>
      </c>
      <c r="I1623">
        <v>394723903</v>
      </c>
      <c r="J1623">
        <v>1.0602E-2</v>
      </c>
      <c r="K1623">
        <v>1.0602E-2</v>
      </c>
      <c r="M1623" t="s">
        <v>3</v>
      </c>
      <c r="N1623">
        <v>6500</v>
      </c>
      <c r="O1623">
        <v>12</v>
      </c>
      <c r="P1623">
        <v>48</v>
      </c>
      <c r="Q1623">
        <v>0</v>
      </c>
      <c r="R1623">
        <v>1408304195</v>
      </c>
      <c r="S1623">
        <v>1380942.03</v>
      </c>
      <c r="T1623">
        <v>1377148019.04</v>
      </c>
      <c r="U1623">
        <v>1406923252.97</v>
      </c>
      <c r="V1623">
        <v>0.226192</v>
      </c>
      <c r="W1623">
        <v>0</v>
      </c>
    </row>
    <row r="1624" spans="1:23" x14ac:dyDescent="0.35">
      <c r="A1624" t="s">
        <v>1</v>
      </c>
      <c r="B1624">
        <v>7000</v>
      </c>
      <c r="C1624">
        <v>6</v>
      </c>
      <c r="D1624">
        <v>1462</v>
      </c>
      <c r="E1624">
        <v>0</v>
      </c>
      <c r="F1624">
        <v>46382876353</v>
      </c>
      <c r="G1624">
        <v>40075201.640000001</v>
      </c>
      <c r="H1624">
        <v>45898113728</v>
      </c>
      <c r="I1624">
        <v>46125289469.449997</v>
      </c>
      <c r="J1624">
        <v>0.109171</v>
      </c>
      <c r="K1624">
        <v>5.4844999999999998E-2</v>
      </c>
      <c r="M1624" t="s">
        <v>2</v>
      </c>
      <c r="N1624">
        <v>7500</v>
      </c>
      <c r="O1624">
        <v>14</v>
      </c>
      <c r="P1624">
        <v>19</v>
      </c>
      <c r="Q1624">
        <v>0</v>
      </c>
      <c r="R1624">
        <v>294179173</v>
      </c>
      <c r="S1624">
        <v>243284.99</v>
      </c>
      <c r="T1624">
        <v>293935888.00999999</v>
      </c>
      <c r="U1624">
        <v>293935888.00999999</v>
      </c>
      <c r="V1624">
        <v>0</v>
      </c>
      <c r="W1624">
        <v>0</v>
      </c>
    </row>
    <row r="1625" spans="1:23" x14ac:dyDescent="0.35">
      <c r="A1625" t="s">
        <v>3</v>
      </c>
      <c r="B1625">
        <v>5000</v>
      </c>
      <c r="C1625">
        <v>14</v>
      </c>
      <c r="D1625">
        <v>3</v>
      </c>
      <c r="E1625">
        <v>0</v>
      </c>
      <c r="F1625">
        <v>62359778</v>
      </c>
      <c r="G1625">
        <v>81444.52</v>
      </c>
      <c r="H1625">
        <v>62277348</v>
      </c>
      <c r="I1625">
        <v>62277348</v>
      </c>
      <c r="J1625">
        <v>1.9000000000000001E-4</v>
      </c>
      <c r="K1625">
        <v>1.9000000000000001E-4</v>
      </c>
      <c r="M1625" t="s">
        <v>0</v>
      </c>
      <c r="N1625">
        <v>8250</v>
      </c>
      <c r="O1625">
        <v>12</v>
      </c>
      <c r="P1625">
        <v>232</v>
      </c>
      <c r="Q1625">
        <v>0</v>
      </c>
      <c r="R1625">
        <v>6987533281</v>
      </c>
      <c r="S1625">
        <v>4900010.47</v>
      </c>
      <c r="T1625">
        <v>6926954787.4899998</v>
      </c>
      <c r="U1625">
        <v>6982633270.5299997</v>
      </c>
      <c r="V1625">
        <v>9.1537999999999994E-2</v>
      </c>
      <c r="W1625">
        <v>0</v>
      </c>
    </row>
    <row r="1626" spans="1:23" x14ac:dyDescent="0.35">
      <c r="A1626" t="s">
        <v>1</v>
      </c>
      <c r="B1626">
        <v>7750</v>
      </c>
      <c r="C1626">
        <v>12</v>
      </c>
      <c r="D1626">
        <v>422</v>
      </c>
      <c r="E1626">
        <v>0</v>
      </c>
      <c r="F1626">
        <v>11175470836</v>
      </c>
      <c r="G1626">
        <v>8622935.8699999992</v>
      </c>
      <c r="H1626">
        <v>10103014439</v>
      </c>
      <c r="I1626">
        <v>10878703995.190001</v>
      </c>
      <c r="J1626">
        <v>0.69893000000000005</v>
      </c>
      <c r="K1626">
        <v>0.26908799999999999</v>
      </c>
      <c r="M1626" t="s">
        <v>0</v>
      </c>
      <c r="N1626">
        <v>8000</v>
      </c>
      <c r="O1626">
        <v>12</v>
      </c>
      <c r="P1626">
        <v>151</v>
      </c>
      <c r="Q1626">
        <v>0</v>
      </c>
      <c r="R1626">
        <v>4498795653</v>
      </c>
      <c r="S1626">
        <v>3322046.11</v>
      </c>
      <c r="T1626">
        <v>4419427532.8500004</v>
      </c>
      <c r="U1626">
        <v>4495473606.8900003</v>
      </c>
      <c r="V1626">
        <v>0.18500900000000001</v>
      </c>
      <c r="W1626">
        <v>0</v>
      </c>
    </row>
    <row r="1627" spans="1:23" x14ac:dyDescent="0.35">
      <c r="A1627" t="s">
        <v>2</v>
      </c>
      <c r="B1627">
        <v>7750</v>
      </c>
      <c r="C1627">
        <v>12</v>
      </c>
      <c r="D1627">
        <v>36</v>
      </c>
      <c r="E1627">
        <v>0</v>
      </c>
      <c r="F1627">
        <v>530979748</v>
      </c>
      <c r="G1627">
        <v>413032.54</v>
      </c>
      <c r="H1627">
        <v>510078769</v>
      </c>
      <c r="I1627">
        <v>530588242.45999998</v>
      </c>
      <c r="J1627">
        <v>0.37636599999999998</v>
      </c>
      <c r="K1627">
        <v>-4.8700000000000002E-4</v>
      </c>
      <c r="M1627" t="s">
        <v>0</v>
      </c>
      <c r="N1627">
        <v>8250</v>
      </c>
      <c r="O1627">
        <v>14</v>
      </c>
      <c r="P1627">
        <v>266</v>
      </c>
      <c r="Q1627">
        <v>0</v>
      </c>
      <c r="R1627">
        <v>8288070431</v>
      </c>
      <c r="S1627">
        <v>5867778.21</v>
      </c>
      <c r="T1627">
        <v>8153436713.2200003</v>
      </c>
      <c r="U1627">
        <v>8232546165.0299997</v>
      </c>
      <c r="V1627">
        <v>0.17130200000000001</v>
      </c>
      <c r="W1627">
        <v>6.9572999999999996E-2</v>
      </c>
    </row>
    <row r="1628" spans="1:23" x14ac:dyDescent="0.35">
      <c r="A1628" t="s">
        <v>2</v>
      </c>
      <c r="B1628">
        <v>7000</v>
      </c>
      <c r="C1628">
        <v>10</v>
      </c>
      <c r="D1628">
        <v>171</v>
      </c>
      <c r="E1628">
        <v>0</v>
      </c>
      <c r="F1628">
        <v>2834164493</v>
      </c>
      <c r="G1628">
        <v>2525281.89</v>
      </c>
      <c r="H1628">
        <v>2831772931</v>
      </c>
      <c r="I1628">
        <v>2831772931</v>
      </c>
      <c r="J1628">
        <v>-5.6599999999999999E-4</v>
      </c>
      <c r="K1628">
        <v>-5.6599999999999999E-4</v>
      </c>
      <c r="M1628" t="s">
        <v>2</v>
      </c>
      <c r="N1628">
        <v>7750</v>
      </c>
      <c r="O1628">
        <v>14</v>
      </c>
      <c r="P1628">
        <v>25</v>
      </c>
      <c r="Q1628">
        <v>0</v>
      </c>
      <c r="R1628">
        <v>366970099</v>
      </c>
      <c r="S1628">
        <v>288180.17</v>
      </c>
      <c r="T1628">
        <v>366681918.82999998</v>
      </c>
      <c r="U1628">
        <v>366681918.82999998</v>
      </c>
      <c r="V1628">
        <v>0</v>
      </c>
      <c r="W1628">
        <v>0</v>
      </c>
    </row>
    <row r="1629" spans="1:23" x14ac:dyDescent="0.35">
      <c r="A1629" t="s">
        <v>3</v>
      </c>
      <c r="B1629">
        <v>7000</v>
      </c>
      <c r="C1629">
        <v>10</v>
      </c>
      <c r="D1629">
        <v>3</v>
      </c>
      <c r="E1629">
        <v>0</v>
      </c>
      <c r="F1629">
        <v>141162286</v>
      </c>
      <c r="G1629">
        <v>125065.58</v>
      </c>
      <c r="H1629">
        <v>141059911</v>
      </c>
      <c r="I1629">
        <v>141059911</v>
      </c>
      <c r="J1629">
        <v>-1.931E-3</v>
      </c>
      <c r="K1629">
        <v>-1.931E-3</v>
      </c>
      <c r="M1629" t="s">
        <v>2</v>
      </c>
      <c r="N1629">
        <v>7250</v>
      </c>
      <c r="O1629">
        <v>10</v>
      </c>
      <c r="P1629">
        <v>249</v>
      </c>
      <c r="Q1629">
        <v>0</v>
      </c>
      <c r="R1629">
        <v>3909620759</v>
      </c>
      <c r="S1629">
        <v>3304733.78</v>
      </c>
      <c r="T1629">
        <v>3877106470.1599998</v>
      </c>
      <c r="U1629">
        <v>3888776823.6399999</v>
      </c>
      <c r="V1629">
        <v>8.6060999999999999E-2</v>
      </c>
      <c r="W1629">
        <v>5.2525000000000002E-2</v>
      </c>
    </row>
    <row r="1630" spans="1:23" x14ac:dyDescent="0.35">
      <c r="A1630" t="s">
        <v>0</v>
      </c>
      <c r="B1630">
        <v>4250</v>
      </c>
      <c r="C1630">
        <v>8</v>
      </c>
      <c r="D1630">
        <v>355</v>
      </c>
      <c r="E1630">
        <v>0</v>
      </c>
      <c r="F1630">
        <v>11793425876</v>
      </c>
      <c r="G1630">
        <v>16943894.52</v>
      </c>
      <c r="H1630">
        <v>11774949629</v>
      </c>
      <c r="I1630">
        <v>11774949629</v>
      </c>
      <c r="J1630">
        <v>1.5579999999999999E-3</v>
      </c>
      <c r="K1630">
        <v>1.5579999999999999E-3</v>
      </c>
      <c r="M1630" t="s">
        <v>2</v>
      </c>
      <c r="N1630">
        <v>7000</v>
      </c>
      <c r="O1630">
        <v>8</v>
      </c>
      <c r="P1630">
        <v>258</v>
      </c>
      <c r="Q1630">
        <v>0</v>
      </c>
      <c r="R1630">
        <v>4568736024</v>
      </c>
      <c r="S1630">
        <v>4010100.38</v>
      </c>
      <c r="T1630">
        <v>4517669358.4799995</v>
      </c>
      <c r="U1630">
        <v>4540625636.9399996</v>
      </c>
      <c r="V1630">
        <v>0.11683</v>
      </c>
      <c r="W1630">
        <v>6.1496000000000002E-2</v>
      </c>
    </row>
    <row r="1631" spans="1:23" x14ac:dyDescent="0.35">
      <c r="A1631" t="s">
        <v>1</v>
      </c>
      <c r="B1631">
        <v>4250</v>
      </c>
      <c r="C1631">
        <v>8</v>
      </c>
      <c r="D1631">
        <v>138</v>
      </c>
      <c r="E1631">
        <v>0</v>
      </c>
      <c r="F1631">
        <v>5054032329</v>
      </c>
      <c r="G1631">
        <v>7257587.9100000001</v>
      </c>
      <c r="H1631">
        <v>5046856329</v>
      </c>
      <c r="I1631">
        <v>5046856329</v>
      </c>
      <c r="J1631">
        <v>-1.94E-4</v>
      </c>
      <c r="K1631">
        <v>-1.94E-4</v>
      </c>
      <c r="M1631" t="s">
        <v>3</v>
      </c>
      <c r="N1631">
        <v>5750</v>
      </c>
      <c r="O1631">
        <v>14</v>
      </c>
      <c r="P1631">
        <v>23</v>
      </c>
      <c r="Q1631">
        <v>0</v>
      </c>
      <c r="R1631">
        <v>637950625</v>
      </c>
      <c r="S1631">
        <v>730354.22</v>
      </c>
      <c r="T1631">
        <v>637220270.77999997</v>
      </c>
      <c r="U1631">
        <v>637220270.77999997</v>
      </c>
      <c r="V1631">
        <v>0</v>
      </c>
      <c r="W1631">
        <v>0</v>
      </c>
    </row>
    <row r="1632" spans="1:23" x14ac:dyDescent="0.35">
      <c r="A1632" t="s">
        <v>1</v>
      </c>
      <c r="B1632">
        <v>5000</v>
      </c>
      <c r="C1632">
        <v>7</v>
      </c>
      <c r="D1632">
        <v>919</v>
      </c>
      <c r="E1632">
        <v>0</v>
      </c>
      <c r="F1632">
        <v>35432089137</v>
      </c>
      <c r="G1632">
        <v>44445309.670000002</v>
      </c>
      <c r="H1632">
        <v>35358919133</v>
      </c>
      <c r="I1632">
        <v>35358919133</v>
      </c>
      <c r="J1632">
        <v>9.6849999999999992E-3</v>
      </c>
      <c r="K1632">
        <v>9.6849999999999992E-3</v>
      </c>
      <c r="M1632" t="s">
        <v>3</v>
      </c>
      <c r="N1632">
        <v>7250</v>
      </c>
      <c r="O1632">
        <v>14</v>
      </c>
      <c r="P1632">
        <v>4</v>
      </c>
      <c r="Q1632">
        <v>0</v>
      </c>
      <c r="R1632">
        <v>105005371</v>
      </c>
      <c r="S1632">
        <v>91969.7</v>
      </c>
      <c r="T1632">
        <v>104913401.3</v>
      </c>
      <c r="U1632">
        <v>104913401.3</v>
      </c>
      <c r="V1632">
        <v>0</v>
      </c>
      <c r="W1632">
        <v>0</v>
      </c>
    </row>
    <row r="1633" spans="1:23" x14ac:dyDescent="0.35">
      <c r="A1633" t="s">
        <v>1</v>
      </c>
      <c r="B1633">
        <v>5000</v>
      </c>
      <c r="C1633">
        <v>6</v>
      </c>
      <c r="D1633">
        <v>941</v>
      </c>
      <c r="E1633">
        <v>0</v>
      </c>
      <c r="F1633">
        <v>38012069316</v>
      </c>
      <c r="G1633">
        <v>47443414.189999998</v>
      </c>
      <c r="H1633">
        <v>37850522444</v>
      </c>
      <c r="I1633">
        <v>37867781128.400002</v>
      </c>
      <c r="J1633">
        <v>3.5431999999999998E-2</v>
      </c>
      <c r="K1633">
        <v>3.0148000000000001E-2</v>
      </c>
      <c r="M1633" t="s">
        <v>1</v>
      </c>
      <c r="N1633">
        <v>7750</v>
      </c>
      <c r="O1633">
        <v>12</v>
      </c>
      <c r="P1633">
        <v>346</v>
      </c>
      <c r="Q1633">
        <v>0</v>
      </c>
      <c r="R1633">
        <v>8938596689</v>
      </c>
      <c r="S1633">
        <v>6889546.9500000002</v>
      </c>
      <c r="T1633">
        <v>8142839199</v>
      </c>
      <c r="U1633">
        <v>8580337108.9700003</v>
      </c>
      <c r="V1633">
        <v>0.67002099999999998</v>
      </c>
      <c r="W1633">
        <v>0.38197900000000001</v>
      </c>
    </row>
    <row r="1634" spans="1:23" x14ac:dyDescent="0.35">
      <c r="A1634" t="s">
        <v>1</v>
      </c>
      <c r="B1634">
        <v>7250</v>
      </c>
      <c r="C1634">
        <v>10</v>
      </c>
      <c r="D1634">
        <v>670</v>
      </c>
      <c r="E1634">
        <v>0</v>
      </c>
      <c r="F1634">
        <v>18140757895</v>
      </c>
      <c r="G1634">
        <v>15406436.27</v>
      </c>
      <c r="H1634">
        <v>16660124336</v>
      </c>
      <c r="I1634">
        <v>17877693134.549999</v>
      </c>
      <c r="J1634">
        <v>0.63600900000000005</v>
      </c>
      <c r="K1634">
        <v>0.15206600000000001</v>
      </c>
      <c r="M1634" t="s">
        <v>1</v>
      </c>
      <c r="N1634">
        <v>7500</v>
      </c>
      <c r="O1634">
        <v>12</v>
      </c>
      <c r="P1634">
        <v>410</v>
      </c>
      <c r="Q1634">
        <v>0</v>
      </c>
      <c r="R1634">
        <v>10519223866</v>
      </c>
      <c r="S1634">
        <v>8598535.8200000003</v>
      </c>
      <c r="T1634">
        <v>9521603753.5400009</v>
      </c>
      <c r="U1634">
        <v>10402796844.059999</v>
      </c>
      <c r="V1634">
        <v>0.69421200000000005</v>
      </c>
      <c r="W1634">
        <v>0.116304</v>
      </c>
    </row>
    <row r="1635" spans="1:23" x14ac:dyDescent="0.35">
      <c r="A1635" t="s">
        <v>2</v>
      </c>
      <c r="B1635">
        <v>7250</v>
      </c>
      <c r="C1635">
        <v>10</v>
      </c>
      <c r="D1635">
        <v>142</v>
      </c>
      <c r="E1635">
        <v>0</v>
      </c>
      <c r="F1635">
        <v>2155652722</v>
      </c>
      <c r="G1635">
        <v>1820029.8</v>
      </c>
      <c r="H1635">
        <v>2132462971</v>
      </c>
      <c r="I1635">
        <v>2153696068.9099998</v>
      </c>
      <c r="J1635">
        <v>0.11268400000000001</v>
      </c>
      <c r="K1635">
        <v>7.6000000000000004E-4</v>
      </c>
      <c r="M1635" t="s">
        <v>2</v>
      </c>
      <c r="N1635">
        <v>7750</v>
      </c>
      <c r="O1635">
        <v>12</v>
      </c>
      <c r="P1635">
        <v>29</v>
      </c>
      <c r="Q1635">
        <v>0</v>
      </c>
      <c r="R1635">
        <v>383857508</v>
      </c>
      <c r="S1635">
        <v>297631.3</v>
      </c>
      <c r="T1635">
        <v>383559876.69999999</v>
      </c>
      <c r="U1635">
        <v>383559876.69999999</v>
      </c>
      <c r="V1635">
        <v>0</v>
      </c>
      <c r="W1635">
        <v>0</v>
      </c>
    </row>
    <row r="1636" spans="1:23" x14ac:dyDescent="0.35">
      <c r="A1636" t="s">
        <v>2</v>
      </c>
      <c r="B1636">
        <v>7250</v>
      </c>
      <c r="C1636">
        <v>9</v>
      </c>
      <c r="D1636">
        <v>188</v>
      </c>
      <c r="E1636">
        <v>0</v>
      </c>
      <c r="F1636">
        <v>2701476195</v>
      </c>
      <c r="G1636">
        <v>2268718.5</v>
      </c>
      <c r="H1636">
        <v>2603973710</v>
      </c>
      <c r="I1636">
        <v>2690604096.1700001</v>
      </c>
      <c r="J1636">
        <v>0.34992400000000001</v>
      </c>
      <c r="K1636">
        <v>3.7553999999999997E-2</v>
      </c>
      <c r="M1636" t="s">
        <v>1</v>
      </c>
      <c r="N1636">
        <v>4750</v>
      </c>
      <c r="O1636">
        <v>5</v>
      </c>
      <c r="P1636">
        <v>2789</v>
      </c>
      <c r="Q1636">
        <v>0</v>
      </c>
      <c r="R1636">
        <v>114254300000</v>
      </c>
      <c r="S1636">
        <v>145843219.18000001</v>
      </c>
      <c r="T1636">
        <v>114046237355.84</v>
      </c>
      <c r="U1636">
        <v>114108456780.82001</v>
      </c>
      <c r="V1636">
        <v>6.515E-3</v>
      </c>
      <c r="W1636">
        <v>0</v>
      </c>
    </row>
    <row r="1637" spans="1:23" x14ac:dyDescent="0.35">
      <c r="A1637" t="s">
        <v>2</v>
      </c>
      <c r="B1637">
        <v>7250</v>
      </c>
      <c r="C1637">
        <v>8</v>
      </c>
      <c r="D1637">
        <v>256</v>
      </c>
      <c r="E1637">
        <v>0</v>
      </c>
      <c r="F1637">
        <v>3888553179</v>
      </c>
      <c r="G1637">
        <v>3256464.82</v>
      </c>
      <c r="H1637">
        <v>3857360618</v>
      </c>
      <c r="I1637">
        <v>3885514041.75</v>
      </c>
      <c r="J1637">
        <v>8.2883999999999999E-2</v>
      </c>
      <c r="K1637">
        <v>-6.7100000000000005E-4</v>
      </c>
      <c r="M1637" t="s">
        <v>2</v>
      </c>
      <c r="N1637">
        <v>8250</v>
      </c>
      <c r="O1637">
        <v>16</v>
      </c>
      <c r="P1637">
        <v>1</v>
      </c>
      <c r="Q1637">
        <v>0</v>
      </c>
      <c r="R1637">
        <v>16974957</v>
      </c>
      <c r="S1637">
        <v>12209.65</v>
      </c>
      <c r="T1637">
        <v>16962747.350000001</v>
      </c>
      <c r="U1637">
        <v>16962747.350000001</v>
      </c>
      <c r="V1637">
        <v>0</v>
      </c>
      <c r="W1637">
        <v>0</v>
      </c>
    </row>
    <row r="1638" spans="1:23" x14ac:dyDescent="0.35">
      <c r="A1638" t="s">
        <v>1</v>
      </c>
      <c r="B1638">
        <v>7750</v>
      </c>
      <c r="C1638">
        <v>10</v>
      </c>
      <c r="D1638">
        <v>196</v>
      </c>
      <c r="E1638">
        <v>0</v>
      </c>
      <c r="F1638">
        <v>5408978062</v>
      </c>
      <c r="G1638">
        <v>4130741</v>
      </c>
      <c r="H1638">
        <v>4967294307</v>
      </c>
      <c r="I1638">
        <v>5292207344.29</v>
      </c>
      <c r="J1638">
        <v>0.63659699999999997</v>
      </c>
      <c r="K1638">
        <v>0.22317000000000001</v>
      </c>
      <c r="M1638" t="s">
        <v>3</v>
      </c>
      <c r="N1638">
        <v>7000</v>
      </c>
      <c r="O1638">
        <v>14</v>
      </c>
      <c r="P1638">
        <v>2</v>
      </c>
      <c r="Q1638">
        <v>0</v>
      </c>
      <c r="R1638">
        <v>74173510</v>
      </c>
      <c r="S1638">
        <v>66929.11</v>
      </c>
      <c r="T1638">
        <v>74106580.890000001</v>
      </c>
      <c r="U1638">
        <v>74106580.890000001</v>
      </c>
      <c r="V1638">
        <v>0</v>
      </c>
      <c r="W1638">
        <v>0</v>
      </c>
    </row>
    <row r="1639" spans="1:23" x14ac:dyDescent="0.35">
      <c r="A1639" t="s">
        <v>3</v>
      </c>
      <c r="B1639">
        <v>5500</v>
      </c>
      <c r="C1639">
        <v>12</v>
      </c>
      <c r="D1639">
        <v>6</v>
      </c>
      <c r="E1639">
        <v>0</v>
      </c>
      <c r="F1639">
        <v>136715573</v>
      </c>
      <c r="G1639">
        <v>161103.91</v>
      </c>
      <c r="H1639">
        <v>136588085</v>
      </c>
      <c r="I1639">
        <v>136588085</v>
      </c>
      <c r="J1639">
        <v>-2.9550000000000002E-3</v>
      </c>
      <c r="K1639">
        <v>-2.9550000000000002E-3</v>
      </c>
      <c r="M1639" t="s">
        <v>3</v>
      </c>
      <c r="N1639">
        <v>7250</v>
      </c>
      <c r="O1639">
        <v>12</v>
      </c>
      <c r="P1639">
        <v>8</v>
      </c>
      <c r="Q1639">
        <v>0</v>
      </c>
      <c r="R1639">
        <v>160813436</v>
      </c>
      <c r="S1639">
        <v>136859.15</v>
      </c>
      <c r="T1639">
        <v>160676576.84999999</v>
      </c>
      <c r="U1639">
        <v>160676576.84999999</v>
      </c>
      <c r="V1639">
        <v>0</v>
      </c>
      <c r="W1639">
        <v>0</v>
      </c>
    </row>
    <row r="1640" spans="1:23" x14ac:dyDescent="0.35">
      <c r="A1640" t="s">
        <v>3</v>
      </c>
      <c r="B1640">
        <v>7000</v>
      </c>
      <c r="C1640">
        <v>8</v>
      </c>
      <c r="D1640">
        <v>7</v>
      </c>
      <c r="E1640">
        <v>0</v>
      </c>
      <c r="F1640">
        <v>121667626</v>
      </c>
      <c r="G1640">
        <v>106889.2</v>
      </c>
      <c r="H1640">
        <v>121593027</v>
      </c>
      <c r="I1640">
        <v>121593027</v>
      </c>
      <c r="J1640">
        <v>-3.189E-3</v>
      </c>
      <c r="K1640">
        <v>-3.189E-3</v>
      </c>
      <c r="M1640" t="s">
        <v>3</v>
      </c>
      <c r="N1640">
        <v>5500</v>
      </c>
      <c r="O1640">
        <v>14</v>
      </c>
      <c r="P1640">
        <v>10</v>
      </c>
      <c r="Q1640">
        <v>0</v>
      </c>
      <c r="R1640">
        <v>295119959</v>
      </c>
      <c r="S1640">
        <v>354165.7</v>
      </c>
      <c r="T1640">
        <v>294765793.30000001</v>
      </c>
      <c r="U1640">
        <v>294765793.30000001</v>
      </c>
      <c r="V1640">
        <v>0</v>
      </c>
      <c r="W1640">
        <v>0</v>
      </c>
    </row>
    <row r="1641" spans="1:23" x14ac:dyDescent="0.35">
      <c r="A1641" t="s">
        <v>3</v>
      </c>
      <c r="B1641">
        <v>6750</v>
      </c>
      <c r="C1641">
        <v>9</v>
      </c>
      <c r="D1641">
        <v>32</v>
      </c>
      <c r="E1641">
        <v>0</v>
      </c>
      <c r="F1641">
        <v>908465926</v>
      </c>
      <c r="G1641">
        <v>837306.69</v>
      </c>
      <c r="H1641">
        <v>907479549</v>
      </c>
      <c r="I1641">
        <v>907479549</v>
      </c>
      <c r="J1641">
        <v>1.967E-3</v>
      </c>
      <c r="K1641">
        <v>1.967E-3</v>
      </c>
      <c r="M1641" t="s">
        <v>3</v>
      </c>
      <c r="N1641">
        <v>7500</v>
      </c>
      <c r="O1641">
        <v>14</v>
      </c>
      <c r="P1641">
        <v>1</v>
      </c>
      <c r="Q1641">
        <v>0</v>
      </c>
      <c r="R1641">
        <v>18746100</v>
      </c>
      <c r="S1641">
        <v>15238.74</v>
      </c>
      <c r="T1641">
        <v>18730861.260000002</v>
      </c>
      <c r="U1641">
        <v>18730861.260000002</v>
      </c>
      <c r="V1641">
        <v>0</v>
      </c>
      <c r="W1641">
        <v>0</v>
      </c>
    </row>
    <row r="1642" spans="1:23" x14ac:dyDescent="0.35">
      <c r="A1642" t="s">
        <v>3</v>
      </c>
      <c r="B1642">
        <v>6750</v>
      </c>
      <c r="C1642">
        <v>10</v>
      </c>
      <c r="D1642">
        <v>28</v>
      </c>
      <c r="E1642">
        <v>0</v>
      </c>
      <c r="F1642">
        <v>839407750</v>
      </c>
      <c r="G1642">
        <v>779116.82</v>
      </c>
      <c r="H1642">
        <v>838711244</v>
      </c>
      <c r="I1642">
        <v>838711244</v>
      </c>
      <c r="J1642">
        <v>-1.1820000000000001E-3</v>
      </c>
      <c r="K1642">
        <v>-1.1820000000000001E-3</v>
      </c>
      <c r="M1642" t="s">
        <v>3</v>
      </c>
      <c r="N1642">
        <v>6000</v>
      </c>
      <c r="O1642">
        <v>10</v>
      </c>
      <c r="P1642">
        <v>10</v>
      </c>
      <c r="Q1642">
        <v>0</v>
      </c>
      <c r="R1642">
        <v>251377569</v>
      </c>
      <c r="S1642">
        <v>267685.43</v>
      </c>
      <c r="T1642">
        <v>251109883.56999999</v>
      </c>
      <c r="U1642">
        <v>251109883.56999999</v>
      </c>
      <c r="V1642">
        <v>0</v>
      </c>
      <c r="W1642">
        <v>0</v>
      </c>
    </row>
    <row r="1643" spans="1:23" x14ac:dyDescent="0.35">
      <c r="A1643" t="s">
        <v>3</v>
      </c>
      <c r="B1643">
        <v>5500</v>
      </c>
      <c r="C1643">
        <v>14</v>
      </c>
      <c r="D1643">
        <v>7</v>
      </c>
      <c r="E1643">
        <v>0</v>
      </c>
      <c r="F1643">
        <v>195694515</v>
      </c>
      <c r="G1643">
        <v>232573.87</v>
      </c>
      <c r="H1643">
        <v>195461475</v>
      </c>
      <c r="I1643">
        <v>195461475</v>
      </c>
      <c r="J1643">
        <v>2.9E-5</v>
      </c>
      <c r="K1643">
        <v>2.9E-5</v>
      </c>
      <c r="M1643" t="s">
        <v>3</v>
      </c>
      <c r="N1643">
        <v>6250</v>
      </c>
      <c r="O1643">
        <v>10</v>
      </c>
      <c r="P1643">
        <v>25</v>
      </c>
      <c r="Q1643">
        <v>0</v>
      </c>
      <c r="R1643">
        <v>729274716</v>
      </c>
      <c r="S1643">
        <v>740886.46</v>
      </c>
      <c r="T1643">
        <v>728533829.53999996</v>
      </c>
      <c r="U1643">
        <v>728533829.53999996</v>
      </c>
      <c r="V1643">
        <v>0</v>
      </c>
      <c r="W1643">
        <v>0</v>
      </c>
    </row>
    <row r="1644" spans="1:23" x14ac:dyDescent="0.35">
      <c r="A1644" t="s">
        <v>2</v>
      </c>
      <c r="B1644">
        <v>7500</v>
      </c>
      <c r="C1644">
        <v>12</v>
      </c>
      <c r="D1644">
        <v>75</v>
      </c>
      <c r="E1644">
        <v>0</v>
      </c>
      <c r="F1644">
        <v>1094723011</v>
      </c>
      <c r="G1644">
        <v>896791.66</v>
      </c>
      <c r="H1644">
        <v>1032231104</v>
      </c>
      <c r="I1644">
        <v>1046271491.0599999</v>
      </c>
      <c r="J1644">
        <v>0.500888</v>
      </c>
      <c r="K1644">
        <v>0.41312300000000002</v>
      </c>
      <c r="M1644" t="s">
        <v>3</v>
      </c>
      <c r="N1644">
        <v>6250</v>
      </c>
      <c r="O1644">
        <v>9</v>
      </c>
      <c r="P1644">
        <v>39</v>
      </c>
      <c r="Q1644">
        <v>0</v>
      </c>
      <c r="R1644">
        <v>1224986338</v>
      </c>
      <c r="S1644">
        <v>1237965.76</v>
      </c>
      <c r="T1644">
        <v>1223748372.24</v>
      </c>
      <c r="U1644">
        <v>1223748372.24</v>
      </c>
      <c r="V1644">
        <v>0</v>
      </c>
      <c r="W1644">
        <v>0</v>
      </c>
    </row>
    <row r="1645" spans="1:23" x14ac:dyDescent="0.35">
      <c r="A1645" t="s">
        <v>0</v>
      </c>
      <c r="B1645">
        <v>7750</v>
      </c>
      <c r="C1645">
        <v>6</v>
      </c>
      <c r="D1645">
        <v>944</v>
      </c>
      <c r="E1645">
        <v>0</v>
      </c>
      <c r="F1645">
        <v>25372572588</v>
      </c>
      <c r="G1645">
        <v>18871816.309999999</v>
      </c>
      <c r="H1645">
        <v>23804820710</v>
      </c>
      <c r="I1645">
        <v>25328625569.040001</v>
      </c>
      <c r="J1645">
        <v>0.530393</v>
      </c>
      <c r="K1645">
        <v>1.1795E-2</v>
      </c>
      <c r="M1645" t="s">
        <v>3</v>
      </c>
      <c r="N1645">
        <v>6500</v>
      </c>
      <c r="O1645">
        <v>10</v>
      </c>
      <c r="P1645">
        <v>35</v>
      </c>
      <c r="Q1645">
        <v>0</v>
      </c>
      <c r="R1645">
        <v>1038942856</v>
      </c>
      <c r="S1645">
        <v>1017394.02</v>
      </c>
      <c r="T1645">
        <v>1037925461.98</v>
      </c>
      <c r="U1645">
        <v>1037925461.98</v>
      </c>
      <c r="V1645">
        <v>0</v>
      </c>
      <c r="W1645">
        <v>0</v>
      </c>
    </row>
    <row r="1646" spans="1:23" x14ac:dyDescent="0.35">
      <c r="A1646" t="s">
        <v>2</v>
      </c>
      <c r="B1646">
        <v>7750</v>
      </c>
      <c r="C1646">
        <v>10</v>
      </c>
      <c r="D1646">
        <v>12</v>
      </c>
      <c r="E1646">
        <v>0</v>
      </c>
      <c r="F1646">
        <v>153693285</v>
      </c>
      <c r="G1646">
        <v>118975.44</v>
      </c>
      <c r="H1646">
        <v>133523091</v>
      </c>
      <c r="I1646">
        <v>153554894.50999999</v>
      </c>
      <c r="J1646">
        <v>0.813164</v>
      </c>
      <c r="K1646">
        <v>1.5150000000000001E-3</v>
      </c>
      <c r="M1646" t="s">
        <v>1</v>
      </c>
      <c r="N1646">
        <v>7250</v>
      </c>
      <c r="O1646">
        <v>10</v>
      </c>
      <c r="P1646">
        <v>732</v>
      </c>
      <c r="Q1646">
        <v>0</v>
      </c>
      <c r="R1646">
        <v>19229196914</v>
      </c>
      <c r="S1646">
        <v>16380732.32</v>
      </c>
      <c r="T1646">
        <v>17143424072.68</v>
      </c>
      <c r="U1646">
        <v>18760190677.16</v>
      </c>
      <c r="V1646">
        <v>0.74495599999999995</v>
      </c>
      <c r="W1646">
        <v>0.248616</v>
      </c>
    </row>
    <row r="1647" spans="1:23" x14ac:dyDescent="0.35">
      <c r="A1647" t="s">
        <v>2</v>
      </c>
      <c r="B1647">
        <v>7750</v>
      </c>
      <c r="C1647">
        <v>9</v>
      </c>
      <c r="D1647">
        <v>8</v>
      </c>
      <c r="E1647">
        <v>0</v>
      </c>
      <c r="F1647">
        <v>140181817</v>
      </c>
      <c r="G1647">
        <v>107354.37</v>
      </c>
      <c r="H1647">
        <v>113390031</v>
      </c>
      <c r="I1647">
        <v>113390031</v>
      </c>
      <c r="J1647">
        <v>0.92065300000000005</v>
      </c>
      <c r="K1647">
        <v>0.92065300000000005</v>
      </c>
      <c r="M1647" t="s">
        <v>3</v>
      </c>
      <c r="N1647">
        <v>5000</v>
      </c>
      <c r="O1647">
        <v>16</v>
      </c>
      <c r="P1647">
        <v>2</v>
      </c>
      <c r="Q1647">
        <v>0</v>
      </c>
      <c r="R1647">
        <v>49240150</v>
      </c>
      <c r="S1647">
        <v>64162.85</v>
      </c>
      <c r="T1647">
        <v>49175987.149999999</v>
      </c>
      <c r="U1647">
        <v>49175987.149999999</v>
      </c>
      <c r="V1647">
        <v>0</v>
      </c>
      <c r="W1647">
        <v>0</v>
      </c>
    </row>
    <row r="1648" spans="1:23" x14ac:dyDescent="0.35">
      <c r="A1648" t="s">
        <v>1</v>
      </c>
      <c r="B1648">
        <v>7250</v>
      </c>
      <c r="C1648">
        <v>7</v>
      </c>
      <c r="D1648">
        <v>1744</v>
      </c>
      <c r="E1648">
        <v>0</v>
      </c>
      <c r="F1648">
        <v>53917019811</v>
      </c>
      <c r="G1648">
        <v>45072164.340000004</v>
      </c>
      <c r="H1648">
        <v>31738988703</v>
      </c>
      <c r="I1648">
        <v>53746336961.709999</v>
      </c>
      <c r="J1648">
        <v>0.99823899999999999</v>
      </c>
      <c r="K1648">
        <v>2.7601000000000001E-2</v>
      </c>
      <c r="M1648" t="s">
        <v>0</v>
      </c>
      <c r="N1648">
        <v>8250</v>
      </c>
      <c r="O1648">
        <v>10</v>
      </c>
      <c r="P1648">
        <v>81</v>
      </c>
      <c r="Q1648">
        <v>0</v>
      </c>
      <c r="R1648">
        <v>2531354934</v>
      </c>
      <c r="S1648">
        <v>1753724.95</v>
      </c>
      <c r="T1648">
        <v>2529601209.0500002</v>
      </c>
      <c r="U1648">
        <v>2529601209.0500002</v>
      </c>
      <c r="V1648">
        <v>0</v>
      </c>
      <c r="W1648">
        <v>0</v>
      </c>
    </row>
    <row r="1649" spans="1:23" x14ac:dyDescent="0.35">
      <c r="A1649" t="s">
        <v>2</v>
      </c>
      <c r="B1649">
        <v>7250</v>
      </c>
      <c r="C1649">
        <v>7</v>
      </c>
      <c r="D1649">
        <v>322</v>
      </c>
      <c r="E1649">
        <v>0</v>
      </c>
      <c r="F1649">
        <v>4945086381</v>
      </c>
      <c r="G1649">
        <v>4122317.4</v>
      </c>
      <c r="H1649">
        <v>4940452937</v>
      </c>
      <c r="I1649">
        <v>4940452937</v>
      </c>
      <c r="J1649">
        <v>1.24E-3</v>
      </c>
      <c r="K1649">
        <v>1.24E-3</v>
      </c>
      <c r="M1649" t="s">
        <v>1</v>
      </c>
      <c r="N1649">
        <v>8250</v>
      </c>
      <c r="O1649">
        <v>14</v>
      </c>
      <c r="P1649">
        <v>1</v>
      </c>
      <c r="Q1649">
        <v>0</v>
      </c>
      <c r="R1649">
        <v>19110373</v>
      </c>
      <c r="S1649">
        <v>13768.96</v>
      </c>
      <c r="T1649">
        <v>0</v>
      </c>
      <c r="U1649">
        <v>19096604.039999999</v>
      </c>
      <c r="V1649">
        <v>1</v>
      </c>
      <c r="W1649">
        <v>0</v>
      </c>
    </row>
    <row r="1650" spans="1:23" x14ac:dyDescent="0.35">
      <c r="A1650" t="s">
        <v>3</v>
      </c>
      <c r="B1650">
        <v>6500</v>
      </c>
      <c r="C1650">
        <v>7</v>
      </c>
      <c r="D1650">
        <v>37</v>
      </c>
      <c r="E1650">
        <v>0</v>
      </c>
      <c r="F1650">
        <v>1069928950</v>
      </c>
      <c r="G1650">
        <v>1019793.3</v>
      </c>
      <c r="H1650">
        <v>1068786388</v>
      </c>
      <c r="I1650">
        <v>1068786388</v>
      </c>
      <c r="J1650">
        <v>1.3760000000000001E-3</v>
      </c>
      <c r="K1650">
        <v>1.3760000000000001E-3</v>
      </c>
      <c r="M1650" t="s">
        <v>0</v>
      </c>
      <c r="N1650">
        <v>8000</v>
      </c>
      <c r="O1650">
        <v>10</v>
      </c>
      <c r="P1650">
        <v>85</v>
      </c>
      <c r="Q1650">
        <v>0</v>
      </c>
      <c r="R1650">
        <v>2657925411</v>
      </c>
      <c r="S1650">
        <v>1948836.6</v>
      </c>
      <c r="T1650">
        <v>2612184525.5700002</v>
      </c>
      <c r="U1650">
        <v>2655976574.4000001</v>
      </c>
      <c r="V1650">
        <v>0.18074399999999999</v>
      </c>
      <c r="W1650">
        <v>0</v>
      </c>
    </row>
    <row r="1651" spans="1:23" x14ac:dyDescent="0.35">
      <c r="A1651" t="s">
        <v>0</v>
      </c>
      <c r="B1651">
        <v>4750</v>
      </c>
      <c r="C1651">
        <v>7</v>
      </c>
      <c r="D1651">
        <v>798</v>
      </c>
      <c r="E1651">
        <v>0</v>
      </c>
      <c r="F1651">
        <v>25769184390</v>
      </c>
      <c r="G1651">
        <v>33852095.270000003</v>
      </c>
      <c r="H1651">
        <v>25702274787</v>
      </c>
      <c r="I1651">
        <v>25702274787</v>
      </c>
      <c r="J1651">
        <v>1.5285999999999999E-2</v>
      </c>
      <c r="K1651">
        <v>1.5285999999999999E-2</v>
      </c>
      <c r="M1651" t="s">
        <v>3</v>
      </c>
      <c r="N1651">
        <v>5000</v>
      </c>
      <c r="O1651">
        <v>14</v>
      </c>
      <c r="P1651">
        <v>5</v>
      </c>
      <c r="Q1651">
        <v>0</v>
      </c>
      <c r="R1651">
        <v>122291682</v>
      </c>
      <c r="S1651">
        <v>159333.76999999999</v>
      </c>
      <c r="T1651">
        <v>122132348.23</v>
      </c>
      <c r="U1651">
        <v>122132348.23</v>
      </c>
      <c r="V1651">
        <v>0</v>
      </c>
      <c r="W1651">
        <v>0</v>
      </c>
    </row>
    <row r="1652" spans="1:23" x14ac:dyDescent="0.35">
      <c r="A1652" t="s">
        <v>1</v>
      </c>
      <c r="B1652">
        <v>4750</v>
      </c>
      <c r="C1652">
        <v>6</v>
      </c>
      <c r="D1652">
        <v>292</v>
      </c>
      <c r="E1652">
        <v>0</v>
      </c>
      <c r="F1652">
        <v>11320556430</v>
      </c>
      <c r="G1652">
        <v>14815026.75</v>
      </c>
      <c r="H1652">
        <v>11252724052</v>
      </c>
      <c r="I1652">
        <v>11282879645.09</v>
      </c>
      <c r="J1652">
        <v>5.4774000000000003E-2</v>
      </c>
      <c r="K1652">
        <v>2.3966999999999999E-2</v>
      </c>
      <c r="M1652" t="s">
        <v>1</v>
      </c>
      <c r="N1652">
        <v>7500</v>
      </c>
      <c r="O1652">
        <v>10</v>
      </c>
      <c r="P1652">
        <v>226</v>
      </c>
      <c r="Q1652">
        <v>0</v>
      </c>
      <c r="R1652">
        <v>5883119576</v>
      </c>
      <c r="S1652">
        <v>4740622.96</v>
      </c>
      <c r="T1652">
        <v>5299920291.3599997</v>
      </c>
      <c r="U1652">
        <v>5780705149.6300001</v>
      </c>
      <c r="V1652">
        <v>0.71119900000000003</v>
      </c>
      <c r="W1652">
        <v>0.182007</v>
      </c>
    </row>
    <row r="1653" spans="1:23" x14ac:dyDescent="0.35">
      <c r="A1653" t="s">
        <v>2</v>
      </c>
      <c r="B1653">
        <v>4750</v>
      </c>
      <c r="C1653">
        <v>7</v>
      </c>
      <c r="D1653">
        <v>18</v>
      </c>
      <c r="E1653">
        <v>0</v>
      </c>
      <c r="F1653">
        <v>453365401</v>
      </c>
      <c r="G1653">
        <v>605619.11</v>
      </c>
      <c r="H1653">
        <v>452425611</v>
      </c>
      <c r="I1653">
        <v>452425611</v>
      </c>
      <c r="J1653">
        <v>8.8090000000000009E-3</v>
      </c>
      <c r="K1653">
        <v>8.8090000000000009E-3</v>
      </c>
      <c r="M1653" t="s">
        <v>2</v>
      </c>
      <c r="N1653">
        <v>7000</v>
      </c>
      <c r="O1653">
        <v>9</v>
      </c>
      <c r="P1653">
        <v>173</v>
      </c>
      <c r="Q1653">
        <v>0</v>
      </c>
      <c r="R1653">
        <v>2865358911</v>
      </c>
      <c r="S1653">
        <v>2536110.2000000002</v>
      </c>
      <c r="T1653">
        <v>2834026063.1799998</v>
      </c>
      <c r="U1653">
        <v>2862822800.8000002</v>
      </c>
      <c r="V1653">
        <v>0.114152</v>
      </c>
      <c r="W1653">
        <v>0</v>
      </c>
    </row>
    <row r="1654" spans="1:23" x14ac:dyDescent="0.35">
      <c r="A1654" t="s">
        <v>1</v>
      </c>
      <c r="B1654">
        <v>4750</v>
      </c>
      <c r="C1654">
        <v>7</v>
      </c>
      <c r="D1654">
        <v>282</v>
      </c>
      <c r="E1654">
        <v>0</v>
      </c>
      <c r="F1654">
        <v>10609100507</v>
      </c>
      <c r="G1654">
        <v>13935836.199999999</v>
      </c>
      <c r="H1654">
        <v>10542891067</v>
      </c>
      <c r="I1654">
        <v>10585666409.92</v>
      </c>
      <c r="J1654">
        <v>5.7550999999999998E-2</v>
      </c>
      <c r="K1654">
        <v>1.0691000000000001E-2</v>
      </c>
      <c r="M1654" t="s">
        <v>3</v>
      </c>
      <c r="N1654">
        <v>7000</v>
      </c>
      <c r="O1654">
        <v>9</v>
      </c>
      <c r="P1654">
        <v>3</v>
      </c>
      <c r="Q1654">
        <v>0</v>
      </c>
      <c r="R1654">
        <v>141324536</v>
      </c>
      <c r="S1654">
        <v>124379.96</v>
      </c>
      <c r="T1654">
        <v>141200156.03999999</v>
      </c>
      <c r="U1654">
        <v>141200156.03999999</v>
      </c>
      <c r="V1654">
        <v>0</v>
      </c>
      <c r="W1654">
        <v>0</v>
      </c>
    </row>
    <row r="1655" spans="1:23" x14ac:dyDescent="0.35">
      <c r="A1655" t="s">
        <v>1</v>
      </c>
      <c r="B1655">
        <v>7500</v>
      </c>
      <c r="C1655">
        <v>7</v>
      </c>
      <c r="D1655">
        <v>241</v>
      </c>
      <c r="E1655">
        <v>0</v>
      </c>
      <c r="F1655">
        <v>7547592453</v>
      </c>
      <c r="G1655">
        <v>5974917.8300000001</v>
      </c>
      <c r="H1655">
        <v>3133081289</v>
      </c>
      <c r="I1655">
        <v>7541059230.3400002</v>
      </c>
      <c r="J1655">
        <v>0.999973</v>
      </c>
      <c r="K1655">
        <v>8.8699999999999998E-4</v>
      </c>
      <c r="M1655" t="s">
        <v>0</v>
      </c>
      <c r="N1655">
        <v>4250</v>
      </c>
      <c r="O1655">
        <v>7</v>
      </c>
      <c r="P1655">
        <v>355</v>
      </c>
      <c r="Q1655">
        <v>0</v>
      </c>
      <c r="R1655">
        <v>11813176190</v>
      </c>
      <c r="S1655">
        <v>16888387.57</v>
      </c>
      <c r="T1655">
        <v>11796287802.43</v>
      </c>
      <c r="U1655">
        <v>11796287802.43</v>
      </c>
      <c r="V1655">
        <v>0</v>
      </c>
      <c r="W1655">
        <v>0</v>
      </c>
    </row>
    <row r="1656" spans="1:23" x14ac:dyDescent="0.35">
      <c r="A1656" t="s">
        <v>3</v>
      </c>
      <c r="B1656">
        <v>7250</v>
      </c>
      <c r="C1656">
        <v>7</v>
      </c>
      <c r="D1656">
        <v>4</v>
      </c>
      <c r="E1656">
        <v>0</v>
      </c>
      <c r="F1656">
        <v>140542500</v>
      </c>
      <c r="G1656">
        <v>115665.82</v>
      </c>
      <c r="H1656">
        <v>140155829</v>
      </c>
      <c r="I1656">
        <v>140155829</v>
      </c>
      <c r="J1656">
        <v>2.2896E-2</v>
      </c>
      <c r="K1656">
        <v>2.2896E-2</v>
      </c>
      <c r="M1656" t="s">
        <v>1</v>
      </c>
      <c r="N1656">
        <v>4250</v>
      </c>
      <c r="O1656">
        <v>7</v>
      </c>
      <c r="P1656">
        <v>138</v>
      </c>
      <c r="Q1656">
        <v>0</v>
      </c>
      <c r="R1656">
        <v>5065212517</v>
      </c>
      <c r="S1656">
        <v>7237656.6299999999</v>
      </c>
      <c r="T1656">
        <v>5057974860.3699999</v>
      </c>
      <c r="U1656">
        <v>5057974860.3699999</v>
      </c>
      <c r="V1656">
        <v>0</v>
      </c>
      <c r="W1656">
        <v>0</v>
      </c>
    </row>
    <row r="1657" spans="1:23" x14ac:dyDescent="0.35">
      <c r="A1657" t="s">
        <v>1</v>
      </c>
      <c r="B1657">
        <v>7500</v>
      </c>
      <c r="C1657">
        <v>8</v>
      </c>
      <c r="D1657">
        <v>230</v>
      </c>
      <c r="E1657">
        <v>0</v>
      </c>
      <c r="F1657">
        <v>6523288540</v>
      </c>
      <c r="G1657">
        <v>5249907.28</v>
      </c>
      <c r="H1657">
        <v>5335631460</v>
      </c>
      <c r="I1657">
        <v>6380587528.9099998</v>
      </c>
      <c r="J1657">
        <v>0.90926899999999999</v>
      </c>
      <c r="K1657">
        <v>0.22551099999999999</v>
      </c>
      <c r="M1657" t="s">
        <v>1</v>
      </c>
      <c r="N1657">
        <v>5000</v>
      </c>
      <c r="O1657">
        <v>6</v>
      </c>
      <c r="P1657">
        <v>919</v>
      </c>
      <c r="Q1657">
        <v>0</v>
      </c>
      <c r="R1657">
        <v>35515489795</v>
      </c>
      <c r="S1657">
        <v>44314693.109999999</v>
      </c>
      <c r="T1657">
        <v>35437051854.510002</v>
      </c>
      <c r="U1657">
        <v>35437051854.510002</v>
      </c>
      <c r="V1657">
        <v>1.1469E-2</v>
      </c>
      <c r="W1657">
        <v>1.1469E-2</v>
      </c>
    </row>
    <row r="1658" spans="1:23" x14ac:dyDescent="0.35">
      <c r="A1658" t="s">
        <v>3</v>
      </c>
      <c r="B1658">
        <v>7000</v>
      </c>
      <c r="C1658">
        <v>9</v>
      </c>
      <c r="D1658">
        <v>8</v>
      </c>
      <c r="E1658">
        <v>0</v>
      </c>
      <c r="F1658">
        <v>239066943</v>
      </c>
      <c r="G1658">
        <v>211218.59</v>
      </c>
      <c r="H1658">
        <v>238782461</v>
      </c>
      <c r="I1658">
        <v>238782461</v>
      </c>
      <c r="J1658">
        <v>3.6709999999999998E-3</v>
      </c>
      <c r="K1658">
        <v>3.6709999999999998E-3</v>
      </c>
      <c r="M1658" t="s">
        <v>1</v>
      </c>
      <c r="N1658">
        <v>7250</v>
      </c>
      <c r="O1658">
        <v>9</v>
      </c>
      <c r="P1658">
        <v>745</v>
      </c>
      <c r="Q1658">
        <v>0</v>
      </c>
      <c r="R1658">
        <v>20468260092</v>
      </c>
      <c r="S1658">
        <v>17266221.059999999</v>
      </c>
      <c r="T1658">
        <v>18140146281.029999</v>
      </c>
      <c r="U1658">
        <v>20196308080.599998</v>
      </c>
      <c r="V1658">
        <v>0.76249299999999998</v>
      </c>
      <c r="W1658">
        <v>0.13950899999999999</v>
      </c>
    </row>
    <row r="1659" spans="1:23" x14ac:dyDescent="0.35">
      <c r="A1659" t="s">
        <v>1</v>
      </c>
      <c r="B1659">
        <v>7500</v>
      </c>
      <c r="C1659">
        <v>9</v>
      </c>
      <c r="D1659">
        <v>113</v>
      </c>
      <c r="E1659">
        <v>0</v>
      </c>
      <c r="F1659">
        <v>3477930926</v>
      </c>
      <c r="G1659">
        <v>2843229.98</v>
      </c>
      <c r="H1659">
        <v>3082515974</v>
      </c>
      <c r="I1659">
        <v>3420281475.1700001</v>
      </c>
      <c r="J1659">
        <v>0.76241599999999998</v>
      </c>
      <c r="K1659">
        <v>0.173541</v>
      </c>
      <c r="M1659" t="s">
        <v>2</v>
      </c>
      <c r="N1659">
        <v>7250</v>
      </c>
      <c r="O1659">
        <v>9</v>
      </c>
      <c r="P1659">
        <v>142</v>
      </c>
      <c r="Q1659">
        <v>0</v>
      </c>
      <c r="R1659">
        <v>2167859725</v>
      </c>
      <c r="S1659">
        <v>1818021.26</v>
      </c>
      <c r="T1659">
        <v>2151099666.9400001</v>
      </c>
      <c r="U1659">
        <v>2166041703.7399998</v>
      </c>
      <c r="V1659">
        <v>7.9645999999999995E-2</v>
      </c>
      <c r="W1659">
        <v>0</v>
      </c>
    </row>
    <row r="1660" spans="1:23" x14ac:dyDescent="0.35">
      <c r="A1660" t="s">
        <v>2</v>
      </c>
      <c r="B1660">
        <v>7500</v>
      </c>
      <c r="C1660">
        <v>9</v>
      </c>
      <c r="D1660">
        <v>81</v>
      </c>
      <c r="E1660">
        <v>0</v>
      </c>
      <c r="F1660">
        <v>1193312500</v>
      </c>
      <c r="G1660">
        <v>959900.38</v>
      </c>
      <c r="H1660">
        <v>1192399091</v>
      </c>
      <c r="I1660">
        <v>1192399091</v>
      </c>
      <c r="J1660">
        <v>-4.6799999999999999E-4</v>
      </c>
      <c r="K1660">
        <v>-4.6799999999999999E-4</v>
      </c>
      <c r="M1660" t="s">
        <v>2</v>
      </c>
      <c r="N1660">
        <v>7250</v>
      </c>
      <c r="O1660">
        <v>8</v>
      </c>
      <c r="P1660">
        <v>184</v>
      </c>
      <c r="Q1660">
        <v>0</v>
      </c>
      <c r="R1660">
        <v>2681794704</v>
      </c>
      <c r="S1660">
        <v>2236957.15</v>
      </c>
      <c r="T1660">
        <v>2652305412.6199999</v>
      </c>
      <c r="U1660">
        <v>2679557746.8499999</v>
      </c>
      <c r="V1660">
        <v>0.115354</v>
      </c>
      <c r="W1660">
        <v>0</v>
      </c>
    </row>
    <row r="1661" spans="1:23" x14ac:dyDescent="0.35">
      <c r="A1661" t="s">
        <v>3</v>
      </c>
      <c r="B1661">
        <v>6000</v>
      </c>
      <c r="C1661">
        <v>9</v>
      </c>
      <c r="D1661">
        <v>14</v>
      </c>
      <c r="E1661">
        <v>0</v>
      </c>
      <c r="F1661">
        <v>401165356</v>
      </c>
      <c r="G1661">
        <v>425628.23</v>
      </c>
      <c r="H1661">
        <v>400665498</v>
      </c>
      <c r="I1661">
        <v>400665498</v>
      </c>
      <c r="J1661">
        <v>2.2179999999999999E-3</v>
      </c>
      <c r="K1661">
        <v>2.2179999999999999E-3</v>
      </c>
      <c r="M1661" t="s">
        <v>2</v>
      </c>
      <c r="N1661">
        <v>7250</v>
      </c>
      <c r="O1661">
        <v>7</v>
      </c>
      <c r="P1661">
        <v>255</v>
      </c>
      <c r="Q1661">
        <v>0</v>
      </c>
      <c r="R1661">
        <v>3886252020</v>
      </c>
      <c r="S1661">
        <v>3232408.04</v>
      </c>
      <c r="T1661">
        <v>3870494360.9699998</v>
      </c>
      <c r="U1661">
        <v>3883019611.96</v>
      </c>
      <c r="V1661">
        <v>3.7997000000000003E-2</v>
      </c>
      <c r="W1661">
        <v>0</v>
      </c>
    </row>
    <row r="1662" spans="1:23" x14ac:dyDescent="0.35">
      <c r="A1662" t="s">
        <v>2</v>
      </c>
      <c r="B1662">
        <v>7500</v>
      </c>
      <c r="C1662">
        <v>10</v>
      </c>
      <c r="D1662">
        <v>129</v>
      </c>
      <c r="E1662">
        <v>0</v>
      </c>
      <c r="F1662">
        <v>1804674548</v>
      </c>
      <c r="G1662">
        <v>1455292.88</v>
      </c>
      <c r="H1662">
        <v>1738564351</v>
      </c>
      <c r="I1662">
        <v>1738564351</v>
      </c>
      <c r="J1662">
        <v>0.354549</v>
      </c>
      <c r="K1662">
        <v>0.354549</v>
      </c>
      <c r="M1662" t="s">
        <v>1</v>
      </c>
      <c r="N1662">
        <v>7750</v>
      </c>
      <c r="O1662">
        <v>9</v>
      </c>
      <c r="P1662">
        <v>226</v>
      </c>
      <c r="Q1662">
        <v>0</v>
      </c>
      <c r="R1662">
        <v>6322868382</v>
      </c>
      <c r="S1662">
        <v>4802713.4400000004</v>
      </c>
      <c r="T1662">
        <v>5424901998.6899996</v>
      </c>
      <c r="U1662">
        <v>6234520882.1400003</v>
      </c>
      <c r="V1662">
        <v>0.83917799999999998</v>
      </c>
      <c r="W1662">
        <v>0.14752699999999999</v>
      </c>
    </row>
    <row r="1663" spans="1:23" x14ac:dyDescent="0.35">
      <c r="A1663" t="s">
        <v>3</v>
      </c>
      <c r="B1663">
        <v>5750</v>
      </c>
      <c r="C1663">
        <v>10</v>
      </c>
      <c r="D1663">
        <v>9</v>
      </c>
      <c r="E1663">
        <v>0</v>
      </c>
      <c r="F1663">
        <v>225955472</v>
      </c>
      <c r="G1663">
        <v>251531.78</v>
      </c>
      <c r="H1663">
        <v>225688727</v>
      </c>
      <c r="I1663">
        <v>225688727</v>
      </c>
      <c r="J1663">
        <v>8.0800000000000002E-4</v>
      </c>
      <c r="K1663">
        <v>8.0800000000000002E-4</v>
      </c>
      <c r="M1663" t="s">
        <v>1</v>
      </c>
      <c r="N1663">
        <v>7750</v>
      </c>
      <c r="O1663">
        <v>10</v>
      </c>
      <c r="P1663">
        <v>249</v>
      </c>
      <c r="Q1663">
        <v>0</v>
      </c>
      <c r="R1663">
        <v>6788128871</v>
      </c>
      <c r="S1663">
        <v>5186355.47</v>
      </c>
      <c r="T1663">
        <v>6318563065.8699999</v>
      </c>
      <c r="U1663">
        <v>6686675833.1000004</v>
      </c>
      <c r="V1663">
        <v>0.57273700000000005</v>
      </c>
      <c r="W1663">
        <v>0.15751399999999999</v>
      </c>
    </row>
    <row r="1664" spans="1:23" x14ac:dyDescent="0.35">
      <c r="A1664" t="s">
        <v>3</v>
      </c>
      <c r="B1664">
        <v>5500</v>
      </c>
      <c r="C1664">
        <v>10</v>
      </c>
      <c r="D1664">
        <v>6</v>
      </c>
      <c r="E1664">
        <v>0</v>
      </c>
      <c r="F1664">
        <v>126816929</v>
      </c>
      <c r="G1664">
        <v>147869.6</v>
      </c>
      <c r="H1664">
        <v>126668076</v>
      </c>
      <c r="I1664">
        <v>126668076</v>
      </c>
      <c r="J1664">
        <v>9.2999999999999997E-5</v>
      </c>
      <c r="K1664">
        <v>9.2999999999999997E-5</v>
      </c>
      <c r="M1664" t="s">
        <v>3</v>
      </c>
      <c r="N1664">
        <v>5500</v>
      </c>
      <c r="O1664">
        <v>12</v>
      </c>
      <c r="P1664">
        <v>6</v>
      </c>
      <c r="Q1664">
        <v>0</v>
      </c>
      <c r="R1664">
        <v>126941341</v>
      </c>
      <c r="S1664">
        <v>149082</v>
      </c>
      <c r="T1664">
        <v>126792259</v>
      </c>
      <c r="U1664">
        <v>126792259</v>
      </c>
      <c r="V1664">
        <v>0</v>
      </c>
      <c r="W1664">
        <v>0</v>
      </c>
    </row>
    <row r="1665" spans="1:23" x14ac:dyDescent="0.35">
      <c r="A1665" t="s">
        <v>1</v>
      </c>
      <c r="B1665">
        <v>7500</v>
      </c>
      <c r="C1665">
        <v>10</v>
      </c>
      <c r="D1665">
        <v>117</v>
      </c>
      <c r="E1665">
        <v>0</v>
      </c>
      <c r="F1665">
        <v>3296088675</v>
      </c>
      <c r="G1665">
        <v>2665413.86</v>
      </c>
      <c r="H1665">
        <v>2883435416</v>
      </c>
      <c r="I1665">
        <v>3261358407.9400001</v>
      </c>
      <c r="J1665">
        <v>0.79688099999999995</v>
      </c>
      <c r="K1665">
        <v>0.11069</v>
      </c>
      <c r="M1665" t="s">
        <v>3</v>
      </c>
      <c r="N1665">
        <v>7000</v>
      </c>
      <c r="O1665">
        <v>7</v>
      </c>
      <c r="P1665">
        <v>7</v>
      </c>
      <c r="Q1665">
        <v>0</v>
      </c>
      <c r="R1665">
        <v>121721967</v>
      </c>
      <c r="S1665">
        <v>106230.78</v>
      </c>
      <c r="T1665">
        <v>121615736.22</v>
      </c>
      <c r="U1665">
        <v>121615736.22</v>
      </c>
      <c r="V1665">
        <v>0</v>
      </c>
      <c r="W1665">
        <v>0</v>
      </c>
    </row>
    <row r="1666" spans="1:23" x14ac:dyDescent="0.35">
      <c r="A1666" t="s">
        <v>1</v>
      </c>
      <c r="B1666">
        <v>8250</v>
      </c>
      <c r="C1666">
        <v>12</v>
      </c>
      <c r="D1666">
        <v>4</v>
      </c>
      <c r="E1666">
        <v>0</v>
      </c>
      <c r="F1666">
        <v>105803655</v>
      </c>
      <c r="G1666">
        <v>75357.39</v>
      </c>
      <c r="H1666">
        <v>105782206</v>
      </c>
      <c r="I1666">
        <v>105782206</v>
      </c>
      <c r="J1666">
        <v>-6.1310000000000002E-3</v>
      </c>
      <c r="K1666">
        <v>-6.1310000000000002E-3</v>
      </c>
      <c r="M1666" t="s">
        <v>3</v>
      </c>
      <c r="N1666">
        <v>6750</v>
      </c>
      <c r="O1666">
        <v>8</v>
      </c>
      <c r="P1666">
        <v>32</v>
      </c>
      <c r="Q1666">
        <v>0</v>
      </c>
      <c r="R1666">
        <v>909231856</v>
      </c>
      <c r="S1666">
        <v>832598.02</v>
      </c>
      <c r="T1666">
        <v>908399257.98000002</v>
      </c>
      <c r="U1666">
        <v>908399257.98000002</v>
      </c>
      <c r="V1666">
        <v>0</v>
      </c>
      <c r="W1666">
        <v>0</v>
      </c>
    </row>
    <row r="1667" spans="1:23" x14ac:dyDescent="0.35">
      <c r="A1667" t="s">
        <v>0</v>
      </c>
      <c r="B1667">
        <v>8000</v>
      </c>
      <c r="C1667">
        <v>10</v>
      </c>
      <c r="D1667">
        <v>84</v>
      </c>
      <c r="E1667">
        <v>0</v>
      </c>
      <c r="F1667">
        <v>2710396758</v>
      </c>
      <c r="G1667">
        <v>1994508.34</v>
      </c>
      <c r="H1667">
        <v>2709004106</v>
      </c>
      <c r="I1667">
        <v>2709004106</v>
      </c>
      <c r="J1667">
        <v>-2.6679999999999998E-3</v>
      </c>
      <c r="K1667">
        <v>-2.6679999999999998E-3</v>
      </c>
      <c r="M1667" t="s">
        <v>3</v>
      </c>
      <c r="N1667">
        <v>6750</v>
      </c>
      <c r="O1667">
        <v>9</v>
      </c>
      <c r="P1667">
        <v>29</v>
      </c>
      <c r="Q1667">
        <v>0</v>
      </c>
      <c r="R1667">
        <v>853121211</v>
      </c>
      <c r="S1667">
        <v>786886.3</v>
      </c>
      <c r="T1667">
        <v>839439630.42999995</v>
      </c>
      <c r="U1667">
        <v>839439630.42999995</v>
      </c>
      <c r="V1667">
        <v>0.16703299999999999</v>
      </c>
      <c r="W1667">
        <v>0.16703299999999999</v>
      </c>
    </row>
    <row r="1668" spans="1:23" x14ac:dyDescent="0.35">
      <c r="A1668" t="s">
        <v>2</v>
      </c>
      <c r="B1668">
        <v>7250</v>
      </c>
      <c r="C1668">
        <v>6</v>
      </c>
      <c r="D1668">
        <v>206</v>
      </c>
      <c r="E1668">
        <v>0</v>
      </c>
      <c r="F1668">
        <v>3025830242</v>
      </c>
      <c r="G1668">
        <v>2506340.98</v>
      </c>
      <c r="H1668">
        <v>2988825366</v>
      </c>
      <c r="I1668">
        <v>3007106939.0900002</v>
      </c>
      <c r="J1668">
        <v>0.128555</v>
      </c>
      <c r="K1668">
        <v>6.2452000000000001E-2</v>
      </c>
      <c r="M1668" t="s">
        <v>2</v>
      </c>
      <c r="N1668">
        <v>7500</v>
      </c>
      <c r="O1668">
        <v>10</v>
      </c>
      <c r="P1668">
        <v>57</v>
      </c>
      <c r="Q1668">
        <v>0</v>
      </c>
      <c r="R1668">
        <v>841714855</v>
      </c>
      <c r="S1668">
        <v>683974.35</v>
      </c>
      <c r="T1668">
        <v>821794468.37</v>
      </c>
      <c r="U1668">
        <v>841030880.64999998</v>
      </c>
      <c r="V1668">
        <v>0.24227000000000001</v>
      </c>
      <c r="W1668">
        <v>0</v>
      </c>
    </row>
    <row r="1669" spans="1:23" x14ac:dyDescent="0.35">
      <c r="A1669" t="s">
        <v>2</v>
      </c>
      <c r="B1669">
        <v>7000</v>
      </c>
      <c r="C1669">
        <v>6</v>
      </c>
      <c r="D1669">
        <v>301</v>
      </c>
      <c r="E1669">
        <v>0</v>
      </c>
      <c r="F1669">
        <v>5039906844</v>
      </c>
      <c r="G1669">
        <v>4380178.54</v>
      </c>
      <c r="H1669">
        <v>5033107376</v>
      </c>
      <c r="I1669">
        <v>5033107376</v>
      </c>
      <c r="J1669">
        <v>5.7450000000000001E-3</v>
      </c>
      <c r="K1669">
        <v>5.7450000000000001E-3</v>
      </c>
      <c r="M1669" t="s">
        <v>2</v>
      </c>
      <c r="N1669">
        <v>7750</v>
      </c>
      <c r="O1669">
        <v>10</v>
      </c>
      <c r="P1669">
        <v>16</v>
      </c>
      <c r="Q1669">
        <v>0</v>
      </c>
      <c r="R1669">
        <v>244383955</v>
      </c>
      <c r="S1669">
        <v>188053.14</v>
      </c>
      <c r="T1669">
        <v>244195901.86000001</v>
      </c>
      <c r="U1669">
        <v>244195901.86000001</v>
      </c>
      <c r="V1669">
        <v>0</v>
      </c>
      <c r="W1669">
        <v>0</v>
      </c>
    </row>
    <row r="1670" spans="1:23" x14ac:dyDescent="0.35">
      <c r="A1670" t="s">
        <v>2</v>
      </c>
      <c r="B1670">
        <v>7000</v>
      </c>
      <c r="C1670">
        <v>5</v>
      </c>
      <c r="D1670">
        <v>438</v>
      </c>
      <c r="E1670">
        <v>0</v>
      </c>
      <c r="F1670">
        <v>6727500000</v>
      </c>
      <c r="G1670">
        <v>5707848.0300000003</v>
      </c>
      <c r="H1670">
        <v>6722017812</v>
      </c>
      <c r="I1670">
        <v>6722017812</v>
      </c>
      <c r="J1670">
        <v>-4.0299999999999998E-4</v>
      </c>
      <c r="K1670">
        <v>-4.0299999999999998E-4</v>
      </c>
      <c r="M1670" t="s">
        <v>3</v>
      </c>
      <c r="N1670">
        <v>7000</v>
      </c>
      <c r="O1670">
        <v>10</v>
      </c>
      <c r="P1670">
        <v>8</v>
      </c>
      <c r="Q1670">
        <v>0</v>
      </c>
      <c r="R1670">
        <v>124458584</v>
      </c>
      <c r="S1670">
        <v>111412.19</v>
      </c>
      <c r="T1670">
        <v>124347171.81</v>
      </c>
      <c r="U1670">
        <v>124347171.81</v>
      </c>
      <c r="V1670">
        <v>0</v>
      </c>
      <c r="W1670">
        <v>0</v>
      </c>
    </row>
    <row r="1671" spans="1:23" x14ac:dyDescent="0.35">
      <c r="A1671" t="s">
        <v>3</v>
      </c>
      <c r="B1671">
        <v>6000</v>
      </c>
      <c r="C1671">
        <v>8</v>
      </c>
      <c r="D1671">
        <v>10</v>
      </c>
      <c r="E1671">
        <v>0</v>
      </c>
      <c r="F1671">
        <v>307879241</v>
      </c>
      <c r="G1671">
        <v>324870.99</v>
      </c>
      <c r="H1671">
        <v>307584950</v>
      </c>
      <c r="I1671">
        <v>307584950</v>
      </c>
      <c r="J1671">
        <v>-1.193E-3</v>
      </c>
      <c r="K1671">
        <v>-1.193E-3</v>
      </c>
      <c r="M1671" t="s">
        <v>2</v>
      </c>
      <c r="N1671">
        <v>7750</v>
      </c>
      <c r="O1671">
        <v>9</v>
      </c>
      <c r="P1671">
        <v>12</v>
      </c>
      <c r="Q1671">
        <v>0</v>
      </c>
      <c r="R1671">
        <v>153759156</v>
      </c>
      <c r="S1671">
        <v>118182.37</v>
      </c>
      <c r="T1671">
        <v>153640973.63</v>
      </c>
      <c r="U1671">
        <v>153640973.63</v>
      </c>
      <c r="V1671">
        <v>0</v>
      </c>
      <c r="W1671">
        <v>0</v>
      </c>
    </row>
    <row r="1672" spans="1:23" x14ac:dyDescent="0.35">
      <c r="A1672" t="s">
        <v>3</v>
      </c>
      <c r="B1672">
        <v>6500</v>
      </c>
      <c r="C1672">
        <v>9</v>
      </c>
      <c r="D1672">
        <v>41</v>
      </c>
      <c r="E1672">
        <v>0</v>
      </c>
      <c r="F1672">
        <v>1290299398</v>
      </c>
      <c r="G1672">
        <v>1250047.44</v>
      </c>
      <c r="H1672">
        <v>1288709582</v>
      </c>
      <c r="I1672">
        <v>1288709582</v>
      </c>
      <c r="J1672">
        <v>3.1549999999999998E-3</v>
      </c>
      <c r="K1672">
        <v>3.1549999999999998E-3</v>
      </c>
      <c r="M1672" t="s">
        <v>2</v>
      </c>
      <c r="N1672">
        <v>7750</v>
      </c>
      <c r="O1672">
        <v>8</v>
      </c>
      <c r="P1672">
        <v>9</v>
      </c>
      <c r="Q1672">
        <v>0</v>
      </c>
      <c r="R1672">
        <v>149842864</v>
      </c>
      <c r="S1672">
        <v>113990.34</v>
      </c>
      <c r="T1672">
        <v>140197091.88999999</v>
      </c>
      <c r="U1672">
        <v>149728873.66</v>
      </c>
      <c r="V1672">
        <v>0.545566</v>
      </c>
      <c r="W1672">
        <v>0</v>
      </c>
    </row>
    <row r="1673" spans="1:23" x14ac:dyDescent="0.35">
      <c r="A1673" t="s">
        <v>3</v>
      </c>
      <c r="B1673">
        <v>6500</v>
      </c>
      <c r="C1673">
        <v>10</v>
      </c>
      <c r="D1673">
        <v>29</v>
      </c>
      <c r="E1673">
        <v>0</v>
      </c>
      <c r="F1673">
        <v>827906280</v>
      </c>
      <c r="G1673">
        <v>809926.4</v>
      </c>
      <c r="H1673">
        <v>827124162</v>
      </c>
      <c r="I1673">
        <v>827124162</v>
      </c>
      <c r="J1673">
        <v>-4.0299999999999998E-4</v>
      </c>
      <c r="K1673">
        <v>-4.0299999999999998E-4</v>
      </c>
      <c r="M1673" t="s">
        <v>1</v>
      </c>
      <c r="N1673">
        <v>7250</v>
      </c>
      <c r="O1673">
        <v>6</v>
      </c>
      <c r="P1673">
        <v>1768</v>
      </c>
      <c r="Q1673">
        <v>0</v>
      </c>
      <c r="R1673">
        <v>54906589091</v>
      </c>
      <c r="S1673">
        <v>45583841.640000001</v>
      </c>
      <c r="T1673">
        <v>53994503117.900002</v>
      </c>
      <c r="U1673">
        <v>54722719670.580002</v>
      </c>
      <c r="V1673">
        <v>0.17377400000000001</v>
      </c>
      <c r="W1673">
        <v>2.9808000000000001E-2</v>
      </c>
    </row>
    <row r="1674" spans="1:23" x14ac:dyDescent="0.35">
      <c r="A1674" t="s">
        <v>0</v>
      </c>
      <c r="B1674">
        <v>8250</v>
      </c>
      <c r="C1674">
        <v>10</v>
      </c>
      <c r="D1674">
        <v>81</v>
      </c>
      <c r="E1674">
        <v>0</v>
      </c>
      <c r="F1674">
        <v>2492865450</v>
      </c>
      <c r="G1674">
        <v>1730438.6</v>
      </c>
      <c r="H1674">
        <v>2457933472</v>
      </c>
      <c r="I1674">
        <v>2491540251.48</v>
      </c>
      <c r="J1674">
        <v>0.148621</v>
      </c>
      <c r="K1674">
        <v>-1.952E-3</v>
      </c>
      <c r="M1674" t="s">
        <v>1</v>
      </c>
      <c r="N1674">
        <v>5000</v>
      </c>
      <c r="O1674">
        <v>10</v>
      </c>
      <c r="P1674">
        <v>1049</v>
      </c>
      <c r="Q1674">
        <v>0</v>
      </c>
      <c r="R1674">
        <v>38734436224</v>
      </c>
      <c r="S1674">
        <v>49351007.920000002</v>
      </c>
      <c r="T1674">
        <v>38641090983.809998</v>
      </c>
      <c r="U1674">
        <v>38645529796.550003</v>
      </c>
      <c r="V1674">
        <v>1.3545E-2</v>
      </c>
      <c r="W1674">
        <v>1.2186000000000001E-2</v>
      </c>
    </row>
    <row r="1675" spans="1:23" x14ac:dyDescent="0.35">
      <c r="A1675" t="s">
        <v>0</v>
      </c>
      <c r="B1675">
        <v>8250</v>
      </c>
      <c r="C1675">
        <v>9</v>
      </c>
      <c r="D1675">
        <v>97</v>
      </c>
      <c r="E1675">
        <v>0</v>
      </c>
      <c r="F1675">
        <v>2883167864</v>
      </c>
      <c r="G1675">
        <v>1990457.73</v>
      </c>
      <c r="H1675">
        <v>2881607784</v>
      </c>
      <c r="I1675">
        <v>2881607784</v>
      </c>
      <c r="J1675">
        <v>-1.7930000000000001E-3</v>
      </c>
      <c r="K1675">
        <v>-1.7930000000000001E-3</v>
      </c>
      <c r="M1675" t="s">
        <v>2</v>
      </c>
      <c r="N1675">
        <v>7250</v>
      </c>
      <c r="O1675">
        <v>6</v>
      </c>
      <c r="P1675">
        <v>325</v>
      </c>
      <c r="Q1675">
        <v>0</v>
      </c>
      <c r="R1675">
        <v>5002002080</v>
      </c>
      <c r="S1675">
        <v>4141490.05</v>
      </c>
      <c r="T1675">
        <v>4945466064.5</v>
      </c>
      <c r="U1675">
        <v>4997860589.9499998</v>
      </c>
      <c r="V1675">
        <v>0.118702</v>
      </c>
      <c r="W1675">
        <v>0</v>
      </c>
    </row>
    <row r="1676" spans="1:23" x14ac:dyDescent="0.35">
      <c r="A1676" t="s">
        <v>2</v>
      </c>
      <c r="B1676">
        <v>5500</v>
      </c>
      <c r="C1676">
        <v>8</v>
      </c>
      <c r="D1676">
        <v>38</v>
      </c>
      <c r="E1676">
        <v>0</v>
      </c>
      <c r="F1676">
        <v>962835384</v>
      </c>
      <c r="G1676">
        <v>1110162.3999999999</v>
      </c>
      <c r="H1676">
        <v>961469768</v>
      </c>
      <c r="I1676">
        <v>961469768</v>
      </c>
      <c r="J1676">
        <v>3.179E-3</v>
      </c>
      <c r="K1676">
        <v>3.179E-3</v>
      </c>
      <c r="M1676" t="s">
        <v>3</v>
      </c>
      <c r="N1676">
        <v>6500</v>
      </c>
      <c r="O1676">
        <v>6</v>
      </c>
      <c r="P1676">
        <v>37</v>
      </c>
      <c r="Q1676">
        <v>0</v>
      </c>
      <c r="R1676">
        <v>1072587158</v>
      </c>
      <c r="S1676">
        <v>1015907.98</v>
      </c>
      <c r="T1676">
        <v>1071571250.02</v>
      </c>
      <c r="U1676">
        <v>1071571250.02</v>
      </c>
      <c r="V1676">
        <v>0</v>
      </c>
      <c r="W1676">
        <v>0</v>
      </c>
    </row>
    <row r="1677" spans="1:23" x14ac:dyDescent="0.35">
      <c r="A1677" t="s">
        <v>2</v>
      </c>
      <c r="B1677">
        <v>7750</v>
      </c>
      <c r="C1677">
        <v>8</v>
      </c>
      <c r="D1677">
        <v>9</v>
      </c>
      <c r="E1677">
        <v>0</v>
      </c>
      <c r="F1677">
        <v>157713842</v>
      </c>
      <c r="G1677">
        <v>120190.99</v>
      </c>
      <c r="H1677">
        <v>157606590</v>
      </c>
      <c r="I1677">
        <v>157606590</v>
      </c>
      <c r="J1677">
        <v>-9.8499999999999998E-4</v>
      </c>
      <c r="K1677">
        <v>-9.8499999999999998E-4</v>
      </c>
      <c r="M1677" t="s">
        <v>0</v>
      </c>
      <c r="N1677">
        <v>4750</v>
      </c>
      <c r="O1677">
        <v>6</v>
      </c>
      <c r="P1677">
        <v>798</v>
      </c>
      <c r="Q1677">
        <v>0</v>
      </c>
      <c r="R1677">
        <v>25868772511</v>
      </c>
      <c r="S1677">
        <v>33805716.600000001</v>
      </c>
      <c r="T1677">
        <v>25834966794.400002</v>
      </c>
      <c r="U1677">
        <v>25834966794.400002</v>
      </c>
      <c r="V1677">
        <v>0</v>
      </c>
      <c r="W1677">
        <v>0</v>
      </c>
    </row>
    <row r="1678" spans="1:23" x14ac:dyDescent="0.35">
      <c r="A1678" t="s">
        <v>0</v>
      </c>
      <c r="B1678">
        <v>8250</v>
      </c>
      <c r="C1678">
        <v>8</v>
      </c>
      <c r="D1678">
        <v>120</v>
      </c>
      <c r="E1678">
        <v>0</v>
      </c>
      <c r="F1678">
        <v>3835606360</v>
      </c>
      <c r="G1678">
        <v>2622710.9</v>
      </c>
      <c r="H1678">
        <v>3833611963</v>
      </c>
      <c r="I1678">
        <v>3833611963</v>
      </c>
      <c r="J1678">
        <v>-1.9680000000000001E-3</v>
      </c>
      <c r="K1678">
        <v>-1.9680000000000001E-3</v>
      </c>
      <c r="M1678" t="s">
        <v>2</v>
      </c>
      <c r="N1678">
        <v>4750</v>
      </c>
      <c r="O1678">
        <v>6</v>
      </c>
      <c r="P1678">
        <v>18</v>
      </c>
      <c r="Q1678">
        <v>0</v>
      </c>
      <c r="R1678">
        <v>454588817</v>
      </c>
      <c r="S1678">
        <v>604059.68999999994</v>
      </c>
      <c r="T1678">
        <v>453984757.31</v>
      </c>
      <c r="U1678">
        <v>453984757.31</v>
      </c>
      <c r="V1678">
        <v>0</v>
      </c>
      <c r="W1678">
        <v>0</v>
      </c>
    </row>
    <row r="1679" spans="1:23" x14ac:dyDescent="0.35">
      <c r="A1679" t="s">
        <v>0</v>
      </c>
      <c r="B1679">
        <v>9000</v>
      </c>
      <c r="C1679">
        <v>8</v>
      </c>
      <c r="D1679">
        <v>2</v>
      </c>
      <c r="E1679">
        <v>0</v>
      </c>
      <c r="F1679">
        <v>54708647</v>
      </c>
      <c r="G1679">
        <v>33517.839999999997</v>
      </c>
      <c r="H1679">
        <v>54654600</v>
      </c>
      <c r="I1679">
        <v>54654600</v>
      </c>
      <c r="J1679">
        <v>4.4939999999999997E-3</v>
      </c>
      <c r="K1679">
        <v>4.4939999999999997E-3</v>
      </c>
      <c r="M1679" t="s">
        <v>1</v>
      </c>
      <c r="N1679">
        <v>4750</v>
      </c>
      <c r="O1679">
        <v>6</v>
      </c>
      <c r="P1679">
        <v>283</v>
      </c>
      <c r="Q1679">
        <v>0</v>
      </c>
      <c r="R1679">
        <v>10701074137</v>
      </c>
      <c r="S1679">
        <v>13982888.51</v>
      </c>
      <c r="T1679">
        <v>10687091248.49</v>
      </c>
      <c r="U1679">
        <v>10687091248.49</v>
      </c>
      <c r="V1679">
        <v>0</v>
      </c>
      <c r="W1679">
        <v>0</v>
      </c>
    </row>
    <row r="1680" spans="1:23" x14ac:dyDescent="0.35">
      <c r="A1680" t="s">
        <v>0</v>
      </c>
      <c r="B1680">
        <v>8500</v>
      </c>
      <c r="C1680">
        <v>8</v>
      </c>
      <c r="D1680">
        <v>2</v>
      </c>
      <c r="E1680">
        <v>0</v>
      </c>
      <c r="F1680">
        <v>57597208</v>
      </c>
      <c r="G1680">
        <v>38042.06</v>
      </c>
      <c r="H1680">
        <v>57559166</v>
      </c>
      <c r="I1680">
        <v>57559166</v>
      </c>
      <c r="J1680">
        <v>0</v>
      </c>
      <c r="K1680">
        <v>0</v>
      </c>
      <c r="M1680" t="s">
        <v>1</v>
      </c>
      <c r="N1680">
        <v>7500</v>
      </c>
      <c r="O1680">
        <v>6</v>
      </c>
      <c r="P1680">
        <v>242</v>
      </c>
      <c r="Q1680">
        <v>0</v>
      </c>
      <c r="R1680">
        <v>7634797738</v>
      </c>
      <c r="S1680">
        <v>6001006.3799999999</v>
      </c>
      <c r="T1680">
        <v>7579634808.21</v>
      </c>
      <c r="U1680">
        <v>7628796731.6199999</v>
      </c>
      <c r="V1680">
        <v>7.4592000000000006E-2</v>
      </c>
      <c r="W1680">
        <v>0</v>
      </c>
    </row>
    <row r="1681" spans="1:23" x14ac:dyDescent="0.35">
      <c r="A1681" t="s">
        <v>1</v>
      </c>
      <c r="B1681">
        <v>4750</v>
      </c>
      <c r="C1681">
        <v>9</v>
      </c>
      <c r="D1681">
        <v>319</v>
      </c>
      <c r="E1681">
        <v>0</v>
      </c>
      <c r="F1681">
        <v>12548025709</v>
      </c>
      <c r="G1681">
        <v>16660944.970000001</v>
      </c>
      <c r="H1681">
        <v>12475343911</v>
      </c>
      <c r="I1681">
        <v>12530051668.4</v>
      </c>
      <c r="J1681">
        <v>5.2277999999999998E-2</v>
      </c>
      <c r="K1681">
        <v>1.255E-3</v>
      </c>
      <c r="M1681" t="s">
        <v>3</v>
      </c>
      <c r="N1681">
        <v>7250</v>
      </c>
      <c r="O1681">
        <v>6</v>
      </c>
      <c r="P1681">
        <v>4</v>
      </c>
      <c r="Q1681">
        <v>0</v>
      </c>
      <c r="R1681">
        <v>140800000</v>
      </c>
      <c r="S1681">
        <v>115093.1</v>
      </c>
      <c r="T1681">
        <v>140684906.90000001</v>
      </c>
      <c r="U1681">
        <v>140684906.90000001</v>
      </c>
      <c r="V1681">
        <v>0</v>
      </c>
      <c r="W1681">
        <v>0</v>
      </c>
    </row>
    <row r="1682" spans="1:23" x14ac:dyDescent="0.35">
      <c r="A1682" t="s">
        <v>2</v>
      </c>
      <c r="B1682">
        <v>4750</v>
      </c>
      <c r="C1682">
        <v>9</v>
      </c>
      <c r="D1682">
        <v>19</v>
      </c>
      <c r="E1682">
        <v>0</v>
      </c>
      <c r="F1682">
        <v>443964630</v>
      </c>
      <c r="G1682">
        <v>589854.56000000006</v>
      </c>
      <c r="H1682">
        <v>443343512</v>
      </c>
      <c r="I1682">
        <v>443343512</v>
      </c>
      <c r="J1682">
        <v>8.4500000000000005E-4</v>
      </c>
      <c r="K1682">
        <v>8.4500000000000005E-4</v>
      </c>
      <c r="M1682" t="s">
        <v>1</v>
      </c>
      <c r="N1682">
        <v>7500</v>
      </c>
      <c r="O1682">
        <v>7</v>
      </c>
      <c r="P1682">
        <v>401</v>
      </c>
      <c r="Q1682">
        <v>0</v>
      </c>
      <c r="R1682">
        <v>12495580656</v>
      </c>
      <c r="S1682">
        <v>9963980.0899999999</v>
      </c>
      <c r="T1682">
        <v>6541264133.5799999</v>
      </c>
      <c r="U1682">
        <v>12425004009.629999</v>
      </c>
      <c r="V1682">
        <v>0.99956900000000004</v>
      </c>
      <c r="W1682">
        <v>5.6681000000000002E-2</v>
      </c>
    </row>
    <row r="1683" spans="1:23" x14ac:dyDescent="0.35">
      <c r="A1683" t="s">
        <v>2</v>
      </c>
      <c r="B1683">
        <v>5250</v>
      </c>
      <c r="C1683">
        <v>9</v>
      </c>
      <c r="D1683">
        <v>23</v>
      </c>
      <c r="E1683">
        <v>0</v>
      </c>
      <c r="F1683">
        <v>560712479</v>
      </c>
      <c r="G1683">
        <v>680417.7</v>
      </c>
      <c r="H1683">
        <v>559991371</v>
      </c>
      <c r="I1683">
        <v>559991371</v>
      </c>
      <c r="J1683">
        <v>8.7000000000000001E-4</v>
      </c>
      <c r="K1683">
        <v>8.7000000000000001E-4</v>
      </c>
      <c r="M1683" t="s">
        <v>3</v>
      </c>
      <c r="N1683">
        <v>7000</v>
      </c>
      <c r="O1683">
        <v>8</v>
      </c>
      <c r="P1683">
        <v>8</v>
      </c>
      <c r="Q1683">
        <v>0</v>
      </c>
      <c r="R1683">
        <v>239358056</v>
      </c>
      <c r="S1683">
        <v>210079.01</v>
      </c>
      <c r="T1683">
        <v>239147976.99000001</v>
      </c>
      <c r="U1683">
        <v>239147976.99000001</v>
      </c>
      <c r="V1683">
        <v>0</v>
      </c>
      <c r="W1683">
        <v>0</v>
      </c>
    </row>
    <row r="1684" spans="1:23" x14ac:dyDescent="0.35">
      <c r="A1684" t="s">
        <v>0</v>
      </c>
      <c r="B1684">
        <v>4750</v>
      </c>
      <c r="C1684">
        <v>8</v>
      </c>
      <c r="D1684">
        <v>788</v>
      </c>
      <c r="E1684">
        <v>0</v>
      </c>
      <c r="F1684">
        <v>26070993951</v>
      </c>
      <c r="G1684">
        <v>34387388.369999997</v>
      </c>
      <c r="H1684">
        <v>26024573228</v>
      </c>
      <c r="I1684">
        <v>26024573228</v>
      </c>
      <c r="J1684">
        <v>5.5250000000000004E-3</v>
      </c>
      <c r="K1684">
        <v>5.5250000000000004E-3</v>
      </c>
      <c r="M1684" t="s">
        <v>1</v>
      </c>
      <c r="N1684">
        <v>7500</v>
      </c>
      <c r="O1684">
        <v>8</v>
      </c>
      <c r="P1684">
        <v>134</v>
      </c>
      <c r="Q1684">
        <v>0</v>
      </c>
      <c r="R1684">
        <v>4197140358</v>
      </c>
      <c r="S1684">
        <v>3400455.47</v>
      </c>
      <c r="T1684">
        <v>3476879463.04</v>
      </c>
      <c r="U1684">
        <v>4164351382.8499999</v>
      </c>
      <c r="V1684">
        <v>0.89433600000000002</v>
      </c>
      <c r="W1684">
        <v>8.0863000000000004E-2</v>
      </c>
    </row>
    <row r="1685" spans="1:23" x14ac:dyDescent="0.35">
      <c r="A1685" t="s">
        <v>2</v>
      </c>
      <c r="B1685">
        <v>4750</v>
      </c>
      <c r="C1685">
        <v>8</v>
      </c>
      <c r="D1685">
        <v>17</v>
      </c>
      <c r="E1685">
        <v>0</v>
      </c>
      <c r="F1685">
        <v>440696992</v>
      </c>
      <c r="G1685">
        <v>582418.59</v>
      </c>
      <c r="H1685">
        <v>439974016</v>
      </c>
      <c r="I1685">
        <v>439974016</v>
      </c>
      <c r="J1685">
        <v>3.8210000000000002E-3</v>
      </c>
      <c r="K1685">
        <v>3.8210000000000002E-3</v>
      </c>
      <c r="M1685" t="s">
        <v>2</v>
      </c>
      <c r="N1685">
        <v>7500</v>
      </c>
      <c r="O1685">
        <v>8</v>
      </c>
      <c r="P1685">
        <v>82</v>
      </c>
      <c r="Q1685">
        <v>0</v>
      </c>
      <c r="R1685">
        <v>1212688587</v>
      </c>
      <c r="S1685">
        <v>968824.73</v>
      </c>
      <c r="T1685">
        <v>1193092499.3699999</v>
      </c>
      <c r="U1685">
        <v>1193092499.3699999</v>
      </c>
      <c r="V1685">
        <v>0.16952200000000001</v>
      </c>
      <c r="W1685">
        <v>0.16952200000000001</v>
      </c>
    </row>
    <row r="1686" spans="1:23" x14ac:dyDescent="0.35">
      <c r="A1686" t="s">
        <v>1</v>
      </c>
      <c r="B1686">
        <v>4750</v>
      </c>
      <c r="C1686">
        <v>8</v>
      </c>
      <c r="D1686">
        <v>257</v>
      </c>
      <c r="E1686">
        <v>0</v>
      </c>
      <c r="F1686">
        <v>10351125709</v>
      </c>
      <c r="G1686">
        <v>13668733.99</v>
      </c>
      <c r="H1686">
        <v>10301002468</v>
      </c>
      <c r="I1686">
        <v>10332844572.620001</v>
      </c>
      <c r="J1686">
        <v>4.1452000000000003E-2</v>
      </c>
      <c r="K1686">
        <v>5.3340000000000002E-3</v>
      </c>
      <c r="M1686" t="s">
        <v>3</v>
      </c>
      <c r="N1686">
        <v>6000</v>
      </c>
      <c r="O1686">
        <v>8</v>
      </c>
      <c r="P1686">
        <v>14</v>
      </c>
      <c r="Q1686">
        <v>0</v>
      </c>
      <c r="R1686">
        <v>401514915</v>
      </c>
      <c r="S1686">
        <v>423450.55</v>
      </c>
      <c r="T1686">
        <v>401091464.44999999</v>
      </c>
      <c r="U1686">
        <v>401091464.44999999</v>
      </c>
      <c r="V1686">
        <v>0</v>
      </c>
      <c r="W1686">
        <v>0</v>
      </c>
    </row>
    <row r="1687" spans="1:23" x14ac:dyDescent="0.35">
      <c r="A1687" t="s">
        <v>2</v>
      </c>
      <c r="B1687">
        <v>5250</v>
      </c>
      <c r="C1687">
        <v>7</v>
      </c>
      <c r="D1687">
        <v>10</v>
      </c>
      <c r="E1687">
        <v>0</v>
      </c>
      <c r="F1687">
        <v>241819105</v>
      </c>
      <c r="G1687">
        <v>291467.51</v>
      </c>
      <c r="H1687">
        <v>241449964</v>
      </c>
      <c r="I1687">
        <v>241449964</v>
      </c>
      <c r="J1687">
        <v>3.8479999999999999E-3</v>
      </c>
      <c r="K1687">
        <v>3.8479999999999999E-3</v>
      </c>
      <c r="M1687" t="s">
        <v>2</v>
      </c>
      <c r="N1687">
        <v>7500</v>
      </c>
      <c r="O1687">
        <v>9</v>
      </c>
      <c r="P1687">
        <v>132</v>
      </c>
      <c r="Q1687">
        <v>0</v>
      </c>
      <c r="R1687">
        <v>1847036784</v>
      </c>
      <c r="S1687">
        <v>1478666.66</v>
      </c>
      <c r="T1687">
        <v>1804582188.8</v>
      </c>
      <c r="U1687">
        <v>1833376005.24</v>
      </c>
      <c r="V1687">
        <v>0.23602000000000001</v>
      </c>
      <c r="W1687">
        <v>7.6337000000000002E-2</v>
      </c>
    </row>
    <row r="1688" spans="1:23" x14ac:dyDescent="0.35">
      <c r="A1688" t="s">
        <v>2</v>
      </c>
      <c r="B1688">
        <v>5250</v>
      </c>
      <c r="C1688">
        <v>6</v>
      </c>
      <c r="D1688">
        <v>23</v>
      </c>
      <c r="E1688">
        <v>0</v>
      </c>
      <c r="F1688">
        <v>538332402</v>
      </c>
      <c r="G1688">
        <v>642997.77</v>
      </c>
      <c r="H1688">
        <v>536899369</v>
      </c>
      <c r="I1688">
        <v>536899369</v>
      </c>
      <c r="J1688">
        <v>1.7468999999999998E-2</v>
      </c>
      <c r="K1688">
        <v>1.7468999999999998E-2</v>
      </c>
      <c r="M1688" t="s">
        <v>3</v>
      </c>
      <c r="N1688">
        <v>5750</v>
      </c>
      <c r="O1688">
        <v>9</v>
      </c>
      <c r="P1688">
        <v>10</v>
      </c>
      <c r="Q1688">
        <v>0</v>
      </c>
      <c r="R1688">
        <v>264384755</v>
      </c>
      <c r="S1688">
        <v>292354.88</v>
      </c>
      <c r="T1688">
        <v>264092400.12</v>
      </c>
      <c r="U1688">
        <v>264092400.12</v>
      </c>
      <c r="V1688">
        <v>0</v>
      </c>
      <c r="W1688">
        <v>0</v>
      </c>
    </row>
    <row r="1689" spans="1:23" x14ac:dyDescent="0.35">
      <c r="A1689" t="s">
        <v>0</v>
      </c>
      <c r="B1689">
        <v>4750</v>
      </c>
      <c r="C1689">
        <v>5</v>
      </c>
      <c r="D1689">
        <v>5796</v>
      </c>
      <c r="E1689">
        <v>0</v>
      </c>
      <c r="F1689">
        <v>198637700000</v>
      </c>
      <c r="G1689">
        <v>254115999.59</v>
      </c>
      <c r="H1689">
        <v>198471977398</v>
      </c>
      <c r="I1689">
        <v>198504635607.97</v>
      </c>
      <c r="J1689">
        <v>-5.3530000000000001E-3</v>
      </c>
      <c r="K1689">
        <v>-7.3369999999999998E-3</v>
      </c>
      <c r="M1689" t="s">
        <v>3</v>
      </c>
      <c r="N1689">
        <v>5500</v>
      </c>
      <c r="O1689">
        <v>9</v>
      </c>
      <c r="P1689">
        <v>6</v>
      </c>
      <c r="Q1689">
        <v>0</v>
      </c>
      <c r="R1689">
        <v>126949739</v>
      </c>
      <c r="S1689">
        <v>147182.24</v>
      </c>
      <c r="T1689">
        <v>126802556.76000001</v>
      </c>
      <c r="U1689">
        <v>126802556.76000001</v>
      </c>
      <c r="V1689">
        <v>0</v>
      </c>
      <c r="W1689">
        <v>0</v>
      </c>
    </row>
    <row r="1690" spans="1:23" x14ac:dyDescent="0.35">
      <c r="A1690" t="s">
        <v>2</v>
      </c>
      <c r="B1690">
        <v>4750</v>
      </c>
      <c r="C1690">
        <v>5</v>
      </c>
      <c r="D1690">
        <v>153</v>
      </c>
      <c r="E1690">
        <v>0</v>
      </c>
      <c r="F1690">
        <v>3768200000</v>
      </c>
      <c r="G1690">
        <v>4790886.83</v>
      </c>
      <c r="H1690">
        <v>3765796408</v>
      </c>
      <c r="I1690">
        <v>3765796408</v>
      </c>
      <c r="J1690">
        <v>-7.6290000000000004E-3</v>
      </c>
      <c r="K1690">
        <v>-7.6290000000000004E-3</v>
      </c>
      <c r="M1690" t="s">
        <v>2</v>
      </c>
      <c r="N1690">
        <v>5000</v>
      </c>
      <c r="O1690">
        <v>10</v>
      </c>
      <c r="P1690">
        <v>80</v>
      </c>
      <c r="Q1690">
        <v>0</v>
      </c>
      <c r="R1690">
        <v>2148555903</v>
      </c>
      <c r="S1690">
        <v>2736927.52</v>
      </c>
      <c r="T1690">
        <v>2145818975.48</v>
      </c>
      <c r="U1690">
        <v>2145818975.48</v>
      </c>
      <c r="V1690">
        <v>0</v>
      </c>
      <c r="W1690">
        <v>0</v>
      </c>
    </row>
    <row r="1691" spans="1:23" x14ac:dyDescent="0.35">
      <c r="A1691" t="s">
        <v>2</v>
      </c>
      <c r="B1691">
        <v>5250</v>
      </c>
      <c r="C1691">
        <v>5</v>
      </c>
      <c r="D1691">
        <v>490</v>
      </c>
      <c r="E1691">
        <v>0</v>
      </c>
      <c r="F1691">
        <v>12185800000</v>
      </c>
      <c r="G1691">
        <v>14159708.710000001</v>
      </c>
      <c r="H1691">
        <v>12182861110</v>
      </c>
      <c r="I1691">
        <v>12182861110</v>
      </c>
      <c r="J1691">
        <v>-1.1106E-2</v>
      </c>
      <c r="K1691">
        <v>-1.1106E-2</v>
      </c>
      <c r="M1691" t="s">
        <v>1</v>
      </c>
      <c r="N1691">
        <v>7500</v>
      </c>
      <c r="O1691">
        <v>9</v>
      </c>
      <c r="P1691">
        <v>135</v>
      </c>
      <c r="Q1691">
        <v>0</v>
      </c>
      <c r="R1691">
        <v>3780806540</v>
      </c>
      <c r="S1691">
        <v>3033557.82</v>
      </c>
      <c r="T1691">
        <v>3295930134.6599998</v>
      </c>
      <c r="U1691">
        <v>3750012820.1399999</v>
      </c>
      <c r="V1691">
        <v>0.80523199999999995</v>
      </c>
      <c r="W1691">
        <v>8.4636000000000003E-2</v>
      </c>
    </row>
    <row r="1692" spans="1:23" x14ac:dyDescent="0.35">
      <c r="A1692" t="s">
        <v>3</v>
      </c>
      <c r="B1692">
        <v>6750</v>
      </c>
      <c r="C1692">
        <v>6</v>
      </c>
      <c r="D1692">
        <v>30</v>
      </c>
      <c r="E1692">
        <v>0</v>
      </c>
      <c r="F1692">
        <v>808280209</v>
      </c>
      <c r="G1692">
        <v>733194.08</v>
      </c>
      <c r="H1692">
        <v>807008515</v>
      </c>
      <c r="I1692">
        <v>807008515</v>
      </c>
      <c r="J1692">
        <v>7.9660000000000009E-3</v>
      </c>
      <c r="K1692">
        <v>7.9660000000000009E-3</v>
      </c>
      <c r="M1692" t="s">
        <v>1</v>
      </c>
      <c r="N1692">
        <v>8250</v>
      </c>
      <c r="O1692">
        <v>12</v>
      </c>
      <c r="P1692">
        <v>2</v>
      </c>
      <c r="Q1692">
        <v>0</v>
      </c>
      <c r="R1692">
        <v>48081639</v>
      </c>
      <c r="S1692">
        <v>34129.57</v>
      </c>
      <c r="T1692">
        <v>48047509.43</v>
      </c>
      <c r="U1692">
        <v>48047509.43</v>
      </c>
      <c r="V1692">
        <v>0</v>
      </c>
      <c r="W1692">
        <v>0</v>
      </c>
    </row>
    <row r="1693" spans="1:23" x14ac:dyDescent="0.35">
      <c r="A1693" t="s">
        <v>2</v>
      </c>
      <c r="B1693">
        <v>7750</v>
      </c>
      <c r="C1693">
        <v>7</v>
      </c>
      <c r="D1693">
        <v>17</v>
      </c>
      <c r="E1693">
        <v>0</v>
      </c>
      <c r="F1693">
        <v>247850555</v>
      </c>
      <c r="G1693">
        <v>187041.27</v>
      </c>
      <c r="H1693">
        <v>247700989</v>
      </c>
      <c r="I1693">
        <v>247700989</v>
      </c>
      <c r="J1693">
        <v>-1.8159999999999999E-3</v>
      </c>
      <c r="K1693">
        <v>-1.8159999999999999E-3</v>
      </c>
      <c r="M1693" t="s">
        <v>0</v>
      </c>
      <c r="N1693">
        <v>8000</v>
      </c>
      <c r="O1693">
        <v>9</v>
      </c>
      <c r="P1693">
        <v>84</v>
      </c>
      <c r="Q1693">
        <v>0</v>
      </c>
      <c r="R1693">
        <v>2712255570</v>
      </c>
      <c r="S1693">
        <v>1981369.68</v>
      </c>
      <c r="T1693">
        <v>2710274200.3200002</v>
      </c>
      <c r="U1693">
        <v>2710274200.3200002</v>
      </c>
      <c r="V1693">
        <v>0</v>
      </c>
      <c r="W1693">
        <v>0</v>
      </c>
    </row>
    <row r="1694" spans="1:23" x14ac:dyDescent="0.35">
      <c r="A1694" t="s">
        <v>1</v>
      </c>
      <c r="B1694">
        <v>7750</v>
      </c>
      <c r="C1694">
        <v>7</v>
      </c>
      <c r="D1694">
        <v>492</v>
      </c>
      <c r="E1694">
        <v>0</v>
      </c>
      <c r="F1694">
        <v>16033374427</v>
      </c>
      <c r="G1694">
        <v>12021841.550000001</v>
      </c>
      <c r="H1694">
        <v>8804028877</v>
      </c>
      <c r="I1694">
        <v>15935302081.67</v>
      </c>
      <c r="J1694">
        <v>0.99923600000000001</v>
      </c>
      <c r="K1694">
        <v>6.2535999999999994E-2</v>
      </c>
      <c r="M1694" t="s">
        <v>1</v>
      </c>
      <c r="N1694">
        <v>8250</v>
      </c>
      <c r="O1694">
        <v>10</v>
      </c>
      <c r="P1694">
        <v>2</v>
      </c>
      <c r="Q1694">
        <v>0</v>
      </c>
      <c r="R1694">
        <v>57738370</v>
      </c>
      <c r="S1694">
        <v>40679.86</v>
      </c>
      <c r="T1694">
        <v>57697690.140000001</v>
      </c>
      <c r="U1694">
        <v>57697690.140000001</v>
      </c>
      <c r="V1694">
        <v>0</v>
      </c>
      <c r="W1694">
        <v>0</v>
      </c>
    </row>
    <row r="1695" spans="1:23" x14ac:dyDescent="0.35">
      <c r="A1695" t="s">
        <v>1</v>
      </c>
      <c r="B1695">
        <v>8250</v>
      </c>
      <c r="C1695">
        <v>9</v>
      </c>
      <c r="D1695">
        <v>2</v>
      </c>
      <c r="E1695">
        <v>0</v>
      </c>
      <c r="F1695">
        <v>53888153</v>
      </c>
      <c r="G1695">
        <v>37685.449999999997</v>
      </c>
      <c r="H1695">
        <v>53834462</v>
      </c>
      <c r="I1695">
        <v>53834462</v>
      </c>
      <c r="J1695">
        <v>3.558E-3</v>
      </c>
      <c r="K1695">
        <v>3.558E-3</v>
      </c>
      <c r="M1695" t="s">
        <v>2</v>
      </c>
      <c r="N1695">
        <v>7250</v>
      </c>
      <c r="O1695">
        <v>5</v>
      </c>
      <c r="P1695">
        <v>581</v>
      </c>
      <c r="Q1695">
        <v>0</v>
      </c>
      <c r="R1695">
        <v>8233700000</v>
      </c>
      <c r="S1695">
        <v>6720777.6100000003</v>
      </c>
      <c r="T1695">
        <v>8162732098.2600002</v>
      </c>
      <c r="U1695">
        <v>8219485275.8999996</v>
      </c>
      <c r="V1695">
        <v>8.9719999999999994E-2</v>
      </c>
      <c r="W1695">
        <v>1.0867E-2</v>
      </c>
    </row>
    <row r="1696" spans="1:23" x14ac:dyDescent="0.35">
      <c r="A1696" t="s">
        <v>1</v>
      </c>
      <c r="B1696">
        <v>8000</v>
      </c>
      <c r="C1696">
        <v>9</v>
      </c>
      <c r="D1696">
        <v>4</v>
      </c>
      <c r="E1696">
        <v>0</v>
      </c>
      <c r="F1696">
        <v>177888136</v>
      </c>
      <c r="G1696">
        <v>130122.89</v>
      </c>
      <c r="H1696">
        <v>177784280</v>
      </c>
      <c r="I1696">
        <v>177784280</v>
      </c>
      <c r="J1696">
        <v>-1.7730000000000001E-3</v>
      </c>
      <c r="K1696">
        <v>-1.7730000000000001E-3</v>
      </c>
      <c r="M1696" t="s">
        <v>2</v>
      </c>
      <c r="N1696">
        <v>7000</v>
      </c>
      <c r="O1696">
        <v>5</v>
      </c>
      <c r="P1696">
        <v>686</v>
      </c>
      <c r="Q1696">
        <v>0</v>
      </c>
      <c r="R1696">
        <v>10992100000</v>
      </c>
      <c r="S1696">
        <v>9385393.5700000003</v>
      </c>
      <c r="T1696">
        <v>10947844157.389999</v>
      </c>
      <c r="U1696">
        <v>10982714606.43</v>
      </c>
      <c r="V1696">
        <v>3.7411E-2</v>
      </c>
      <c r="W1696">
        <v>0</v>
      </c>
    </row>
    <row r="1697" spans="1:23" x14ac:dyDescent="0.35">
      <c r="A1697" t="s">
        <v>0</v>
      </c>
      <c r="B1697">
        <v>3750</v>
      </c>
      <c r="C1697">
        <v>14</v>
      </c>
      <c r="D1697">
        <v>200</v>
      </c>
      <c r="E1697">
        <v>0</v>
      </c>
      <c r="F1697">
        <v>6577339713</v>
      </c>
      <c r="G1697">
        <v>10562393.949999999</v>
      </c>
      <c r="H1697">
        <v>6564054891</v>
      </c>
      <c r="I1697">
        <v>6564054891</v>
      </c>
      <c r="J1697">
        <v>4.9560000000000003E-3</v>
      </c>
      <c r="K1697">
        <v>4.9560000000000003E-3</v>
      </c>
      <c r="M1697" t="s">
        <v>3</v>
      </c>
      <c r="N1697">
        <v>6000</v>
      </c>
      <c r="O1697">
        <v>7</v>
      </c>
      <c r="P1697">
        <v>10</v>
      </c>
      <c r="Q1697">
        <v>0</v>
      </c>
      <c r="R1697">
        <v>308173430</v>
      </c>
      <c r="S1697">
        <v>323238.44</v>
      </c>
      <c r="T1697">
        <v>307850191.56</v>
      </c>
      <c r="U1697">
        <v>307850191.56</v>
      </c>
      <c r="V1697">
        <v>0</v>
      </c>
      <c r="W1697">
        <v>0</v>
      </c>
    </row>
    <row r="1698" spans="1:23" x14ac:dyDescent="0.35">
      <c r="A1698" t="s">
        <v>0</v>
      </c>
      <c r="B1698">
        <v>4000</v>
      </c>
      <c r="C1698">
        <v>12</v>
      </c>
      <c r="D1698">
        <v>1144</v>
      </c>
      <c r="E1698">
        <v>0</v>
      </c>
      <c r="F1698">
        <v>39532535340</v>
      </c>
      <c r="G1698">
        <v>60325383.740000002</v>
      </c>
      <c r="H1698">
        <v>39388458683</v>
      </c>
      <c r="I1698">
        <v>39465848541.629997</v>
      </c>
      <c r="J1698">
        <v>2.5128000000000001E-2</v>
      </c>
      <c r="K1698">
        <v>1.9289999999999999E-3</v>
      </c>
      <c r="M1698" t="s">
        <v>3</v>
      </c>
      <c r="N1698">
        <v>6500</v>
      </c>
      <c r="O1698">
        <v>8</v>
      </c>
      <c r="P1698">
        <v>41</v>
      </c>
      <c r="Q1698">
        <v>0</v>
      </c>
      <c r="R1698">
        <v>1292056335</v>
      </c>
      <c r="S1698">
        <v>1243875.4099999999</v>
      </c>
      <c r="T1698">
        <v>1290812459.5899999</v>
      </c>
      <c r="U1698">
        <v>1290812459.5899999</v>
      </c>
      <c r="V1698">
        <v>0</v>
      </c>
      <c r="W1698">
        <v>0</v>
      </c>
    </row>
    <row r="1699" spans="1:23" x14ac:dyDescent="0.35">
      <c r="A1699" t="s">
        <v>1</v>
      </c>
      <c r="B1699">
        <v>4000</v>
      </c>
      <c r="C1699">
        <v>12</v>
      </c>
      <c r="D1699">
        <v>347</v>
      </c>
      <c r="E1699">
        <v>0</v>
      </c>
      <c r="F1699">
        <v>13110333328</v>
      </c>
      <c r="G1699">
        <v>20023134.780000001</v>
      </c>
      <c r="H1699">
        <v>13049659712</v>
      </c>
      <c r="I1699">
        <v>13049659712</v>
      </c>
      <c r="J1699">
        <v>3.6580000000000001E-2</v>
      </c>
      <c r="K1699">
        <v>3.6580000000000001E-2</v>
      </c>
      <c r="M1699" t="s">
        <v>3</v>
      </c>
      <c r="N1699">
        <v>6500</v>
      </c>
      <c r="O1699">
        <v>9</v>
      </c>
      <c r="P1699">
        <v>29</v>
      </c>
      <c r="Q1699">
        <v>0</v>
      </c>
      <c r="R1699">
        <v>828711077</v>
      </c>
      <c r="S1699">
        <v>805618.97</v>
      </c>
      <c r="T1699">
        <v>827905458.02999997</v>
      </c>
      <c r="U1699">
        <v>827905458.02999997</v>
      </c>
      <c r="V1699">
        <v>0</v>
      </c>
      <c r="W1699">
        <v>0</v>
      </c>
    </row>
    <row r="1700" spans="1:23" x14ac:dyDescent="0.35">
      <c r="A1700" t="s">
        <v>2</v>
      </c>
      <c r="B1700">
        <v>4000</v>
      </c>
      <c r="C1700">
        <v>12</v>
      </c>
      <c r="D1700">
        <v>47</v>
      </c>
      <c r="E1700">
        <v>0</v>
      </c>
      <c r="F1700">
        <v>1324019442</v>
      </c>
      <c r="G1700">
        <v>2022206.1</v>
      </c>
      <c r="H1700">
        <v>1291865104</v>
      </c>
      <c r="I1700">
        <v>1322148316.48</v>
      </c>
      <c r="J1700">
        <v>0.24137900000000001</v>
      </c>
      <c r="K1700">
        <v>-1.3699999999999999E-3</v>
      </c>
      <c r="M1700" t="s">
        <v>0</v>
      </c>
      <c r="N1700">
        <v>8250</v>
      </c>
      <c r="O1700">
        <v>9</v>
      </c>
      <c r="P1700">
        <v>81</v>
      </c>
      <c r="Q1700">
        <v>0</v>
      </c>
      <c r="R1700">
        <v>2494457216</v>
      </c>
      <c r="S1700">
        <v>1718591.14</v>
      </c>
      <c r="T1700">
        <v>2492738624.8600001</v>
      </c>
      <c r="U1700">
        <v>2492738624.8600001</v>
      </c>
      <c r="V1700">
        <v>0</v>
      </c>
      <c r="W1700">
        <v>0</v>
      </c>
    </row>
    <row r="1701" spans="1:23" x14ac:dyDescent="0.35">
      <c r="A1701" t="s">
        <v>1</v>
      </c>
      <c r="B1701">
        <v>8000</v>
      </c>
      <c r="C1701">
        <v>8</v>
      </c>
      <c r="D1701">
        <v>12</v>
      </c>
      <c r="E1701">
        <v>0</v>
      </c>
      <c r="F1701">
        <v>254579518</v>
      </c>
      <c r="G1701">
        <v>183052.93</v>
      </c>
      <c r="H1701">
        <v>214249202</v>
      </c>
      <c r="I1701">
        <v>254423466.21000001</v>
      </c>
      <c r="J1701">
        <v>0.87247399999999997</v>
      </c>
      <c r="K1701">
        <v>-1.273E-3</v>
      </c>
      <c r="M1701" t="s">
        <v>0</v>
      </c>
      <c r="N1701">
        <v>8250</v>
      </c>
      <c r="O1701">
        <v>8</v>
      </c>
      <c r="P1701">
        <v>97</v>
      </c>
      <c r="Q1701">
        <v>0</v>
      </c>
      <c r="R1701">
        <v>2885213740</v>
      </c>
      <c r="S1701">
        <v>1976991.53</v>
      </c>
      <c r="T1701">
        <v>2883236748.4699998</v>
      </c>
      <c r="U1701">
        <v>2883236748.4699998</v>
      </c>
      <c r="V1701">
        <v>0</v>
      </c>
      <c r="W1701">
        <v>0</v>
      </c>
    </row>
    <row r="1702" spans="1:23" x14ac:dyDescent="0.35">
      <c r="A1702" t="s">
        <v>1</v>
      </c>
      <c r="B1702">
        <v>8250</v>
      </c>
      <c r="C1702">
        <v>8</v>
      </c>
      <c r="D1702">
        <v>3</v>
      </c>
      <c r="E1702">
        <v>0</v>
      </c>
      <c r="F1702">
        <v>85666916</v>
      </c>
      <c r="G1702">
        <v>59465</v>
      </c>
      <c r="H1702">
        <v>85591173</v>
      </c>
      <c r="I1702">
        <v>85591173</v>
      </c>
      <c r="J1702">
        <v>2.2780000000000001E-3</v>
      </c>
      <c r="K1702">
        <v>2.2780000000000001E-3</v>
      </c>
      <c r="M1702" t="s">
        <v>3</v>
      </c>
      <c r="N1702">
        <v>5750</v>
      </c>
      <c r="O1702">
        <v>10</v>
      </c>
      <c r="P1702">
        <v>7</v>
      </c>
      <c r="Q1702">
        <v>0</v>
      </c>
      <c r="R1702">
        <v>211460057</v>
      </c>
      <c r="S1702">
        <v>235910.59</v>
      </c>
      <c r="T1702">
        <v>211224146.41</v>
      </c>
      <c r="U1702">
        <v>211224146.41</v>
      </c>
      <c r="V1702">
        <v>0</v>
      </c>
      <c r="W1702">
        <v>0</v>
      </c>
    </row>
    <row r="1703" spans="1:23" x14ac:dyDescent="0.35">
      <c r="A1703" t="s">
        <v>3</v>
      </c>
      <c r="B1703">
        <v>7250</v>
      </c>
      <c r="C1703">
        <v>10</v>
      </c>
      <c r="D1703">
        <v>2</v>
      </c>
      <c r="E1703">
        <v>0</v>
      </c>
      <c r="F1703">
        <v>36873988</v>
      </c>
      <c r="G1703">
        <v>31296.240000000002</v>
      </c>
      <c r="H1703">
        <v>36832927</v>
      </c>
      <c r="I1703">
        <v>36832927</v>
      </c>
      <c r="J1703">
        <v>3.173E-3</v>
      </c>
      <c r="K1703">
        <v>3.173E-3</v>
      </c>
      <c r="M1703" t="s">
        <v>2</v>
      </c>
      <c r="N1703">
        <v>5500</v>
      </c>
      <c r="O1703">
        <v>7</v>
      </c>
      <c r="P1703">
        <v>38</v>
      </c>
      <c r="Q1703">
        <v>0</v>
      </c>
      <c r="R1703">
        <v>964633061</v>
      </c>
      <c r="S1703">
        <v>1105918.29</v>
      </c>
      <c r="T1703">
        <v>963527142.71000004</v>
      </c>
      <c r="U1703">
        <v>963527142.71000004</v>
      </c>
      <c r="V1703">
        <v>0</v>
      </c>
      <c r="W1703">
        <v>0</v>
      </c>
    </row>
    <row r="1704" spans="1:23" x14ac:dyDescent="0.35">
      <c r="A1704" t="s">
        <v>3</v>
      </c>
      <c r="B1704">
        <v>5750</v>
      </c>
      <c r="C1704">
        <v>9</v>
      </c>
      <c r="D1704">
        <v>8</v>
      </c>
      <c r="E1704">
        <v>0</v>
      </c>
      <c r="F1704">
        <v>250169659</v>
      </c>
      <c r="G1704">
        <v>275723.8</v>
      </c>
      <c r="H1704">
        <v>249931293</v>
      </c>
      <c r="I1704">
        <v>249931293</v>
      </c>
      <c r="J1704">
        <v>-1.7930000000000001E-3</v>
      </c>
      <c r="K1704">
        <v>-1.7930000000000001E-3</v>
      </c>
      <c r="M1704" t="s">
        <v>2</v>
      </c>
      <c r="N1704">
        <v>7750</v>
      </c>
      <c r="O1704">
        <v>7</v>
      </c>
      <c r="P1704">
        <v>10</v>
      </c>
      <c r="Q1704">
        <v>0</v>
      </c>
      <c r="R1704">
        <v>178914450</v>
      </c>
      <c r="S1704">
        <v>135072.54999999999</v>
      </c>
      <c r="T1704">
        <v>157695034.90000001</v>
      </c>
      <c r="U1704">
        <v>178779377.44999999</v>
      </c>
      <c r="V1704">
        <v>0.77790800000000004</v>
      </c>
      <c r="W1704">
        <v>0</v>
      </c>
    </row>
    <row r="1705" spans="1:23" x14ac:dyDescent="0.35">
      <c r="A1705" t="s">
        <v>1</v>
      </c>
      <c r="B1705">
        <v>4000</v>
      </c>
      <c r="C1705">
        <v>9</v>
      </c>
      <c r="D1705">
        <v>492</v>
      </c>
      <c r="E1705">
        <v>0</v>
      </c>
      <c r="F1705">
        <v>19079200593</v>
      </c>
      <c r="G1705">
        <v>28789318.899999999</v>
      </c>
      <c r="H1705">
        <v>19046329826</v>
      </c>
      <c r="I1705">
        <v>19046329826</v>
      </c>
      <c r="J1705">
        <v>2.5639999999999999E-3</v>
      </c>
      <c r="K1705">
        <v>2.5639999999999999E-3</v>
      </c>
      <c r="M1705" t="s">
        <v>0</v>
      </c>
      <c r="N1705">
        <v>8250</v>
      </c>
      <c r="O1705">
        <v>7</v>
      </c>
      <c r="P1705">
        <v>120</v>
      </c>
      <c r="Q1705">
        <v>0</v>
      </c>
      <c r="R1705">
        <v>3838413873</v>
      </c>
      <c r="S1705">
        <v>2605047.15</v>
      </c>
      <c r="T1705">
        <v>3835808825.8499999</v>
      </c>
      <c r="U1705">
        <v>3835808825.8499999</v>
      </c>
      <c r="V1705">
        <v>0</v>
      </c>
      <c r="W1705">
        <v>0</v>
      </c>
    </row>
    <row r="1706" spans="1:23" x14ac:dyDescent="0.35">
      <c r="A1706" t="s">
        <v>0</v>
      </c>
      <c r="B1706">
        <v>4000</v>
      </c>
      <c r="C1706">
        <v>9</v>
      </c>
      <c r="D1706">
        <v>1866</v>
      </c>
      <c r="E1706">
        <v>0</v>
      </c>
      <c r="F1706">
        <v>64992881568</v>
      </c>
      <c r="G1706">
        <v>98004899.049999997</v>
      </c>
      <c r="H1706">
        <v>64888766883</v>
      </c>
      <c r="I1706">
        <v>64888766883</v>
      </c>
      <c r="J1706">
        <v>1.1280000000000001E-3</v>
      </c>
      <c r="K1706">
        <v>1.1280000000000001E-3</v>
      </c>
      <c r="M1706" t="s">
        <v>0</v>
      </c>
      <c r="N1706">
        <v>9000</v>
      </c>
      <c r="O1706">
        <v>7</v>
      </c>
      <c r="P1706">
        <v>2</v>
      </c>
      <c r="Q1706">
        <v>0</v>
      </c>
      <c r="R1706">
        <v>54721688</v>
      </c>
      <c r="S1706">
        <v>33262.910000000003</v>
      </c>
      <c r="T1706">
        <v>54688425.090000004</v>
      </c>
      <c r="U1706">
        <v>54688425.090000004</v>
      </c>
      <c r="V1706">
        <v>0</v>
      </c>
      <c r="W1706">
        <v>0</v>
      </c>
    </row>
    <row r="1707" spans="1:23" x14ac:dyDescent="0.35">
      <c r="A1707" t="s">
        <v>3</v>
      </c>
      <c r="B1707">
        <v>6500</v>
      </c>
      <c r="C1707">
        <v>6</v>
      </c>
      <c r="D1707">
        <v>35</v>
      </c>
      <c r="E1707">
        <v>0</v>
      </c>
      <c r="F1707">
        <v>1037148326</v>
      </c>
      <c r="G1707">
        <v>989144.52</v>
      </c>
      <c r="H1707">
        <v>1032513766</v>
      </c>
      <c r="I1707">
        <v>1032513766</v>
      </c>
      <c r="J1707">
        <v>4.1371999999999999E-2</v>
      </c>
      <c r="K1707">
        <v>4.1371999999999999E-2</v>
      </c>
      <c r="M1707" t="s">
        <v>0</v>
      </c>
      <c r="N1707">
        <v>8500</v>
      </c>
      <c r="O1707">
        <v>7</v>
      </c>
      <c r="P1707">
        <v>2</v>
      </c>
      <c r="Q1707">
        <v>0</v>
      </c>
      <c r="R1707">
        <v>57634986</v>
      </c>
      <c r="S1707">
        <v>37778.400000000001</v>
      </c>
      <c r="T1707">
        <v>57597207.600000001</v>
      </c>
      <c r="U1707">
        <v>57597207.600000001</v>
      </c>
      <c r="V1707">
        <v>0</v>
      </c>
      <c r="W1707">
        <v>0</v>
      </c>
    </row>
    <row r="1708" spans="1:23" x14ac:dyDescent="0.35">
      <c r="A1708" t="s">
        <v>3</v>
      </c>
      <c r="B1708">
        <v>7000</v>
      </c>
      <c r="C1708">
        <v>7</v>
      </c>
      <c r="D1708">
        <v>3</v>
      </c>
      <c r="E1708">
        <v>0</v>
      </c>
      <c r="F1708">
        <v>89076502</v>
      </c>
      <c r="G1708">
        <v>77712.31</v>
      </c>
      <c r="H1708">
        <v>89074289</v>
      </c>
      <c r="I1708">
        <v>89074289</v>
      </c>
      <c r="J1708">
        <v>-1.0218E-2</v>
      </c>
      <c r="K1708">
        <v>-1.0218E-2</v>
      </c>
      <c r="M1708" t="s">
        <v>1</v>
      </c>
      <c r="N1708">
        <v>4750</v>
      </c>
      <c r="O1708">
        <v>8</v>
      </c>
      <c r="P1708">
        <v>319</v>
      </c>
      <c r="Q1708">
        <v>0</v>
      </c>
      <c r="R1708">
        <v>12565993932</v>
      </c>
      <c r="S1708">
        <v>16597584.83</v>
      </c>
      <c r="T1708">
        <v>12549396347.17</v>
      </c>
      <c r="U1708">
        <v>12549396347.17</v>
      </c>
      <c r="V1708">
        <v>0</v>
      </c>
      <c r="W1708">
        <v>0</v>
      </c>
    </row>
    <row r="1709" spans="1:23" x14ac:dyDescent="0.35">
      <c r="A1709" t="s">
        <v>1</v>
      </c>
      <c r="B1709">
        <v>4500</v>
      </c>
      <c r="C1709">
        <v>7</v>
      </c>
      <c r="D1709">
        <v>220</v>
      </c>
      <c r="E1709">
        <v>0</v>
      </c>
      <c r="F1709">
        <v>7880519575</v>
      </c>
      <c r="G1709">
        <v>10798956.02</v>
      </c>
      <c r="H1709">
        <v>7867714006</v>
      </c>
      <c r="I1709">
        <v>7867714006</v>
      </c>
      <c r="J1709">
        <v>3.0509999999999999E-3</v>
      </c>
      <c r="K1709">
        <v>3.0509999999999999E-3</v>
      </c>
      <c r="M1709" t="s">
        <v>2</v>
      </c>
      <c r="N1709">
        <v>4750</v>
      </c>
      <c r="O1709">
        <v>8</v>
      </c>
      <c r="P1709">
        <v>19</v>
      </c>
      <c r="Q1709">
        <v>0</v>
      </c>
      <c r="R1709">
        <v>444660766</v>
      </c>
      <c r="S1709">
        <v>587694.43999999994</v>
      </c>
      <c r="T1709">
        <v>444073071.56</v>
      </c>
      <c r="U1709">
        <v>444073071.56</v>
      </c>
      <c r="V1709">
        <v>0</v>
      </c>
      <c r="W1709">
        <v>0</v>
      </c>
    </row>
    <row r="1710" spans="1:23" x14ac:dyDescent="0.35">
      <c r="A1710" t="s">
        <v>0</v>
      </c>
      <c r="B1710">
        <v>8250</v>
      </c>
      <c r="C1710">
        <v>7</v>
      </c>
      <c r="D1710">
        <v>142</v>
      </c>
      <c r="E1710">
        <v>0</v>
      </c>
      <c r="F1710">
        <v>3992781841</v>
      </c>
      <c r="G1710">
        <v>2703116.4</v>
      </c>
      <c r="H1710">
        <v>3883730334</v>
      </c>
      <c r="I1710">
        <v>3883730334</v>
      </c>
      <c r="J1710">
        <v>0.27671800000000002</v>
      </c>
      <c r="K1710">
        <v>0.27671800000000002</v>
      </c>
      <c r="M1710" t="s">
        <v>2</v>
      </c>
      <c r="N1710">
        <v>5250</v>
      </c>
      <c r="O1710">
        <v>8</v>
      </c>
      <c r="P1710">
        <v>23</v>
      </c>
      <c r="Q1710">
        <v>0</v>
      </c>
      <c r="R1710">
        <v>561303796</v>
      </c>
      <c r="S1710">
        <v>677369.98</v>
      </c>
      <c r="T1710">
        <v>560626426.01999998</v>
      </c>
      <c r="U1710">
        <v>560626426.01999998</v>
      </c>
      <c r="V1710">
        <v>0</v>
      </c>
      <c r="W1710">
        <v>0</v>
      </c>
    </row>
    <row r="1711" spans="1:23" x14ac:dyDescent="0.35">
      <c r="A1711" t="s">
        <v>3</v>
      </c>
      <c r="B1711">
        <v>5750</v>
      </c>
      <c r="C1711">
        <v>8</v>
      </c>
      <c r="D1711">
        <v>5</v>
      </c>
      <c r="E1711">
        <v>0</v>
      </c>
      <c r="F1711">
        <v>119921474</v>
      </c>
      <c r="G1711">
        <v>131200.66</v>
      </c>
      <c r="H1711">
        <v>119826391</v>
      </c>
      <c r="I1711">
        <v>119826391</v>
      </c>
      <c r="J1711">
        <v>-3.62E-3</v>
      </c>
      <c r="K1711">
        <v>-3.62E-3</v>
      </c>
      <c r="M1711" t="s">
        <v>0</v>
      </c>
      <c r="N1711">
        <v>4750</v>
      </c>
      <c r="O1711">
        <v>7</v>
      </c>
      <c r="P1711">
        <v>788</v>
      </c>
      <c r="Q1711">
        <v>0</v>
      </c>
      <c r="R1711">
        <v>26111998298</v>
      </c>
      <c r="S1711">
        <v>34261534.390000001</v>
      </c>
      <c r="T1711">
        <v>26077736763.610001</v>
      </c>
      <c r="U1711">
        <v>26077736763.610001</v>
      </c>
      <c r="V1711">
        <v>0</v>
      </c>
      <c r="W1711">
        <v>0</v>
      </c>
    </row>
    <row r="1712" spans="1:23" x14ac:dyDescent="0.35">
      <c r="A1712" t="s">
        <v>0</v>
      </c>
      <c r="B1712">
        <v>8250</v>
      </c>
      <c r="C1712">
        <v>6</v>
      </c>
      <c r="D1712">
        <v>134</v>
      </c>
      <c r="E1712">
        <v>0</v>
      </c>
      <c r="F1712">
        <v>4116428957</v>
      </c>
      <c r="G1712">
        <v>2766436.3</v>
      </c>
      <c r="H1712">
        <v>4021094076</v>
      </c>
      <c r="I1712">
        <v>4111504707.8400002</v>
      </c>
      <c r="J1712">
        <v>0.23885500000000001</v>
      </c>
      <c r="K1712">
        <v>6.2719999999999998E-3</v>
      </c>
      <c r="M1712" t="s">
        <v>2</v>
      </c>
      <c r="N1712">
        <v>4750</v>
      </c>
      <c r="O1712">
        <v>7</v>
      </c>
      <c r="P1712">
        <v>17</v>
      </c>
      <c r="Q1712">
        <v>0</v>
      </c>
      <c r="R1712">
        <v>441217276</v>
      </c>
      <c r="S1712">
        <v>580064.18000000005</v>
      </c>
      <c r="T1712">
        <v>440637211.81999999</v>
      </c>
      <c r="U1712">
        <v>440637211.81999999</v>
      </c>
      <c r="V1712">
        <v>0</v>
      </c>
      <c r="W1712">
        <v>0</v>
      </c>
    </row>
    <row r="1713" spans="1:23" x14ac:dyDescent="0.35">
      <c r="A1713" t="s">
        <v>3</v>
      </c>
      <c r="B1713">
        <v>6000</v>
      </c>
      <c r="C1713">
        <v>6</v>
      </c>
      <c r="D1713">
        <v>9</v>
      </c>
      <c r="E1713">
        <v>0</v>
      </c>
      <c r="F1713">
        <v>228165291</v>
      </c>
      <c r="G1713">
        <v>239384.12</v>
      </c>
      <c r="H1713">
        <v>227569522</v>
      </c>
      <c r="I1713">
        <v>227569522</v>
      </c>
      <c r="J1713">
        <v>1.8582999999999999E-2</v>
      </c>
      <c r="K1713">
        <v>1.8582999999999999E-2</v>
      </c>
      <c r="M1713" t="s">
        <v>1</v>
      </c>
      <c r="N1713">
        <v>4750</v>
      </c>
      <c r="O1713">
        <v>7</v>
      </c>
      <c r="P1713">
        <v>257</v>
      </c>
      <c r="Q1713">
        <v>0</v>
      </c>
      <c r="R1713">
        <v>10367438776</v>
      </c>
      <c r="S1713">
        <v>13618780.109999999</v>
      </c>
      <c r="T1713">
        <v>10353819995.889999</v>
      </c>
      <c r="U1713">
        <v>10353819995.889999</v>
      </c>
      <c r="V1713">
        <v>0</v>
      </c>
      <c r="W1713">
        <v>0</v>
      </c>
    </row>
    <row r="1714" spans="1:23" x14ac:dyDescent="0.35">
      <c r="A1714" t="s">
        <v>3</v>
      </c>
      <c r="B1714">
        <v>5750</v>
      </c>
      <c r="C1714">
        <v>7</v>
      </c>
      <c r="D1714">
        <v>2</v>
      </c>
      <c r="E1714">
        <v>0</v>
      </c>
      <c r="F1714">
        <v>41130743</v>
      </c>
      <c r="G1714">
        <v>44735.98</v>
      </c>
      <c r="H1714">
        <v>40930593</v>
      </c>
      <c r="I1714">
        <v>40930593</v>
      </c>
      <c r="J1714">
        <v>4.4412E-2</v>
      </c>
      <c r="K1714">
        <v>4.4412E-2</v>
      </c>
      <c r="M1714" t="s">
        <v>2</v>
      </c>
      <c r="N1714">
        <v>5250</v>
      </c>
      <c r="O1714">
        <v>6</v>
      </c>
      <c r="P1714">
        <v>10</v>
      </c>
      <c r="Q1714">
        <v>0</v>
      </c>
      <c r="R1714">
        <v>242414644</v>
      </c>
      <c r="S1714">
        <v>290563.81</v>
      </c>
      <c r="T1714">
        <v>242124080.19</v>
      </c>
      <c r="U1714">
        <v>242124080.19</v>
      </c>
      <c r="V1714">
        <v>0</v>
      </c>
      <c r="W1714">
        <v>0</v>
      </c>
    </row>
    <row r="1715" spans="1:23" x14ac:dyDescent="0.35">
      <c r="A1715" t="s">
        <v>1</v>
      </c>
      <c r="B1715">
        <v>4250</v>
      </c>
      <c r="C1715">
        <v>9</v>
      </c>
      <c r="D1715">
        <v>171</v>
      </c>
      <c r="E1715">
        <v>0</v>
      </c>
      <c r="F1715">
        <v>6469062586</v>
      </c>
      <c r="G1715">
        <v>9353499.3300000001</v>
      </c>
      <c r="H1715">
        <v>6459395071</v>
      </c>
      <c r="I1715">
        <v>6459395071</v>
      </c>
      <c r="J1715">
        <v>5.8200000000000005E-4</v>
      </c>
      <c r="K1715">
        <v>5.8200000000000005E-4</v>
      </c>
      <c r="M1715" t="s">
        <v>2</v>
      </c>
      <c r="N1715">
        <v>5250</v>
      </c>
      <c r="O1715">
        <v>5</v>
      </c>
      <c r="P1715">
        <v>339</v>
      </c>
      <c r="Q1715">
        <v>0</v>
      </c>
      <c r="R1715">
        <v>8283700000</v>
      </c>
      <c r="S1715">
        <v>9620463.2699999996</v>
      </c>
      <c r="T1715">
        <v>8274079536.7299995</v>
      </c>
      <c r="U1715">
        <v>8274079536.7299995</v>
      </c>
      <c r="V1715">
        <v>0</v>
      </c>
      <c r="W1715">
        <v>0</v>
      </c>
    </row>
    <row r="1716" spans="1:23" x14ac:dyDescent="0.35">
      <c r="A1716" t="s">
        <v>0</v>
      </c>
      <c r="B1716">
        <v>4250</v>
      </c>
      <c r="C1716">
        <v>9</v>
      </c>
      <c r="D1716">
        <v>540</v>
      </c>
      <c r="E1716">
        <v>0</v>
      </c>
      <c r="F1716">
        <v>17079106490</v>
      </c>
      <c r="G1716">
        <v>24656675.329999998</v>
      </c>
      <c r="H1716">
        <v>17053420930</v>
      </c>
      <c r="I1716">
        <v>17053420930</v>
      </c>
      <c r="J1716">
        <v>7.2300000000000001E-4</v>
      </c>
      <c r="K1716">
        <v>7.2300000000000001E-4</v>
      </c>
      <c r="M1716" t="s">
        <v>3</v>
      </c>
      <c r="N1716">
        <v>6750</v>
      </c>
      <c r="O1716">
        <v>5</v>
      </c>
      <c r="P1716">
        <v>55</v>
      </c>
      <c r="Q1716">
        <v>0</v>
      </c>
      <c r="R1716">
        <v>1662100000</v>
      </c>
      <c r="S1716">
        <v>1488294.42</v>
      </c>
      <c r="T1716">
        <v>1660611705.5799999</v>
      </c>
      <c r="U1716">
        <v>1660611705.5799999</v>
      </c>
      <c r="V1716">
        <v>0</v>
      </c>
      <c r="W1716">
        <v>0</v>
      </c>
    </row>
    <row r="1717" spans="1:23" x14ac:dyDescent="0.35">
      <c r="A1717" t="s">
        <v>1</v>
      </c>
      <c r="B1717">
        <v>7250</v>
      </c>
      <c r="C1717">
        <v>5</v>
      </c>
      <c r="D1717">
        <v>3712</v>
      </c>
      <c r="E1717">
        <v>0</v>
      </c>
      <c r="F1717">
        <v>121937500000</v>
      </c>
      <c r="G1717">
        <v>99345950.579999998</v>
      </c>
      <c r="H1717">
        <v>121499007372</v>
      </c>
      <c r="I1717">
        <v>121699745112.13</v>
      </c>
      <c r="J1717">
        <v>3.2870000000000003E-2</v>
      </c>
      <c r="K1717">
        <v>1.3535999999999999E-2</v>
      </c>
      <c r="M1717" t="s">
        <v>2</v>
      </c>
      <c r="N1717">
        <v>7750</v>
      </c>
      <c r="O1717">
        <v>6</v>
      </c>
      <c r="P1717">
        <v>17</v>
      </c>
      <c r="Q1717">
        <v>0</v>
      </c>
      <c r="R1717">
        <v>248266854</v>
      </c>
      <c r="S1717">
        <v>186028.33</v>
      </c>
      <c r="T1717">
        <v>248080825.66999999</v>
      </c>
      <c r="U1717">
        <v>248080825.66999999</v>
      </c>
      <c r="V1717">
        <v>0</v>
      </c>
      <c r="W1717">
        <v>0</v>
      </c>
    </row>
    <row r="1718" spans="1:23" x14ac:dyDescent="0.35">
      <c r="A1718" t="s">
        <v>3</v>
      </c>
      <c r="B1718">
        <v>7250</v>
      </c>
      <c r="C1718">
        <v>9</v>
      </c>
      <c r="D1718">
        <v>1</v>
      </c>
      <c r="E1718">
        <v>0</v>
      </c>
      <c r="F1718">
        <v>19567476</v>
      </c>
      <c r="G1718">
        <v>16231.62</v>
      </c>
      <c r="H1718">
        <v>19550802</v>
      </c>
      <c r="I1718">
        <v>19550802</v>
      </c>
      <c r="J1718">
        <v>2.7099999999999997E-4</v>
      </c>
      <c r="K1718">
        <v>2.7099999999999997E-4</v>
      </c>
      <c r="M1718" t="s">
        <v>1</v>
      </c>
      <c r="N1718">
        <v>7750</v>
      </c>
      <c r="O1718">
        <v>6</v>
      </c>
      <c r="P1718">
        <v>492</v>
      </c>
      <c r="Q1718">
        <v>0</v>
      </c>
      <c r="R1718">
        <v>16154792122</v>
      </c>
      <c r="S1718">
        <v>12026426.470000001</v>
      </c>
      <c r="T1718">
        <v>16142765695.530001</v>
      </c>
      <c r="U1718">
        <v>16142765695.530001</v>
      </c>
      <c r="V1718">
        <v>0</v>
      </c>
      <c r="W1718">
        <v>0</v>
      </c>
    </row>
    <row r="1719" spans="1:23" x14ac:dyDescent="0.35">
      <c r="A1719" t="s">
        <v>3</v>
      </c>
      <c r="B1719">
        <v>6000</v>
      </c>
      <c r="C1719">
        <v>5</v>
      </c>
      <c r="D1719">
        <v>158</v>
      </c>
      <c r="E1719">
        <v>0</v>
      </c>
      <c r="F1719">
        <v>4666600000</v>
      </c>
      <c r="G1719">
        <v>4744724.26</v>
      </c>
      <c r="H1719">
        <v>4665318615</v>
      </c>
      <c r="I1719">
        <v>4665318615</v>
      </c>
      <c r="J1719">
        <v>-8.9420000000000003E-3</v>
      </c>
      <c r="K1719">
        <v>-8.9420000000000003E-3</v>
      </c>
      <c r="M1719" t="s">
        <v>1</v>
      </c>
      <c r="N1719">
        <v>8250</v>
      </c>
      <c r="O1719">
        <v>8</v>
      </c>
      <c r="P1719">
        <v>2</v>
      </c>
      <c r="Q1719">
        <v>0</v>
      </c>
      <c r="R1719">
        <v>53909556</v>
      </c>
      <c r="S1719">
        <v>37420.879999999997</v>
      </c>
      <c r="T1719">
        <v>53872135.119999997</v>
      </c>
      <c r="U1719">
        <v>53872135.119999997</v>
      </c>
      <c r="V1719">
        <v>0</v>
      </c>
      <c r="W1719">
        <v>0</v>
      </c>
    </row>
    <row r="1720" spans="1:23" x14ac:dyDescent="0.35">
      <c r="A1720" t="s">
        <v>3</v>
      </c>
      <c r="B1720">
        <v>6750</v>
      </c>
      <c r="C1720">
        <v>5</v>
      </c>
      <c r="D1720">
        <v>29</v>
      </c>
      <c r="E1720">
        <v>0</v>
      </c>
      <c r="F1720">
        <v>983400000</v>
      </c>
      <c r="G1720">
        <v>876895.21</v>
      </c>
      <c r="H1720">
        <v>981937231</v>
      </c>
      <c r="I1720">
        <v>981937231</v>
      </c>
      <c r="J1720">
        <v>7.1260000000000004E-3</v>
      </c>
      <c r="K1720">
        <v>7.1260000000000004E-3</v>
      </c>
      <c r="M1720" t="s">
        <v>1</v>
      </c>
      <c r="N1720">
        <v>8000</v>
      </c>
      <c r="O1720">
        <v>8</v>
      </c>
      <c r="P1720">
        <v>5</v>
      </c>
      <c r="Q1720">
        <v>0</v>
      </c>
      <c r="R1720">
        <v>199268753</v>
      </c>
      <c r="S1720">
        <v>144412.37</v>
      </c>
      <c r="T1720">
        <v>177872494.44999999</v>
      </c>
      <c r="U1720">
        <v>199124340.63</v>
      </c>
      <c r="V1720">
        <v>0.74161699999999997</v>
      </c>
      <c r="W1720">
        <v>0</v>
      </c>
    </row>
    <row r="1721" spans="1:23" x14ac:dyDescent="0.35">
      <c r="A1721" t="s">
        <v>3</v>
      </c>
      <c r="B1721">
        <v>6250</v>
      </c>
      <c r="C1721">
        <v>5</v>
      </c>
      <c r="D1721">
        <v>207</v>
      </c>
      <c r="E1721">
        <v>0</v>
      </c>
      <c r="F1721">
        <v>6407000000</v>
      </c>
      <c r="G1721">
        <v>6233863.4500000002</v>
      </c>
      <c r="H1721">
        <v>6399076968</v>
      </c>
      <c r="I1721">
        <v>6399076968</v>
      </c>
      <c r="J1721">
        <v>3.1589999999999999E-3</v>
      </c>
      <c r="K1721">
        <v>3.1589999999999999E-3</v>
      </c>
      <c r="M1721" t="s">
        <v>0</v>
      </c>
      <c r="N1721">
        <v>3750</v>
      </c>
      <c r="O1721">
        <v>12</v>
      </c>
      <c r="P1721">
        <v>125</v>
      </c>
      <c r="Q1721">
        <v>0</v>
      </c>
      <c r="R1721">
        <v>4025563810</v>
      </c>
      <c r="S1721">
        <v>6401194.1799999997</v>
      </c>
      <c r="T1721">
        <v>4019162615.8200002</v>
      </c>
      <c r="U1721">
        <v>4019162615.8200002</v>
      </c>
      <c r="V1721">
        <v>0</v>
      </c>
      <c r="W1721">
        <v>0</v>
      </c>
    </row>
    <row r="1722" spans="1:23" x14ac:dyDescent="0.35">
      <c r="A1722" t="s">
        <v>2</v>
      </c>
      <c r="B1722">
        <v>3500</v>
      </c>
      <c r="C1722">
        <v>8</v>
      </c>
      <c r="D1722">
        <v>6</v>
      </c>
      <c r="E1722">
        <v>0</v>
      </c>
      <c r="F1722">
        <v>88721915</v>
      </c>
      <c r="G1722">
        <v>146470.16</v>
      </c>
      <c r="H1722">
        <v>88576666</v>
      </c>
      <c r="I1722">
        <v>88576666</v>
      </c>
      <c r="J1722">
        <v>-1.65E-4</v>
      </c>
      <c r="K1722">
        <v>-1.65E-4</v>
      </c>
      <c r="M1722" t="s">
        <v>0</v>
      </c>
      <c r="N1722">
        <v>4000</v>
      </c>
      <c r="O1722">
        <v>12</v>
      </c>
      <c r="P1722">
        <v>1511</v>
      </c>
      <c r="Q1722">
        <v>0</v>
      </c>
      <c r="R1722">
        <v>49277273441</v>
      </c>
      <c r="S1722">
        <v>75217798.25</v>
      </c>
      <c r="T1722">
        <v>49202055642.75</v>
      </c>
      <c r="U1722">
        <v>49202055642.75</v>
      </c>
      <c r="V1722">
        <v>0</v>
      </c>
      <c r="W1722">
        <v>0</v>
      </c>
    </row>
    <row r="1723" spans="1:23" x14ac:dyDescent="0.35">
      <c r="A1723" t="s">
        <v>3</v>
      </c>
      <c r="B1723">
        <v>5750</v>
      </c>
      <c r="C1723">
        <v>5</v>
      </c>
      <c r="D1723">
        <v>148</v>
      </c>
      <c r="E1723">
        <v>0</v>
      </c>
      <c r="F1723">
        <v>4520100000</v>
      </c>
      <c r="G1723">
        <v>4798967.8499999996</v>
      </c>
      <c r="H1723">
        <v>4519296737</v>
      </c>
      <c r="I1723">
        <v>4519296737</v>
      </c>
      <c r="J1723">
        <v>-1.0659999999999999E-2</v>
      </c>
      <c r="K1723">
        <v>-1.0659999999999999E-2</v>
      </c>
      <c r="M1723" t="s">
        <v>1</v>
      </c>
      <c r="N1723">
        <v>4000</v>
      </c>
      <c r="O1723">
        <v>10</v>
      </c>
      <c r="P1723">
        <v>141</v>
      </c>
      <c r="Q1723">
        <v>0</v>
      </c>
      <c r="R1723">
        <v>5747349935</v>
      </c>
      <c r="S1723">
        <v>8721326.7899999991</v>
      </c>
      <c r="T1723">
        <v>5738628608.21</v>
      </c>
      <c r="U1723">
        <v>5738628608.21</v>
      </c>
      <c r="V1723">
        <v>0</v>
      </c>
      <c r="W1723">
        <v>0</v>
      </c>
    </row>
    <row r="1724" spans="1:23" x14ac:dyDescent="0.35">
      <c r="A1724" t="s">
        <v>3</v>
      </c>
      <c r="B1724">
        <v>5500</v>
      </c>
      <c r="C1724">
        <v>5</v>
      </c>
      <c r="D1724">
        <v>70</v>
      </c>
      <c r="E1724">
        <v>0</v>
      </c>
      <c r="F1724">
        <v>2050100000</v>
      </c>
      <c r="G1724">
        <v>2286447.4</v>
      </c>
      <c r="H1724">
        <v>2049807821</v>
      </c>
      <c r="I1724">
        <v>2049807821</v>
      </c>
      <c r="J1724">
        <v>-1.1736E-2</v>
      </c>
      <c r="K1724">
        <v>-1.1736E-2</v>
      </c>
      <c r="M1724" t="s">
        <v>2</v>
      </c>
      <c r="N1724">
        <v>4000</v>
      </c>
      <c r="O1724">
        <v>10</v>
      </c>
      <c r="P1724">
        <v>23</v>
      </c>
      <c r="Q1724">
        <v>0</v>
      </c>
      <c r="R1724">
        <v>641683299</v>
      </c>
      <c r="S1724">
        <v>972514.79</v>
      </c>
      <c r="T1724">
        <v>640710784.21000004</v>
      </c>
      <c r="U1724">
        <v>640710784.21000004</v>
      </c>
      <c r="V1724">
        <v>0</v>
      </c>
      <c r="W1724">
        <v>0</v>
      </c>
    </row>
    <row r="1725" spans="1:23" x14ac:dyDescent="0.35">
      <c r="A1725" t="s">
        <v>3</v>
      </c>
      <c r="B1725">
        <v>7250</v>
      </c>
      <c r="C1725">
        <v>8</v>
      </c>
      <c r="D1725">
        <v>2</v>
      </c>
      <c r="E1725">
        <v>0</v>
      </c>
      <c r="F1725">
        <v>38457515</v>
      </c>
      <c r="G1725">
        <v>32457.45</v>
      </c>
      <c r="H1725">
        <v>38425119</v>
      </c>
      <c r="I1725">
        <v>38425119</v>
      </c>
      <c r="J1725">
        <v>-1.9000000000000001E-5</v>
      </c>
      <c r="K1725">
        <v>-1.9000000000000001E-5</v>
      </c>
      <c r="M1725" t="s">
        <v>0</v>
      </c>
      <c r="N1725">
        <v>4000</v>
      </c>
      <c r="O1725">
        <v>10</v>
      </c>
      <c r="P1725">
        <v>494</v>
      </c>
      <c r="Q1725">
        <v>0</v>
      </c>
      <c r="R1725">
        <v>18149674764</v>
      </c>
      <c r="S1725">
        <v>27486330.649999999</v>
      </c>
      <c r="T1725">
        <v>18122188433.349998</v>
      </c>
      <c r="U1725">
        <v>18122188433.349998</v>
      </c>
      <c r="V1725">
        <v>0</v>
      </c>
      <c r="W1725">
        <v>0</v>
      </c>
    </row>
    <row r="1726" spans="1:23" x14ac:dyDescent="0.35">
      <c r="A1726" t="s">
        <v>1</v>
      </c>
      <c r="B1726">
        <v>7750</v>
      </c>
      <c r="C1726">
        <v>6</v>
      </c>
      <c r="D1726">
        <v>446</v>
      </c>
      <c r="E1726">
        <v>0</v>
      </c>
      <c r="F1726">
        <v>14358121472</v>
      </c>
      <c r="G1726">
        <v>10691392.890000001</v>
      </c>
      <c r="H1726">
        <v>14118249170</v>
      </c>
      <c r="I1726">
        <v>14212378035.959999</v>
      </c>
      <c r="J1726">
        <v>0.175589</v>
      </c>
      <c r="K1726">
        <v>0.107212</v>
      </c>
      <c r="M1726" t="s">
        <v>1</v>
      </c>
      <c r="N1726">
        <v>8000</v>
      </c>
      <c r="O1726">
        <v>7</v>
      </c>
      <c r="P1726">
        <v>21</v>
      </c>
      <c r="Q1726">
        <v>0</v>
      </c>
      <c r="R1726">
        <v>507139349</v>
      </c>
      <c r="S1726">
        <v>363063.78</v>
      </c>
      <c r="T1726">
        <v>254496222.37</v>
      </c>
      <c r="U1726">
        <v>458043473.98000002</v>
      </c>
      <c r="V1726">
        <v>0.99974099999999999</v>
      </c>
      <c r="W1726">
        <v>0.70250299999999999</v>
      </c>
    </row>
    <row r="1727" spans="1:23" x14ac:dyDescent="0.35">
      <c r="A1727" t="s">
        <v>2</v>
      </c>
      <c r="B1727">
        <v>7250</v>
      </c>
      <c r="C1727">
        <v>5</v>
      </c>
      <c r="D1727">
        <v>415</v>
      </c>
      <c r="E1727">
        <v>0</v>
      </c>
      <c r="F1727">
        <v>5724300000</v>
      </c>
      <c r="G1727">
        <v>4669846.4000000004</v>
      </c>
      <c r="H1727">
        <v>5721493026</v>
      </c>
      <c r="I1727">
        <v>5721493026</v>
      </c>
      <c r="J1727">
        <v>-3.9119999999999997E-3</v>
      </c>
      <c r="K1727">
        <v>-3.9119999999999997E-3</v>
      </c>
      <c r="M1727" t="s">
        <v>1</v>
      </c>
      <c r="N1727">
        <v>8250</v>
      </c>
      <c r="O1727">
        <v>7</v>
      </c>
      <c r="P1727">
        <v>6</v>
      </c>
      <c r="Q1727">
        <v>0</v>
      </c>
      <c r="R1727">
        <v>167580627</v>
      </c>
      <c r="S1727">
        <v>116365.49</v>
      </c>
      <c r="T1727">
        <v>85650302.379999995</v>
      </c>
      <c r="U1727">
        <v>167464261.50999999</v>
      </c>
      <c r="V1727">
        <v>0.99967700000000004</v>
      </c>
      <c r="W1727">
        <v>0</v>
      </c>
    </row>
    <row r="1728" spans="1:23" x14ac:dyDescent="0.35">
      <c r="A1728" t="s">
        <v>0</v>
      </c>
      <c r="B1728">
        <v>4500</v>
      </c>
      <c r="C1728">
        <v>5</v>
      </c>
      <c r="D1728">
        <v>2870</v>
      </c>
      <c r="E1728">
        <v>0</v>
      </c>
      <c r="F1728">
        <v>102061800000</v>
      </c>
      <c r="G1728">
        <v>136729277.31999999</v>
      </c>
      <c r="H1728">
        <v>101976744218</v>
      </c>
      <c r="I1728">
        <v>101976744218</v>
      </c>
      <c r="J1728">
        <v>-6.0930000000000003E-3</v>
      </c>
      <c r="K1728">
        <v>-6.0930000000000003E-3</v>
      </c>
      <c r="M1728" t="s">
        <v>3</v>
      </c>
      <c r="N1728">
        <v>7250</v>
      </c>
      <c r="O1728">
        <v>9</v>
      </c>
      <c r="P1728">
        <v>2</v>
      </c>
      <c r="Q1728">
        <v>0</v>
      </c>
      <c r="R1728">
        <v>36904823</v>
      </c>
      <c r="S1728">
        <v>31110.23</v>
      </c>
      <c r="T1728">
        <v>36873712.770000003</v>
      </c>
      <c r="U1728">
        <v>36873712.770000003</v>
      </c>
      <c r="V1728">
        <v>0</v>
      </c>
      <c r="W1728">
        <v>0</v>
      </c>
    </row>
    <row r="1729" spans="1:23" x14ac:dyDescent="0.35">
      <c r="A1729" t="s">
        <v>2</v>
      </c>
      <c r="B1729">
        <v>4250</v>
      </c>
      <c r="C1729">
        <v>5</v>
      </c>
      <c r="D1729">
        <v>59</v>
      </c>
      <c r="E1729">
        <v>0</v>
      </c>
      <c r="F1729">
        <v>1664000000</v>
      </c>
      <c r="G1729">
        <v>2325886.98</v>
      </c>
      <c r="H1729">
        <v>1663107690</v>
      </c>
      <c r="I1729">
        <v>1663107690</v>
      </c>
      <c r="J1729">
        <v>-1.0387E-2</v>
      </c>
      <c r="K1729">
        <v>-1.0387E-2</v>
      </c>
      <c r="M1729" t="s">
        <v>3</v>
      </c>
      <c r="N1729">
        <v>5750</v>
      </c>
      <c r="O1729">
        <v>8</v>
      </c>
      <c r="P1729">
        <v>7</v>
      </c>
      <c r="Q1729">
        <v>0</v>
      </c>
      <c r="R1729">
        <v>212173554</v>
      </c>
      <c r="S1729">
        <v>232540.75</v>
      </c>
      <c r="T1729">
        <v>211941013.25</v>
      </c>
      <c r="U1729">
        <v>211941013.25</v>
      </c>
      <c r="V1729">
        <v>0</v>
      </c>
      <c r="W1729">
        <v>0</v>
      </c>
    </row>
    <row r="1730" spans="1:23" x14ac:dyDescent="0.35">
      <c r="A1730" t="s">
        <v>0</v>
      </c>
      <c r="B1730">
        <v>4000</v>
      </c>
      <c r="C1730">
        <v>5</v>
      </c>
      <c r="D1730">
        <v>13288</v>
      </c>
      <c r="E1730">
        <v>0</v>
      </c>
      <c r="F1730">
        <v>461942600000</v>
      </c>
      <c r="G1730">
        <v>674587915.05999994</v>
      </c>
      <c r="H1730">
        <v>461153808686</v>
      </c>
      <c r="I1730">
        <v>461225102928.52002</v>
      </c>
      <c r="J1730">
        <v>2.9629999999999999E-3</v>
      </c>
      <c r="K1730">
        <v>1.114E-3</v>
      </c>
      <c r="M1730" t="s">
        <v>1</v>
      </c>
      <c r="N1730">
        <v>4000</v>
      </c>
      <c r="O1730">
        <v>8</v>
      </c>
      <c r="P1730">
        <v>493</v>
      </c>
      <c r="Q1730">
        <v>0</v>
      </c>
      <c r="R1730">
        <v>19110220458</v>
      </c>
      <c r="S1730">
        <v>28697617.399999999</v>
      </c>
      <c r="T1730">
        <v>19081204418.869999</v>
      </c>
      <c r="U1730">
        <v>19081522840.599998</v>
      </c>
      <c r="V1730">
        <v>2.0000000000000001E-4</v>
      </c>
      <c r="W1730">
        <v>0</v>
      </c>
    </row>
    <row r="1731" spans="1:23" x14ac:dyDescent="0.35">
      <c r="A1731" t="s">
        <v>2</v>
      </c>
      <c r="B1731">
        <v>7750</v>
      </c>
      <c r="C1731">
        <v>6</v>
      </c>
      <c r="D1731">
        <v>10</v>
      </c>
      <c r="E1731">
        <v>0</v>
      </c>
      <c r="F1731">
        <v>142669118</v>
      </c>
      <c r="G1731">
        <v>106204.98</v>
      </c>
      <c r="H1731">
        <v>142594953</v>
      </c>
      <c r="I1731">
        <v>142594953</v>
      </c>
      <c r="J1731">
        <v>-2.6979999999999999E-3</v>
      </c>
      <c r="K1731">
        <v>-2.6979999999999999E-3</v>
      </c>
      <c r="M1731" t="s">
        <v>0</v>
      </c>
      <c r="N1731">
        <v>4000</v>
      </c>
      <c r="O1731">
        <v>8</v>
      </c>
      <c r="P1731">
        <v>1866</v>
      </c>
      <c r="Q1731">
        <v>0</v>
      </c>
      <c r="R1731">
        <v>65096111936</v>
      </c>
      <c r="S1731">
        <v>97688723.859999999</v>
      </c>
      <c r="T1731">
        <v>64998423212.139999</v>
      </c>
      <c r="U1731">
        <v>64998423212.139999</v>
      </c>
      <c r="V1731">
        <v>0</v>
      </c>
      <c r="W1731">
        <v>0</v>
      </c>
    </row>
    <row r="1732" spans="1:23" x14ac:dyDescent="0.35">
      <c r="A1732" t="s">
        <v>1</v>
      </c>
      <c r="B1732">
        <v>7750</v>
      </c>
      <c r="C1732">
        <v>5</v>
      </c>
      <c r="D1732">
        <v>1332</v>
      </c>
      <c r="E1732">
        <v>0</v>
      </c>
      <c r="F1732">
        <v>40520700000</v>
      </c>
      <c r="G1732">
        <v>29550148.420000002</v>
      </c>
      <c r="H1732">
        <v>40479795682</v>
      </c>
      <c r="I1732">
        <v>40491287240.269997</v>
      </c>
      <c r="J1732">
        <v>3.3570000000000002E-3</v>
      </c>
      <c r="K1732">
        <v>-4.1E-5</v>
      </c>
      <c r="M1732" t="s">
        <v>3</v>
      </c>
      <c r="N1732">
        <v>6500</v>
      </c>
      <c r="O1732">
        <v>5</v>
      </c>
      <c r="P1732">
        <v>102</v>
      </c>
      <c r="Q1732">
        <v>0</v>
      </c>
      <c r="R1732">
        <v>2846700000</v>
      </c>
      <c r="S1732">
        <v>2662614.77</v>
      </c>
      <c r="T1732">
        <v>2844037385.23</v>
      </c>
      <c r="U1732">
        <v>2844037385.23</v>
      </c>
      <c r="V1732">
        <v>0</v>
      </c>
      <c r="W1732">
        <v>0</v>
      </c>
    </row>
    <row r="1733" spans="1:23" x14ac:dyDescent="0.35">
      <c r="A1733" t="s">
        <v>0</v>
      </c>
      <c r="B1733">
        <v>8500</v>
      </c>
      <c r="C1733">
        <v>6</v>
      </c>
      <c r="D1733">
        <v>2</v>
      </c>
      <c r="E1733">
        <v>0</v>
      </c>
      <c r="F1733">
        <v>53211789</v>
      </c>
      <c r="G1733">
        <v>34614.82</v>
      </c>
      <c r="H1733">
        <v>53177174</v>
      </c>
      <c r="I1733">
        <v>53177174</v>
      </c>
      <c r="J1733">
        <v>0</v>
      </c>
      <c r="K1733">
        <v>0</v>
      </c>
      <c r="M1733" t="s">
        <v>3</v>
      </c>
      <c r="N1733">
        <v>7000</v>
      </c>
      <c r="O1733">
        <v>6</v>
      </c>
      <c r="P1733">
        <v>3</v>
      </c>
      <c r="Q1733">
        <v>0</v>
      </c>
      <c r="R1733">
        <v>89404479</v>
      </c>
      <c r="S1733">
        <v>77483.710000000006</v>
      </c>
      <c r="T1733">
        <v>89326995.290000007</v>
      </c>
      <c r="U1733">
        <v>89326995.290000007</v>
      </c>
      <c r="V1733">
        <v>0</v>
      </c>
      <c r="W1733">
        <v>0</v>
      </c>
    </row>
    <row r="1734" spans="1:23" x14ac:dyDescent="0.35">
      <c r="A1734" t="s">
        <v>0</v>
      </c>
      <c r="B1734">
        <v>9000</v>
      </c>
      <c r="C1734">
        <v>6</v>
      </c>
      <c r="D1734">
        <v>3</v>
      </c>
      <c r="E1734">
        <v>0</v>
      </c>
      <c r="F1734">
        <v>123856136</v>
      </c>
      <c r="G1734">
        <v>74696.639999999999</v>
      </c>
      <c r="H1734">
        <v>123781439</v>
      </c>
      <c r="I1734">
        <v>123781439</v>
      </c>
      <c r="J1734">
        <v>0</v>
      </c>
      <c r="K1734">
        <v>0</v>
      </c>
      <c r="M1734" t="s">
        <v>1</v>
      </c>
      <c r="N1734">
        <v>4500</v>
      </c>
      <c r="O1734">
        <v>6</v>
      </c>
      <c r="P1734">
        <v>220</v>
      </c>
      <c r="Q1734">
        <v>0</v>
      </c>
      <c r="R1734">
        <v>7904830379</v>
      </c>
      <c r="S1734">
        <v>10777336.050000001</v>
      </c>
      <c r="T1734">
        <v>7894053042.9499998</v>
      </c>
      <c r="U1734">
        <v>7894053042.9499998</v>
      </c>
      <c r="V1734">
        <v>0</v>
      </c>
      <c r="W1734">
        <v>0</v>
      </c>
    </row>
    <row r="1735" spans="1:23" x14ac:dyDescent="0.35">
      <c r="A1735" t="s">
        <v>0</v>
      </c>
      <c r="B1735">
        <v>8500</v>
      </c>
      <c r="C1735">
        <v>5</v>
      </c>
      <c r="D1735">
        <v>6</v>
      </c>
      <c r="E1735">
        <v>0</v>
      </c>
      <c r="F1735">
        <v>249900000</v>
      </c>
      <c r="G1735">
        <v>157521.25</v>
      </c>
      <c r="H1735">
        <v>249900000</v>
      </c>
      <c r="I1735">
        <v>249900000</v>
      </c>
      <c r="J1735">
        <v>-7.5900000000000004E-3</v>
      </c>
      <c r="K1735">
        <v>-7.5900000000000004E-3</v>
      </c>
      <c r="M1735" t="s">
        <v>0</v>
      </c>
      <c r="N1735">
        <v>8250</v>
      </c>
      <c r="O1735">
        <v>6</v>
      </c>
      <c r="P1735">
        <v>146</v>
      </c>
      <c r="Q1735">
        <v>0</v>
      </c>
      <c r="R1735">
        <v>4142353861</v>
      </c>
      <c r="S1735">
        <v>2783657.27</v>
      </c>
      <c r="T1735">
        <v>3996297987.0300002</v>
      </c>
      <c r="U1735">
        <v>4139570203.73</v>
      </c>
      <c r="V1735">
        <v>0.344524</v>
      </c>
      <c r="W1735">
        <v>0</v>
      </c>
    </row>
    <row r="1736" spans="1:23" x14ac:dyDescent="0.35">
      <c r="A1736" t="s">
        <v>0</v>
      </c>
      <c r="B1736">
        <v>9000</v>
      </c>
      <c r="C1736">
        <v>5</v>
      </c>
      <c r="D1736">
        <v>16</v>
      </c>
      <c r="E1736">
        <v>0</v>
      </c>
      <c r="F1736">
        <v>588500000</v>
      </c>
      <c r="G1736">
        <v>343833.74</v>
      </c>
      <c r="H1736">
        <v>588500000</v>
      </c>
      <c r="I1736">
        <v>588500000</v>
      </c>
      <c r="J1736">
        <v>-7.0340000000000003E-3</v>
      </c>
      <c r="K1736">
        <v>-7.0340000000000003E-3</v>
      </c>
      <c r="M1736" t="s">
        <v>3</v>
      </c>
      <c r="N1736">
        <v>5750</v>
      </c>
      <c r="O1736">
        <v>7</v>
      </c>
      <c r="P1736">
        <v>5</v>
      </c>
      <c r="Q1736">
        <v>0</v>
      </c>
      <c r="R1736">
        <v>120098482</v>
      </c>
      <c r="S1736">
        <v>130625.49</v>
      </c>
      <c r="T1736">
        <v>119967856.51000001</v>
      </c>
      <c r="U1736">
        <v>119967856.51000001</v>
      </c>
      <c r="V1736">
        <v>0</v>
      </c>
      <c r="W1736">
        <v>0</v>
      </c>
    </row>
    <row r="1737" spans="1:23" x14ac:dyDescent="0.35">
      <c r="A1737" t="s">
        <v>0</v>
      </c>
      <c r="B1737">
        <v>8500</v>
      </c>
      <c r="C1737">
        <v>7</v>
      </c>
      <c r="D1737">
        <v>4</v>
      </c>
      <c r="E1737">
        <v>0</v>
      </c>
      <c r="F1737">
        <v>172673206</v>
      </c>
      <c r="G1737">
        <v>112673.4</v>
      </c>
      <c r="H1737">
        <v>172560532</v>
      </c>
      <c r="I1737">
        <v>172560532</v>
      </c>
      <c r="J1737">
        <v>0</v>
      </c>
      <c r="K1737">
        <v>0</v>
      </c>
      <c r="M1737" t="s">
        <v>3</v>
      </c>
      <c r="N1737">
        <v>6000</v>
      </c>
      <c r="O1737">
        <v>5</v>
      </c>
      <c r="P1737">
        <v>129</v>
      </c>
      <c r="Q1737">
        <v>0</v>
      </c>
      <c r="R1737">
        <v>3753400000</v>
      </c>
      <c r="S1737">
        <v>3814768.62</v>
      </c>
      <c r="T1737">
        <v>3749585231.3800001</v>
      </c>
      <c r="U1737">
        <v>3749585231.3800001</v>
      </c>
      <c r="V1737">
        <v>0</v>
      </c>
      <c r="W1737">
        <v>0</v>
      </c>
    </row>
    <row r="1738" spans="1:23" x14ac:dyDescent="0.35">
      <c r="A1738" t="s">
        <v>0</v>
      </c>
      <c r="B1738">
        <v>9000</v>
      </c>
      <c r="C1738">
        <v>7</v>
      </c>
      <c r="D1738">
        <v>1</v>
      </c>
      <c r="E1738">
        <v>0</v>
      </c>
      <c r="F1738">
        <v>19556860</v>
      </c>
      <c r="G1738">
        <v>11887.76</v>
      </c>
      <c r="H1738">
        <v>19544972</v>
      </c>
      <c r="I1738">
        <v>19544972</v>
      </c>
      <c r="J1738">
        <v>0</v>
      </c>
      <c r="K1738">
        <v>0</v>
      </c>
      <c r="M1738" t="s">
        <v>3</v>
      </c>
      <c r="N1738">
        <v>5750</v>
      </c>
      <c r="O1738">
        <v>6</v>
      </c>
      <c r="P1738">
        <v>2</v>
      </c>
      <c r="Q1738">
        <v>0</v>
      </c>
      <c r="R1738">
        <v>41377282</v>
      </c>
      <c r="S1738">
        <v>44741.08</v>
      </c>
      <c r="T1738">
        <v>41332540.920000002</v>
      </c>
      <c r="U1738">
        <v>41332540.920000002</v>
      </c>
      <c r="V1738">
        <v>0</v>
      </c>
      <c r="W1738">
        <v>0</v>
      </c>
    </row>
    <row r="1739" spans="1:23" x14ac:dyDescent="0.35">
      <c r="A1739" t="s">
        <v>1</v>
      </c>
      <c r="B1739">
        <v>8250</v>
      </c>
      <c r="C1739">
        <v>7</v>
      </c>
      <c r="D1739">
        <v>16</v>
      </c>
      <c r="E1739">
        <v>0</v>
      </c>
      <c r="F1739">
        <v>441132852</v>
      </c>
      <c r="G1739">
        <v>324109.93</v>
      </c>
      <c r="H1739">
        <v>0</v>
      </c>
      <c r="I1739">
        <v>440808742.06999999</v>
      </c>
      <c r="J1739">
        <v>1</v>
      </c>
      <c r="K1739">
        <v>0</v>
      </c>
      <c r="M1739" t="s">
        <v>1</v>
      </c>
      <c r="N1739">
        <v>4250</v>
      </c>
      <c r="O1739">
        <v>8</v>
      </c>
      <c r="P1739">
        <v>171</v>
      </c>
      <c r="Q1739">
        <v>0</v>
      </c>
      <c r="R1739">
        <v>6478749579</v>
      </c>
      <c r="S1739">
        <v>9321165.7400000002</v>
      </c>
      <c r="T1739">
        <v>6469428413.2600002</v>
      </c>
      <c r="U1739">
        <v>6469428413.2600002</v>
      </c>
      <c r="V1739">
        <v>0</v>
      </c>
      <c r="W1739">
        <v>0</v>
      </c>
    </row>
    <row r="1740" spans="1:23" x14ac:dyDescent="0.35">
      <c r="A1740" t="s">
        <v>1</v>
      </c>
      <c r="B1740">
        <v>8000</v>
      </c>
      <c r="C1740">
        <v>7</v>
      </c>
      <c r="D1740">
        <v>13</v>
      </c>
      <c r="E1740">
        <v>0</v>
      </c>
      <c r="F1740">
        <v>328447492</v>
      </c>
      <c r="G1740">
        <v>239371.68</v>
      </c>
      <c r="H1740">
        <v>42195762</v>
      </c>
      <c r="I1740">
        <v>328163118.63999999</v>
      </c>
      <c r="J1740">
        <v>1</v>
      </c>
      <c r="K1740">
        <v>1.6429999999999999E-3</v>
      </c>
      <c r="M1740" t="s">
        <v>0</v>
      </c>
      <c r="N1740">
        <v>4250</v>
      </c>
      <c r="O1740">
        <v>8</v>
      </c>
      <c r="P1740">
        <v>540</v>
      </c>
      <c r="Q1740">
        <v>0</v>
      </c>
      <c r="R1740">
        <v>17105247797</v>
      </c>
      <c r="S1740">
        <v>24572186.289999999</v>
      </c>
      <c r="T1740">
        <v>17080675610.709999</v>
      </c>
      <c r="U1740">
        <v>17080675610.709999</v>
      </c>
      <c r="V1740">
        <v>0</v>
      </c>
      <c r="W1740">
        <v>0</v>
      </c>
    </row>
    <row r="1741" spans="1:23" x14ac:dyDescent="0.35">
      <c r="A1741" t="s">
        <v>1</v>
      </c>
      <c r="B1741">
        <v>8000</v>
      </c>
      <c r="C1741">
        <v>6</v>
      </c>
      <c r="D1741">
        <v>15</v>
      </c>
      <c r="E1741">
        <v>0</v>
      </c>
      <c r="F1741">
        <v>470141820</v>
      </c>
      <c r="G1741">
        <v>335965.91</v>
      </c>
      <c r="H1741">
        <v>469808786</v>
      </c>
      <c r="I1741">
        <v>469808786</v>
      </c>
      <c r="J1741">
        <v>-7.4999999999999993E-5</v>
      </c>
      <c r="K1741">
        <v>-7.4999999999999993E-5</v>
      </c>
      <c r="M1741" t="s">
        <v>3</v>
      </c>
      <c r="N1741">
        <v>7250</v>
      </c>
      <c r="O1741">
        <v>8</v>
      </c>
      <c r="P1741">
        <v>1</v>
      </c>
      <c r="Q1741">
        <v>0</v>
      </c>
      <c r="R1741">
        <v>19584050</v>
      </c>
      <c r="S1741">
        <v>16134.5</v>
      </c>
      <c r="T1741">
        <v>19567915.5</v>
      </c>
      <c r="U1741">
        <v>19567915.5</v>
      </c>
      <c r="V1741">
        <v>0</v>
      </c>
      <c r="W1741">
        <v>0</v>
      </c>
    </row>
    <row r="1742" spans="1:23" x14ac:dyDescent="0.35">
      <c r="A1742" t="s">
        <v>1</v>
      </c>
      <c r="B1742">
        <v>8250</v>
      </c>
      <c r="C1742">
        <v>6</v>
      </c>
      <c r="D1742">
        <v>10</v>
      </c>
      <c r="E1742">
        <v>0</v>
      </c>
      <c r="F1742">
        <v>332686898</v>
      </c>
      <c r="G1742">
        <v>232937.74</v>
      </c>
      <c r="H1742">
        <v>332497865</v>
      </c>
      <c r="I1742">
        <v>332497865</v>
      </c>
      <c r="J1742">
        <v>-1.585E-3</v>
      </c>
      <c r="K1742">
        <v>-1.585E-3</v>
      </c>
      <c r="M1742" t="s">
        <v>2</v>
      </c>
      <c r="N1742">
        <v>3500</v>
      </c>
      <c r="O1742">
        <v>7</v>
      </c>
      <c r="P1742">
        <v>6</v>
      </c>
      <c r="Q1742">
        <v>0</v>
      </c>
      <c r="R1742">
        <v>88927737</v>
      </c>
      <c r="S1742">
        <v>146141.51999999999</v>
      </c>
      <c r="T1742">
        <v>88781595.480000004</v>
      </c>
      <c r="U1742">
        <v>88781595.480000004</v>
      </c>
      <c r="V1742">
        <v>0</v>
      </c>
      <c r="W1742">
        <v>0</v>
      </c>
    </row>
    <row r="1743" spans="1:23" x14ac:dyDescent="0.35">
      <c r="A1743" t="s">
        <v>1</v>
      </c>
      <c r="B1743">
        <v>7500</v>
      </c>
      <c r="C1743">
        <v>5</v>
      </c>
      <c r="D1743">
        <v>321</v>
      </c>
      <c r="E1743">
        <v>0</v>
      </c>
      <c r="F1743">
        <v>10224900000</v>
      </c>
      <c r="G1743">
        <v>7945494.5199999996</v>
      </c>
      <c r="H1743">
        <v>10185843137</v>
      </c>
      <c r="I1743">
        <v>10185843137</v>
      </c>
      <c r="J1743">
        <v>3.5908000000000002E-2</v>
      </c>
      <c r="K1743">
        <v>3.5908000000000002E-2</v>
      </c>
      <c r="M1743" t="s">
        <v>3</v>
      </c>
      <c r="N1743">
        <v>5500</v>
      </c>
      <c r="O1743">
        <v>5</v>
      </c>
      <c r="P1743">
        <v>47</v>
      </c>
      <c r="Q1743">
        <v>0</v>
      </c>
      <c r="R1743">
        <v>1469400000</v>
      </c>
      <c r="S1743">
        <v>1637648.68</v>
      </c>
      <c r="T1743">
        <v>1467762351.3199999</v>
      </c>
      <c r="U1743">
        <v>1467762351.3199999</v>
      </c>
      <c r="V1743">
        <v>0</v>
      </c>
      <c r="W1743">
        <v>0</v>
      </c>
    </row>
    <row r="1744" spans="1:23" x14ac:dyDescent="0.35">
      <c r="A1744" t="s">
        <v>2</v>
      </c>
      <c r="B1744">
        <v>7500</v>
      </c>
      <c r="C1744">
        <v>6</v>
      </c>
      <c r="D1744">
        <v>21</v>
      </c>
      <c r="E1744">
        <v>0</v>
      </c>
      <c r="F1744">
        <v>353430754</v>
      </c>
      <c r="G1744">
        <v>278407.8</v>
      </c>
      <c r="H1744">
        <v>353117426</v>
      </c>
      <c r="I1744">
        <v>353117426</v>
      </c>
      <c r="J1744">
        <v>1.1850000000000001E-3</v>
      </c>
      <c r="K1744">
        <v>1.1850000000000001E-3</v>
      </c>
      <c r="M1744" t="s">
        <v>3</v>
      </c>
      <c r="N1744">
        <v>7250</v>
      </c>
      <c r="O1744">
        <v>7</v>
      </c>
      <c r="P1744">
        <v>2</v>
      </c>
      <c r="Q1744">
        <v>0</v>
      </c>
      <c r="R1744">
        <v>38489719</v>
      </c>
      <c r="S1744">
        <v>32265.82</v>
      </c>
      <c r="T1744">
        <v>38457453.18</v>
      </c>
      <c r="U1744">
        <v>38457453.18</v>
      </c>
      <c r="V1744">
        <v>0</v>
      </c>
      <c r="W1744">
        <v>0</v>
      </c>
    </row>
    <row r="1745" spans="1:23" x14ac:dyDescent="0.35">
      <c r="A1745" t="s">
        <v>3</v>
      </c>
      <c r="B1745">
        <v>7750</v>
      </c>
      <c r="C1745">
        <v>7</v>
      </c>
      <c r="D1745">
        <v>1</v>
      </c>
      <c r="E1745">
        <v>0</v>
      </c>
      <c r="F1745">
        <v>37156429</v>
      </c>
      <c r="G1745">
        <v>28257.87</v>
      </c>
      <c r="H1745">
        <v>37128171</v>
      </c>
      <c r="I1745">
        <v>37128171</v>
      </c>
      <c r="J1745">
        <v>0</v>
      </c>
      <c r="K1745">
        <v>0</v>
      </c>
      <c r="M1745" t="s">
        <v>1</v>
      </c>
      <c r="N1745">
        <v>7750</v>
      </c>
      <c r="O1745">
        <v>5</v>
      </c>
      <c r="P1745">
        <v>1738</v>
      </c>
      <c r="Q1745">
        <v>0</v>
      </c>
      <c r="R1745">
        <v>53846600000</v>
      </c>
      <c r="S1745">
        <v>39233962.420000002</v>
      </c>
      <c r="T1745">
        <v>53592632540.970001</v>
      </c>
      <c r="U1745">
        <v>53763903341.57</v>
      </c>
      <c r="V1745">
        <v>4.6819E-2</v>
      </c>
      <c r="W1745">
        <v>9.6430000000000005E-3</v>
      </c>
    </row>
    <row r="1746" spans="1:23" x14ac:dyDescent="0.35">
      <c r="A1746" t="s">
        <v>3</v>
      </c>
      <c r="B1746">
        <v>7000</v>
      </c>
      <c r="C1746">
        <v>5</v>
      </c>
      <c r="D1746">
        <v>4</v>
      </c>
      <c r="E1746">
        <v>0</v>
      </c>
      <c r="F1746">
        <v>113700000</v>
      </c>
      <c r="G1746">
        <v>94855.679999999993</v>
      </c>
      <c r="H1746">
        <v>113652489</v>
      </c>
      <c r="I1746">
        <v>113652489</v>
      </c>
      <c r="J1746">
        <v>-5.0080000000000003E-3</v>
      </c>
      <c r="K1746">
        <v>-5.0080000000000003E-3</v>
      </c>
      <c r="M1746" t="s">
        <v>0</v>
      </c>
      <c r="N1746">
        <v>4500</v>
      </c>
      <c r="O1746">
        <v>5</v>
      </c>
      <c r="P1746">
        <v>3034</v>
      </c>
      <c r="Q1746">
        <v>0</v>
      </c>
      <c r="R1746">
        <v>105730500000</v>
      </c>
      <c r="S1746">
        <v>141716300.97999999</v>
      </c>
      <c r="T1746">
        <v>105588783699.02</v>
      </c>
      <c r="U1746">
        <v>105588783699.02</v>
      </c>
      <c r="V1746">
        <v>0</v>
      </c>
      <c r="W1746">
        <v>0</v>
      </c>
    </row>
    <row r="1747" spans="1:23" x14ac:dyDescent="0.35">
      <c r="A1747" t="s">
        <v>3</v>
      </c>
      <c r="B1747">
        <v>6500</v>
      </c>
      <c r="C1747">
        <v>5</v>
      </c>
      <c r="D1747">
        <v>73</v>
      </c>
      <c r="E1747">
        <v>0</v>
      </c>
      <c r="F1747">
        <v>2013000000</v>
      </c>
      <c r="G1747">
        <v>1876797.95</v>
      </c>
      <c r="H1747">
        <v>2010450212</v>
      </c>
      <c r="I1747">
        <v>2010450212</v>
      </c>
      <c r="J1747">
        <v>4.0039999999999997E-3</v>
      </c>
      <c r="K1747">
        <v>4.0039999999999997E-3</v>
      </c>
      <c r="M1747" t="s">
        <v>2</v>
      </c>
      <c r="N1747">
        <v>4250</v>
      </c>
      <c r="O1747">
        <v>5</v>
      </c>
      <c r="P1747">
        <v>58</v>
      </c>
      <c r="Q1747">
        <v>0</v>
      </c>
      <c r="R1747">
        <v>1610900000</v>
      </c>
      <c r="S1747">
        <v>2264166.38</v>
      </c>
      <c r="T1747">
        <v>1608635833.6199999</v>
      </c>
      <c r="U1747">
        <v>1608635833.6199999</v>
      </c>
      <c r="V1747">
        <v>0</v>
      </c>
      <c r="W1747">
        <v>0</v>
      </c>
    </row>
    <row r="1748" spans="1:23" x14ac:dyDescent="0.35">
      <c r="A1748" t="s">
        <v>2</v>
      </c>
      <c r="B1748">
        <v>7750</v>
      </c>
      <c r="C1748">
        <v>5</v>
      </c>
      <c r="D1748">
        <v>32</v>
      </c>
      <c r="E1748">
        <v>0</v>
      </c>
      <c r="F1748">
        <v>465700000</v>
      </c>
      <c r="G1748">
        <v>339550.76</v>
      </c>
      <c r="H1748">
        <v>465341013</v>
      </c>
      <c r="I1748">
        <v>465341013</v>
      </c>
      <c r="J1748">
        <v>5.0100000000000003E-4</v>
      </c>
      <c r="K1748">
        <v>5.0100000000000003E-4</v>
      </c>
      <c r="M1748" t="s">
        <v>0</v>
      </c>
      <c r="N1748">
        <v>4000</v>
      </c>
      <c r="O1748">
        <v>5</v>
      </c>
      <c r="P1748">
        <v>12333</v>
      </c>
      <c r="Q1748">
        <v>0</v>
      </c>
      <c r="R1748">
        <v>427811700000</v>
      </c>
      <c r="S1748">
        <v>625323916.13</v>
      </c>
      <c r="T1748">
        <v>427058962089.06</v>
      </c>
      <c r="U1748">
        <v>427186376083.87</v>
      </c>
      <c r="V1748">
        <v>3.568E-3</v>
      </c>
      <c r="W1748">
        <v>0</v>
      </c>
    </row>
    <row r="1749" spans="1:23" x14ac:dyDescent="0.35">
      <c r="A1749" t="s">
        <v>0</v>
      </c>
      <c r="B1749">
        <v>4000</v>
      </c>
      <c r="C1749">
        <v>10</v>
      </c>
      <c r="D1749">
        <v>1047</v>
      </c>
      <c r="E1749">
        <v>0</v>
      </c>
      <c r="F1749">
        <v>37330174086</v>
      </c>
      <c r="G1749">
        <v>56539980.590000004</v>
      </c>
      <c r="H1749">
        <v>37207985105</v>
      </c>
      <c r="I1749">
        <v>37268267643.110001</v>
      </c>
      <c r="J1749">
        <v>2.0899999999999998E-2</v>
      </c>
      <c r="K1749">
        <v>1.7240000000000001E-3</v>
      </c>
      <c r="M1749" t="s">
        <v>2</v>
      </c>
      <c r="N1749">
        <v>7750</v>
      </c>
      <c r="O1749">
        <v>5</v>
      </c>
      <c r="P1749">
        <v>39</v>
      </c>
      <c r="Q1749">
        <v>0</v>
      </c>
      <c r="R1749">
        <v>565100000</v>
      </c>
      <c r="S1749">
        <v>412557.7</v>
      </c>
      <c r="T1749">
        <v>564687442.29999995</v>
      </c>
      <c r="U1749">
        <v>564687442.29999995</v>
      </c>
      <c r="V1749">
        <v>0</v>
      </c>
      <c r="W1749">
        <v>0</v>
      </c>
    </row>
    <row r="1750" spans="1:23" x14ac:dyDescent="0.35">
      <c r="A1750" t="s">
        <v>1</v>
      </c>
      <c r="B1750">
        <v>4000</v>
      </c>
      <c r="C1750">
        <v>8</v>
      </c>
      <c r="D1750">
        <v>632</v>
      </c>
      <c r="E1750">
        <v>0</v>
      </c>
      <c r="F1750">
        <v>23943868044</v>
      </c>
      <c r="G1750">
        <v>35947009.770000003</v>
      </c>
      <c r="H1750">
        <v>23845742574</v>
      </c>
      <c r="I1750">
        <v>23845742574</v>
      </c>
      <c r="J1750">
        <v>3.0720999999999998E-2</v>
      </c>
      <c r="K1750">
        <v>3.0720999999999998E-2</v>
      </c>
      <c r="M1750" t="s">
        <v>0</v>
      </c>
      <c r="N1750">
        <v>8500</v>
      </c>
      <c r="O1750">
        <v>5</v>
      </c>
      <c r="P1750">
        <v>7</v>
      </c>
      <c r="Q1750">
        <v>0</v>
      </c>
      <c r="R1750">
        <v>211400000</v>
      </c>
      <c r="S1750">
        <v>134112.9</v>
      </c>
      <c r="T1750">
        <v>211265887.09999999</v>
      </c>
      <c r="U1750">
        <v>211265887.09999999</v>
      </c>
      <c r="V1750">
        <v>0</v>
      </c>
      <c r="W1750">
        <v>0</v>
      </c>
    </row>
    <row r="1751" spans="1:23" x14ac:dyDescent="0.35">
      <c r="A1751" t="s">
        <v>3</v>
      </c>
      <c r="B1751">
        <v>5250</v>
      </c>
      <c r="C1751">
        <v>5</v>
      </c>
      <c r="D1751">
        <v>25</v>
      </c>
      <c r="E1751">
        <v>0</v>
      </c>
      <c r="F1751">
        <v>781100000</v>
      </c>
      <c r="G1751">
        <v>907257.04</v>
      </c>
      <c r="H1751">
        <v>780790452</v>
      </c>
      <c r="I1751">
        <v>780790452</v>
      </c>
      <c r="J1751">
        <v>-9.221E-3</v>
      </c>
      <c r="K1751">
        <v>-9.221E-3</v>
      </c>
      <c r="M1751" t="s">
        <v>0</v>
      </c>
      <c r="N1751">
        <v>9000</v>
      </c>
      <c r="O1751">
        <v>5</v>
      </c>
      <c r="P1751">
        <v>13</v>
      </c>
      <c r="Q1751">
        <v>0</v>
      </c>
      <c r="R1751">
        <v>467100000</v>
      </c>
      <c r="S1751">
        <v>274770.7</v>
      </c>
      <c r="T1751">
        <v>466825229.30000001</v>
      </c>
      <c r="U1751">
        <v>466825229.30000001</v>
      </c>
      <c r="V1751">
        <v>0</v>
      </c>
      <c r="W1751">
        <v>0</v>
      </c>
    </row>
    <row r="1752" spans="1:23" x14ac:dyDescent="0.35">
      <c r="A1752" t="s">
        <v>3</v>
      </c>
      <c r="B1752">
        <v>7750</v>
      </c>
      <c r="C1752">
        <v>8</v>
      </c>
      <c r="D1752">
        <v>1</v>
      </c>
      <c r="E1752">
        <v>0</v>
      </c>
      <c r="F1752">
        <v>34800000</v>
      </c>
      <c r="G1752">
        <v>26654.22</v>
      </c>
      <c r="H1752">
        <v>34717229</v>
      </c>
      <c r="I1752">
        <v>34717229</v>
      </c>
      <c r="J1752">
        <v>1.9179999999999999E-2</v>
      </c>
      <c r="K1752">
        <v>1.9179999999999999E-2</v>
      </c>
      <c r="M1752" t="s">
        <v>0</v>
      </c>
      <c r="N1752">
        <v>8500</v>
      </c>
      <c r="O1752">
        <v>6</v>
      </c>
      <c r="P1752">
        <v>4</v>
      </c>
      <c r="Q1752">
        <v>0</v>
      </c>
      <c r="R1752">
        <v>172785096</v>
      </c>
      <c r="S1752">
        <v>111890.42</v>
      </c>
      <c r="T1752">
        <v>172673205.58000001</v>
      </c>
      <c r="U1752">
        <v>172673205.58000001</v>
      </c>
      <c r="V1752">
        <v>0</v>
      </c>
      <c r="W1752">
        <v>0</v>
      </c>
    </row>
    <row r="1753" spans="1:23" x14ac:dyDescent="0.35">
      <c r="A1753" t="s">
        <v>1</v>
      </c>
      <c r="B1753">
        <v>3750</v>
      </c>
      <c r="C1753">
        <v>5</v>
      </c>
      <c r="D1753">
        <v>336</v>
      </c>
      <c r="E1753">
        <v>0</v>
      </c>
      <c r="F1753">
        <v>14010900000</v>
      </c>
      <c r="G1753">
        <v>21361989.16</v>
      </c>
      <c r="H1753">
        <v>13997788369</v>
      </c>
      <c r="I1753">
        <v>13997788369</v>
      </c>
      <c r="J1753">
        <v>-7.0889999999999998E-3</v>
      </c>
      <c r="K1753">
        <v>-7.0889999999999998E-3</v>
      </c>
      <c r="M1753" t="s">
        <v>0</v>
      </c>
      <c r="N1753">
        <v>9000</v>
      </c>
      <c r="O1753">
        <v>6</v>
      </c>
      <c r="P1753">
        <v>1</v>
      </c>
      <c r="Q1753">
        <v>0</v>
      </c>
      <c r="R1753">
        <v>19568662</v>
      </c>
      <c r="S1753">
        <v>11801.7</v>
      </c>
      <c r="T1753">
        <v>19556860.300000001</v>
      </c>
      <c r="U1753">
        <v>19556860.300000001</v>
      </c>
      <c r="V1753">
        <v>0</v>
      </c>
      <c r="W1753">
        <v>0</v>
      </c>
    </row>
    <row r="1754" spans="1:23" x14ac:dyDescent="0.35">
      <c r="A1754" t="s">
        <v>3</v>
      </c>
      <c r="B1754">
        <v>7000</v>
      </c>
      <c r="C1754">
        <v>6</v>
      </c>
      <c r="D1754">
        <v>3</v>
      </c>
      <c r="E1754">
        <v>0</v>
      </c>
      <c r="F1754">
        <v>81021443</v>
      </c>
      <c r="G1754">
        <v>69663.87</v>
      </c>
      <c r="H1754">
        <v>80977130</v>
      </c>
      <c r="I1754">
        <v>80977130</v>
      </c>
      <c r="J1754">
        <v>-3.761E-3</v>
      </c>
      <c r="K1754">
        <v>-3.761E-3</v>
      </c>
      <c r="M1754" t="s">
        <v>1</v>
      </c>
      <c r="N1754">
        <v>8250</v>
      </c>
      <c r="O1754">
        <v>6</v>
      </c>
      <c r="P1754">
        <v>17</v>
      </c>
      <c r="Q1754">
        <v>0</v>
      </c>
      <c r="R1754">
        <v>453513183</v>
      </c>
      <c r="S1754">
        <v>330168.36</v>
      </c>
      <c r="T1754">
        <v>440933397.85000002</v>
      </c>
      <c r="U1754">
        <v>440933397.85000002</v>
      </c>
      <c r="V1754">
        <v>0.280057</v>
      </c>
      <c r="W1754">
        <v>0.280057</v>
      </c>
    </row>
    <row r="1755" spans="1:23" x14ac:dyDescent="0.35">
      <c r="A1755" t="s">
        <v>0</v>
      </c>
      <c r="B1755">
        <v>4000</v>
      </c>
      <c r="C1755">
        <v>6</v>
      </c>
      <c r="D1755">
        <v>1809</v>
      </c>
      <c r="E1755">
        <v>0</v>
      </c>
      <c r="F1755">
        <v>61960551113</v>
      </c>
      <c r="G1755">
        <v>92100153.390000001</v>
      </c>
      <c r="H1755">
        <v>61792433479</v>
      </c>
      <c r="I1755">
        <v>61792433479</v>
      </c>
      <c r="J1755">
        <v>1.4623000000000001E-2</v>
      </c>
      <c r="K1755">
        <v>1.4623000000000001E-2</v>
      </c>
      <c r="M1755" t="s">
        <v>1</v>
      </c>
      <c r="N1755">
        <v>8000</v>
      </c>
      <c r="O1755">
        <v>6</v>
      </c>
      <c r="P1755">
        <v>13</v>
      </c>
      <c r="Q1755">
        <v>0</v>
      </c>
      <c r="R1755">
        <v>328665273</v>
      </c>
      <c r="S1755">
        <v>237779.39</v>
      </c>
      <c r="T1755">
        <v>328427493.61000001</v>
      </c>
      <c r="U1755">
        <v>328427493.61000001</v>
      </c>
      <c r="V1755">
        <v>0</v>
      </c>
      <c r="W1755">
        <v>0</v>
      </c>
    </row>
    <row r="1756" spans="1:23" x14ac:dyDescent="0.35">
      <c r="A1756" t="s">
        <v>0</v>
      </c>
      <c r="B1756">
        <v>4000</v>
      </c>
      <c r="C1756">
        <v>8</v>
      </c>
      <c r="D1756">
        <v>1727</v>
      </c>
      <c r="E1756">
        <v>0</v>
      </c>
      <c r="F1756">
        <v>62491860974</v>
      </c>
      <c r="G1756">
        <v>93744854.109999999</v>
      </c>
      <c r="H1756">
        <v>62382973842</v>
      </c>
      <c r="I1756">
        <v>62382973842</v>
      </c>
      <c r="J1756">
        <v>2.9039999999999999E-3</v>
      </c>
      <c r="K1756">
        <v>2.9039999999999999E-3</v>
      </c>
      <c r="M1756" t="s">
        <v>1</v>
      </c>
      <c r="N1756">
        <v>8000</v>
      </c>
      <c r="O1756">
        <v>5</v>
      </c>
      <c r="P1756">
        <v>27</v>
      </c>
      <c r="Q1756">
        <v>0</v>
      </c>
      <c r="R1756">
        <v>836700000</v>
      </c>
      <c r="S1756">
        <v>590643.87</v>
      </c>
      <c r="T1756">
        <v>836109356.13</v>
      </c>
      <c r="U1756">
        <v>836109356.13</v>
      </c>
      <c r="V1756">
        <v>0</v>
      </c>
      <c r="W1756">
        <v>0</v>
      </c>
    </row>
    <row r="1757" spans="1:23" x14ac:dyDescent="0.35">
      <c r="A1757" t="s">
        <v>0</v>
      </c>
      <c r="B1757">
        <v>4000</v>
      </c>
      <c r="C1757">
        <v>7</v>
      </c>
      <c r="D1757">
        <v>1429</v>
      </c>
      <c r="E1757">
        <v>0</v>
      </c>
      <c r="F1757">
        <v>49436106339</v>
      </c>
      <c r="G1757">
        <v>73809128.989999995</v>
      </c>
      <c r="H1757">
        <v>49347423816</v>
      </c>
      <c r="I1757">
        <v>49347423816</v>
      </c>
      <c r="J1757">
        <v>3.604E-3</v>
      </c>
      <c r="K1757">
        <v>3.604E-3</v>
      </c>
      <c r="M1757" t="s">
        <v>1</v>
      </c>
      <c r="N1757">
        <v>8250</v>
      </c>
      <c r="O1757">
        <v>5</v>
      </c>
      <c r="P1757">
        <v>18</v>
      </c>
      <c r="Q1757">
        <v>0</v>
      </c>
      <c r="R1757">
        <v>626700000</v>
      </c>
      <c r="S1757">
        <v>428689.77</v>
      </c>
      <c r="T1757">
        <v>626271310.23000002</v>
      </c>
      <c r="U1757">
        <v>626271310.23000002</v>
      </c>
      <c r="V1757">
        <v>0</v>
      </c>
      <c r="W1757">
        <v>0</v>
      </c>
    </row>
    <row r="1758" spans="1:23" x14ac:dyDescent="0.35">
      <c r="A1758" t="s">
        <v>0</v>
      </c>
      <c r="B1758">
        <v>4500</v>
      </c>
      <c r="C1758">
        <v>12</v>
      </c>
      <c r="D1758">
        <v>2002</v>
      </c>
      <c r="E1758">
        <v>0</v>
      </c>
      <c r="F1758">
        <v>64835720877</v>
      </c>
      <c r="G1758">
        <v>90780579.859999999</v>
      </c>
      <c r="H1758">
        <v>64722175685</v>
      </c>
      <c r="I1758">
        <v>64738975732.089996</v>
      </c>
      <c r="J1758">
        <v>4.2050000000000004E-3</v>
      </c>
      <c r="K1758">
        <v>1.103E-3</v>
      </c>
      <c r="M1758" t="s">
        <v>2</v>
      </c>
      <c r="N1758">
        <v>7500</v>
      </c>
      <c r="O1758">
        <v>5</v>
      </c>
      <c r="P1758">
        <v>33</v>
      </c>
      <c r="Q1758">
        <v>0</v>
      </c>
      <c r="R1758">
        <v>546500000</v>
      </c>
      <c r="S1758">
        <v>441076.32</v>
      </c>
      <c r="T1758">
        <v>546058923.67999995</v>
      </c>
      <c r="U1758">
        <v>546058923.67999995</v>
      </c>
      <c r="V1758">
        <v>0</v>
      </c>
      <c r="W1758">
        <v>0</v>
      </c>
    </row>
    <row r="1759" spans="1:23" x14ac:dyDescent="0.35">
      <c r="A1759" t="s">
        <v>2</v>
      </c>
      <c r="B1759">
        <v>3750</v>
      </c>
      <c r="C1759">
        <v>5</v>
      </c>
      <c r="D1759">
        <v>32</v>
      </c>
      <c r="E1759">
        <v>0</v>
      </c>
      <c r="F1759">
        <v>951800000</v>
      </c>
      <c r="G1759">
        <v>1463819.43</v>
      </c>
      <c r="H1759">
        <v>950918298</v>
      </c>
      <c r="I1759">
        <v>950918298</v>
      </c>
      <c r="J1759">
        <v>-7.3639999999999999E-3</v>
      </c>
      <c r="K1759">
        <v>-7.3639999999999999E-3</v>
      </c>
      <c r="M1759" t="s">
        <v>3</v>
      </c>
      <c r="N1759">
        <v>7750</v>
      </c>
      <c r="O1759">
        <v>6</v>
      </c>
      <c r="P1759">
        <v>1</v>
      </c>
      <c r="Q1759">
        <v>0</v>
      </c>
      <c r="R1759">
        <v>37184508</v>
      </c>
      <c r="S1759">
        <v>28079.45</v>
      </c>
      <c r="T1759">
        <v>37156428.549999997</v>
      </c>
      <c r="U1759">
        <v>37156428.549999997</v>
      </c>
      <c r="V1759">
        <v>0</v>
      </c>
      <c r="W1759">
        <v>0</v>
      </c>
    </row>
    <row r="1760" spans="1:23" x14ac:dyDescent="0.35">
      <c r="A1760" t="s">
        <v>2</v>
      </c>
      <c r="B1760">
        <v>7500</v>
      </c>
      <c r="C1760">
        <v>5</v>
      </c>
      <c r="D1760">
        <v>12</v>
      </c>
      <c r="E1760">
        <v>0</v>
      </c>
      <c r="F1760">
        <v>192500000</v>
      </c>
      <c r="G1760">
        <v>165216.60999999999</v>
      </c>
      <c r="H1760">
        <v>192462777</v>
      </c>
      <c r="I1760">
        <v>192462777</v>
      </c>
      <c r="J1760">
        <v>-8.0079999999999995E-3</v>
      </c>
      <c r="K1760">
        <v>-8.0079999999999995E-3</v>
      </c>
      <c r="M1760" t="s">
        <v>3</v>
      </c>
      <c r="N1760">
        <v>7000</v>
      </c>
      <c r="O1760">
        <v>5</v>
      </c>
      <c r="P1760">
        <v>6</v>
      </c>
      <c r="Q1760">
        <v>0</v>
      </c>
      <c r="R1760">
        <v>155600000</v>
      </c>
      <c r="S1760">
        <v>131588.04</v>
      </c>
      <c r="T1760">
        <v>155468411.96000001</v>
      </c>
      <c r="U1760">
        <v>155468411.96000001</v>
      </c>
      <c r="V1760">
        <v>0</v>
      </c>
      <c r="W1760">
        <v>0</v>
      </c>
    </row>
    <row r="1761" spans="1:23" x14ac:dyDescent="0.35">
      <c r="A1761" t="s">
        <v>1</v>
      </c>
      <c r="B1761">
        <v>4000</v>
      </c>
      <c r="C1761">
        <v>5</v>
      </c>
      <c r="D1761">
        <v>4782</v>
      </c>
      <c r="E1761">
        <v>0</v>
      </c>
      <c r="F1761">
        <v>178014900000</v>
      </c>
      <c r="G1761">
        <v>259861120.46000001</v>
      </c>
      <c r="H1761">
        <v>177673722359</v>
      </c>
      <c r="I1761">
        <v>177733234334.51001</v>
      </c>
      <c r="J1761">
        <v>5.4679999999999998E-3</v>
      </c>
      <c r="K1761">
        <v>1.469E-3</v>
      </c>
      <c r="M1761" t="s">
        <v>0</v>
      </c>
      <c r="N1761">
        <v>4000</v>
      </c>
      <c r="O1761">
        <v>9</v>
      </c>
      <c r="P1761">
        <v>1048</v>
      </c>
      <c r="Q1761">
        <v>0</v>
      </c>
      <c r="R1761">
        <v>37435803499</v>
      </c>
      <c r="S1761">
        <v>56426931.25</v>
      </c>
      <c r="T1761">
        <v>37330837136.129997</v>
      </c>
      <c r="U1761">
        <v>37379376567.75</v>
      </c>
      <c r="V1761">
        <v>1.5448999999999999E-2</v>
      </c>
      <c r="W1761">
        <v>0</v>
      </c>
    </row>
    <row r="1762" spans="1:23" x14ac:dyDescent="0.35">
      <c r="A1762" t="s">
        <v>1</v>
      </c>
      <c r="B1762">
        <v>8250</v>
      </c>
      <c r="C1762">
        <v>5</v>
      </c>
      <c r="D1762">
        <v>11</v>
      </c>
      <c r="E1762">
        <v>0</v>
      </c>
      <c r="F1762">
        <v>400600000</v>
      </c>
      <c r="G1762">
        <v>267118.49</v>
      </c>
      <c r="H1762">
        <v>399988558</v>
      </c>
      <c r="I1762">
        <v>399988558</v>
      </c>
      <c r="J1762">
        <v>1.0266000000000001E-2</v>
      </c>
      <c r="K1762">
        <v>1.0266000000000001E-2</v>
      </c>
      <c r="M1762" t="s">
        <v>1</v>
      </c>
      <c r="N1762">
        <v>4000</v>
      </c>
      <c r="O1762">
        <v>7</v>
      </c>
      <c r="P1762">
        <v>633</v>
      </c>
      <c r="Q1762">
        <v>0</v>
      </c>
      <c r="R1762">
        <v>24025277607</v>
      </c>
      <c r="S1762">
        <v>35896012.520000003</v>
      </c>
      <c r="T1762">
        <v>23955832742.77</v>
      </c>
      <c r="U1762">
        <v>23955832742.77</v>
      </c>
      <c r="V1762">
        <v>1.6629000000000001E-2</v>
      </c>
      <c r="W1762">
        <v>1.6629000000000001E-2</v>
      </c>
    </row>
    <row r="1763" spans="1:23" x14ac:dyDescent="0.35">
      <c r="A1763" t="s">
        <v>1</v>
      </c>
      <c r="B1763">
        <v>8000</v>
      </c>
      <c r="C1763">
        <v>5</v>
      </c>
      <c r="D1763">
        <v>12</v>
      </c>
      <c r="E1763">
        <v>0</v>
      </c>
      <c r="F1763">
        <v>365000000</v>
      </c>
      <c r="G1763">
        <v>257879.18</v>
      </c>
      <c r="H1763">
        <v>364005049</v>
      </c>
      <c r="I1763">
        <v>364005049</v>
      </c>
      <c r="J1763">
        <v>2.3965E-2</v>
      </c>
      <c r="K1763">
        <v>2.3965E-2</v>
      </c>
      <c r="M1763" t="s">
        <v>3</v>
      </c>
      <c r="N1763">
        <v>5250</v>
      </c>
      <c r="O1763">
        <v>5</v>
      </c>
      <c r="P1763">
        <v>19</v>
      </c>
      <c r="Q1763">
        <v>0</v>
      </c>
      <c r="R1763">
        <v>589100000</v>
      </c>
      <c r="S1763">
        <v>681418.38</v>
      </c>
      <c r="T1763">
        <v>588418581.62</v>
      </c>
      <c r="U1763">
        <v>588418581.62</v>
      </c>
      <c r="V1763">
        <v>0</v>
      </c>
      <c r="W1763">
        <v>0</v>
      </c>
    </row>
    <row r="1764" spans="1:23" x14ac:dyDescent="0.35">
      <c r="A1764" t="s">
        <v>2</v>
      </c>
      <c r="B1764">
        <v>3000</v>
      </c>
      <c r="C1764">
        <v>5</v>
      </c>
      <c r="D1764">
        <v>6</v>
      </c>
      <c r="E1764">
        <v>0</v>
      </c>
      <c r="F1764">
        <v>119600000</v>
      </c>
      <c r="G1764">
        <v>201527.99</v>
      </c>
      <c r="H1764">
        <v>119600000</v>
      </c>
      <c r="I1764">
        <v>119600000</v>
      </c>
      <c r="J1764">
        <v>-2.0409E-2</v>
      </c>
      <c r="K1764">
        <v>-2.0409E-2</v>
      </c>
      <c r="M1764" t="s">
        <v>3</v>
      </c>
      <c r="N1764">
        <v>7750</v>
      </c>
      <c r="O1764">
        <v>7</v>
      </c>
      <c r="P1764">
        <v>1</v>
      </c>
      <c r="Q1764">
        <v>0</v>
      </c>
      <c r="R1764">
        <v>34800000</v>
      </c>
      <c r="S1764">
        <v>26465.78</v>
      </c>
      <c r="T1764">
        <v>34773534.219999999</v>
      </c>
      <c r="U1764">
        <v>34773534.219999999</v>
      </c>
      <c r="V1764">
        <v>0</v>
      </c>
      <c r="W1764">
        <v>0</v>
      </c>
    </row>
    <row r="1765" spans="1:23" x14ac:dyDescent="0.35">
      <c r="A1765" t="s">
        <v>3</v>
      </c>
      <c r="B1765">
        <v>7250</v>
      </c>
      <c r="C1765">
        <v>5</v>
      </c>
      <c r="D1765">
        <v>5</v>
      </c>
      <c r="E1765">
        <v>0</v>
      </c>
      <c r="F1765">
        <v>87200000</v>
      </c>
      <c r="G1765">
        <v>70248.34</v>
      </c>
      <c r="H1765">
        <v>87200000</v>
      </c>
      <c r="I1765">
        <v>87200000</v>
      </c>
      <c r="J1765">
        <v>-9.7099999999999999E-3</v>
      </c>
      <c r="K1765">
        <v>-9.7099999999999999E-3</v>
      </c>
      <c r="M1765" t="s">
        <v>1</v>
      </c>
      <c r="N1765">
        <v>3750</v>
      </c>
      <c r="O1765">
        <v>5</v>
      </c>
      <c r="P1765">
        <v>347</v>
      </c>
      <c r="Q1765">
        <v>0</v>
      </c>
      <c r="R1765">
        <v>14204500000</v>
      </c>
      <c r="S1765">
        <v>21681981.600000001</v>
      </c>
      <c r="T1765">
        <v>14182818018.4</v>
      </c>
      <c r="U1765">
        <v>14182818018.4</v>
      </c>
      <c r="V1765">
        <v>0</v>
      </c>
      <c r="W1765">
        <v>0</v>
      </c>
    </row>
    <row r="1766" spans="1:23" x14ac:dyDescent="0.35">
      <c r="A1766" t="s">
        <v>2</v>
      </c>
      <c r="B1766">
        <v>4000</v>
      </c>
      <c r="C1766">
        <v>5</v>
      </c>
      <c r="D1766">
        <v>537</v>
      </c>
      <c r="E1766">
        <v>0</v>
      </c>
      <c r="F1766">
        <v>15531600000</v>
      </c>
      <c r="G1766">
        <v>22645880.079999998</v>
      </c>
      <c r="H1766">
        <v>15512428342</v>
      </c>
      <c r="I1766">
        <v>15512428342</v>
      </c>
      <c r="J1766">
        <v>-2.6879999999999999E-3</v>
      </c>
      <c r="K1766">
        <v>-2.6879999999999999E-3</v>
      </c>
      <c r="M1766" t="s">
        <v>0</v>
      </c>
      <c r="N1766">
        <v>4000</v>
      </c>
      <c r="O1766">
        <v>7</v>
      </c>
      <c r="P1766">
        <v>1727</v>
      </c>
      <c r="Q1766">
        <v>0</v>
      </c>
      <c r="R1766">
        <v>62594141586</v>
      </c>
      <c r="S1766">
        <v>93447487.879999995</v>
      </c>
      <c r="T1766">
        <v>62471800535.760002</v>
      </c>
      <c r="U1766">
        <v>62500694098.120003</v>
      </c>
      <c r="V1766">
        <v>5.5250000000000004E-3</v>
      </c>
      <c r="W1766">
        <v>0</v>
      </c>
    </row>
    <row r="1767" spans="1:23" x14ac:dyDescent="0.35">
      <c r="A1767" t="s">
        <v>2</v>
      </c>
      <c r="B1767">
        <v>3250</v>
      </c>
      <c r="C1767">
        <v>5</v>
      </c>
      <c r="D1767">
        <v>23</v>
      </c>
      <c r="E1767">
        <v>0</v>
      </c>
      <c r="F1767">
        <v>709100000</v>
      </c>
      <c r="G1767">
        <v>1177966.6000000001</v>
      </c>
      <c r="H1767">
        <v>709100000</v>
      </c>
      <c r="I1767">
        <v>709100000</v>
      </c>
      <c r="J1767">
        <v>-2.0118E-2</v>
      </c>
      <c r="K1767">
        <v>-2.0118E-2</v>
      </c>
      <c r="M1767" t="s">
        <v>0</v>
      </c>
      <c r="N1767">
        <v>4000</v>
      </c>
      <c r="O1767">
        <v>6</v>
      </c>
      <c r="P1767">
        <v>1429</v>
      </c>
      <c r="Q1767">
        <v>0</v>
      </c>
      <c r="R1767">
        <v>49552341913</v>
      </c>
      <c r="S1767">
        <v>73628027.579999998</v>
      </c>
      <c r="T1767">
        <v>49478713885.419998</v>
      </c>
      <c r="U1767">
        <v>49478713885.419998</v>
      </c>
      <c r="V1767">
        <v>0</v>
      </c>
      <c r="W1767">
        <v>0</v>
      </c>
    </row>
    <row r="1768" spans="1:23" x14ac:dyDescent="0.35">
      <c r="A1768" t="s">
        <v>0</v>
      </c>
      <c r="B1768">
        <v>3750</v>
      </c>
      <c r="C1768">
        <v>5</v>
      </c>
      <c r="D1768">
        <v>772</v>
      </c>
      <c r="E1768">
        <v>0</v>
      </c>
      <c r="F1768">
        <v>30077600000</v>
      </c>
      <c r="G1768">
        <v>45906123.310000002</v>
      </c>
      <c r="H1768">
        <v>30050096263</v>
      </c>
      <c r="I1768">
        <v>30050096263</v>
      </c>
      <c r="J1768">
        <v>-7.3670000000000003E-3</v>
      </c>
      <c r="K1768">
        <v>-7.3670000000000003E-3</v>
      </c>
      <c r="M1768" t="s">
        <v>0</v>
      </c>
      <c r="N1768">
        <v>4500</v>
      </c>
      <c r="O1768">
        <v>10</v>
      </c>
      <c r="P1768">
        <v>931</v>
      </c>
      <c r="Q1768">
        <v>0</v>
      </c>
      <c r="R1768">
        <v>30900913348</v>
      </c>
      <c r="S1768">
        <v>42920091.990000002</v>
      </c>
      <c r="T1768">
        <v>30857993256.009998</v>
      </c>
      <c r="U1768">
        <v>30857993256.009998</v>
      </c>
      <c r="V1768">
        <v>0</v>
      </c>
      <c r="W1768">
        <v>0</v>
      </c>
    </row>
    <row r="1769" spans="1:23" x14ac:dyDescent="0.35">
      <c r="A1769" t="s">
        <v>3</v>
      </c>
      <c r="B1769">
        <v>5000</v>
      </c>
      <c r="C1769">
        <v>5</v>
      </c>
      <c r="D1769">
        <v>4</v>
      </c>
      <c r="E1769">
        <v>0</v>
      </c>
      <c r="F1769">
        <v>102500000</v>
      </c>
      <c r="G1769">
        <v>125431</v>
      </c>
      <c r="H1769">
        <v>102500000</v>
      </c>
      <c r="I1769">
        <v>102500000</v>
      </c>
      <c r="J1769">
        <v>-1.4784E-2</v>
      </c>
      <c r="K1769">
        <v>-1.4784E-2</v>
      </c>
      <c r="M1769" t="s">
        <v>2</v>
      </c>
      <c r="N1769">
        <v>3750</v>
      </c>
      <c r="O1769">
        <v>5</v>
      </c>
      <c r="P1769">
        <v>25</v>
      </c>
      <c r="Q1769">
        <v>0</v>
      </c>
      <c r="R1769">
        <v>738900000</v>
      </c>
      <c r="S1769">
        <v>1130451.78</v>
      </c>
      <c r="T1769">
        <v>737769548.22000003</v>
      </c>
      <c r="U1769">
        <v>737769548.22000003</v>
      </c>
      <c r="V1769">
        <v>0</v>
      </c>
      <c r="W1769">
        <v>0</v>
      </c>
    </row>
    <row r="1770" spans="1:23" x14ac:dyDescent="0.35">
      <c r="A1770" t="s">
        <v>1</v>
      </c>
      <c r="B1770">
        <v>5750</v>
      </c>
      <c r="C1770">
        <v>168</v>
      </c>
      <c r="D1770">
        <v>5</v>
      </c>
      <c r="E1770">
        <v>0</v>
      </c>
      <c r="F1770">
        <v>41308971</v>
      </c>
      <c r="G1770">
        <v>115540.62</v>
      </c>
      <c r="H1770">
        <v>41162866</v>
      </c>
      <c r="I1770">
        <v>41162866</v>
      </c>
      <c r="J1770">
        <v>8.8430000000000002E-3</v>
      </c>
      <c r="K1770">
        <v>8.8430000000000002E-3</v>
      </c>
      <c r="M1770" t="s">
        <v>1</v>
      </c>
      <c r="N1770">
        <v>4000</v>
      </c>
      <c r="O1770">
        <v>5</v>
      </c>
      <c r="P1770">
        <v>4418</v>
      </c>
      <c r="Q1770">
        <v>0</v>
      </c>
      <c r="R1770">
        <v>163984900000</v>
      </c>
      <c r="S1770">
        <v>239614350.43000001</v>
      </c>
      <c r="T1770">
        <v>163619171102.07001</v>
      </c>
      <c r="U1770">
        <v>163745285649.57001</v>
      </c>
      <c r="V1770">
        <v>9.1900000000000003E-3</v>
      </c>
      <c r="W1770">
        <v>0</v>
      </c>
    </row>
    <row r="1771" spans="1:23" x14ac:dyDescent="0.35">
      <c r="A1771" t="s">
        <v>1</v>
      </c>
      <c r="B1771">
        <v>3000</v>
      </c>
      <c r="C1771">
        <v>216</v>
      </c>
      <c r="D1771">
        <v>1</v>
      </c>
      <c r="E1771">
        <v>0</v>
      </c>
      <c r="F1771">
        <v>8488218</v>
      </c>
      <c r="G1771">
        <v>41933.94</v>
      </c>
      <c r="H1771">
        <v>8488218</v>
      </c>
      <c r="I1771">
        <v>8488218</v>
      </c>
      <c r="J1771">
        <v>-6.0921000000000003E-2</v>
      </c>
      <c r="K1771">
        <v>-6.0921000000000003E-2</v>
      </c>
      <c r="M1771" t="s">
        <v>2</v>
      </c>
      <c r="N1771">
        <v>3000</v>
      </c>
      <c r="O1771">
        <v>5</v>
      </c>
      <c r="P1771">
        <v>4</v>
      </c>
      <c r="Q1771">
        <v>0</v>
      </c>
      <c r="R1771">
        <v>74100000</v>
      </c>
      <c r="S1771">
        <v>126777.81</v>
      </c>
      <c r="T1771">
        <v>73973222.189999998</v>
      </c>
      <c r="U1771">
        <v>73973222.189999998</v>
      </c>
      <c r="V1771">
        <v>0</v>
      </c>
      <c r="W1771">
        <v>0</v>
      </c>
    </row>
    <row r="1772" spans="1:23" x14ac:dyDescent="0.35">
      <c r="A1772" t="s">
        <v>3</v>
      </c>
      <c r="B1772">
        <v>2750</v>
      </c>
      <c r="C1772">
        <v>168</v>
      </c>
      <c r="D1772">
        <v>1</v>
      </c>
      <c r="E1772">
        <v>0</v>
      </c>
      <c r="F1772">
        <v>21429830</v>
      </c>
      <c r="G1772">
        <v>83026.45</v>
      </c>
      <c r="H1772">
        <v>21345759</v>
      </c>
      <c r="I1772">
        <v>21345759</v>
      </c>
      <c r="J1772">
        <v>5.8500000000000002E-4</v>
      </c>
      <c r="K1772">
        <v>5.8500000000000002E-4</v>
      </c>
      <c r="M1772" t="s">
        <v>3</v>
      </c>
      <c r="N1772">
        <v>7250</v>
      </c>
      <c r="O1772">
        <v>5</v>
      </c>
      <c r="P1772">
        <v>6</v>
      </c>
      <c r="Q1772">
        <v>0</v>
      </c>
      <c r="R1772">
        <v>129800000</v>
      </c>
      <c r="S1772">
        <v>104964.35</v>
      </c>
      <c r="T1772">
        <v>129695035.65000001</v>
      </c>
      <c r="U1772">
        <v>129695035.65000001</v>
      </c>
      <c r="V1772">
        <v>0</v>
      </c>
      <c r="W1772">
        <v>0</v>
      </c>
    </row>
    <row r="1773" spans="1:23" x14ac:dyDescent="0.35">
      <c r="A1773" t="s">
        <v>3</v>
      </c>
      <c r="B1773">
        <v>5250</v>
      </c>
      <c r="C1773">
        <v>168</v>
      </c>
      <c r="D1773">
        <v>8</v>
      </c>
      <c r="E1773">
        <v>0</v>
      </c>
      <c r="F1773">
        <v>65452999</v>
      </c>
      <c r="G1773">
        <v>189534.51</v>
      </c>
      <c r="H1773">
        <v>65242990</v>
      </c>
      <c r="I1773">
        <v>65242990</v>
      </c>
      <c r="J1773">
        <v>3.7469999999999999E-3</v>
      </c>
      <c r="K1773">
        <v>3.7469999999999999E-3</v>
      </c>
      <c r="M1773" t="s">
        <v>2</v>
      </c>
      <c r="N1773">
        <v>4000</v>
      </c>
      <c r="O1773">
        <v>5</v>
      </c>
      <c r="P1773">
        <v>475</v>
      </c>
      <c r="Q1773">
        <v>0</v>
      </c>
      <c r="R1773">
        <v>13904300000</v>
      </c>
      <c r="S1773">
        <v>20312964.079999998</v>
      </c>
      <c r="T1773">
        <v>13883987035.92</v>
      </c>
      <c r="U1773">
        <v>13883987035.92</v>
      </c>
      <c r="V1773">
        <v>0</v>
      </c>
      <c r="W1773">
        <v>0</v>
      </c>
    </row>
    <row r="1774" spans="1:23" x14ac:dyDescent="0.35">
      <c r="A1774" t="s">
        <v>0</v>
      </c>
      <c r="B1774">
        <v>6750</v>
      </c>
      <c r="C1774">
        <v>168</v>
      </c>
      <c r="D1774">
        <v>3</v>
      </c>
      <c r="E1774">
        <v>0</v>
      </c>
      <c r="F1774">
        <v>17839603</v>
      </c>
      <c r="G1774">
        <v>44431.37</v>
      </c>
      <c r="H1774">
        <v>17792273</v>
      </c>
      <c r="I1774">
        <v>17792273</v>
      </c>
      <c r="J1774">
        <v>1.9480000000000001E-3</v>
      </c>
      <c r="K1774">
        <v>1.9480000000000001E-3</v>
      </c>
      <c r="M1774" t="s">
        <v>2</v>
      </c>
      <c r="N1774">
        <v>3250</v>
      </c>
      <c r="O1774">
        <v>5</v>
      </c>
      <c r="P1774">
        <v>23</v>
      </c>
      <c r="Q1774">
        <v>0</v>
      </c>
      <c r="R1774">
        <v>707000000</v>
      </c>
      <c r="S1774">
        <v>1172325.8</v>
      </c>
      <c r="T1774">
        <v>705827674.20000005</v>
      </c>
      <c r="U1774">
        <v>705827674.20000005</v>
      </c>
      <c r="V1774">
        <v>0</v>
      </c>
      <c r="W1774">
        <v>0</v>
      </c>
    </row>
    <row r="1775" spans="1:23" x14ac:dyDescent="0.35">
      <c r="A1775" t="s">
        <v>0</v>
      </c>
      <c r="B1775">
        <v>6250</v>
      </c>
      <c r="C1775">
        <v>168</v>
      </c>
      <c r="D1775">
        <v>1</v>
      </c>
      <c r="E1775">
        <v>0</v>
      </c>
      <c r="F1775">
        <v>3722814</v>
      </c>
      <c r="G1775">
        <v>9558.2800000000007</v>
      </c>
      <c r="H1775">
        <v>3722814</v>
      </c>
      <c r="I1775">
        <v>3722814</v>
      </c>
      <c r="J1775">
        <v>-3.1248999999999999E-2</v>
      </c>
      <c r="K1775">
        <v>-3.1248999999999999E-2</v>
      </c>
      <c r="M1775" t="s">
        <v>0</v>
      </c>
      <c r="N1775">
        <v>3750</v>
      </c>
      <c r="O1775">
        <v>5</v>
      </c>
      <c r="P1775">
        <v>788</v>
      </c>
      <c r="Q1775">
        <v>0</v>
      </c>
      <c r="R1775">
        <v>30300500000</v>
      </c>
      <c r="S1775">
        <v>46253116.759999998</v>
      </c>
      <c r="T1775">
        <v>30254246883.240002</v>
      </c>
      <c r="U1775">
        <v>30254246883.240002</v>
      </c>
      <c r="V1775">
        <v>0</v>
      </c>
      <c r="W1775">
        <v>0</v>
      </c>
    </row>
    <row r="1776" spans="1:23" x14ac:dyDescent="0.35">
      <c r="A1776" t="s">
        <v>3</v>
      </c>
      <c r="B1776">
        <v>5500</v>
      </c>
      <c r="C1776">
        <v>144</v>
      </c>
      <c r="D1776">
        <v>1</v>
      </c>
      <c r="E1776">
        <v>0</v>
      </c>
      <c r="F1776">
        <v>8294925</v>
      </c>
      <c r="G1776">
        <v>22560.79</v>
      </c>
      <c r="H1776">
        <v>8238806</v>
      </c>
      <c r="I1776">
        <v>8238806</v>
      </c>
      <c r="J1776">
        <v>4.7482000000000003E-2</v>
      </c>
      <c r="K1776">
        <v>4.7482000000000003E-2</v>
      </c>
      <c r="M1776" t="s">
        <v>1</v>
      </c>
      <c r="N1776">
        <v>5750</v>
      </c>
      <c r="O1776">
        <v>168</v>
      </c>
      <c r="P1776">
        <v>5</v>
      </c>
      <c r="Q1776">
        <v>0</v>
      </c>
      <c r="R1776">
        <v>41450943</v>
      </c>
      <c r="S1776">
        <v>115064.56</v>
      </c>
      <c r="T1776">
        <v>41335878.439999998</v>
      </c>
      <c r="U1776">
        <v>41335878.439999998</v>
      </c>
      <c r="V1776">
        <v>0</v>
      </c>
      <c r="W1776">
        <v>0</v>
      </c>
    </row>
    <row r="1777" spans="1:23" x14ac:dyDescent="0.35">
      <c r="A1777" t="s">
        <v>2</v>
      </c>
      <c r="B1777">
        <v>5500</v>
      </c>
      <c r="C1777">
        <v>168</v>
      </c>
      <c r="D1777">
        <v>3</v>
      </c>
      <c r="E1777">
        <v>0</v>
      </c>
      <c r="F1777">
        <v>22429239</v>
      </c>
      <c r="G1777">
        <v>85148.58</v>
      </c>
      <c r="H1777">
        <v>22340969</v>
      </c>
      <c r="I1777">
        <v>22340969</v>
      </c>
      <c r="J1777">
        <v>1.6689999999999999E-3</v>
      </c>
      <c r="K1777">
        <v>1.6689999999999999E-3</v>
      </c>
      <c r="M1777" t="s">
        <v>1</v>
      </c>
      <c r="N1777">
        <v>3000</v>
      </c>
      <c r="O1777">
        <v>216</v>
      </c>
      <c r="P1777">
        <v>1</v>
      </c>
      <c r="Q1777">
        <v>0</v>
      </c>
      <c r="R1777">
        <v>8604158</v>
      </c>
      <c r="S1777">
        <v>42192.79</v>
      </c>
      <c r="T1777">
        <v>8561965.2100000009</v>
      </c>
      <c r="U1777">
        <v>8561965.2100000009</v>
      </c>
      <c r="V1777">
        <v>0</v>
      </c>
      <c r="W1777">
        <v>0</v>
      </c>
    </row>
    <row r="1778" spans="1:23" x14ac:dyDescent="0.35">
      <c r="A1778" t="s">
        <v>0</v>
      </c>
      <c r="B1778">
        <v>6750</v>
      </c>
      <c r="C1778">
        <v>144</v>
      </c>
      <c r="D1778">
        <v>10</v>
      </c>
      <c r="E1778">
        <v>0</v>
      </c>
      <c r="F1778">
        <v>79073854</v>
      </c>
      <c r="G1778">
        <v>182487.24</v>
      </c>
      <c r="H1778">
        <v>78892729</v>
      </c>
      <c r="I1778">
        <v>78892729</v>
      </c>
      <c r="J1778">
        <v>-2.0699999999999999E-4</v>
      </c>
      <c r="K1778">
        <v>-2.0699999999999999E-4</v>
      </c>
      <c r="M1778" t="s">
        <v>3</v>
      </c>
      <c r="N1778">
        <v>2750</v>
      </c>
      <c r="O1778">
        <v>168</v>
      </c>
      <c r="P1778">
        <v>1</v>
      </c>
      <c r="Q1778">
        <v>0</v>
      </c>
      <c r="R1778">
        <v>21513709</v>
      </c>
      <c r="S1778">
        <v>82840.63</v>
      </c>
      <c r="T1778">
        <v>21430868.370000001</v>
      </c>
      <c r="U1778">
        <v>21430868.370000001</v>
      </c>
      <c r="V1778">
        <v>0</v>
      </c>
      <c r="W1778">
        <v>0</v>
      </c>
    </row>
    <row r="1779" spans="1:23" x14ac:dyDescent="0.35">
      <c r="A1779" t="s">
        <v>1</v>
      </c>
      <c r="B1779">
        <v>5750</v>
      </c>
      <c r="C1779">
        <v>144</v>
      </c>
      <c r="D1779">
        <v>9</v>
      </c>
      <c r="E1779">
        <v>0</v>
      </c>
      <c r="F1779">
        <v>55499235</v>
      </c>
      <c r="G1779">
        <v>136940.9</v>
      </c>
      <c r="H1779">
        <v>55257973</v>
      </c>
      <c r="I1779">
        <v>55257973</v>
      </c>
      <c r="J1779">
        <v>2.2324E-2</v>
      </c>
      <c r="K1779">
        <v>2.2324E-2</v>
      </c>
      <c r="M1779" t="s">
        <v>3</v>
      </c>
      <c r="N1779">
        <v>5250</v>
      </c>
      <c r="O1779">
        <v>168</v>
      </c>
      <c r="P1779">
        <v>7</v>
      </c>
      <c r="Q1779">
        <v>0</v>
      </c>
      <c r="R1779">
        <v>59470907</v>
      </c>
      <c r="S1779">
        <v>171273.54</v>
      </c>
      <c r="T1779">
        <v>59299633.460000001</v>
      </c>
      <c r="U1779">
        <v>59299633.460000001</v>
      </c>
      <c r="V1779">
        <v>0</v>
      </c>
      <c r="W1779">
        <v>0</v>
      </c>
    </row>
    <row r="1780" spans="1:23" x14ac:dyDescent="0.35">
      <c r="A1780" t="s">
        <v>2</v>
      </c>
      <c r="B1780">
        <v>5250</v>
      </c>
      <c r="C1780">
        <v>144</v>
      </c>
      <c r="D1780">
        <v>6</v>
      </c>
      <c r="E1780">
        <v>0</v>
      </c>
      <c r="F1780">
        <v>43746973</v>
      </c>
      <c r="G1780">
        <v>114542.23</v>
      </c>
      <c r="H1780">
        <v>43629459</v>
      </c>
      <c r="I1780">
        <v>43629459</v>
      </c>
      <c r="J1780">
        <v>8.1499999999999997E-4</v>
      </c>
      <c r="K1780">
        <v>8.1499999999999997E-4</v>
      </c>
      <c r="M1780" t="s">
        <v>0</v>
      </c>
      <c r="N1780">
        <v>6750</v>
      </c>
      <c r="O1780">
        <v>168</v>
      </c>
      <c r="P1780">
        <v>3</v>
      </c>
      <c r="Q1780">
        <v>0</v>
      </c>
      <c r="R1780">
        <v>17890977</v>
      </c>
      <c r="S1780">
        <v>44200.55</v>
      </c>
      <c r="T1780">
        <v>17846776.449999999</v>
      </c>
      <c r="U1780">
        <v>17846776.449999999</v>
      </c>
      <c r="V1780">
        <v>0</v>
      </c>
      <c r="W1780">
        <v>0</v>
      </c>
    </row>
    <row r="1781" spans="1:23" x14ac:dyDescent="0.35">
      <c r="A1781" t="s">
        <v>1</v>
      </c>
      <c r="B1781">
        <v>6000</v>
      </c>
      <c r="C1781">
        <v>168</v>
      </c>
      <c r="D1781">
        <v>1</v>
      </c>
      <c r="E1781">
        <v>0</v>
      </c>
      <c r="F1781">
        <v>10690442</v>
      </c>
      <c r="G1781">
        <v>28173.07</v>
      </c>
      <c r="H1781">
        <v>10662056</v>
      </c>
      <c r="I1781">
        <v>10662056</v>
      </c>
      <c r="J1781">
        <v>2.3900000000000001E-4</v>
      </c>
      <c r="K1781">
        <v>2.3900000000000001E-4</v>
      </c>
      <c r="M1781" t="s">
        <v>3</v>
      </c>
      <c r="N1781">
        <v>5500</v>
      </c>
      <c r="O1781">
        <v>144</v>
      </c>
      <c r="P1781">
        <v>1</v>
      </c>
      <c r="Q1781">
        <v>0</v>
      </c>
      <c r="R1781">
        <v>8340833</v>
      </c>
      <c r="S1781">
        <v>22521.17</v>
      </c>
      <c r="T1781">
        <v>8318311.8300000001</v>
      </c>
      <c r="U1781">
        <v>8318311.8300000001</v>
      </c>
      <c r="V1781">
        <v>0</v>
      </c>
      <c r="W1781">
        <v>0</v>
      </c>
    </row>
    <row r="1782" spans="1:23" x14ac:dyDescent="0.35">
      <c r="A1782" t="s">
        <v>1</v>
      </c>
      <c r="B1782">
        <v>6000</v>
      </c>
      <c r="C1782">
        <v>144</v>
      </c>
      <c r="D1782">
        <v>1</v>
      </c>
      <c r="E1782">
        <v>0</v>
      </c>
      <c r="F1782">
        <v>7333215</v>
      </c>
      <c r="G1782">
        <v>18344.2</v>
      </c>
      <c r="H1782">
        <v>7314734</v>
      </c>
      <c r="I1782">
        <v>7314734</v>
      </c>
      <c r="J1782">
        <v>2.24E-4</v>
      </c>
      <c r="K1782">
        <v>2.24E-4</v>
      </c>
      <c r="M1782" t="s">
        <v>3</v>
      </c>
      <c r="N1782">
        <v>3250</v>
      </c>
      <c r="O1782">
        <v>144</v>
      </c>
      <c r="P1782">
        <v>23</v>
      </c>
      <c r="Q1782">
        <v>0</v>
      </c>
      <c r="R1782">
        <v>338153513</v>
      </c>
      <c r="S1782">
        <v>1068455.79</v>
      </c>
      <c r="T1782">
        <v>337085057.20999998</v>
      </c>
      <c r="U1782">
        <v>337085057.20999998</v>
      </c>
      <c r="V1782">
        <v>0</v>
      </c>
      <c r="W1782">
        <v>0</v>
      </c>
    </row>
    <row r="1783" spans="1:23" x14ac:dyDescent="0.35">
      <c r="A1783" t="s">
        <v>0</v>
      </c>
      <c r="B1783">
        <v>2500</v>
      </c>
      <c r="C1783">
        <v>144</v>
      </c>
      <c r="D1783">
        <v>20</v>
      </c>
      <c r="E1783">
        <v>0</v>
      </c>
      <c r="F1783">
        <v>175110638</v>
      </c>
      <c r="G1783">
        <v>601897.4</v>
      </c>
      <c r="H1783">
        <v>174414781</v>
      </c>
      <c r="I1783">
        <v>174414781</v>
      </c>
      <c r="J1783">
        <v>6.4200000000000004E-3</v>
      </c>
      <c r="K1783">
        <v>6.4200000000000004E-3</v>
      </c>
      <c r="M1783" t="s">
        <v>2</v>
      </c>
      <c r="N1783">
        <v>5500</v>
      </c>
      <c r="O1783">
        <v>168</v>
      </c>
      <c r="P1783">
        <v>3</v>
      </c>
      <c r="Q1783">
        <v>0</v>
      </c>
      <c r="R1783">
        <v>22516613</v>
      </c>
      <c r="S1783">
        <v>84775.039999999994</v>
      </c>
      <c r="T1783">
        <v>22431837.960000001</v>
      </c>
      <c r="U1783">
        <v>22431837.960000001</v>
      </c>
      <c r="V1783">
        <v>0</v>
      </c>
      <c r="W1783">
        <v>0</v>
      </c>
    </row>
    <row r="1784" spans="1:23" x14ac:dyDescent="0.35">
      <c r="A1784" t="s">
        <v>3</v>
      </c>
      <c r="B1784">
        <v>3250</v>
      </c>
      <c r="C1784">
        <v>144</v>
      </c>
      <c r="D1784">
        <v>22</v>
      </c>
      <c r="E1784">
        <v>0</v>
      </c>
      <c r="F1784">
        <v>317415855</v>
      </c>
      <c r="G1784">
        <v>1003975.51</v>
      </c>
      <c r="H1784">
        <v>316395505</v>
      </c>
      <c r="I1784">
        <v>316395505</v>
      </c>
      <c r="J1784">
        <v>6.1899999999999998E-4</v>
      </c>
      <c r="K1784">
        <v>6.1899999999999998E-4</v>
      </c>
      <c r="M1784" t="s">
        <v>0</v>
      </c>
      <c r="N1784">
        <v>6750</v>
      </c>
      <c r="O1784">
        <v>144</v>
      </c>
      <c r="P1784">
        <v>10</v>
      </c>
      <c r="Q1784">
        <v>0</v>
      </c>
      <c r="R1784">
        <v>79266777</v>
      </c>
      <c r="S1784">
        <v>181492.19</v>
      </c>
      <c r="T1784">
        <v>79085284.810000002</v>
      </c>
      <c r="U1784">
        <v>79085284.810000002</v>
      </c>
      <c r="V1784">
        <v>0</v>
      </c>
      <c r="W1784">
        <v>0</v>
      </c>
    </row>
    <row r="1785" spans="1:23" x14ac:dyDescent="0.35">
      <c r="A1785" t="s">
        <v>0</v>
      </c>
      <c r="B1785">
        <v>7000</v>
      </c>
      <c r="C1785">
        <v>144</v>
      </c>
      <c r="D1785">
        <v>1</v>
      </c>
      <c r="E1785">
        <v>0</v>
      </c>
      <c r="F1785">
        <v>16026135</v>
      </c>
      <c r="G1785">
        <v>36040.839999999997</v>
      </c>
      <c r="H1785">
        <v>15989340</v>
      </c>
      <c r="I1785">
        <v>15989340</v>
      </c>
      <c r="J1785">
        <v>5.6499999999999996E-4</v>
      </c>
      <c r="K1785">
        <v>5.6499999999999996E-4</v>
      </c>
      <c r="M1785" t="s">
        <v>1</v>
      </c>
      <c r="N1785">
        <v>5750</v>
      </c>
      <c r="O1785">
        <v>144</v>
      </c>
      <c r="P1785">
        <v>9</v>
      </c>
      <c r="Q1785">
        <v>0</v>
      </c>
      <c r="R1785">
        <v>55595389</v>
      </c>
      <c r="S1785">
        <v>136200.10999999999</v>
      </c>
      <c r="T1785">
        <v>55459188.890000001</v>
      </c>
      <c r="U1785">
        <v>55459188.890000001</v>
      </c>
      <c r="V1785">
        <v>0</v>
      </c>
      <c r="W1785">
        <v>0</v>
      </c>
    </row>
    <row r="1786" spans="1:23" x14ac:dyDescent="0.35">
      <c r="A1786" t="s">
        <v>2</v>
      </c>
      <c r="B1786">
        <v>7250</v>
      </c>
      <c r="C1786">
        <v>144</v>
      </c>
      <c r="D1786">
        <v>1</v>
      </c>
      <c r="E1786">
        <v>0</v>
      </c>
      <c r="F1786">
        <v>6186351</v>
      </c>
      <c r="G1786">
        <v>13200.35</v>
      </c>
      <c r="H1786">
        <v>6159865</v>
      </c>
      <c r="I1786">
        <v>6159865</v>
      </c>
      <c r="J1786">
        <v>2.5468999999999999E-2</v>
      </c>
      <c r="K1786">
        <v>2.5468999999999999E-2</v>
      </c>
      <c r="M1786" t="s">
        <v>1</v>
      </c>
      <c r="N1786">
        <v>2500</v>
      </c>
      <c r="O1786">
        <v>144</v>
      </c>
      <c r="P1786">
        <v>9</v>
      </c>
      <c r="Q1786">
        <v>0</v>
      </c>
      <c r="R1786">
        <v>104015147</v>
      </c>
      <c r="S1786">
        <v>378039.05</v>
      </c>
      <c r="T1786">
        <v>103637107.95</v>
      </c>
      <c r="U1786">
        <v>103637107.95</v>
      </c>
      <c r="V1786">
        <v>0</v>
      </c>
      <c r="W1786">
        <v>0</v>
      </c>
    </row>
    <row r="1787" spans="1:23" x14ac:dyDescent="0.35">
      <c r="A1787" t="s">
        <v>0</v>
      </c>
      <c r="B1787">
        <v>2500</v>
      </c>
      <c r="C1787">
        <v>192</v>
      </c>
      <c r="D1787">
        <v>2</v>
      </c>
      <c r="E1787">
        <v>0</v>
      </c>
      <c r="F1787">
        <v>17515230</v>
      </c>
      <c r="G1787">
        <v>77661.87</v>
      </c>
      <c r="H1787">
        <v>17385887</v>
      </c>
      <c r="I1787">
        <v>17385887</v>
      </c>
      <c r="J1787">
        <v>3.4839000000000002E-2</v>
      </c>
      <c r="K1787">
        <v>3.4839000000000002E-2</v>
      </c>
      <c r="M1787" t="s">
        <v>2</v>
      </c>
      <c r="N1787">
        <v>5250</v>
      </c>
      <c r="O1787">
        <v>144</v>
      </c>
      <c r="P1787">
        <v>6</v>
      </c>
      <c r="Q1787">
        <v>0</v>
      </c>
      <c r="R1787">
        <v>43863986</v>
      </c>
      <c r="S1787">
        <v>114063.11</v>
      </c>
      <c r="T1787">
        <v>43749922.890000001</v>
      </c>
      <c r="U1787">
        <v>43749922.890000001</v>
      </c>
      <c r="V1787">
        <v>0</v>
      </c>
      <c r="W1787">
        <v>0</v>
      </c>
    </row>
    <row r="1788" spans="1:23" x14ac:dyDescent="0.35">
      <c r="A1788" t="s">
        <v>0</v>
      </c>
      <c r="B1788">
        <v>6500</v>
      </c>
      <c r="C1788">
        <v>144</v>
      </c>
      <c r="D1788">
        <v>2</v>
      </c>
      <c r="E1788">
        <v>0</v>
      </c>
      <c r="F1788">
        <v>14029677</v>
      </c>
      <c r="G1788">
        <v>30872.31</v>
      </c>
      <c r="H1788">
        <v>13980156</v>
      </c>
      <c r="I1788">
        <v>13980156</v>
      </c>
      <c r="J1788">
        <v>1.5834999999999998E-2</v>
      </c>
      <c r="K1788">
        <v>1.5834999999999998E-2</v>
      </c>
      <c r="M1788" t="s">
        <v>1</v>
      </c>
      <c r="N1788">
        <v>6000</v>
      </c>
      <c r="O1788">
        <v>144</v>
      </c>
      <c r="P1788">
        <v>2</v>
      </c>
      <c r="Q1788">
        <v>0</v>
      </c>
      <c r="R1788">
        <v>18070296</v>
      </c>
      <c r="S1788">
        <v>46291.53</v>
      </c>
      <c r="T1788">
        <v>18024004.469999999</v>
      </c>
      <c r="U1788">
        <v>18024004.469999999</v>
      </c>
      <c r="V1788">
        <v>0</v>
      </c>
      <c r="W1788">
        <v>0</v>
      </c>
    </row>
    <row r="1789" spans="1:23" x14ac:dyDescent="0.35">
      <c r="A1789" t="s">
        <v>2</v>
      </c>
      <c r="B1789">
        <v>4250</v>
      </c>
      <c r="C1789">
        <v>240</v>
      </c>
      <c r="D1789">
        <v>1</v>
      </c>
      <c r="E1789">
        <v>0</v>
      </c>
      <c r="F1789">
        <v>8020218</v>
      </c>
      <c r="G1789">
        <v>51115.51</v>
      </c>
      <c r="H1789">
        <v>7969059</v>
      </c>
      <c r="I1789">
        <v>7969059</v>
      </c>
      <c r="J1789">
        <v>6.4999999999999994E-5</v>
      </c>
      <c r="K1789">
        <v>6.4999999999999994E-5</v>
      </c>
      <c r="M1789" t="s">
        <v>0</v>
      </c>
      <c r="N1789">
        <v>2500</v>
      </c>
      <c r="O1789">
        <v>144</v>
      </c>
      <c r="P1789">
        <v>19</v>
      </c>
      <c r="Q1789">
        <v>0</v>
      </c>
      <c r="R1789">
        <v>174609316</v>
      </c>
      <c r="S1789">
        <v>597133.68000000005</v>
      </c>
      <c r="T1789">
        <v>174012182.31999999</v>
      </c>
      <c r="U1789">
        <v>174012182.31999999</v>
      </c>
      <c r="V1789">
        <v>0</v>
      </c>
      <c r="W1789">
        <v>0</v>
      </c>
    </row>
    <row r="1790" spans="1:23" x14ac:dyDescent="0.35">
      <c r="A1790" t="s">
        <v>0</v>
      </c>
      <c r="B1790">
        <v>5750</v>
      </c>
      <c r="C1790">
        <v>120</v>
      </c>
      <c r="D1790">
        <v>31</v>
      </c>
      <c r="E1790">
        <v>0</v>
      </c>
      <c r="F1790">
        <v>312684340</v>
      </c>
      <c r="G1790">
        <v>671323.22</v>
      </c>
      <c r="H1790">
        <v>279403001</v>
      </c>
      <c r="I1790">
        <v>311988634.01999998</v>
      </c>
      <c r="J1790">
        <v>0.73331000000000002</v>
      </c>
      <c r="K1790">
        <v>9.3499999999999996E-4</v>
      </c>
      <c r="M1790" t="s">
        <v>0</v>
      </c>
      <c r="N1790">
        <v>7000</v>
      </c>
      <c r="O1790">
        <v>144</v>
      </c>
      <c r="P1790">
        <v>1</v>
      </c>
      <c r="Q1790">
        <v>0</v>
      </c>
      <c r="R1790">
        <v>16062722</v>
      </c>
      <c r="S1790">
        <v>35837.949999999997</v>
      </c>
      <c r="T1790">
        <v>16026884.050000001</v>
      </c>
      <c r="U1790">
        <v>16026884.050000001</v>
      </c>
      <c r="V1790">
        <v>0</v>
      </c>
      <c r="W1790">
        <v>0</v>
      </c>
    </row>
    <row r="1791" spans="1:23" x14ac:dyDescent="0.35">
      <c r="A1791" t="s">
        <v>0</v>
      </c>
      <c r="B1791">
        <v>6000</v>
      </c>
      <c r="C1791">
        <v>120</v>
      </c>
      <c r="D1791">
        <v>14</v>
      </c>
      <c r="E1791">
        <v>0</v>
      </c>
      <c r="F1791">
        <v>96001928</v>
      </c>
      <c r="G1791">
        <v>204341.3</v>
      </c>
      <c r="H1791">
        <v>95719553</v>
      </c>
      <c r="I1791">
        <v>95719553</v>
      </c>
      <c r="J1791">
        <v>9.7109999999999991E-3</v>
      </c>
      <c r="K1791">
        <v>9.7109999999999991E-3</v>
      </c>
      <c r="M1791" t="s">
        <v>2</v>
      </c>
      <c r="N1791">
        <v>7250</v>
      </c>
      <c r="O1791">
        <v>144</v>
      </c>
      <c r="P1791">
        <v>1</v>
      </c>
      <c r="Q1791">
        <v>0</v>
      </c>
      <c r="R1791">
        <v>6199475</v>
      </c>
      <c r="S1791">
        <v>13121.09</v>
      </c>
      <c r="T1791">
        <v>6186353.9100000001</v>
      </c>
      <c r="U1791">
        <v>6186353.9100000001</v>
      </c>
      <c r="V1791">
        <v>0</v>
      </c>
      <c r="W1791">
        <v>0</v>
      </c>
    </row>
    <row r="1792" spans="1:23" x14ac:dyDescent="0.35">
      <c r="A1792" t="s">
        <v>0</v>
      </c>
      <c r="B1792">
        <v>2000</v>
      </c>
      <c r="C1792">
        <v>120</v>
      </c>
      <c r="D1792">
        <v>5</v>
      </c>
      <c r="E1792">
        <v>0</v>
      </c>
      <c r="F1792">
        <v>53951765</v>
      </c>
      <c r="G1792">
        <v>181428.27</v>
      </c>
      <c r="H1792">
        <v>53759274</v>
      </c>
      <c r="I1792">
        <v>53759274</v>
      </c>
      <c r="J1792">
        <v>2.4580000000000001E-3</v>
      </c>
      <c r="K1792">
        <v>2.4580000000000001E-3</v>
      </c>
      <c r="M1792" t="s">
        <v>0</v>
      </c>
      <c r="N1792">
        <v>2500</v>
      </c>
      <c r="O1792">
        <v>192</v>
      </c>
      <c r="P1792">
        <v>2</v>
      </c>
      <c r="Q1792">
        <v>0</v>
      </c>
      <c r="R1792">
        <v>17644312</v>
      </c>
      <c r="S1792">
        <v>77740.58</v>
      </c>
      <c r="T1792">
        <v>17566571.420000002</v>
      </c>
      <c r="U1792">
        <v>17566571.420000002</v>
      </c>
      <c r="V1792">
        <v>0</v>
      </c>
      <c r="W1792">
        <v>0</v>
      </c>
    </row>
    <row r="1793" spans="1:23" x14ac:dyDescent="0.35">
      <c r="A1793" t="s">
        <v>0</v>
      </c>
      <c r="B1793">
        <v>6250</v>
      </c>
      <c r="C1793">
        <v>120</v>
      </c>
      <c r="D1793">
        <v>4</v>
      </c>
      <c r="E1793">
        <v>0</v>
      </c>
      <c r="F1793">
        <v>34823821</v>
      </c>
      <c r="G1793">
        <v>69014.179999999993</v>
      </c>
      <c r="H1793">
        <v>34705577</v>
      </c>
      <c r="I1793">
        <v>34705577</v>
      </c>
      <c r="J1793">
        <v>1.6833000000000001E-2</v>
      </c>
      <c r="K1793">
        <v>1.6833000000000001E-2</v>
      </c>
      <c r="M1793" t="s">
        <v>0</v>
      </c>
      <c r="N1793">
        <v>6500</v>
      </c>
      <c r="O1793">
        <v>144</v>
      </c>
      <c r="P1793">
        <v>2</v>
      </c>
      <c r="Q1793">
        <v>0</v>
      </c>
      <c r="R1793">
        <v>14113635</v>
      </c>
      <c r="S1793">
        <v>30823.919999999998</v>
      </c>
      <c r="T1793">
        <v>14082811.08</v>
      </c>
      <c r="U1793">
        <v>14082811.08</v>
      </c>
      <c r="V1793">
        <v>0</v>
      </c>
      <c r="W1793">
        <v>0</v>
      </c>
    </row>
    <row r="1794" spans="1:23" x14ac:dyDescent="0.35">
      <c r="A1794" t="s">
        <v>0</v>
      </c>
      <c r="B1794">
        <v>6500</v>
      </c>
      <c r="C1794">
        <v>120</v>
      </c>
      <c r="D1794">
        <v>1</v>
      </c>
      <c r="E1794">
        <v>0</v>
      </c>
      <c r="F1794">
        <v>3771238</v>
      </c>
      <c r="G1794">
        <v>7689.8</v>
      </c>
      <c r="H1794">
        <v>3771238</v>
      </c>
      <c r="I1794">
        <v>3771238</v>
      </c>
      <c r="J1794">
        <v>-2.4745E-2</v>
      </c>
      <c r="K1794">
        <v>-2.4745E-2</v>
      </c>
      <c r="M1794" t="s">
        <v>2</v>
      </c>
      <c r="N1794">
        <v>4000</v>
      </c>
      <c r="O1794">
        <v>216</v>
      </c>
      <c r="P1794">
        <v>1</v>
      </c>
      <c r="Q1794">
        <v>0</v>
      </c>
      <c r="R1794">
        <v>5919491</v>
      </c>
      <c r="S1794">
        <v>26756.91</v>
      </c>
      <c r="T1794">
        <v>5892734.0899999999</v>
      </c>
      <c r="U1794">
        <v>5892734.0899999999</v>
      </c>
      <c r="V1794">
        <v>0</v>
      </c>
      <c r="W1794">
        <v>0</v>
      </c>
    </row>
    <row r="1795" spans="1:23" x14ac:dyDescent="0.35">
      <c r="A1795" t="s">
        <v>1</v>
      </c>
      <c r="B1795">
        <v>6250</v>
      </c>
      <c r="C1795">
        <v>120</v>
      </c>
      <c r="D1795">
        <v>1</v>
      </c>
      <c r="E1795">
        <v>0</v>
      </c>
      <c r="F1795">
        <v>7969372</v>
      </c>
      <c r="G1795">
        <v>16501.39</v>
      </c>
      <c r="H1795">
        <v>7952330</v>
      </c>
      <c r="I1795">
        <v>7952330</v>
      </c>
      <c r="J1795">
        <v>8.1400000000000005E-4</v>
      </c>
      <c r="K1795">
        <v>8.1400000000000005E-4</v>
      </c>
      <c r="M1795" t="s">
        <v>2</v>
      </c>
      <c r="N1795">
        <v>4250</v>
      </c>
      <c r="O1795">
        <v>240</v>
      </c>
      <c r="P1795">
        <v>1</v>
      </c>
      <c r="Q1795">
        <v>0</v>
      </c>
      <c r="R1795">
        <v>8071197</v>
      </c>
      <c r="S1795">
        <v>50935.39</v>
      </c>
      <c r="T1795">
        <v>8020261.6100000003</v>
      </c>
      <c r="U1795">
        <v>8020261.6100000003</v>
      </c>
      <c r="V1795">
        <v>0</v>
      </c>
      <c r="W1795">
        <v>0</v>
      </c>
    </row>
    <row r="1796" spans="1:23" x14ac:dyDescent="0.35">
      <c r="A1796" t="s">
        <v>3</v>
      </c>
      <c r="B1796">
        <v>3000</v>
      </c>
      <c r="C1796">
        <v>120</v>
      </c>
      <c r="D1796">
        <v>5</v>
      </c>
      <c r="E1796">
        <v>0</v>
      </c>
      <c r="F1796">
        <v>85891543</v>
      </c>
      <c r="G1796">
        <v>250504.49</v>
      </c>
      <c r="H1796">
        <v>85631219</v>
      </c>
      <c r="I1796">
        <v>85631219</v>
      </c>
      <c r="J1796">
        <v>1.371E-3</v>
      </c>
      <c r="K1796">
        <v>1.371E-3</v>
      </c>
      <c r="M1796" t="s">
        <v>0</v>
      </c>
      <c r="N1796">
        <v>5750</v>
      </c>
      <c r="O1796">
        <v>120</v>
      </c>
      <c r="P1796">
        <v>32</v>
      </c>
      <c r="Q1796">
        <v>0</v>
      </c>
      <c r="R1796">
        <v>330399621</v>
      </c>
      <c r="S1796">
        <v>707460.36</v>
      </c>
      <c r="T1796">
        <v>300248821.31</v>
      </c>
      <c r="U1796">
        <v>329692160.63999999</v>
      </c>
      <c r="V1796">
        <v>0.67373799999999995</v>
      </c>
      <c r="W1796">
        <v>0</v>
      </c>
    </row>
    <row r="1797" spans="1:23" x14ac:dyDescent="0.35">
      <c r="A1797" t="s">
        <v>0</v>
      </c>
      <c r="B1797">
        <v>2250</v>
      </c>
      <c r="C1797">
        <v>120</v>
      </c>
      <c r="D1797">
        <v>6</v>
      </c>
      <c r="E1797">
        <v>0</v>
      </c>
      <c r="F1797">
        <v>46679277</v>
      </c>
      <c r="G1797">
        <v>149465.92000000001</v>
      </c>
      <c r="H1797">
        <v>46485945</v>
      </c>
      <c r="I1797">
        <v>46485945</v>
      </c>
      <c r="J1797">
        <v>1.1219E-2</v>
      </c>
      <c r="K1797">
        <v>1.1219E-2</v>
      </c>
      <c r="M1797" t="s">
        <v>0</v>
      </c>
      <c r="N1797">
        <v>6000</v>
      </c>
      <c r="O1797">
        <v>120</v>
      </c>
      <c r="P1797">
        <v>11</v>
      </c>
      <c r="Q1797">
        <v>0</v>
      </c>
      <c r="R1797">
        <v>78159898</v>
      </c>
      <c r="S1797">
        <v>167044.49</v>
      </c>
      <c r="T1797">
        <v>77992853.510000005</v>
      </c>
      <c r="U1797">
        <v>77992853.510000005</v>
      </c>
      <c r="V1797">
        <v>0</v>
      </c>
      <c r="W1797">
        <v>0</v>
      </c>
    </row>
    <row r="1798" spans="1:23" x14ac:dyDescent="0.35">
      <c r="A1798" t="s">
        <v>0</v>
      </c>
      <c r="B1798">
        <v>2250</v>
      </c>
      <c r="C1798">
        <v>144</v>
      </c>
      <c r="D1798">
        <v>11</v>
      </c>
      <c r="E1798">
        <v>0</v>
      </c>
      <c r="F1798">
        <v>101118010</v>
      </c>
      <c r="G1798">
        <v>354125.71</v>
      </c>
      <c r="H1798">
        <v>100732338</v>
      </c>
      <c r="I1798">
        <v>100732338</v>
      </c>
      <c r="J1798">
        <v>3.7369999999999999E-3</v>
      </c>
      <c r="K1798">
        <v>3.7369999999999999E-3</v>
      </c>
      <c r="M1798" t="s">
        <v>0</v>
      </c>
      <c r="N1798">
        <v>2000</v>
      </c>
      <c r="O1798">
        <v>120</v>
      </c>
      <c r="P1798">
        <v>6</v>
      </c>
      <c r="Q1798">
        <v>0</v>
      </c>
      <c r="R1798">
        <v>64025560</v>
      </c>
      <c r="S1798">
        <v>214687.09</v>
      </c>
      <c r="T1798">
        <v>63810872.909999996</v>
      </c>
      <c r="U1798">
        <v>63810872.909999996</v>
      </c>
      <c r="V1798">
        <v>0</v>
      </c>
      <c r="W1798">
        <v>0</v>
      </c>
    </row>
    <row r="1799" spans="1:23" x14ac:dyDescent="0.35">
      <c r="A1799" t="s">
        <v>1</v>
      </c>
      <c r="B1799">
        <v>2500</v>
      </c>
      <c r="C1799">
        <v>144</v>
      </c>
      <c r="D1799">
        <v>8</v>
      </c>
      <c r="E1799">
        <v>0</v>
      </c>
      <c r="F1799">
        <v>85576049</v>
      </c>
      <c r="G1799">
        <v>312142.94</v>
      </c>
      <c r="H1799">
        <v>85269439</v>
      </c>
      <c r="I1799">
        <v>85269439</v>
      </c>
      <c r="J1799">
        <v>-7.76E-4</v>
      </c>
      <c r="K1799">
        <v>-7.76E-4</v>
      </c>
      <c r="M1799" t="s">
        <v>0</v>
      </c>
      <c r="N1799">
        <v>6250</v>
      </c>
      <c r="O1799">
        <v>120</v>
      </c>
      <c r="P1799">
        <v>2</v>
      </c>
      <c r="Q1799">
        <v>0</v>
      </c>
      <c r="R1799">
        <v>16161552</v>
      </c>
      <c r="S1799">
        <v>34058.949999999997</v>
      </c>
      <c r="T1799">
        <v>16127493.050000001</v>
      </c>
      <c r="U1799">
        <v>16127493.050000001</v>
      </c>
      <c r="V1799">
        <v>0</v>
      </c>
      <c r="W1799">
        <v>0</v>
      </c>
    </row>
    <row r="1800" spans="1:23" x14ac:dyDescent="0.35">
      <c r="A1800" t="s">
        <v>2</v>
      </c>
      <c r="B1800">
        <v>2250</v>
      </c>
      <c r="C1800">
        <v>120</v>
      </c>
      <c r="D1800">
        <v>1</v>
      </c>
      <c r="E1800">
        <v>0</v>
      </c>
      <c r="F1800">
        <v>4323957</v>
      </c>
      <c r="G1800">
        <v>13573.58</v>
      </c>
      <c r="H1800">
        <v>4310314</v>
      </c>
      <c r="I1800">
        <v>4310314</v>
      </c>
      <c r="J1800">
        <v>1.93E-4</v>
      </c>
      <c r="K1800">
        <v>1.93E-4</v>
      </c>
      <c r="M1800" t="s">
        <v>0</v>
      </c>
      <c r="N1800">
        <v>6500</v>
      </c>
      <c r="O1800">
        <v>120</v>
      </c>
      <c r="P1800">
        <v>1</v>
      </c>
      <c r="Q1800">
        <v>0</v>
      </c>
      <c r="R1800">
        <v>3782809</v>
      </c>
      <c r="S1800">
        <v>7656.31</v>
      </c>
      <c r="T1800">
        <v>3775152.69</v>
      </c>
      <c r="U1800">
        <v>3775152.69</v>
      </c>
      <c r="V1800">
        <v>0</v>
      </c>
      <c r="W1800">
        <v>0</v>
      </c>
    </row>
    <row r="1801" spans="1:23" x14ac:dyDescent="0.35">
      <c r="A1801" t="s">
        <v>1</v>
      </c>
      <c r="B1801">
        <v>2750</v>
      </c>
      <c r="C1801">
        <v>108</v>
      </c>
      <c r="D1801">
        <v>26</v>
      </c>
      <c r="E1801">
        <v>0</v>
      </c>
      <c r="F1801">
        <v>487587248</v>
      </c>
      <c r="G1801">
        <v>1402925.35</v>
      </c>
      <c r="H1801">
        <v>485999382</v>
      </c>
      <c r="I1801">
        <v>485999382</v>
      </c>
      <c r="J1801">
        <v>4.542E-3</v>
      </c>
      <c r="K1801">
        <v>4.542E-3</v>
      </c>
      <c r="M1801" t="s">
        <v>1</v>
      </c>
      <c r="N1801">
        <v>6250</v>
      </c>
      <c r="O1801">
        <v>120</v>
      </c>
      <c r="P1801">
        <v>2</v>
      </c>
      <c r="Q1801">
        <v>0</v>
      </c>
      <c r="R1801">
        <v>13915196</v>
      </c>
      <c r="S1801">
        <v>29059.98</v>
      </c>
      <c r="T1801">
        <v>13886136.02</v>
      </c>
      <c r="U1801">
        <v>13886136.02</v>
      </c>
      <c r="V1801">
        <v>0</v>
      </c>
      <c r="W1801">
        <v>0</v>
      </c>
    </row>
    <row r="1802" spans="1:23" x14ac:dyDescent="0.35">
      <c r="A1802" t="s">
        <v>3</v>
      </c>
      <c r="B1802">
        <v>3500</v>
      </c>
      <c r="C1802">
        <v>108</v>
      </c>
      <c r="D1802">
        <v>16</v>
      </c>
      <c r="E1802">
        <v>0</v>
      </c>
      <c r="F1802">
        <v>216857912</v>
      </c>
      <c r="G1802">
        <v>568043.5</v>
      </c>
      <c r="H1802">
        <v>216213309</v>
      </c>
      <c r="I1802">
        <v>216213309</v>
      </c>
      <c r="J1802">
        <v>4.228E-3</v>
      </c>
      <c r="K1802">
        <v>4.228E-3</v>
      </c>
      <c r="M1802" t="s">
        <v>3</v>
      </c>
      <c r="N1802">
        <v>3000</v>
      </c>
      <c r="O1802">
        <v>120</v>
      </c>
      <c r="P1802">
        <v>5</v>
      </c>
      <c r="Q1802">
        <v>0</v>
      </c>
      <c r="R1802">
        <v>86151217</v>
      </c>
      <c r="S1802">
        <v>249908.49</v>
      </c>
      <c r="T1802">
        <v>85901308.510000005</v>
      </c>
      <c r="U1802">
        <v>85901308.510000005</v>
      </c>
      <c r="V1802">
        <v>0</v>
      </c>
      <c r="W1802">
        <v>0</v>
      </c>
    </row>
    <row r="1803" spans="1:23" x14ac:dyDescent="0.35">
      <c r="A1803" t="s">
        <v>3</v>
      </c>
      <c r="B1803">
        <v>3250</v>
      </c>
      <c r="C1803">
        <v>108</v>
      </c>
      <c r="D1803">
        <v>2</v>
      </c>
      <c r="E1803">
        <v>0</v>
      </c>
      <c r="F1803">
        <v>44311790</v>
      </c>
      <c r="G1803">
        <v>121628.78</v>
      </c>
      <c r="H1803">
        <v>44257451</v>
      </c>
      <c r="I1803">
        <v>44257451</v>
      </c>
      <c r="J1803">
        <v>-1.8376E-2</v>
      </c>
      <c r="K1803">
        <v>-1.8376E-2</v>
      </c>
      <c r="M1803" t="s">
        <v>0</v>
      </c>
      <c r="N1803">
        <v>2250</v>
      </c>
      <c r="O1803">
        <v>120</v>
      </c>
      <c r="P1803">
        <v>6</v>
      </c>
      <c r="Q1803">
        <v>0</v>
      </c>
      <c r="R1803">
        <v>47151591</v>
      </c>
      <c r="S1803">
        <v>150236.41</v>
      </c>
      <c r="T1803">
        <v>47001354.590000004</v>
      </c>
      <c r="U1803">
        <v>47001354.590000004</v>
      </c>
      <c r="V1803">
        <v>0</v>
      </c>
      <c r="W1803">
        <v>0</v>
      </c>
    </row>
    <row r="1804" spans="1:23" x14ac:dyDescent="0.35">
      <c r="A1804" t="s">
        <v>2</v>
      </c>
      <c r="B1804">
        <v>5500</v>
      </c>
      <c r="C1804">
        <v>120</v>
      </c>
      <c r="D1804">
        <v>1</v>
      </c>
      <c r="E1804">
        <v>0</v>
      </c>
      <c r="F1804">
        <v>19709183</v>
      </c>
      <c r="G1804">
        <v>42926.32</v>
      </c>
      <c r="H1804">
        <v>19666256</v>
      </c>
      <c r="I1804">
        <v>19666256</v>
      </c>
      <c r="J1804">
        <v>0</v>
      </c>
      <c r="K1804">
        <v>0</v>
      </c>
      <c r="M1804" t="s">
        <v>0</v>
      </c>
      <c r="N1804">
        <v>2250</v>
      </c>
      <c r="O1804">
        <v>144</v>
      </c>
      <c r="P1804">
        <v>11</v>
      </c>
      <c r="Q1804">
        <v>0</v>
      </c>
      <c r="R1804">
        <v>101551668</v>
      </c>
      <c r="S1804">
        <v>353741.08</v>
      </c>
      <c r="T1804">
        <v>101197926.92</v>
      </c>
      <c r="U1804">
        <v>101197926.92</v>
      </c>
      <c r="V1804">
        <v>0</v>
      </c>
      <c r="W1804">
        <v>0</v>
      </c>
    </row>
    <row r="1805" spans="1:23" x14ac:dyDescent="0.35">
      <c r="A1805" t="s">
        <v>0</v>
      </c>
      <c r="B1805">
        <v>6500</v>
      </c>
      <c r="C1805">
        <v>108</v>
      </c>
      <c r="D1805">
        <v>3</v>
      </c>
      <c r="E1805">
        <v>0</v>
      </c>
      <c r="F1805">
        <v>19178994</v>
      </c>
      <c r="G1805">
        <v>35108.06</v>
      </c>
      <c r="H1805">
        <v>13259695</v>
      </c>
      <c r="I1805">
        <v>19158891.98</v>
      </c>
      <c r="J1805">
        <v>0.98768999999999996</v>
      </c>
      <c r="K1805">
        <v>-9.4299999999999991E-3</v>
      </c>
      <c r="M1805" t="s">
        <v>3</v>
      </c>
      <c r="N1805">
        <v>3250</v>
      </c>
      <c r="O1805">
        <v>108</v>
      </c>
      <c r="P1805">
        <v>15</v>
      </c>
      <c r="Q1805">
        <v>0</v>
      </c>
      <c r="R1805">
        <v>209694707</v>
      </c>
      <c r="S1805">
        <v>579421.29</v>
      </c>
      <c r="T1805">
        <v>209115285.71000001</v>
      </c>
      <c r="U1805">
        <v>209115285.71000001</v>
      </c>
      <c r="V1805">
        <v>0</v>
      </c>
      <c r="W1805">
        <v>0</v>
      </c>
    </row>
    <row r="1806" spans="1:23" x14ac:dyDescent="0.35">
      <c r="A1806" t="s">
        <v>1</v>
      </c>
      <c r="B1806">
        <v>2000</v>
      </c>
      <c r="C1806">
        <v>108</v>
      </c>
      <c r="D1806">
        <v>7</v>
      </c>
      <c r="E1806">
        <v>0</v>
      </c>
      <c r="F1806">
        <v>98580637</v>
      </c>
      <c r="G1806">
        <v>352912.12</v>
      </c>
      <c r="H1806">
        <v>98162235</v>
      </c>
      <c r="I1806">
        <v>98162235</v>
      </c>
      <c r="J1806">
        <v>7.9430000000000004E-3</v>
      </c>
      <c r="K1806">
        <v>7.9430000000000004E-3</v>
      </c>
      <c r="M1806" t="s">
        <v>3</v>
      </c>
      <c r="N1806">
        <v>3500</v>
      </c>
      <c r="O1806">
        <v>108</v>
      </c>
      <c r="P1806">
        <v>22</v>
      </c>
      <c r="Q1806">
        <v>0</v>
      </c>
      <c r="R1806">
        <v>297414121</v>
      </c>
      <c r="S1806">
        <v>787858.51</v>
      </c>
      <c r="T1806">
        <v>296626262.49000001</v>
      </c>
      <c r="U1806">
        <v>296626262.49000001</v>
      </c>
      <c r="V1806">
        <v>0</v>
      </c>
      <c r="W1806">
        <v>0</v>
      </c>
    </row>
    <row r="1807" spans="1:23" x14ac:dyDescent="0.35">
      <c r="A1807" t="s">
        <v>2</v>
      </c>
      <c r="B1807">
        <v>5500</v>
      </c>
      <c r="C1807">
        <v>108</v>
      </c>
      <c r="D1807">
        <v>1</v>
      </c>
      <c r="E1807">
        <v>0</v>
      </c>
      <c r="F1807">
        <v>6993150</v>
      </c>
      <c r="G1807">
        <v>14736.07</v>
      </c>
      <c r="H1807">
        <v>6975829</v>
      </c>
      <c r="I1807">
        <v>6975829</v>
      </c>
      <c r="J1807">
        <v>4.4270000000000004E-3</v>
      </c>
      <c r="K1807">
        <v>4.4270000000000004E-3</v>
      </c>
      <c r="M1807" t="s">
        <v>0</v>
      </c>
      <c r="N1807">
        <v>6000</v>
      </c>
      <c r="O1807">
        <v>108</v>
      </c>
      <c r="P1807">
        <v>25</v>
      </c>
      <c r="Q1807">
        <v>0</v>
      </c>
      <c r="R1807">
        <v>243151974</v>
      </c>
      <c r="S1807">
        <v>466523.82</v>
      </c>
      <c r="T1807">
        <v>235815046.31999999</v>
      </c>
      <c r="U1807">
        <v>242685450.18000001</v>
      </c>
      <c r="V1807">
        <v>0.29103499999999999</v>
      </c>
      <c r="W1807">
        <v>0</v>
      </c>
    </row>
    <row r="1808" spans="1:23" x14ac:dyDescent="0.35">
      <c r="A1808" t="s">
        <v>0</v>
      </c>
      <c r="B1808">
        <v>6750</v>
      </c>
      <c r="C1808">
        <v>120</v>
      </c>
      <c r="D1808">
        <v>1</v>
      </c>
      <c r="E1808">
        <v>0</v>
      </c>
      <c r="F1808">
        <v>23395374</v>
      </c>
      <c r="G1808">
        <v>48832.66</v>
      </c>
      <c r="H1808">
        <v>23346541</v>
      </c>
      <c r="I1808">
        <v>23346541</v>
      </c>
      <c r="J1808">
        <v>0</v>
      </c>
      <c r="K1808">
        <v>0</v>
      </c>
      <c r="M1808" t="s">
        <v>0</v>
      </c>
      <c r="N1808">
        <v>6250</v>
      </c>
      <c r="O1808">
        <v>108</v>
      </c>
      <c r="P1808">
        <v>66</v>
      </c>
      <c r="Q1808">
        <v>0</v>
      </c>
      <c r="R1808">
        <v>797611272</v>
      </c>
      <c r="S1808">
        <v>1471038.42</v>
      </c>
      <c r="T1808">
        <v>761812141.38999999</v>
      </c>
      <c r="U1808">
        <v>796140233.58000004</v>
      </c>
      <c r="V1808">
        <v>0.41016200000000003</v>
      </c>
      <c r="W1808">
        <v>0</v>
      </c>
    </row>
    <row r="1809" spans="1:23" x14ac:dyDescent="0.35">
      <c r="A1809" t="s">
        <v>1</v>
      </c>
      <c r="B1809">
        <v>2500</v>
      </c>
      <c r="C1809">
        <v>108</v>
      </c>
      <c r="D1809">
        <v>1</v>
      </c>
      <c r="E1809">
        <v>0</v>
      </c>
      <c r="F1809">
        <v>12142809</v>
      </c>
      <c r="G1809">
        <v>36687.75</v>
      </c>
      <c r="H1809">
        <v>12097398</v>
      </c>
      <c r="I1809">
        <v>12097398</v>
      </c>
      <c r="J1809">
        <v>8.5869999999999991E-3</v>
      </c>
      <c r="K1809">
        <v>8.5869999999999991E-3</v>
      </c>
      <c r="M1809" t="s">
        <v>2</v>
      </c>
      <c r="N1809">
        <v>2250</v>
      </c>
      <c r="O1809">
        <v>120</v>
      </c>
      <c r="P1809">
        <v>1</v>
      </c>
      <c r="Q1809">
        <v>0</v>
      </c>
      <c r="R1809">
        <v>4337574</v>
      </c>
      <c r="S1809">
        <v>13548.39</v>
      </c>
      <c r="T1809">
        <v>4324025.6100000003</v>
      </c>
      <c r="U1809">
        <v>4324025.6100000003</v>
      </c>
      <c r="V1809">
        <v>0</v>
      </c>
      <c r="W1809">
        <v>0</v>
      </c>
    </row>
    <row r="1810" spans="1:23" x14ac:dyDescent="0.35">
      <c r="A1810" t="s">
        <v>2</v>
      </c>
      <c r="B1810">
        <v>3000</v>
      </c>
      <c r="C1810">
        <v>96</v>
      </c>
      <c r="D1810">
        <v>4</v>
      </c>
      <c r="E1810">
        <v>0</v>
      </c>
      <c r="F1810">
        <v>30607323</v>
      </c>
      <c r="G1810">
        <v>82790.48</v>
      </c>
      <c r="H1810">
        <v>30524241</v>
      </c>
      <c r="I1810">
        <v>30524241</v>
      </c>
      <c r="J1810">
        <v>1.1400000000000001E-4</v>
      </c>
      <c r="K1810">
        <v>1.1400000000000001E-4</v>
      </c>
      <c r="M1810" t="s">
        <v>2</v>
      </c>
      <c r="N1810">
        <v>5500</v>
      </c>
      <c r="O1810">
        <v>120</v>
      </c>
      <c r="P1810">
        <v>1</v>
      </c>
      <c r="Q1810">
        <v>0</v>
      </c>
      <c r="R1810">
        <v>19751919</v>
      </c>
      <c r="S1810">
        <v>42734.91</v>
      </c>
      <c r="T1810">
        <v>19709184.09</v>
      </c>
      <c r="U1810">
        <v>19709184.09</v>
      </c>
      <c r="V1810">
        <v>0</v>
      </c>
      <c r="W1810">
        <v>0</v>
      </c>
    </row>
    <row r="1811" spans="1:23" x14ac:dyDescent="0.35">
      <c r="A1811" t="s">
        <v>3</v>
      </c>
      <c r="B1811">
        <v>4000</v>
      </c>
      <c r="C1811">
        <v>96</v>
      </c>
      <c r="D1811">
        <v>35</v>
      </c>
      <c r="E1811">
        <v>0</v>
      </c>
      <c r="F1811">
        <v>536407082</v>
      </c>
      <c r="G1811">
        <v>1270352.3799999999</v>
      </c>
      <c r="H1811">
        <v>534614243</v>
      </c>
      <c r="I1811">
        <v>534614243</v>
      </c>
      <c r="J1811">
        <v>1.1625999999999999E-2</v>
      </c>
      <c r="K1811">
        <v>1.1625999999999999E-2</v>
      </c>
      <c r="M1811" t="s">
        <v>0</v>
      </c>
      <c r="N1811">
        <v>6500</v>
      </c>
      <c r="O1811">
        <v>108</v>
      </c>
      <c r="P1811">
        <v>3</v>
      </c>
      <c r="Q1811">
        <v>0</v>
      </c>
      <c r="R1811">
        <v>19213739</v>
      </c>
      <c r="S1811">
        <v>34920.660000000003</v>
      </c>
      <c r="T1811">
        <v>19178818.34</v>
      </c>
      <c r="U1811">
        <v>19178818.34</v>
      </c>
      <c r="V1811">
        <v>0</v>
      </c>
      <c r="W1811">
        <v>0</v>
      </c>
    </row>
    <row r="1812" spans="1:23" x14ac:dyDescent="0.35">
      <c r="A1812" t="s">
        <v>3</v>
      </c>
      <c r="B1812">
        <v>3750</v>
      </c>
      <c r="C1812">
        <v>96</v>
      </c>
      <c r="D1812">
        <v>26</v>
      </c>
      <c r="E1812">
        <v>0</v>
      </c>
      <c r="F1812">
        <v>407771582</v>
      </c>
      <c r="G1812">
        <v>995358</v>
      </c>
      <c r="H1812">
        <v>406471317</v>
      </c>
      <c r="I1812">
        <v>406471317</v>
      </c>
      <c r="J1812">
        <v>8.9359999999999995E-3</v>
      </c>
      <c r="K1812">
        <v>8.9359999999999995E-3</v>
      </c>
      <c r="M1812" t="s">
        <v>1</v>
      </c>
      <c r="N1812">
        <v>2000</v>
      </c>
      <c r="O1812">
        <v>108</v>
      </c>
      <c r="P1812">
        <v>7</v>
      </c>
      <c r="Q1812">
        <v>0</v>
      </c>
      <c r="R1812">
        <v>98905206</v>
      </c>
      <c r="S1812">
        <v>352250.99</v>
      </c>
      <c r="T1812">
        <v>98552955.010000005</v>
      </c>
      <c r="U1812">
        <v>98552955.010000005</v>
      </c>
      <c r="V1812">
        <v>0</v>
      </c>
      <c r="W1812">
        <v>0</v>
      </c>
    </row>
    <row r="1813" spans="1:23" x14ac:dyDescent="0.35">
      <c r="A1813" t="s">
        <v>1</v>
      </c>
      <c r="B1813">
        <v>6250</v>
      </c>
      <c r="C1813">
        <v>108</v>
      </c>
      <c r="D1813">
        <v>1</v>
      </c>
      <c r="E1813">
        <v>0</v>
      </c>
      <c r="F1813">
        <v>4635017</v>
      </c>
      <c r="G1813">
        <v>8323.65</v>
      </c>
      <c r="H1813">
        <v>4594979</v>
      </c>
      <c r="I1813">
        <v>4594979</v>
      </c>
      <c r="J1813">
        <v>7.9087000000000005E-2</v>
      </c>
      <c r="K1813">
        <v>7.9087000000000005E-2</v>
      </c>
      <c r="M1813" t="s">
        <v>2</v>
      </c>
      <c r="N1813">
        <v>5500</v>
      </c>
      <c r="O1813">
        <v>108</v>
      </c>
      <c r="P1813">
        <v>1</v>
      </c>
      <c r="Q1813">
        <v>0</v>
      </c>
      <c r="R1813">
        <v>7010393</v>
      </c>
      <c r="S1813">
        <v>14675.74</v>
      </c>
      <c r="T1813">
        <v>6995717.2599999998</v>
      </c>
      <c r="U1813">
        <v>6995717.2599999998</v>
      </c>
      <c r="V1813">
        <v>0</v>
      </c>
      <c r="W1813">
        <v>0</v>
      </c>
    </row>
    <row r="1814" spans="1:23" x14ac:dyDescent="0.35">
      <c r="A1814" t="s">
        <v>1</v>
      </c>
      <c r="B1814">
        <v>3000</v>
      </c>
      <c r="C1814">
        <v>96</v>
      </c>
      <c r="D1814">
        <v>10</v>
      </c>
      <c r="E1814">
        <v>0</v>
      </c>
      <c r="F1814">
        <v>195334969</v>
      </c>
      <c r="G1814">
        <v>523286.55</v>
      </c>
      <c r="H1814">
        <v>194817283</v>
      </c>
      <c r="I1814">
        <v>194817283</v>
      </c>
      <c r="J1814">
        <v>-3.4400000000000001E-4</v>
      </c>
      <c r="K1814">
        <v>-3.4400000000000001E-4</v>
      </c>
      <c r="M1814" t="s">
        <v>0</v>
      </c>
      <c r="N1814">
        <v>6750</v>
      </c>
      <c r="O1814">
        <v>120</v>
      </c>
      <c r="P1814">
        <v>1</v>
      </c>
      <c r="Q1814">
        <v>0</v>
      </c>
      <c r="R1814">
        <v>23443934</v>
      </c>
      <c r="S1814">
        <v>48559.51</v>
      </c>
      <c r="T1814">
        <v>23395374.489999998</v>
      </c>
      <c r="U1814">
        <v>23395374.489999998</v>
      </c>
      <c r="V1814">
        <v>0</v>
      </c>
      <c r="W1814">
        <v>0</v>
      </c>
    </row>
    <row r="1815" spans="1:23" x14ac:dyDescent="0.35">
      <c r="A1815" t="s">
        <v>0</v>
      </c>
      <c r="B1815">
        <v>7000</v>
      </c>
      <c r="C1815">
        <v>96</v>
      </c>
      <c r="D1815">
        <v>13</v>
      </c>
      <c r="E1815">
        <v>0</v>
      </c>
      <c r="F1815">
        <v>144667371</v>
      </c>
      <c r="G1815">
        <v>225682.72</v>
      </c>
      <c r="H1815">
        <v>144389588</v>
      </c>
      <c r="I1815">
        <v>144389588</v>
      </c>
      <c r="J1815">
        <v>4.313E-3</v>
      </c>
      <c r="K1815">
        <v>4.313E-3</v>
      </c>
      <c r="M1815" t="s">
        <v>1</v>
      </c>
      <c r="N1815">
        <v>2500</v>
      </c>
      <c r="O1815">
        <v>108</v>
      </c>
      <c r="P1815">
        <v>1</v>
      </c>
      <c r="Q1815">
        <v>0</v>
      </c>
      <c r="R1815">
        <v>12188126</v>
      </c>
      <c r="S1815">
        <v>36637.64</v>
      </c>
      <c r="T1815">
        <v>12151488.359999999</v>
      </c>
      <c r="U1815">
        <v>12151488.359999999</v>
      </c>
      <c r="V1815">
        <v>0</v>
      </c>
      <c r="W1815">
        <v>0</v>
      </c>
    </row>
    <row r="1816" spans="1:23" x14ac:dyDescent="0.35">
      <c r="A1816" t="s">
        <v>0</v>
      </c>
      <c r="B1816">
        <v>7250</v>
      </c>
      <c r="C1816">
        <v>96</v>
      </c>
      <c r="D1816">
        <v>16</v>
      </c>
      <c r="E1816">
        <v>0</v>
      </c>
      <c r="F1816">
        <v>222363307</v>
      </c>
      <c r="G1816">
        <v>333476.52</v>
      </c>
      <c r="H1816">
        <v>222070478</v>
      </c>
      <c r="I1816">
        <v>222070478</v>
      </c>
      <c r="J1816">
        <v>-2.196E-3</v>
      </c>
      <c r="K1816">
        <v>-2.196E-3</v>
      </c>
      <c r="M1816" t="s">
        <v>1</v>
      </c>
      <c r="N1816">
        <v>2750</v>
      </c>
      <c r="O1816">
        <v>96</v>
      </c>
      <c r="P1816">
        <v>4</v>
      </c>
      <c r="Q1816">
        <v>0</v>
      </c>
      <c r="R1816">
        <v>63458922</v>
      </c>
      <c r="S1816">
        <v>172689.29</v>
      </c>
      <c r="T1816">
        <v>63286232.710000001</v>
      </c>
      <c r="U1816">
        <v>63286232.710000001</v>
      </c>
      <c r="V1816">
        <v>0</v>
      </c>
      <c r="W1816">
        <v>0</v>
      </c>
    </row>
    <row r="1817" spans="1:23" x14ac:dyDescent="0.35">
      <c r="A1817" t="s">
        <v>1</v>
      </c>
      <c r="B1817">
        <v>2750</v>
      </c>
      <c r="C1817">
        <v>96</v>
      </c>
      <c r="D1817">
        <v>3</v>
      </c>
      <c r="E1817">
        <v>0</v>
      </c>
      <c r="F1817">
        <v>49419182</v>
      </c>
      <c r="G1817">
        <v>134602.81</v>
      </c>
      <c r="H1817">
        <v>49284527</v>
      </c>
      <c r="I1817">
        <v>49284527</v>
      </c>
      <c r="J1817">
        <v>1.2999999999999999E-5</v>
      </c>
      <c r="K1817">
        <v>1.2999999999999999E-5</v>
      </c>
      <c r="M1817" t="s">
        <v>3</v>
      </c>
      <c r="N1817">
        <v>3500</v>
      </c>
      <c r="O1817">
        <v>96</v>
      </c>
      <c r="P1817">
        <v>1</v>
      </c>
      <c r="Q1817">
        <v>0</v>
      </c>
      <c r="R1817">
        <v>23750454</v>
      </c>
      <c r="S1817">
        <v>59854.26</v>
      </c>
      <c r="T1817">
        <v>23690599.739999998</v>
      </c>
      <c r="U1817">
        <v>23690599.739999998</v>
      </c>
      <c r="V1817">
        <v>0</v>
      </c>
      <c r="W1817">
        <v>0</v>
      </c>
    </row>
    <row r="1818" spans="1:23" x14ac:dyDescent="0.35">
      <c r="A1818" t="s">
        <v>2</v>
      </c>
      <c r="B1818">
        <v>6000</v>
      </c>
      <c r="C1818">
        <v>96</v>
      </c>
      <c r="D1818">
        <v>1</v>
      </c>
      <c r="E1818">
        <v>0</v>
      </c>
      <c r="F1818">
        <v>4785028</v>
      </c>
      <c r="G1818">
        <v>8728.2900000000009</v>
      </c>
      <c r="H1818">
        <v>4767653</v>
      </c>
      <c r="I1818">
        <v>4767653</v>
      </c>
      <c r="J1818">
        <v>2.147E-2</v>
      </c>
      <c r="K1818">
        <v>2.147E-2</v>
      </c>
      <c r="M1818" t="s">
        <v>1</v>
      </c>
      <c r="N1818">
        <v>6250</v>
      </c>
      <c r="O1818">
        <v>108</v>
      </c>
      <c r="P1818">
        <v>1</v>
      </c>
      <c r="Q1818">
        <v>0</v>
      </c>
      <c r="R1818">
        <v>4654881</v>
      </c>
      <c r="S1818">
        <v>8301.18</v>
      </c>
      <c r="T1818">
        <v>4646579.82</v>
      </c>
      <c r="U1818">
        <v>4646579.82</v>
      </c>
      <c r="V1818">
        <v>0</v>
      </c>
      <c r="W1818">
        <v>0</v>
      </c>
    </row>
    <row r="1819" spans="1:23" x14ac:dyDescent="0.35">
      <c r="A1819" t="s">
        <v>3</v>
      </c>
      <c r="B1819">
        <v>6250</v>
      </c>
      <c r="C1819">
        <v>96</v>
      </c>
      <c r="D1819">
        <v>4</v>
      </c>
      <c r="E1819">
        <v>0</v>
      </c>
      <c r="F1819">
        <v>41458961</v>
      </c>
      <c r="G1819">
        <v>69870.070000000007</v>
      </c>
      <c r="H1819">
        <v>41378299</v>
      </c>
      <c r="I1819">
        <v>41378299</v>
      </c>
      <c r="J1819">
        <v>3.1189999999999998E-3</v>
      </c>
      <c r="K1819">
        <v>3.1189999999999998E-3</v>
      </c>
      <c r="M1819" t="s">
        <v>0</v>
      </c>
      <c r="N1819">
        <v>7000</v>
      </c>
      <c r="O1819">
        <v>96</v>
      </c>
      <c r="P1819">
        <v>13</v>
      </c>
      <c r="Q1819">
        <v>0</v>
      </c>
      <c r="R1819">
        <v>144874105</v>
      </c>
      <c r="S1819">
        <v>224367</v>
      </c>
      <c r="T1819">
        <v>144649738</v>
      </c>
      <c r="U1819">
        <v>144649738</v>
      </c>
      <c r="V1819">
        <v>0</v>
      </c>
      <c r="W1819">
        <v>0</v>
      </c>
    </row>
    <row r="1820" spans="1:23" x14ac:dyDescent="0.35">
      <c r="A1820" t="s">
        <v>0</v>
      </c>
      <c r="B1820">
        <v>7000</v>
      </c>
      <c r="C1820">
        <v>84</v>
      </c>
      <c r="D1820">
        <v>5</v>
      </c>
      <c r="E1820">
        <v>0</v>
      </c>
      <c r="F1820">
        <v>44482109</v>
      </c>
      <c r="G1820">
        <v>65226.5</v>
      </c>
      <c r="H1820">
        <v>44424586</v>
      </c>
      <c r="I1820">
        <v>44424586</v>
      </c>
      <c r="J1820">
        <v>-2.0799999999999998E-3</v>
      </c>
      <c r="K1820">
        <v>-2.0799999999999998E-3</v>
      </c>
      <c r="M1820" t="s">
        <v>0</v>
      </c>
      <c r="N1820">
        <v>7250</v>
      </c>
      <c r="O1820">
        <v>96</v>
      </c>
      <c r="P1820">
        <v>18</v>
      </c>
      <c r="Q1820">
        <v>0</v>
      </c>
      <c r="R1820">
        <v>260563229</v>
      </c>
      <c r="S1820">
        <v>388527.77</v>
      </c>
      <c r="T1820">
        <v>211794489.00999999</v>
      </c>
      <c r="U1820">
        <v>225107030.16</v>
      </c>
      <c r="V1820">
        <v>0.91496999999999995</v>
      </c>
      <c r="W1820">
        <v>0.823519</v>
      </c>
    </row>
    <row r="1821" spans="1:23" x14ac:dyDescent="0.35">
      <c r="A1821" t="s">
        <v>3</v>
      </c>
      <c r="B1821">
        <v>6000</v>
      </c>
      <c r="C1821">
        <v>84</v>
      </c>
      <c r="D1821">
        <v>2</v>
      </c>
      <c r="E1821">
        <v>0</v>
      </c>
      <c r="F1821">
        <v>23404700</v>
      </c>
      <c r="G1821">
        <v>39365.72</v>
      </c>
      <c r="H1821">
        <v>23309879</v>
      </c>
      <c r="I1821">
        <v>23309879</v>
      </c>
      <c r="J1821">
        <v>2.8065E-2</v>
      </c>
      <c r="K1821">
        <v>2.8065E-2</v>
      </c>
      <c r="M1821" t="s">
        <v>2</v>
      </c>
      <c r="N1821">
        <v>6000</v>
      </c>
      <c r="O1821">
        <v>96</v>
      </c>
      <c r="P1821">
        <v>1</v>
      </c>
      <c r="Q1821">
        <v>0</v>
      </c>
      <c r="R1821">
        <v>4802319</v>
      </c>
      <c r="S1821">
        <v>8701.36</v>
      </c>
      <c r="T1821">
        <v>4793617.6399999997</v>
      </c>
      <c r="U1821">
        <v>4793617.6399999997</v>
      </c>
      <c r="V1821">
        <v>0</v>
      </c>
      <c r="W1821">
        <v>0</v>
      </c>
    </row>
    <row r="1822" spans="1:23" x14ac:dyDescent="0.35">
      <c r="A1822" t="s">
        <v>0</v>
      </c>
      <c r="B1822">
        <v>7250</v>
      </c>
      <c r="C1822">
        <v>84</v>
      </c>
      <c r="D1822">
        <v>3</v>
      </c>
      <c r="E1822">
        <v>0</v>
      </c>
      <c r="F1822">
        <v>32488654</v>
      </c>
      <c r="G1822">
        <v>46415.8</v>
      </c>
      <c r="H1822">
        <v>32459875</v>
      </c>
      <c r="I1822">
        <v>32459875</v>
      </c>
      <c r="J1822">
        <v>-6.5339999999999999E-3</v>
      </c>
      <c r="K1822">
        <v>-6.5339999999999999E-3</v>
      </c>
      <c r="M1822" t="s">
        <v>3</v>
      </c>
      <c r="N1822">
        <v>6250</v>
      </c>
      <c r="O1822">
        <v>96</v>
      </c>
      <c r="P1822">
        <v>3</v>
      </c>
      <c r="Q1822">
        <v>0</v>
      </c>
      <c r="R1822">
        <v>33867090</v>
      </c>
      <c r="S1822">
        <v>56803.07</v>
      </c>
      <c r="T1822">
        <v>33810286.93</v>
      </c>
      <c r="U1822">
        <v>33810286.93</v>
      </c>
      <c r="V1822">
        <v>0</v>
      </c>
      <c r="W1822">
        <v>0</v>
      </c>
    </row>
    <row r="1823" spans="1:23" x14ac:dyDescent="0.35">
      <c r="A1823" t="s">
        <v>1</v>
      </c>
      <c r="B1823">
        <v>2250</v>
      </c>
      <c r="C1823">
        <v>84</v>
      </c>
      <c r="D1823">
        <v>2</v>
      </c>
      <c r="E1823">
        <v>0</v>
      </c>
      <c r="F1823">
        <v>34447403</v>
      </c>
      <c r="G1823">
        <v>94825.33</v>
      </c>
      <c r="H1823">
        <v>34327627</v>
      </c>
      <c r="I1823">
        <v>34327627</v>
      </c>
      <c r="J1823">
        <v>8.6569999999999998E-3</v>
      </c>
      <c r="K1823">
        <v>8.6569999999999998E-3</v>
      </c>
      <c r="M1823" t="s">
        <v>3</v>
      </c>
      <c r="N1823">
        <v>6000</v>
      </c>
      <c r="O1823">
        <v>84</v>
      </c>
      <c r="P1823">
        <v>4</v>
      </c>
      <c r="Q1823">
        <v>0</v>
      </c>
      <c r="R1823">
        <v>39956164</v>
      </c>
      <c r="S1823">
        <v>67248.820000000007</v>
      </c>
      <c r="T1823">
        <v>39888915.18</v>
      </c>
      <c r="U1823">
        <v>39888915.18</v>
      </c>
      <c r="V1823">
        <v>0</v>
      </c>
      <c r="W1823">
        <v>0</v>
      </c>
    </row>
    <row r="1824" spans="1:23" x14ac:dyDescent="0.35">
      <c r="A1824" t="s">
        <v>1</v>
      </c>
      <c r="B1824">
        <v>6500</v>
      </c>
      <c r="C1824">
        <v>84</v>
      </c>
      <c r="D1824">
        <v>2</v>
      </c>
      <c r="E1824">
        <v>0</v>
      </c>
      <c r="F1824">
        <v>33716162</v>
      </c>
      <c r="G1824">
        <v>51959.42</v>
      </c>
      <c r="H1824">
        <v>33663199</v>
      </c>
      <c r="I1824">
        <v>33663199</v>
      </c>
      <c r="J1824">
        <v>3.57E-4</v>
      </c>
      <c r="K1824">
        <v>3.57E-4</v>
      </c>
      <c r="M1824" t="s">
        <v>0</v>
      </c>
      <c r="N1824">
        <v>7250</v>
      </c>
      <c r="O1824">
        <v>84</v>
      </c>
      <c r="P1824">
        <v>5</v>
      </c>
      <c r="Q1824">
        <v>0</v>
      </c>
      <c r="R1824">
        <v>55846011</v>
      </c>
      <c r="S1824">
        <v>79440.05</v>
      </c>
      <c r="T1824">
        <v>43169746.75</v>
      </c>
      <c r="U1824">
        <v>43169746.75</v>
      </c>
      <c r="V1824">
        <v>0.95345999999999997</v>
      </c>
      <c r="W1824">
        <v>0.95345999999999997</v>
      </c>
    </row>
    <row r="1825" spans="1:23" x14ac:dyDescent="0.35">
      <c r="A1825" t="s">
        <v>1</v>
      </c>
      <c r="B1825">
        <v>2500</v>
      </c>
      <c r="C1825">
        <v>84</v>
      </c>
      <c r="D1825">
        <v>1</v>
      </c>
      <c r="E1825">
        <v>0</v>
      </c>
      <c r="F1825">
        <v>11637959</v>
      </c>
      <c r="G1825">
        <v>31145.78</v>
      </c>
      <c r="H1825">
        <v>11575586</v>
      </c>
      <c r="I1825">
        <v>11575586</v>
      </c>
      <c r="J1825">
        <v>3.1727999999999999E-2</v>
      </c>
      <c r="K1825">
        <v>3.1727999999999999E-2</v>
      </c>
      <c r="M1825" t="s">
        <v>0</v>
      </c>
      <c r="N1825">
        <v>7000</v>
      </c>
      <c r="O1825">
        <v>84</v>
      </c>
      <c r="P1825">
        <v>4</v>
      </c>
      <c r="Q1825">
        <v>0</v>
      </c>
      <c r="R1825">
        <v>38771547</v>
      </c>
      <c r="S1825">
        <v>57088.23</v>
      </c>
      <c r="T1825">
        <v>38714458.770000003</v>
      </c>
      <c r="U1825">
        <v>38714458.770000003</v>
      </c>
      <c r="V1825">
        <v>0</v>
      </c>
      <c r="W1825">
        <v>0</v>
      </c>
    </row>
    <row r="1826" spans="1:23" x14ac:dyDescent="0.35">
      <c r="A1826" t="s">
        <v>1</v>
      </c>
      <c r="B1826">
        <v>2000</v>
      </c>
      <c r="C1826">
        <v>96</v>
      </c>
      <c r="D1826">
        <v>2</v>
      </c>
      <c r="E1826">
        <v>0</v>
      </c>
      <c r="F1826">
        <v>28350828</v>
      </c>
      <c r="G1826">
        <v>97804.68</v>
      </c>
      <c r="H1826">
        <v>28252100</v>
      </c>
      <c r="I1826">
        <v>28252100</v>
      </c>
      <c r="J1826">
        <v>3.9100000000000002E-4</v>
      </c>
      <c r="K1826">
        <v>3.9100000000000002E-4</v>
      </c>
      <c r="M1826" t="s">
        <v>3</v>
      </c>
      <c r="N1826">
        <v>6250</v>
      </c>
      <c r="O1826">
        <v>84</v>
      </c>
      <c r="P1826">
        <v>1</v>
      </c>
      <c r="Q1826">
        <v>0</v>
      </c>
      <c r="R1826">
        <v>7645386</v>
      </c>
      <c r="S1826">
        <v>12685.53</v>
      </c>
      <c r="T1826">
        <v>7632700.4699999997</v>
      </c>
      <c r="U1826">
        <v>7632700.4699999997</v>
      </c>
      <c r="V1826">
        <v>0</v>
      </c>
      <c r="W1826">
        <v>0</v>
      </c>
    </row>
    <row r="1827" spans="1:23" x14ac:dyDescent="0.35">
      <c r="A1827" t="s">
        <v>0</v>
      </c>
      <c r="B1827">
        <v>2000</v>
      </c>
      <c r="C1827">
        <v>84</v>
      </c>
      <c r="D1827">
        <v>8</v>
      </c>
      <c r="E1827">
        <v>0</v>
      </c>
      <c r="F1827">
        <v>95203251</v>
      </c>
      <c r="G1827">
        <v>266586.08</v>
      </c>
      <c r="H1827">
        <v>94909314</v>
      </c>
      <c r="I1827">
        <v>94909314</v>
      </c>
      <c r="J1827">
        <v>3.4420000000000002E-3</v>
      </c>
      <c r="K1827">
        <v>3.4420000000000002E-3</v>
      </c>
      <c r="M1827" t="s">
        <v>1</v>
      </c>
      <c r="N1827">
        <v>2250</v>
      </c>
      <c r="O1827">
        <v>84</v>
      </c>
      <c r="P1827">
        <v>2</v>
      </c>
      <c r="Q1827">
        <v>0</v>
      </c>
      <c r="R1827">
        <v>34566955</v>
      </c>
      <c r="S1827">
        <v>94715.59</v>
      </c>
      <c r="T1827">
        <v>34472239.409999996</v>
      </c>
      <c r="U1827">
        <v>34472239.409999996</v>
      </c>
      <c r="V1827">
        <v>0</v>
      </c>
      <c r="W1827">
        <v>0</v>
      </c>
    </row>
    <row r="1828" spans="1:23" x14ac:dyDescent="0.35">
      <c r="A1828" t="s">
        <v>3</v>
      </c>
      <c r="B1828">
        <v>3000</v>
      </c>
      <c r="C1828">
        <v>84</v>
      </c>
      <c r="D1828">
        <v>2</v>
      </c>
      <c r="E1828">
        <v>0</v>
      </c>
      <c r="F1828">
        <v>39785519</v>
      </c>
      <c r="G1828">
        <v>96049.05</v>
      </c>
      <c r="H1828">
        <v>39743606</v>
      </c>
      <c r="I1828">
        <v>39743606</v>
      </c>
      <c r="J1828">
        <v>-1.6451E-2</v>
      </c>
      <c r="K1828">
        <v>-1.6451E-2</v>
      </c>
      <c r="M1828" t="s">
        <v>1</v>
      </c>
      <c r="N1828">
        <v>6500</v>
      </c>
      <c r="O1828">
        <v>84</v>
      </c>
      <c r="P1828">
        <v>2</v>
      </c>
      <c r="Q1828">
        <v>0</v>
      </c>
      <c r="R1828">
        <v>33768845</v>
      </c>
      <c r="S1828">
        <v>51686.38</v>
      </c>
      <c r="T1828">
        <v>33717158.619999997</v>
      </c>
      <c r="U1828">
        <v>33717158.619999997</v>
      </c>
      <c r="V1828">
        <v>0</v>
      </c>
      <c r="W1828">
        <v>0</v>
      </c>
    </row>
    <row r="1829" spans="1:23" x14ac:dyDescent="0.35">
      <c r="A1829" t="s">
        <v>0</v>
      </c>
      <c r="B1829">
        <v>6500</v>
      </c>
      <c r="C1829">
        <v>72</v>
      </c>
      <c r="D1829">
        <v>2</v>
      </c>
      <c r="E1829">
        <v>0</v>
      </c>
      <c r="F1829">
        <v>24868165</v>
      </c>
      <c r="G1829">
        <v>36398.26</v>
      </c>
      <c r="H1829">
        <v>24823303</v>
      </c>
      <c r="I1829">
        <v>24823303</v>
      </c>
      <c r="J1829">
        <v>4.0759999999999998E-3</v>
      </c>
      <c r="K1829">
        <v>4.0759999999999998E-3</v>
      </c>
      <c r="M1829" t="s">
        <v>1</v>
      </c>
      <c r="N1829">
        <v>2500</v>
      </c>
      <c r="O1829">
        <v>84</v>
      </c>
      <c r="P1829">
        <v>1</v>
      </c>
      <c r="Q1829">
        <v>0</v>
      </c>
      <c r="R1829">
        <v>11637959</v>
      </c>
      <c r="S1829">
        <v>31001.46</v>
      </c>
      <c r="T1829">
        <v>11606957.539999999</v>
      </c>
      <c r="U1829">
        <v>11606957.539999999</v>
      </c>
      <c r="V1829">
        <v>0</v>
      </c>
      <c r="W1829">
        <v>0</v>
      </c>
    </row>
    <row r="1830" spans="1:23" x14ac:dyDescent="0.35">
      <c r="A1830" t="s">
        <v>1</v>
      </c>
      <c r="B1830">
        <v>6250</v>
      </c>
      <c r="C1830">
        <v>72</v>
      </c>
      <c r="D1830">
        <v>2</v>
      </c>
      <c r="E1830">
        <v>0</v>
      </c>
      <c r="F1830">
        <v>24160672</v>
      </c>
      <c r="G1830">
        <v>35704.6</v>
      </c>
      <c r="H1830">
        <v>24103960</v>
      </c>
      <c r="I1830">
        <v>24103960</v>
      </c>
      <c r="J1830">
        <v>1.0383999999999999E-2</v>
      </c>
      <c r="K1830">
        <v>1.0383999999999999E-2</v>
      </c>
      <c r="M1830" t="s">
        <v>1</v>
      </c>
      <c r="N1830">
        <v>2000</v>
      </c>
      <c r="O1830">
        <v>96</v>
      </c>
      <c r="P1830">
        <v>2</v>
      </c>
      <c r="Q1830">
        <v>0</v>
      </c>
      <c r="R1830">
        <v>28449391</v>
      </c>
      <c r="S1830">
        <v>97645.07</v>
      </c>
      <c r="T1830">
        <v>28351745.93</v>
      </c>
      <c r="U1830">
        <v>28351745.93</v>
      </c>
      <c r="V1830">
        <v>0</v>
      </c>
      <c r="W1830">
        <v>0</v>
      </c>
    </row>
    <row r="1831" spans="1:23" x14ac:dyDescent="0.35">
      <c r="A1831" t="s">
        <v>3</v>
      </c>
      <c r="B1831">
        <v>5250</v>
      </c>
      <c r="C1831">
        <v>72</v>
      </c>
      <c r="D1831">
        <v>1</v>
      </c>
      <c r="E1831">
        <v>0</v>
      </c>
      <c r="F1831">
        <v>8933117</v>
      </c>
      <c r="G1831">
        <v>15720.7</v>
      </c>
      <c r="H1831">
        <v>8917302</v>
      </c>
      <c r="I1831">
        <v>8917302</v>
      </c>
      <c r="J1831">
        <v>1.27E-4</v>
      </c>
      <c r="K1831">
        <v>1.27E-4</v>
      </c>
      <c r="M1831" t="s">
        <v>0</v>
      </c>
      <c r="N1831">
        <v>2000</v>
      </c>
      <c r="O1831">
        <v>84</v>
      </c>
      <c r="P1831">
        <v>8</v>
      </c>
      <c r="Q1831">
        <v>0</v>
      </c>
      <c r="R1831">
        <v>97841965</v>
      </c>
      <c r="S1831">
        <v>274836.34999999998</v>
      </c>
      <c r="T1831">
        <v>97567128.650000006</v>
      </c>
      <c r="U1831">
        <v>97567128.650000006</v>
      </c>
      <c r="V1831">
        <v>0</v>
      </c>
      <c r="W1831">
        <v>0</v>
      </c>
    </row>
    <row r="1832" spans="1:23" x14ac:dyDescent="0.35">
      <c r="A1832" t="s">
        <v>0</v>
      </c>
      <c r="B1832">
        <v>2500</v>
      </c>
      <c r="C1832">
        <v>96</v>
      </c>
      <c r="D1832">
        <v>2</v>
      </c>
      <c r="E1832">
        <v>0</v>
      </c>
      <c r="F1832">
        <v>21508076</v>
      </c>
      <c r="G1832">
        <v>60029.57</v>
      </c>
      <c r="H1832">
        <v>21447856</v>
      </c>
      <c r="I1832">
        <v>21447856</v>
      </c>
      <c r="J1832">
        <v>1.06E-4</v>
      </c>
      <c r="K1832">
        <v>1.06E-4</v>
      </c>
      <c r="M1832" t="s">
        <v>3</v>
      </c>
      <c r="N1832">
        <v>3000</v>
      </c>
      <c r="O1832">
        <v>84</v>
      </c>
      <c r="P1832">
        <v>1</v>
      </c>
      <c r="Q1832">
        <v>0</v>
      </c>
      <c r="R1832">
        <v>17596194</v>
      </c>
      <c r="S1832">
        <v>41996.91</v>
      </c>
      <c r="T1832">
        <v>17554197.09</v>
      </c>
      <c r="U1832">
        <v>17554197.09</v>
      </c>
      <c r="V1832">
        <v>0</v>
      </c>
      <c r="W1832">
        <v>0</v>
      </c>
    </row>
    <row r="1833" spans="1:23" x14ac:dyDescent="0.35">
      <c r="A1833" t="s">
        <v>0</v>
      </c>
      <c r="B1833">
        <v>2500</v>
      </c>
      <c r="C1833">
        <v>108</v>
      </c>
      <c r="D1833">
        <v>3</v>
      </c>
      <c r="E1833">
        <v>0</v>
      </c>
      <c r="F1833">
        <v>5956938</v>
      </c>
      <c r="G1833">
        <v>17836.39</v>
      </c>
      <c r="H1833">
        <v>5935378</v>
      </c>
      <c r="I1833">
        <v>5935378</v>
      </c>
      <c r="J1833">
        <v>7.4749999999999999E-3</v>
      </c>
      <c r="K1833">
        <v>7.4749999999999999E-3</v>
      </c>
      <c r="M1833" t="s">
        <v>3</v>
      </c>
      <c r="N1833">
        <v>5500</v>
      </c>
      <c r="O1833">
        <v>72</v>
      </c>
      <c r="P1833">
        <v>1</v>
      </c>
      <c r="Q1833">
        <v>0</v>
      </c>
      <c r="R1833">
        <v>5629676</v>
      </c>
      <c r="S1833">
        <v>9444.1</v>
      </c>
      <c r="T1833">
        <v>5620231.9000000004</v>
      </c>
      <c r="U1833">
        <v>5620231.9000000004</v>
      </c>
      <c r="V1833">
        <v>0</v>
      </c>
      <c r="W1833">
        <v>0</v>
      </c>
    </row>
    <row r="1834" spans="1:23" x14ac:dyDescent="0.35">
      <c r="A1834" t="s">
        <v>1</v>
      </c>
      <c r="B1834">
        <v>6000</v>
      </c>
      <c r="C1834">
        <v>72</v>
      </c>
      <c r="D1834">
        <v>1</v>
      </c>
      <c r="E1834">
        <v>0</v>
      </c>
      <c r="F1834">
        <v>22869298</v>
      </c>
      <c r="G1834">
        <v>35208.019999999997</v>
      </c>
      <c r="H1834">
        <v>22833816</v>
      </c>
      <c r="I1834">
        <v>22833816</v>
      </c>
      <c r="J1834">
        <v>1.44E-4</v>
      </c>
      <c r="K1834">
        <v>1.44E-4</v>
      </c>
      <c r="M1834" t="s">
        <v>3</v>
      </c>
      <c r="N1834">
        <v>5750</v>
      </c>
      <c r="O1834">
        <v>72</v>
      </c>
      <c r="P1834">
        <v>1</v>
      </c>
      <c r="Q1834">
        <v>0</v>
      </c>
      <c r="R1834">
        <v>6602741</v>
      </c>
      <c r="S1834">
        <v>10877.8</v>
      </c>
      <c r="T1834">
        <v>6591863.2000000002</v>
      </c>
      <c r="U1834">
        <v>6591863.2000000002</v>
      </c>
      <c r="V1834">
        <v>0</v>
      </c>
      <c r="W1834">
        <v>0</v>
      </c>
    </row>
    <row r="1835" spans="1:23" x14ac:dyDescent="0.35">
      <c r="A1835" t="s">
        <v>0</v>
      </c>
      <c r="B1835">
        <v>2250</v>
      </c>
      <c r="C1835">
        <v>108</v>
      </c>
      <c r="D1835">
        <v>1</v>
      </c>
      <c r="E1835">
        <v>0</v>
      </c>
      <c r="F1835">
        <v>9336157</v>
      </c>
      <c r="G1835">
        <v>28872.53</v>
      </c>
      <c r="H1835">
        <v>9305057</v>
      </c>
      <c r="I1835">
        <v>9305057</v>
      </c>
      <c r="J1835">
        <v>2.859E-3</v>
      </c>
      <c r="K1835">
        <v>2.859E-3</v>
      </c>
      <c r="M1835" t="s">
        <v>0</v>
      </c>
      <c r="N1835">
        <v>7000</v>
      </c>
      <c r="O1835">
        <v>72</v>
      </c>
      <c r="P1835">
        <v>1</v>
      </c>
      <c r="Q1835">
        <v>0</v>
      </c>
      <c r="R1835">
        <v>5757839</v>
      </c>
      <c r="S1835">
        <v>7740.05</v>
      </c>
      <c r="T1835">
        <v>5750098.9500000002</v>
      </c>
      <c r="U1835">
        <v>5750098.9500000002</v>
      </c>
      <c r="V1835">
        <v>0</v>
      </c>
      <c r="W1835">
        <v>0</v>
      </c>
    </row>
    <row r="1836" spans="1:23" x14ac:dyDescent="0.35">
      <c r="A1836" t="s">
        <v>2</v>
      </c>
      <c r="B1836">
        <v>6000</v>
      </c>
      <c r="C1836">
        <v>72</v>
      </c>
      <c r="D1836">
        <v>4</v>
      </c>
      <c r="E1836">
        <v>0</v>
      </c>
      <c r="F1836">
        <v>35438935</v>
      </c>
      <c r="G1836">
        <v>57309.61</v>
      </c>
      <c r="H1836">
        <v>35421793</v>
      </c>
      <c r="I1836">
        <v>35421793</v>
      </c>
      <c r="J1836">
        <v>-1.3686E-2</v>
      </c>
      <c r="K1836">
        <v>-1.3686E-2</v>
      </c>
      <c r="M1836" t="s">
        <v>0</v>
      </c>
      <c r="N1836">
        <v>6500</v>
      </c>
      <c r="O1836">
        <v>72</v>
      </c>
      <c r="P1836">
        <v>2</v>
      </c>
      <c r="Q1836">
        <v>0</v>
      </c>
      <c r="R1836">
        <v>24904468</v>
      </c>
      <c r="S1836">
        <v>36206.06</v>
      </c>
      <c r="T1836">
        <v>24868261.940000001</v>
      </c>
      <c r="U1836">
        <v>24868261.940000001</v>
      </c>
      <c r="V1836">
        <v>0</v>
      </c>
      <c r="W1836">
        <v>0</v>
      </c>
    </row>
    <row r="1837" spans="1:23" x14ac:dyDescent="0.35">
      <c r="A1837" t="s">
        <v>2</v>
      </c>
      <c r="B1837">
        <v>2500</v>
      </c>
      <c r="C1837">
        <v>144</v>
      </c>
      <c r="D1837">
        <v>1</v>
      </c>
      <c r="E1837">
        <v>0</v>
      </c>
      <c r="F1837">
        <v>8529452</v>
      </c>
      <c r="G1837">
        <v>27720.99</v>
      </c>
      <c r="H1837">
        <v>8501233</v>
      </c>
      <c r="I1837">
        <v>8501233</v>
      </c>
      <c r="J1837">
        <v>6.9999999999999999E-4</v>
      </c>
      <c r="K1837">
        <v>6.9999999999999999E-4</v>
      </c>
      <c r="M1837" t="s">
        <v>1</v>
      </c>
      <c r="N1837">
        <v>6250</v>
      </c>
      <c r="O1837">
        <v>72</v>
      </c>
      <c r="P1837">
        <v>2</v>
      </c>
      <c r="Q1837">
        <v>0</v>
      </c>
      <c r="R1837">
        <v>24207142</v>
      </c>
      <c r="S1837">
        <v>35535.22</v>
      </c>
      <c r="T1837">
        <v>24171606.780000001</v>
      </c>
      <c r="U1837">
        <v>24171606.780000001</v>
      </c>
      <c r="V1837">
        <v>0</v>
      </c>
      <c r="W1837">
        <v>0</v>
      </c>
    </row>
    <row r="1838" spans="1:23" x14ac:dyDescent="0.35">
      <c r="A1838" t="s">
        <v>0</v>
      </c>
      <c r="B1838">
        <v>2250</v>
      </c>
      <c r="C1838">
        <v>96</v>
      </c>
      <c r="D1838">
        <v>3</v>
      </c>
      <c r="E1838">
        <v>0</v>
      </c>
      <c r="F1838">
        <v>33002831</v>
      </c>
      <c r="G1838">
        <v>93966.36</v>
      </c>
      <c r="H1838">
        <v>32935836</v>
      </c>
      <c r="I1838">
        <v>32935836</v>
      </c>
      <c r="J1838">
        <v>-9.8510000000000004E-3</v>
      </c>
      <c r="K1838">
        <v>-9.8510000000000004E-3</v>
      </c>
      <c r="M1838" t="s">
        <v>0</v>
      </c>
      <c r="N1838">
        <v>2500</v>
      </c>
      <c r="O1838">
        <v>96</v>
      </c>
      <c r="P1838">
        <v>2</v>
      </c>
      <c r="Q1838">
        <v>0</v>
      </c>
      <c r="R1838">
        <v>21568174</v>
      </c>
      <c r="S1838">
        <v>59908.45</v>
      </c>
      <c r="T1838">
        <v>21508265.550000001</v>
      </c>
      <c r="U1838">
        <v>21508265.550000001</v>
      </c>
      <c r="V1838">
        <v>0</v>
      </c>
      <c r="W1838">
        <v>0</v>
      </c>
    </row>
    <row r="1839" spans="1:23" x14ac:dyDescent="0.35">
      <c r="A1839" t="s">
        <v>2</v>
      </c>
      <c r="B1839">
        <v>2750</v>
      </c>
      <c r="C1839">
        <v>108</v>
      </c>
      <c r="D1839">
        <v>1</v>
      </c>
      <c r="E1839">
        <v>0</v>
      </c>
      <c r="F1839">
        <v>9033289</v>
      </c>
      <c r="G1839">
        <v>26947.16</v>
      </c>
      <c r="H1839">
        <v>9006194</v>
      </c>
      <c r="I1839">
        <v>9006194</v>
      </c>
      <c r="J1839">
        <v>1.9599999999999999E-4</v>
      </c>
      <c r="K1839">
        <v>1.9599999999999999E-4</v>
      </c>
      <c r="M1839" t="s">
        <v>0</v>
      </c>
      <c r="N1839">
        <v>2250</v>
      </c>
      <c r="O1839">
        <v>108</v>
      </c>
      <c r="P1839">
        <v>1</v>
      </c>
      <c r="Q1839">
        <v>0</v>
      </c>
      <c r="R1839">
        <v>9367199</v>
      </c>
      <c r="S1839">
        <v>28825.34</v>
      </c>
      <c r="T1839">
        <v>9338373.6600000001</v>
      </c>
      <c r="U1839">
        <v>9338373.6600000001</v>
      </c>
      <c r="V1839">
        <v>0</v>
      </c>
      <c r="W1839">
        <v>0</v>
      </c>
    </row>
    <row r="1840" spans="1:23" x14ac:dyDescent="0.35">
      <c r="A1840" t="s">
        <v>2</v>
      </c>
      <c r="B1840">
        <v>2000</v>
      </c>
      <c r="C1840">
        <v>144</v>
      </c>
      <c r="D1840">
        <v>2</v>
      </c>
      <c r="E1840">
        <v>0</v>
      </c>
      <c r="F1840">
        <v>14898477</v>
      </c>
      <c r="G1840">
        <v>58876.37</v>
      </c>
      <c r="H1840">
        <v>14839630</v>
      </c>
      <c r="I1840">
        <v>14839630</v>
      </c>
      <c r="J1840">
        <v>-2.4000000000000001E-5</v>
      </c>
      <c r="K1840">
        <v>-2.4000000000000001E-5</v>
      </c>
      <c r="M1840" t="s">
        <v>2</v>
      </c>
      <c r="N1840">
        <v>6000</v>
      </c>
      <c r="O1840">
        <v>72</v>
      </c>
      <c r="P1840">
        <v>3</v>
      </c>
      <c r="Q1840">
        <v>0</v>
      </c>
      <c r="R1840">
        <v>24878290</v>
      </c>
      <c r="S1840">
        <v>38109.78</v>
      </c>
      <c r="T1840">
        <v>24840180.219999999</v>
      </c>
      <c r="U1840">
        <v>24840180.219999999</v>
      </c>
      <c r="V1840">
        <v>0</v>
      </c>
      <c r="W1840">
        <v>0</v>
      </c>
    </row>
    <row r="1841" spans="1:23" x14ac:dyDescent="0.35">
      <c r="A1841" t="s">
        <v>1</v>
      </c>
      <c r="B1841">
        <v>2000</v>
      </c>
      <c r="C1841">
        <v>72</v>
      </c>
      <c r="D1841">
        <v>2134</v>
      </c>
      <c r="E1841">
        <v>0</v>
      </c>
      <c r="F1841">
        <v>59250797735</v>
      </c>
      <c r="G1841">
        <v>156154083.91999999</v>
      </c>
      <c r="H1841">
        <v>58763710811</v>
      </c>
      <c r="I1841">
        <v>59043415830.410004</v>
      </c>
      <c r="J1841">
        <v>6.5002000000000004E-2</v>
      </c>
      <c r="K1841">
        <v>1.0326E-2</v>
      </c>
      <c r="M1841" t="s">
        <v>2</v>
      </c>
      <c r="N1841">
        <v>2500</v>
      </c>
      <c r="O1841">
        <v>144</v>
      </c>
      <c r="P1841">
        <v>1</v>
      </c>
      <c r="Q1841">
        <v>0</v>
      </c>
      <c r="R1841">
        <v>8557613</v>
      </c>
      <c r="S1841">
        <v>27664.97</v>
      </c>
      <c r="T1841">
        <v>8529948.0299999993</v>
      </c>
      <c r="U1841">
        <v>8529948.0299999993</v>
      </c>
      <c r="V1841">
        <v>0</v>
      </c>
      <c r="W1841">
        <v>0</v>
      </c>
    </row>
    <row r="1842" spans="1:23" x14ac:dyDescent="0.35">
      <c r="A1842" t="s">
        <v>0</v>
      </c>
      <c r="B1842">
        <v>2000</v>
      </c>
      <c r="C1842">
        <v>72</v>
      </c>
      <c r="D1842">
        <v>169</v>
      </c>
      <c r="E1842">
        <v>0</v>
      </c>
      <c r="F1842">
        <v>4017816095</v>
      </c>
      <c r="G1842">
        <v>10527517.529999999</v>
      </c>
      <c r="H1842">
        <v>4007178819</v>
      </c>
      <c r="I1842">
        <v>4007178819</v>
      </c>
      <c r="J1842">
        <v>3.28E-4</v>
      </c>
      <c r="K1842">
        <v>3.28E-4</v>
      </c>
      <c r="M1842" t="s">
        <v>0</v>
      </c>
      <c r="N1842">
        <v>2250</v>
      </c>
      <c r="O1842">
        <v>96</v>
      </c>
      <c r="P1842">
        <v>2</v>
      </c>
      <c r="Q1842">
        <v>0</v>
      </c>
      <c r="R1842">
        <v>23773084</v>
      </c>
      <c r="S1842">
        <v>67570.929999999993</v>
      </c>
      <c r="T1842">
        <v>23705513.07</v>
      </c>
      <c r="U1842">
        <v>23705513.07</v>
      </c>
      <c r="V1842">
        <v>0</v>
      </c>
      <c r="W1842">
        <v>0</v>
      </c>
    </row>
    <row r="1843" spans="1:23" x14ac:dyDescent="0.35">
      <c r="A1843" t="s">
        <v>2</v>
      </c>
      <c r="B1843">
        <v>2000</v>
      </c>
      <c r="C1843">
        <v>84</v>
      </c>
      <c r="D1843">
        <v>1</v>
      </c>
      <c r="E1843">
        <v>0</v>
      </c>
      <c r="F1843">
        <v>6705402</v>
      </c>
      <c r="G1843">
        <v>18238.82</v>
      </c>
      <c r="H1843">
        <v>6687084</v>
      </c>
      <c r="I1843">
        <v>6687084</v>
      </c>
      <c r="J1843">
        <v>1.4200000000000001E-4</v>
      </c>
      <c r="K1843">
        <v>1.4200000000000001E-4</v>
      </c>
      <c r="M1843" t="s">
        <v>2</v>
      </c>
      <c r="N1843">
        <v>2750</v>
      </c>
      <c r="O1843">
        <v>108</v>
      </c>
      <c r="P1843">
        <v>1</v>
      </c>
      <c r="Q1843">
        <v>0</v>
      </c>
      <c r="R1843">
        <v>9062929</v>
      </c>
      <c r="S1843">
        <v>26893.72</v>
      </c>
      <c r="T1843">
        <v>9036035.2799999993</v>
      </c>
      <c r="U1843">
        <v>9036035.2799999993</v>
      </c>
      <c r="V1843">
        <v>0</v>
      </c>
      <c r="W1843">
        <v>0</v>
      </c>
    </row>
    <row r="1844" spans="1:23" x14ac:dyDescent="0.35">
      <c r="A1844" t="s">
        <v>2</v>
      </c>
      <c r="B1844">
        <v>2000</v>
      </c>
      <c r="C1844">
        <v>72</v>
      </c>
      <c r="D1844">
        <v>29</v>
      </c>
      <c r="E1844">
        <v>0</v>
      </c>
      <c r="F1844">
        <v>417121950</v>
      </c>
      <c r="G1844">
        <v>1099483.1499999999</v>
      </c>
      <c r="H1844">
        <v>390266964</v>
      </c>
      <c r="I1844">
        <v>416022020.79000002</v>
      </c>
      <c r="J1844">
        <v>0.534578</v>
      </c>
      <c r="K1844">
        <v>1.2999999999999999E-5</v>
      </c>
      <c r="M1844" t="s">
        <v>2</v>
      </c>
      <c r="N1844">
        <v>2000</v>
      </c>
      <c r="O1844">
        <v>144</v>
      </c>
      <c r="P1844">
        <v>2</v>
      </c>
      <c r="Q1844">
        <v>0</v>
      </c>
      <c r="R1844">
        <v>14995733</v>
      </c>
      <c r="S1844">
        <v>58929.02</v>
      </c>
      <c r="T1844">
        <v>14936803.98</v>
      </c>
      <c r="U1844">
        <v>14936803.98</v>
      </c>
      <c r="V1844">
        <v>0</v>
      </c>
      <c r="W1844">
        <v>0</v>
      </c>
    </row>
    <row r="1845" spans="1:23" x14ac:dyDescent="0.35">
      <c r="A1845" t="s">
        <v>1</v>
      </c>
      <c r="B1845">
        <v>2250</v>
      </c>
      <c r="C1845">
        <v>144</v>
      </c>
      <c r="D1845">
        <v>1</v>
      </c>
      <c r="E1845">
        <v>0</v>
      </c>
      <c r="F1845">
        <v>16506609</v>
      </c>
      <c r="G1845">
        <v>59689.37</v>
      </c>
      <c r="H1845">
        <v>16446590</v>
      </c>
      <c r="I1845">
        <v>16446590</v>
      </c>
      <c r="J1845">
        <v>2.4000000000000001E-4</v>
      </c>
      <c r="K1845">
        <v>2.4000000000000001E-4</v>
      </c>
      <c r="M1845" t="s">
        <v>1</v>
      </c>
      <c r="N1845">
        <v>2000</v>
      </c>
      <c r="O1845">
        <v>72</v>
      </c>
      <c r="P1845">
        <v>424</v>
      </c>
      <c r="Q1845">
        <v>0</v>
      </c>
      <c r="R1845">
        <v>11244904852</v>
      </c>
      <c r="S1845">
        <v>29704336.75</v>
      </c>
      <c r="T1845">
        <v>11199833079.48</v>
      </c>
      <c r="U1845">
        <v>11215200515.25</v>
      </c>
      <c r="V1845">
        <v>1.6277E-2</v>
      </c>
      <c r="W1845">
        <v>0</v>
      </c>
    </row>
    <row r="1846" spans="1:23" x14ac:dyDescent="0.35">
      <c r="A1846" t="s">
        <v>2</v>
      </c>
      <c r="B1846">
        <v>2000</v>
      </c>
      <c r="C1846">
        <v>120</v>
      </c>
      <c r="D1846">
        <v>2</v>
      </c>
      <c r="E1846">
        <v>0</v>
      </c>
      <c r="F1846">
        <v>20045069</v>
      </c>
      <c r="G1846">
        <v>64600.639999999999</v>
      </c>
      <c r="H1846">
        <v>20002783</v>
      </c>
      <c r="I1846">
        <v>20002783</v>
      </c>
      <c r="J1846">
        <v>-1.3441E-2</v>
      </c>
      <c r="K1846">
        <v>-1.3441E-2</v>
      </c>
      <c r="M1846" t="s">
        <v>0</v>
      </c>
      <c r="N1846">
        <v>2000</v>
      </c>
      <c r="O1846">
        <v>72</v>
      </c>
      <c r="P1846">
        <v>109</v>
      </c>
      <c r="Q1846">
        <v>0</v>
      </c>
      <c r="R1846">
        <v>2510696607</v>
      </c>
      <c r="S1846">
        <v>6572784.2000000002</v>
      </c>
      <c r="T1846">
        <v>2480046580.2199998</v>
      </c>
      <c r="U1846">
        <v>2504123822.8000002</v>
      </c>
      <c r="V1846">
        <v>0.109199</v>
      </c>
      <c r="W1846">
        <v>0</v>
      </c>
    </row>
    <row r="1847" spans="1:23" x14ac:dyDescent="0.35">
      <c r="A1847" t="s">
        <v>2</v>
      </c>
      <c r="B1847">
        <v>2250</v>
      </c>
      <c r="C1847">
        <v>144</v>
      </c>
      <c r="D1847">
        <v>1</v>
      </c>
      <c r="E1847">
        <v>0</v>
      </c>
      <c r="F1847">
        <v>18733944</v>
      </c>
      <c r="G1847">
        <v>63190.12</v>
      </c>
      <c r="H1847">
        <v>18670865</v>
      </c>
      <c r="I1847">
        <v>18670865</v>
      </c>
      <c r="J1847">
        <v>-7.1000000000000005E-5</v>
      </c>
      <c r="K1847">
        <v>-7.1000000000000005E-5</v>
      </c>
      <c r="M1847" t="s">
        <v>2</v>
      </c>
      <c r="N1847">
        <v>2000</v>
      </c>
      <c r="O1847">
        <v>72</v>
      </c>
      <c r="P1847">
        <v>22</v>
      </c>
      <c r="Q1847">
        <v>0</v>
      </c>
      <c r="R1847">
        <v>282706868</v>
      </c>
      <c r="S1847">
        <v>747850.87</v>
      </c>
      <c r="T1847">
        <v>281959017.13</v>
      </c>
      <c r="U1847">
        <v>281959017.13</v>
      </c>
      <c r="V1847">
        <v>0</v>
      </c>
      <c r="W1847">
        <v>0</v>
      </c>
    </row>
    <row r="1848" spans="1:23" x14ac:dyDescent="0.35">
      <c r="A1848" t="s">
        <v>0</v>
      </c>
      <c r="B1848">
        <v>2000</v>
      </c>
      <c r="C1848">
        <v>96</v>
      </c>
      <c r="D1848">
        <v>1</v>
      </c>
      <c r="E1848">
        <v>0</v>
      </c>
      <c r="F1848">
        <v>15128108</v>
      </c>
      <c r="G1848">
        <v>43409.24</v>
      </c>
      <c r="H1848">
        <v>15084454</v>
      </c>
      <c r="I1848">
        <v>15084454</v>
      </c>
      <c r="J1848">
        <v>1.94E-4</v>
      </c>
      <c r="K1848">
        <v>1.94E-4</v>
      </c>
      <c r="M1848" t="s">
        <v>1</v>
      </c>
      <c r="N1848">
        <v>2250</v>
      </c>
      <c r="O1848">
        <v>144</v>
      </c>
      <c r="P1848">
        <v>1</v>
      </c>
      <c r="Q1848">
        <v>0</v>
      </c>
      <c r="R1848">
        <v>16506609</v>
      </c>
      <c r="S1848">
        <v>59363.41</v>
      </c>
      <c r="T1848">
        <v>16447245.59</v>
      </c>
      <c r="U1848">
        <v>16447245.59</v>
      </c>
      <c r="V1848">
        <v>0</v>
      </c>
      <c r="W1848">
        <v>0</v>
      </c>
    </row>
    <row r="1849" spans="1:23" x14ac:dyDescent="0.35">
      <c r="A1849" t="s">
        <v>0</v>
      </c>
      <c r="B1849">
        <v>2000</v>
      </c>
      <c r="C1849">
        <v>108</v>
      </c>
      <c r="D1849">
        <v>2</v>
      </c>
      <c r="E1849">
        <v>0</v>
      </c>
      <c r="F1849">
        <v>16323129</v>
      </c>
      <c r="G1849">
        <v>51004.71</v>
      </c>
      <c r="H1849">
        <v>16289061</v>
      </c>
      <c r="I1849">
        <v>16289061</v>
      </c>
      <c r="J1849">
        <v>-1.2522E-2</v>
      </c>
      <c r="K1849">
        <v>-1.2522E-2</v>
      </c>
      <c r="M1849" t="s">
        <v>2</v>
      </c>
      <c r="N1849">
        <v>2000</v>
      </c>
      <c r="O1849">
        <v>120</v>
      </c>
      <c r="P1849">
        <v>1</v>
      </c>
      <c r="Q1849">
        <v>0</v>
      </c>
      <c r="R1849">
        <v>6924624</v>
      </c>
      <c r="S1849">
        <v>22350.3</v>
      </c>
      <c r="T1849">
        <v>6902273.7000000002</v>
      </c>
      <c r="U1849">
        <v>6902273.7000000002</v>
      </c>
      <c r="V1849">
        <v>0</v>
      </c>
      <c r="W1849">
        <v>0</v>
      </c>
    </row>
    <row r="1850" spans="1:23" x14ac:dyDescent="0.35">
      <c r="A1850" t="s">
        <v>1</v>
      </c>
      <c r="B1850">
        <v>2500</v>
      </c>
      <c r="C1850">
        <v>192</v>
      </c>
      <c r="D1850">
        <v>2</v>
      </c>
      <c r="E1850">
        <v>0</v>
      </c>
      <c r="F1850">
        <v>15724767</v>
      </c>
      <c r="G1850">
        <v>71438.460000000006</v>
      </c>
      <c r="H1850">
        <v>15652670</v>
      </c>
      <c r="I1850">
        <v>15652670</v>
      </c>
      <c r="J1850">
        <v>5.0199999999999995E-4</v>
      </c>
      <c r="K1850">
        <v>5.0199999999999995E-4</v>
      </c>
      <c r="M1850" t="s">
        <v>2</v>
      </c>
      <c r="N1850">
        <v>2250</v>
      </c>
      <c r="O1850">
        <v>144</v>
      </c>
      <c r="P1850">
        <v>1</v>
      </c>
      <c r="Q1850">
        <v>0</v>
      </c>
      <c r="R1850">
        <v>18796910</v>
      </c>
      <c r="S1850">
        <v>63076.73</v>
      </c>
      <c r="T1850">
        <v>18733833.27</v>
      </c>
      <c r="U1850">
        <v>18733833.27</v>
      </c>
      <c r="V1850">
        <v>0</v>
      </c>
      <c r="W1850">
        <v>0</v>
      </c>
    </row>
    <row r="1851" spans="1:23" x14ac:dyDescent="0.35">
      <c r="A1851" t="s">
        <v>2</v>
      </c>
      <c r="B1851">
        <v>6250</v>
      </c>
      <c r="C1851">
        <v>72</v>
      </c>
      <c r="D1851">
        <v>1</v>
      </c>
      <c r="E1851">
        <v>0</v>
      </c>
      <c r="F1851">
        <v>14959128</v>
      </c>
      <c r="G1851">
        <v>21183.56</v>
      </c>
      <c r="H1851">
        <v>14937401</v>
      </c>
      <c r="I1851">
        <v>14937401</v>
      </c>
      <c r="J1851">
        <v>4.3600000000000003E-4</v>
      </c>
      <c r="K1851">
        <v>4.3600000000000003E-4</v>
      </c>
      <c r="M1851" t="s">
        <v>2</v>
      </c>
      <c r="N1851">
        <v>2000</v>
      </c>
      <c r="O1851">
        <v>108</v>
      </c>
      <c r="P1851">
        <v>2</v>
      </c>
      <c r="Q1851">
        <v>0</v>
      </c>
      <c r="R1851">
        <v>25242495</v>
      </c>
      <c r="S1851">
        <v>79060.240000000005</v>
      </c>
      <c r="T1851">
        <v>25163434.760000002</v>
      </c>
      <c r="U1851">
        <v>25163434.760000002</v>
      </c>
      <c r="V1851">
        <v>0</v>
      </c>
      <c r="W1851">
        <v>0</v>
      </c>
    </row>
    <row r="1852" spans="1:23" x14ac:dyDescent="0.35">
      <c r="A1852" t="s">
        <v>2</v>
      </c>
      <c r="B1852">
        <v>2000</v>
      </c>
      <c r="C1852">
        <v>192</v>
      </c>
      <c r="D1852">
        <v>3</v>
      </c>
      <c r="E1852">
        <v>0</v>
      </c>
      <c r="F1852">
        <v>25476450</v>
      </c>
      <c r="G1852">
        <v>149427.82999999999</v>
      </c>
      <c r="H1852">
        <v>25272642</v>
      </c>
      <c r="I1852">
        <v>25272642</v>
      </c>
      <c r="J1852">
        <v>2.5316000000000002E-2</v>
      </c>
      <c r="K1852">
        <v>2.5316000000000002E-2</v>
      </c>
      <c r="M1852" t="s">
        <v>0</v>
      </c>
      <c r="N1852">
        <v>2000</v>
      </c>
      <c r="O1852">
        <v>108</v>
      </c>
      <c r="P1852">
        <v>2</v>
      </c>
      <c r="Q1852">
        <v>0</v>
      </c>
      <c r="R1852">
        <v>16357140</v>
      </c>
      <c r="S1852">
        <v>50868.59</v>
      </c>
      <c r="T1852">
        <v>16306271.41</v>
      </c>
      <c r="U1852">
        <v>16306271.41</v>
      </c>
      <c r="V1852">
        <v>0</v>
      </c>
      <c r="W1852">
        <v>0</v>
      </c>
    </row>
    <row r="1853" spans="1:23" x14ac:dyDescent="0.35">
      <c r="A1853" t="s">
        <v>3</v>
      </c>
      <c r="B1853">
        <v>2500</v>
      </c>
      <c r="C1853">
        <v>60</v>
      </c>
      <c r="D1853">
        <v>124</v>
      </c>
      <c r="E1853">
        <v>0</v>
      </c>
      <c r="F1853">
        <v>2581598463</v>
      </c>
      <c r="G1853">
        <v>6220561.5800000001</v>
      </c>
      <c r="H1853">
        <v>2559769119</v>
      </c>
      <c r="I1853">
        <v>2573551382.3400002</v>
      </c>
      <c r="J1853">
        <v>7.0189000000000001E-2</v>
      </c>
      <c r="K1853">
        <v>8.4569999999999992E-3</v>
      </c>
      <c r="M1853" t="s">
        <v>1</v>
      </c>
      <c r="N1853">
        <v>2500</v>
      </c>
      <c r="O1853">
        <v>192</v>
      </c>
      <c r="P1853">
        <v>1</v>
      </c>
      <c r="Q1853">
        <v>0</v>
      </c>
      <c r="R1853">
        <v>10603661</v>
      </c>
      <c r="S1853">
        <v>49268.09</v>
      </c>
      <c r="T1853">
        <v>10554392.91</v>
      </c>
      <c r="U1853">
        <v>10554392.91</v>
      </c>
      <c r="V1853">
        <v>0</v>
      </c>
      <c r="W1853">
        <v>0</v>
      </c>
    </row>
    <row r="1854" spans="1:23" x14ac:dyDescent="0.35">
      <c r="A1854" t="s">
        <v>3</v>
      </c>
      <c r="B1854">
        <v>2250</v>
      </c>
      <c r="C1854">
        <v>60</v>
      </c>
      <c r="D1854">
        <v>59</v>
      </c>
      <c r="E1854">
        <v>0</v>
      </c>
      <c r="F1854">
        <v>1274578787</v>
      </c>
      <c r="G1854">
        <v>3152399.27</v>
      </c>
      <c r="H1854">
        <v>1271088442</v>
      </c>
      <c r="I1854">
        <v>1271088442</v>
      </c>
      <c r="J1854">
        <v>3.1770000000000001E-3</v>
      </c>
      <c r="K1854">
        <v>3.1770000000000001E-3</v>
      </c>
      <c r="M1854" t="s">
        <v>2</v>
      </c>
      <c r="N1854">
        <v>6250</v>
      </c>
      <c r="O1854">
        <v>72</v>
      </c>
      <c r="P1854">
        <v>1</v>
      </c>
      <c r="Q1854">
        <v>0</v>
      </c>
      <c r="R1854">
        <v>14980742</v>
      </c>
      <c r="S1854">
        <v>21074.560000000001</v>
      </c>
      <c r="T1854">
        <v>14959667.439999999</v>
      </c>
      <c r="U1854">
        <v>14959667.439999999</v>
      </c>
      <c r="V1854">
        <v>0</v>
      </c>
      <c r="W1854">
        <v>0</v>
      </c>
    </row>
    <row r="1855" spans="1:23" x14ac:dyDescent="0.35">
      <c r="A1855" t="s">
        <v>0</v>
      </c>
      <c r="B1855">
        <v>5500</v>
      </c>
      <c r="C1855">
        <v>60</v>
      </c>
      <c r="D1855">
        <v>9</v>
      </c>
      <c r="E1855">
        <v>0</v>
      </c>
      <c r="F1855">
        <v>155823564</v>
      </c>
      <c r="G1855">
        <v>241946.36</v>
      </c>
      <c r="H1855">
        <v>155518666</v>
      </c>
      <c r="I1855">
        <v>155518666</v>
      </c>
      <c r="J1855">
        <v>4.8370000000000002E-3</v>
      </c>
      <c r="K1855">
        <v>4.8370000000000002E-3</v>
      </c>
      <c r="M1855" t="s">
        <v>0</v>
      </c>
      <c r="N1855">
        <v>5500</v>
      </c>
      <c r="O1855">
        <v>60</v>
      </c>
      <c r="P1855">
        <v>9</v>
      </c>
      <c r="Q1855">
        <v>0</v>
      </c>
      <c r="R1855">
        <v>145748493</v>
      </c>
      <c r="S1855">
        <v>225968.79</v>
      </c>
      <c r="T1855">
        <v>145522524.21000001</v>
      </c>
      <c r="U1855">
        <v>145522524.21000001</v>
      </c>
      <c r="V1855">
        <v>0</v>
      </c>
      <c r="W1855">
        <v>0</v>
      </c>
    </row>
    <row r="1856" spans="1:23" x14ac:dyDescent="0.35">
      <c r="A1856" t="s">
        <v>0</v>
      </c>
      <c r="B1856">
        <v>5750</v>
      </c>
      <c r="C1856">
        <v>60</v>
      </c>
      <c r="D1856">
        <v>17</v>
      </c>
      <c r="E1856">
        <v>0</v>
      </c>
      <c r="F1856">
        <v>263204370</v>
      </c>
      <c r="G1856">
        <v>392045.16</v>
      </c>
      <c r="H1856">
        <v>262781871</v>
      </c>
      <c r="I1856">
        <v>262781871</v>
      </c>
      <c r="J1856">
        <v>1.3879999999999999E-3</v>
      </c>
      <c r="K1856">
        <v>1.3879999999999999E-3</v>
      </c>
      <c r="M1856" t="s">
        <v>2</v>
      </c>
      <c r="N1856">
        <v>5750</v>
      </c>
      <c r="O1856">
        <v>60</v>
      </c>
      <c r="P1856">
        <v>5</v>
      </c>
      <c r="Q1856">
        <v>0</v>
      </c>
      <c r="R1856">
        <v>43892448</v>
      </c>
      <c r="S1856">
        <v>65088.18</v>
      </c>
      <c r="T1856">
        <v>43827359.82</v>
      </c>
      <c r="U1856">
        <v>43827359.82</v>
      </c>
      <c r="V1856">
        <v>0</v>
      </c>
      <c r="W1856">
        <v>0</v>
      </c>
    </row>
    <row r="1857" spans="1:23" x14ac:dyDescent="0.35">
      <c r="A1857" t="s">
        <v>2</v>
      </c>
      <c r="B1857">
        <v>5750</v>
      </c>
      <c r="C1857">
        <v>60</v>
      </c>
      <c r="D1857">
        <v>7</v>
      </c>
      <c r="E1857">
        <v>0</v>
      </c>
      <c r="F1857">
        <v>77285909</v>
      </c>
      <c r="G1857">
        <v>119192.41</v>
      </c>
      <c r="H1857">
        <v>77187541</v>
      </c>
      <c r="I1857">
        <v>77187541</v>
      </c>
      <c r="J1857">
        <v>-3.238E-3</v>
      </c>
      <c r="K1857">
        <v>-3.238E-3</v>
      </c>
      <c r="M1857" t="s">
        <v>0</v>
      </c>
      <c r="N1857">
        <v>6000</v>
      </c>
      <c r="O1857">
        <v>60</v>
      </c>
      <c r="P1857">
        <v>1</v>
      </c>
      <c r="Q1857">
        <v>0</v>
      </c>
      <c r="R1857">
        <v>20412003</v>
      </c>
      <c r="S1857">
        <v>30025.8</v>
      </c>
      <c r="T1857">
        <v>20381977.199999999</v>
      </c>
      <c r="U1857">
        <v>20381977.199999999</v>
      </c>
      <c r="V1857">
        <v>0</v>
      </c>
      <c r="W1857">
        <v>0</v>
      </c>
    </row>
    <row r="1858" spans="1:23" x14ac:dyDescent="0.35">
      <c r="A1858" t="s">
        <v>1</v>
      </c>
      <c r="B1858">
        <v>6250</v>
      </c>
      <c r="C1858">
        <v>60</v>
      </c>
      <c r="D1858">
        <v>1</v>
      </c>
      <c r="E1858">
        <v>0</v>
      </c>
      <c r="F1858">
        <v>14469357</v>
      </c>
      <c r="G1858">
        <v>20088.68</v>
      </c>
      <c r="H1858">
        <v>14469357</v>
      </c>
      <c r="I1858">
        <v>14469357</v>
      </c>
      <c r="J1858">
        <v>-1.6788000000000001E-2</v>
      </c>
      <c r="K1858">
        <v>-1.6788000000000001E-2</v>
      </c>
      <c r="M1858" t="s">
        <v>0</v>
      </c>
      <c r="N1858">
        <v>6250</v>
      </c>
      <c r="O1858">
        <v>60</v>
      </c>
      <c r="P1858">
        <v>4</v>
      </c>
      <c r="Q1858">
        <v>0</v>
      </c>
      <c r="R1858">
        <v>55055379</v>
      </c>
      <c r="S1858">
        <v>75166.78</v>
      </c>
      <c r="T1858">
        <v>54980212.219999999</v>
      </c>
      <c r="U1858">
        <v>54980212.219999999</v>
      </c>
      <c r="V1858">
        <v>0</v>
      </c>
      <c r="W1858">
        <v>0</v>
      </c>
    </row>
    <row r="1859" spans="1:23" x14ac:dyDescent="0.35">
      <c r="A1859" t="s">
        <v>2</v>
      </c>
      <c r="B1859">
        <v>5500</v>
      </c>
      <c r="C1859">
        <v>60</v>
      </c>
      <c r="D1859">
        <v>15</v>
      </c>
      <c r="E1859">
        <v>0</v>
      </c>
      <c r="F1859">
        <v>152025286</v>
      </c>
      <c r="G1859">
        <v>255300.44</v>
      </c>
      <c r="H1859">
        <v>151768312</v>
      </c>
      <c r="I1859">
        <v>151768312</v>
      </c>
      <c r="J1859">
        <v>1.3200000000000001E-4</v>
      </c>
      <c r="K1859">
        <v>1.3200000000000001E-4</v>
      </c>
      <c r="M1859" t="s">
        <v>2</v>
      </c>
      <c r="N1859">
        <v>2000</v>
      </c>
      <c r="O1859">
        <v>192</v>
      </c>
      <c r="P1859">
        <v>3</v>
      </c>
      <c r="Q1859">
        <v>0</v>
      </c>
      <c r="R1859">
        <v>25675610</v>
      </c>
      <c r="S1859">
        <v>149470.5</v>
      </c>
      <c r="T1859">
        <v>25526139.5</v>
      </c>
      <c r="U1859">
        <v>25526139.5</v>
      </c>
      <c r="V1859">
        <v>0</v>
      </c>
      <c r="W1859">
        <v>0</v>
      </c>
    </row>
    <row r="1860" spans="1:23" x14ac:dyDescent="0.35">
      <c r="A1860" t="s">
        <v>3</v>
      </c>
      <c r="B1860">
        <v>4500</v>
      </c>
      <c r="C1860">
        <v>60</v>
      </c>
      <c r="D1860">
        <v>1</v>
      </c>
      <c r="E1860">
        <v>0</v>
      </c>
      <c r="F1860">
        <v>30963656</v>
      </c>
      <c r="G1860">
        <v>55375.6</v>
      </c>
      <c r="H1860">
        <v>30854441</v>
      </c>
      <c r="I1860">
        <v>30854441</v>
      </c>
      <c r="J1860">
        <v>2.0667000000000001E-2</v>
      </c>
      <c r="K1860">
        <v>2.0667000000000001E-2</v>
      </c>
      <c r="M1860" t="s">
        <v>0</v>
      </c>
      <c r="N1860">
        <v>5750</v>
      </c>
      <c r="O1860">
        <v>60</v>
      </c>
      <c r="P1860">
        <v>15</v>
      </c>
      <c r="Q1860">
        <v>0</v>
      </c>
      <c r="R1860">
        <v>229548135</v>
      </c>
      <c r="S1860">
        <v>341020.89</v>
      </c>
      <c r="T1860">
        <v>229207114.11000001</v>
      </c>
      <c r="U1860">
        <v>229207114.11000001</v>
      </c>
      <c r="V1860">
        <v>0</v>
      </c>
      <c r="W1860">
        <v>0</v>
      </c>
    </row>
    <row r="1861" spans="1:23" x14ac:dyDescent="0.35">
      <c r="A1861" t="s">
        <v>1</v>
      </c>
      <c r="B1861">
        <v>2000</v>
      </c>
      <c r="C1861">
        <v>84</v>
      </c>
      <c r="D1861">
        <v>1</v>
      </c>
      <c r="E1861">
        <v>0</v>
      </c>
      <c r="F1861">
        <v>25187724</v>
      </c>
      <c r="G1861">
        <v>70983.56</v>
      </c>
      <c r="H1861">
        <v>25116741</v>
      </c>
      <c r="I1861">
        <v>25116741</v>
      </c>
      <c r="J1861">
        <v>0</v>
      </c>
      <c r="K1861">
        <v>0</v>
      </c>
      <c r="M1861" t="s">
        <v>1</v>
      </c>
      <c r="N1861">
        <v>6250</v>
      </c>
      <c r="O1861">
        <v>60</v>
      </c>
      <c r="P1861">
        <v>1</v>
      </c>
      <c r="Q1861">
        <v>0</v>
      </c>
      <c r="R1861">
        <v>14489941</v>
      </c>
      <c r="S1861">
        <v>19985.419999999998</v>
      </c>
      <c r="T1861">
        <v>14469955.58</v>
      </c>
      <c r="U1861">
        <v>14469955.58</v>
      </c>
      <c r="V1861">
        <v>0</v>
      </c>
      <c r="W1861">
        <v>0</v>
      </c>
    </row>
    <row r="1862" spans="1:23" x14ac:dyDescent="0.35">
      <c r="A1862" t="s">
        <v>0</v>
      </c>
      <c r="B1862">
        <v>6250</v>
      </c>
      <c r="C1862">
        <v>60</v>
      </c>
      <c r="D1862">
        <v>3</v>
      </c>
      <c r="E1862">
        <v>0</v>
      </c>
      <c r="F1862">
        <v>50791862</v>
      </c>
      <c r="G1862">
        <v>68686.649999999994</v>
      </c>
      <c r="H1862">
        <v>50720637</v>
      </c>
      <c r="I1862">
        <v>50720637</v>
      </c>
      <c r="J1862">
        <v>5.9999999999999995E-4</v>
      </c>
      <c r="K1862">
        <v>5.9999999999999995E-4</v>
      </c>
      <c r="M1862" t="s">
        <v>0</v>
      </c>
      <c r="N1862">
        <v>2750</v>
      </c>
      <c r="O1862">
        <v>192</v>
      </c>
      <c r="P1862">
        <v>1</v>
      </c>
      <c r="Q1862">
        <v>0</v>
      </c>
      <c r="R1862">
        <v>1261012</v>
      </c>
      <c r="S1862">
        <v>5394.75</v>
      </c>
      <c r="T1862">
        <v>1255617.25</v>
      </c>
      <c r="U1862">
        <v>1255617.25</v>
      </c>
      <c r="V1862">
        <v>0</v>
      </c>
      <c r="W1862">
        <v>0</v>
      </c>
    </row>
    <row r="1863" spans="1:23" x14ac:dyDescent="0.35">
      <c r="A1863" t="s">
        <v>3</v>
      </c>
      <c r="B1863">
        <v>4750</v>
      </c>
      <c r="C1863">
        <v>60</v>
      </c>
      <c r="D1863">
        <v>2</v>
      </c>
      <c r="E1863">
        <v>0</v>
      </c>
      <c r="F1863">
        <v>11753053</v>
      </c>
      <c r="G1863">
        <v>20459.09</v>
      </c>
      <c r="H1863">
        <v>11664055</v>
      </c>
      <c r="I1863">
        <v>11664055</v>
      </c>
      <c r="J1863">
        <v>6.7778000000000005E-2</v>
      </c>
      <c r="K1863">
        <v>6.7778000000000005E-2</v>
      </c>
      <c r="M1863" t="s">
        <v>2</v>
      </c>
      <c r="N1863">
        <v>5500</v>
      </c>
      <c r="O1863">
        <v>60</v>
      </c>
      <c r="P1863">
        <v>14</v>
      </c>
      <c r="Q1863">
        <v>0</v>
      </c>
      <c r="R1863">
        <v>139019106</v>
      </c>
      <c r="S1863">
        <v>230443.44</v>
      </c>
      <c r="T1863">
        <v>138788662.56</v>
      </c>
      <c r="U1863">
        <v>138788662.56</v>
      </c>
      <c r="V1863">
        <v>0</v>
      </c>
      <c r="W1863">
        <v>0</v>
      </c>
    </row>
    <row r="1864" spans="1:23" x14ac:dyDescent="0.35">
      <c r="A1864" t="s">
        <v>0</v>
      </c>
      <c r="B1864">
        <v>3000</v>
      </c>
      <c r="C1864">
        <v>216</v>
      </c>
      <c r="D1864">
        <v>1</v>
      </c>
      <c r="E1864">
        <v>0</v>
      </c>
      <c r="F1864">
        <v>8092530</v>
      </c>
      <c r="G1864">
        <v>42479.39</v>
      </c>
      <c r="H1864">
        <v>8050119</v>
      </c>
      <c r="I1864">
        <v>8050119</v>
      </c>
      <c r="J1864">
        <v>-1.01E-4</v>
      </c>
      <c r="K1864">
        <v>-1.01E-4</v>
      </c>
      <c r="M1864" t="s">
        <v>1</v>
      </c>
      <c r="N1864">
        <v>2000</v>
      </c>
      <c r="O1864">
        <v>84</v>
      </c>
      <c r="P1864">
        <v>1</v>
      </c>
      <c r="Q1864">
        <v>0</v>
      </c>
      <c r="R1864">
        <v>25187724</v>
      </c>
      <c r="S1864">
        <v>70666.63</v>
      </c>
      <c r="T1864">
        <v>25117057.370000001</v>
      </c>
      <c r="U1864">
        <v>25117057.370000001</v>
      </c>
      <c r="V1864">
        <v>0</v>
      </c>
      <c r="W1864">
        <v>0</v>
      </c>
    </row>
    <row r="1865" spans="1:23" x14ac:dyDescent="0.35">
      <c r="A1865" t="s">
        <v>0</v>
      </c>
      <c r="B1865">
        <v>2000</v>
      </c>
      <c r="C1865">
        <v>54</v>
      </c>
      <c r="D1865">
        <v>162</v>
      </c>
      <c r="E1865">
        <v>0</v>
      </c>
      <c r="F1865">
        <v>4478869586</v>
      </c>
      <c r="G1865">
        <v>11285340.75</v>
      </c>
      <c r="H1865">
        <v>4444368630</v>
      </c>
      <c r="I1865">
        <v>4467900326.3299999</v>
      </c>
      <c r="J1865">
        <v>6.0456999999999997E-2</v>
      </c>
      <c r="K1865">
        <v>-8.4699999999999999E-4</v>
      </c>
      <c r="M1865" t="s">
        <v>3</v>
      </c>
      <c r="N1865">
        <v>4750</v>
      </c>
      <c r="O1865">
        <v>60</v>
      </c>
      <c r="P1865">
        <v>1</v>
      </c>
      <c r="Q1865">
        <v>0</v>
      </c>
      <c r="R1865">
        <v>4389932</v>
      </c>
      <c r="S1865">
        <v>7706.71</v>
      </c>
      <c r="T1865">
        <v>4382225.29</v>
      </c>
      <c r="U1865">
        <v>4382225.29</v>
      </c>
      <c r="V1865">
        <v>0</v>
      </c>
      <c r="W1865">
        <v>0</v>
      </c>
    </row>
    <row r="1866" spans="1:23" x14ac:dyDescent="0.35">
      <c r="A1866" t="s">
        <v>1</v>
      </c>
      <c r="B1866">
        <v>2250</v>
      </c>
      <c r="C1866">
        <v>108</v>
      </c>
      <c r="D1866">
        <v>1</v>
      </c>
      <c r="E1866">
        <v>0</v>
      </c>
      <c r="F1866">
        <v>9568317</v>
      </c>
      <c r="G1866">
        <v>34410.94</v>
      </c>
      <c r="H1866">
        <v>9533005</v>
      </c>
      <c r="I1866">
        <v>9533005</v>
      </c>
      <c r="J1866">
        <v>1.129E-3</v>
      </c>
      <c r="K1866">
        <v>1.129E-3</v>
      </c>
      <c r="M1866" t="s">
        <v>0</v>
      </c>
      <c r="N1866">
        <v>3000</v>
      </c>
      <c r="O1866">
        <v>216</v>
      </c>
      <c r="P1866">
        <v>1</v>
      </c>
      <c r="Q1866">
        <v>0</v>
      </c>
      <c r="R1866">
        <v>8177034</v>
      </c>
      <c r="S1866">
        <v>42592.91</v>
      </c>
      <c r="T1866">
        <v>8134441.0899999999</v>
      </c>
      <c r="U1866">
        <v>8134441.0899999999</v>
      </c>
      <c r="V1866">
        <v>0</v>
      </c>
      <c r="W1866">
        <v>0</v>
      </c>
    </row>
    <row r="1867" spans="1:23" x14ac:dyDescent="0.35">
      <c r="A1867" t="s">
        <v>1</v>
      </c>
      <c r="B1867">
        <v>5750</v>
      </c>
      <c r="C1867">
        <v>54</v>
      </c>
      <c r="D1867">
        <v>2</v>
      </c>
      <c r="E1867">
        <v>0</v>
      </c>
      <c r="F1867">
        <v>38634890</v>
      </c>
      <c r="G1867">
        <v>56217.4</v>
      </c>
      <c r="H1867">
        <v>38576070</v>
      </c>
      <c r="I1867">
        <v>38576070</v>
      </c>
      <c r="J1867">
        <v>8.0800000000000002E-4</v>
      </c>
      <c r="K1867">
        <v>8.0800000000000002E-4</v>
      </c>
      <c r="M1867" t="s">
        <v>3</v>
      </c>
      <c r="N1867">
        <v>4750</v>
      </c>
      <c r="O1867">
        <v>54</v>
      </c>
      <c r="P1867">
        <v>1</v>
      </c>
      <c r="Q1867">
        <v>0</v>
      </c>
      <c r="R1867">
        <v>7438808</v>
      </c>
      <c r="S1867">
        <v>12770.92</v>
      </c>
      <c r="T1867">
        <v>7426037.0800000001</v>
      </c>
      <c r="U1867">
        <v>7426037.0800000001</v>
      </c>
      <c r="V1867">
        <v>0</v>
      </c>
      <c r="W1867">
        <v>0</v>
      </c>
    </row>
    <row r="1868" spans="1:23" x14ac:dyDescent="0.35">
      <c r="A1868" t="s">
        <v>0</v>
      </c>
      <c r="B1868">
        <v>6000</v>
      </c>
      <c r="C1868">
        <v>60</v>
      </c>
      <c r="D1868">
        <v>1</v>
      </c>
      <c r="E1868">
        <v>0</v>
      </c>
      <c r="F1868">
        <v>13075516</v>
      </c>
      <c r="G1868">
        <v>18634.86</v>
      </c>
      <c r="H1868">
        <v>13056763</v>
      </c>
      <c r="I1868">
        <v>13056763</v>
      </c>
      <c r="J1868">
        <v>1.08E-4</v>
      </c>
      <c r="K1868">
        <v>1.08E-4</v>
      </c>
      <c r="M1868" t="s">
        <v>0</v>
      </c>
      <c r="N1868">
        <v>6250</v>
      </c>
      <c r="O1868">
        <v>54</v>
      </c>
      <c r="P1868">
        <v>40</v>
      </c>
      <c r="Q1868">
        <v>0</v>
      </c>
      <c r="R1868">
        <v>813839959</v>
      </c>
      <c r="S1868">
        <v>1059904.48</v>
      </c>
      <c r="T1868">
        <v>781352072.75999999</v>
      </c>
      <c r="U1868">
        <v>781352072.75999999</v>
      </c>
      <c r="V1868">
        <v>0.37661299999999998</v>
      </c>
      <c r="W1868">
        <v>0.37661299999999998</v>
      </c>
    </row>
    <row r="1869" spans="1:23" x14ac:dyDescent="0.35">
      <c r="A1869" t="s">
        <v>0</v>
      </c>
      <c r="B1869">
        <v>6250</v>
      </c>
      <c r="C1869">
        <v>54</v>
      </c>
      <c r="D1869">
        <v>45</v>
      </c>
      <c r="E1869">
        <v>0</v>
      </c>
      <c r="F1869">
        <v>928270059</v>
      </c>
      <c r="G1869">
        <v>1213421.82</v>
      </c>
      <c r="H1869">
        <v>893977661</v>
      </c>
      <c r="I1869">
        <v>893977661</v>
      </c>
      <c r="J1869">
        <v>0.35301100000000002</v>
      </c>
      <c r="K1869">
        <v>0.35301100000000002</v>
      </c>
      <c r="M1869" t="s">
        <v>1</v>
      </c>
      <c r="N1869">
        <v>2250</v>
      </c>
      <c r="O1869">
        <v>108</v>
      </c>
      <c r="P1869">
        <v>1</v>
      </c>
      <c r="Q1869">
        <v>0</v>
      </c>
      <c r="R1869">
        <v>9638743</v>
      </c>
      <c r="S1869">
        <v>34475.589999999997</v>
      </c>
      <c r="T1869">
        <v>9604267.4100000001</v>
      </c>
      <c r="U1869">
        <v>9604267.4100000001</v>
      </c>
      <c r="V1869">
        <v>0</v>
      </c>
      <c r="W1869">
        <v>0</v>
      </c>
    </row>
    <row r="1870" spans="1:23" x14ac:dyDescent="0.35">
      <c r="A1870" t="s">
        <v>2</v>
      </c>
      <c r="B1870">
        <v>2000</v>
      </c>
      <c r="C1870">
        <v>54</v>
      </c>
      <c r="D1870">
        <v>4</v>
      </c>
      <c r="E1870">
        <v>0</v>
      </c>
      <c r="F1870">
        <v>70796944</v>
      </c>
      <c r="G1870">
        <v>178914.83</v>
      </c>
      <c r="H1870">
        <v>70532619</v>
      </c>
      <c r="I1870">
        <v>70532619</v>
      </c>
      <c r="J1870">
        <v>1.4381E-2</v>
      </c>
      <c r="K1870">
        <v>1.4381E-2</v>
      </c>
      <c r="M1870" t="s">
        <v>2</v>
      </c>
      <c r="N1870">
        <v>5750</v>
      </c>
      <c r="O1870">
        <v>54</v>
      </c>
      <c r="P1870">
        <v>5</v>
      </c>
      <c r="Q1870">
        <v>0</v>
      </c>
      <c r="R1870">
        <v>54325212</v>
      </c>
      <c r="S1870">
        <v>83483.740000000005</v>
      </c>
      <c r="T1870">
        <v>48024624.340000004</v>
      </c>
      <c r="U1870">
        <v>54241728.259999998</v>
      </c>
      <c r="V1870">
        <v>0.76740399999999998</v>
      </c>
      <c r="W1870">
        <v>0</v>
      </c>
    </row>
    <row r="1871" spans="1:23" x14ac:dyDescent="0.35">
      <c r="A1871" t="s">
        <v>1</v>
      </c>
      <c r="B1871">
        <v>5500</v>
      </c>
      <c r="C1871">
        <v>54</v>
      </c>
      <c r="D1871">
        <v>12</v>
      </c>
      <c r="E1871">
        <v>0</v>
      </c>
      <c r="F1871">
        <v>393917091</v>
      </c>
      <c r="G1871">
        <v>607366.5</v>
      </c>
      <c r="H1871">
        <v>354872932</v>
      </c>
      <c r="I1871">
        <v>392823689.93000001</v>
      </c>
      <c r="J1871">
        <v>0.70830499999999996</v>
      </c>
      <c r="K1871">
        <v>1.4706E-2</v>
      </c>
      <c r="M1871" t="s">
        <v>1</v>
      </c>
      <c r="N1871">
        <v>5750</v>
      </c>
      <c r="O1871">
        <v>54</v>
      </c>
      <c r="P1871">
        <v>2</v>
      </c>
      <c r="Q1871">
        <v>0</v>
      </c>
      <c r="R1871">
        <v>38693435</v>
      </c>
      <c r="S1871">
        <v>55958.9</v>
      </c>
      <c r="T1871">
        <v>38637476.100000001</v>
      </c>
      <c r="U1871">
        <v>38637476.100000001</v>
      </c>
      <c r="V1871">
        <v>0</v>
      </c>
      <c r="W1871">
        <v>0</v>
      </c>
    </row>
    <row r="1872" spans="1:23" x14ac:dyDescent="0.35">
      <c r="A1872" t="s">
        <v>2</v>
      </c>
      <c r="B1872">
        <v>7000</v>
      </c>
      <c r="C1872">
        <v>72</v>
      </c>
      <c r="D1872">
        <v>1</v>
      </c>
      <c r="E1872">
        <v>0</v>
      </c>
      <c r="F1872">
        <v>7257490</v>
      </c>
      <c r="G1872">
        <v>10484.950000000001</v>
      </c>
      <c r="H1872">
        <v>7242153</v>
      </c>
      <c r="I1872">
        <v>7242153</v>
      </c>
      <c r="J1872">
        <v>7.9930000000000001E-3</v>
      </c>
      <c r="K1872">
        <v>7.9930000000000001E-3</v>
      </c>
      <c r="M1872" t="s">
        <v>0</v>
      </c>
      <c r="N1872">
        <v>6000</v>
      </c>
      <c r="O1872">
        <v>54</v>
      </c>
      <c r="P1872">
        <v>1</v>
      </c>
      <c r="Q1872">
        <v>0</v>
      </c>
      <c r="R1872">
        <v>13094178</v>
      </c>
      <c r="S1872">
        <v>18544.240000000002</v>
      </c>
      <c r="T1872">
        <v>13075633.76</v>
      </c>
      <c r="U1872">
        <v>13075633.76</v>
      </c>
      <c r="V1872">
        <v>0</v>
      </c>
      <c r="W1872">
        <v>0</v>
      </c>
    </row>
    <row r="1873" spans="1:23" x14ac:dyDescent="0.35">
      <c r="A1873" t="s">
        <v>3</v>
      </c>
      <c r="B1873">
        <v>7750</v>
      </c>
      <c r="C1873">
        <v>240</v>
      </c>
      <c r="D1873">
        <v>1</v>
      </c>
      <c r="E1873">
        <v>0</v>
      </c>
      <c r="F1873">
        <v>2513008</v>
      </c>
      <c r="G1873">
        <v>11684.96</v>
      </c>
      <c r="H1873">
        <v>2494230</v>
      </c>
      <c r="I1873">
        <v>2494230</v>
      </c>
      <c r="J1873">
        <v>3.3348999999999997E-2</v>
      </c>
      <c r="K1873">
        <v>3.3348999999999997E-2</v>
      </c>
      <c r="M1873" t="s">
        <v>2</v>
      </c>
      <c r="N1873">
        <v>2000</v>
      </c>
      <c r="O1873">
        <v>54</v>
      </c>
      <c r="P1873">
        <v>6</v>
      </c>
      <c r="Q1873">
        <v>0</v>
      </c>
      <c r="R1873">
        <v>126795515</v>
      </c>
      <c r="S1873">
        <v>318614.7</v>
      </c>
      <c r="T1873">
        <v>126476900.3</v>
      </c>
      <c r="U1873">
        <v>126476900.3</v>
      </c>
      <c r="V1873">
        <v>0</v>
      </c>
      <c r="W1873">
        <v>0</v>
      </c>
    </row>
    <row r="1874" spans="1:23" x14ac:dyDescent="0.35">
      <c r="A1874" t="s">
        <v>2</v>
      </c>
      <c r="B1874">
        <v>5750</v>
      </c>
      <c r="C1874">
        <v>54</v>
      </c>
      <c r="D1874">
        <v>1</v>
      </c>
      <c r="E1874">
        <v>0</v>
      </c>
      <c r="F1874">
        <v>8862131</v>
      </c>
      <c r="G1874">
        <v>12719.6</v>
      </c>
      <c r="H1874">
        <v>8846827</v>
      </c>
      <c r="I1874">
        <v>8846827</v>
      </c>
      <c r="J1874">
        <v>3.4940000000000001E-3</v>
      </c>
      <c r="K1874">
        <v>3.4940000000000001E-3</v>
      </c>
      <c r="M1874" t="s">
        <v>1</v>
      </c>
      <c r="N1874">
        <v>5500</v>
      </c>
      <c r="O1874">
        <v>54</v>
      </c>
      <c r="P1874">
        <v>10</v>
      </c>
      <c r="Q1874">
        <v>0</v>
      </c>
      <c r="R1874">
        <v>343843779</v>
      </c>
      <c r="S1874">
        <v>527013.82999999996</v>
      </c>
      <c r="T1874">
        <v>343316765.17000002</v>
      </c>
      <c r="U1874">
        <v>343316765.17000002</v>
      </c>
      <c r="V1874">
        <v>0</v>
      </c>
      <c r="W1874">
        <v>0</v>
      </c>
    </row>
    <row r="1875" spans="1:23" x14ac:dyDescent="0.35">
      <c r="A1875" t="s">
        <v>2</v>
      </c>
      <c r="B1875">
        <v>6250</v>
      </c>
      <c r="C1875">
        <v>54</v>
      </c>
      <c r="D1875">
        <v>2</v>
      </c>
      <c r="E1875">
        <v>0</v>
      </c>
      <c r="F1875">
        <v>28521027</v>
      </c>
      <c r="G1875">
        <v>36852.57</v>
      </c>
      <c r="H1875">
        <v>28501175</v>
      </c>
      <c r="I1875">
        <v>28501175</v>
      </c>
      <c r="J1875">
        <v>-7.1760000000000001E-3</v>
      </c>
      <c r="K1875">
        <v>-7.1760000000000001E-3</v>
      </c>
      <c r="M1875" t="s">
        <v>2</v>
      </c>
      <c r="N1875">
        <v>7000</v>
      </c>
      <c r="O1875">
        <v>60</v>
      </c>
      <c r="P1875">
        <v>1</v>
      </c>
      <c r="Q1875">
        <v>0</v>
      </c>
      <c r="R1875">
        <v>7272738</v>
      </c>
      <c r="S1875">
        <v>10431.06</v>
      </c>
      <c r="T1875">
        <v>7262306.9400000004</v>
      </c>
      <c r="U1875">
        <v>7262306.9400000004</v>
      </c>
      <c r="V1875">
        <v>0</v>
      </c>
      <c r="W1875">
        <v>0</v>
      </c>
    </row>
    <row r="1876" spans="1:23" x14ac:dyDescent="0.35">
      <c r="A1876" t="s">
        <v>1</v>
      </c>
      <c r="B1876">
        <v>2000</v>
      </c>
      <c r="C1876">
        <v>48</v>
      </c>
      <c r="D1876">
        <v>21</v>
      </c>
      <c r="E1876">
        <v>0</v>
      </c>
      <c r="F1876">
        <v>868281764</v>
      </c>
      <c r="G1876">
        <v>2173913.33</v>
      </c>
      <c r="H1876">
        <v>865959991</v>
      </c>
      <c r="I1876">
        <v>865959991</v>
      </c>
      <c r="J1876">
        <v>2.042E-3</v>
      </c>
      <c r="K1876">
        <v>2.042E-3</v>
      </c>
      <c r="M1876" t="s">
        <v>3</v>
      </c>
      <c r="N1876">
        <v>7750</v>
      </c>
      <c r="O1876">
        <v>240</v>
      </c>
      <c r="P1876">
        <v>1</v>
      </c>
      <c r="Q1876">
        <v>0</v>
      </c>
      <c r="R1876">
        <v>2531667</v>
      </c>
      <c r="S1876">
        <v>11643.6</v>
      </c>
      <c r="T1876">
        <v>2520023.4</v>
      </c>
      <c r="U1876">
        <v>2520023.4</v>
      </c>
      <c r="V1876">
        <v>0</v>
      </c>
      <c r="W1876">
        <v>0</v>
      </c>
    </row>
    <row r="1877" spans="1:23" x14ac:dyDescent="0.35">
      <c r="A1877" t="s">
        <v>0</v>
      </c>
      <c r="B1877">
        <v>2000</v>
      </c>
      <c r="C1877">
        <v>48</v>
      </c>
      <c r="D1877">
        <v>5</v>
      </c>
      <c r="E1877">
        <v>0</v>
      </c>
      <c r="F1877">
        <v>108087075</v>
      </c>
      <c r="G1877">
        <v>267825.01</v>
      </c>
      <c r="H1877">
        <v>107813687</v>
      </c>
      <c r="I1877">
        <v>107813687</v>
      </c>
      <c r="J1877">
        <v>6.1700000000000004E-4</v>
      </c>
      <c r="K1877">
        <v>6.1700000000000004E-4</v>
      </c>
      <c r="M1877" t="s">
        <v>0</v>
      </c>
      <c r="N1877">
        <v>2000</v>
      </c>
      <c r="O1877">
        <v>48</v>
      </c>
      <c r="P1877">
        <v>8</v>
      </c>
      <c r="Q1877">
        <v>0</v>
      </c>
      <c r="R1877">
        <v>175176187</v>
      </c>
      <c r="S1877">
        <v>430924.7</v>
      </c>
      <c r="T1877">
        <v>174745262.30000001</v>
      </c>
      <c r="U1877">
        <v>174745262.30000001</v>
      </c>
      <c r="V1877">
        <v>0</v>
      </c>
      <c r="W1877">
        <v>0</v>
      </c>
    </row>
    <row r="1878" spans="1:23" x14ac:dyDescent="0.35">
      <c r="A1878" t="s">
        <v>2</v>
      </c>
      <c r="B1878">
        <v>2250</v>
      </c>
      <c r="C1878">
        <v>48</v>
      </c>
      <c r="D1878">
        <v>30</v>
      </c>
      <c r="E1878">
        <v>0</v>
      </c>
      <c r="F1878">
        <v>675618842</v>
      </c>
      <c r="G1878">
        <v>1600067.13</v>
      </c>
      <c r="H1878">
        <v>674236453</v>
      </c>
      <c r="I1878">
        <v>674236453</v>
      </c>
      <c r="J1878">
        <v>-3.8730000000000001E-3</v>
      </c>
      <c r="K1878">
        <v>-3.8730000000000001E-3</v>
      </c>
      <c r="M1878" t="s">
        <v>3</v>
      </c>
      <c r="N1878">
        <v>2250</v>
      </c>
      <c r="O1878">
        <v>48</v>
      </c>
      <c r="P1878">
        <v>2</v>
      </c>
      <c r="Q1878">
        <v>0</v>
      </c>
      <c r="R1878">
        <v>52216564</v>
      </c>
      <c r="S1878">
        <v>122687.93</v>
      </c>
      <c r="T1878">
        <v>52093876.07</v>
      </c>
      <c r="U1878">
        <v>52093876.07</v>
      </c>
      <c r="V1878">
        <v>0</v>
      </c>
      <c r="W1878">
        <v>0</v>
      </c>
    </row>
    <row r="1879" spans="1:23" x14ac:dyDescent="0.35">
      <c r="A1879" t="s">
        <v>3</v>
      </c>
      <c r="B1879">
        <v>2500</v>
      </c>
      <c r="C1879">
        <v>48</v>
      </c>
      <c r="D1879">
        <v>4</v>
      </c>
      <c r="E1879">
        <v>0</v>
      </c>
      <c r="F1879">
        <v>61843770</v>
      </c>
      <c r="G1879">
        <v>142139.26999999999</v>
      </c>
      <c r="H1879">
        <v>61690681</v>
      </c>
      <c r="I1879">
        <v>61690681</v>
      </c>
      <c r="J1879">
        <v>2.1229999999999999E-3</v>
      </c>
      <c r="K1879">
        <v>2.1229999999999999E-3</v>
      </c>
      <c r="M1879" t="s">
        <v>3</v>
      </c>
      <c r="N1879">
        <v>2500</v>
      </c>
      <c r="O1879">
        <v>48</v>
      </c>
      <c r="P1879">
        <v>5</v>
      </c>
      <c r="Q1879">
        <v>0</v>
      </c>
      <c r="R1879">
        <v>78942617</v>
      </c>
      <c r="S1879">
        <v>180492.62</v>
      </c>
      <c r="T1879">
        <v>78762124.379999995</v>
      </c>
      <c r="U1879">
        <v>78762124.379999995</v>
      </c>
      <c r="V1879">
        <v>0</v>
      </c>
      <c r="W1879">
        <v>0</v>
      </c>
    </row>
    <row r="1880" spans="1:23" x14ac:dyDescent="0.35">
      <c r="A1880" t="s">
        <v>3</v>
      </c>
      <c r="B1880">
        <v>2750</v>
      </c>
      <c r="C1880">
        <v>48</v>
      </c>
      <c r="D1880">
        <v>11</v>
      </c>
      <c r="E1880">
        <v>0</v>
      </c>
      <c r="F1880">
        <v>192287263</v>
      </c>
      <c r="G1880">
        <v>422975.24</v>
      </c>
      <c r="H1880">
        <v>191825545</v>
      </c>
      <c r="I1880">
        <v>191825545</v>
      </c>
      <c r="J1880">
        <v>2.415E-3</v>
      </c>
      <c r="K1880">
        <v>2.415E-3</v>
      </c>
      <c r="M1880" t="s">
        <v>2</v>
      </c>
      <c r="N1880">
        <v>6000</v>
      </c>
      <c r="O1880">
        <v>54</v>
      </c>
      <c r="P1880">
        <v>3</v>
      </c>
      <c r="Q1880">
        <v>0</v>
      </c>
      <c r="R1880">
        <v>31592150</v>
      </c>
      <c r="S1880">
        <v>44079.47</v>
      </c>
      <c r="T1880">
        <v>31548070.530000001</v>
      </c>
      <c r="U1880">
        <v>31548070.530000001</v>
      </c>
      <c r="V1880">
        <v>0</v>
      </c>
      <c r="W1880">
        <v>0</v>
      </c>
    </row>
    <row r="1881" spans="1:23" x14ac:dyDescent="0.35">
      <c r="A1881" t="s">
        <v>3</v>
      </c>
      <c r="B1881">
        <v>3000</v>
      </c>
      <c r="C1881">
        <v>48</v>
      </c>
      <c r="D1881">
        <v>12</v>
      </c>
      <c r="E1881">
        <v>0</v>
      </c>
      <c r="F1881">
        <v>288019226</v>
      </c>
      <c r="G1881">
        <v>611937.93999999994</v>
      </c>
      <c r="H1881">
        <v>286852857</v>
      </c>
      <c r="I1881">
        <v>286852857</v>
      </c>
      <c r="J1881">
        <v>2.2856999999999999E-2</v>
      </c>
      <c r="K1881">
        <v>2.2856999999999999E-2</v>
      </c>
      <c r="M1881" t="s">
        <v>2</v>
      </c>
      <c r="N1881">
        <v>7000</v>
      </c>
      <c r="O1881">
        <v>54</v>
      </c>
      <c r="P1881">
        <v>1</v>
      </c>
      <c r="Q1881">
        <v>0</v>
      </c>
      <c r="R1881">
        <v>13330922</v>
      </c>
      <c r="S1881">
        <v>18004.189999999999</v>
      </c>
      <c r="T1881">
        <v>13312917.810000001</v>
      </c>
      <c r="U1881">
        <v>13312917.810000001</v>
      </c>
      <c r="V1881">
        <v>0</v>
      </c>
      <c r="W1881">
        <v>0</v>
      </c>
    </row>
    <row r="1882" spans="1:23" x14ac:dyDescent="0.35">
      <c r="A1882" t="s">
        <v>2</v>
      </c>
      <c r="B1882">
        <v>6000</v>
      </c>
      <c r="C1882">
        <v>54</v>
      </c>
      <c r="D1882">
        <v>4</v>
      </c>
      <c r="E1882">
        <v>0</v>
      </c>
      <c r="F1882">
        <v>42215343</v>
      </c>
      <c r="G1882">
        <v>62752.28</v>
      </c>
      <c r="H1882">
        <v>42139741</v>
      </c>
      <c r="I1882">
        <v>42139741</v>
      </c>
      <c r="J1882">
        <v>3.6470000000000001E-3</v>
      </c>
      <c r="K1882">
        <v>3.6470000000000001E-3</v>
      </c>
      <c r="M1882" t="s">
        <v>0</v>
      </c>
      <c r="N1882">
        <v>2000</v>
      </c>
      <c r="O1882">
        <v>216</v>
      </c>
      <c r="P1882">
        <v>1</v>
      </c>
      <c r="Q1882">
        <v>0</v>
      </c>
      <c r="R1882">
        <v>21584978</v>
      </c>
      <c r="S1882">
        <v>123971.34</v>
      </c>
      <c r="T1882">
        <v>21461006.66</v>
      </c>
      <c r="U1882">
        <v>21461006.66</v>
      </c>
      <c r="V1882">
        <v>0</v>
      </c>
      <c r="W1882">
        <v>0</v>
      </c>
    </row>
    <row r="1883" spans="1:23" x14ac:dyDescent="0.35">
      <c r="A1883" t="s">
        <v>1</v>
      </c>
      <c r="B1883">
        <v>6250</v>
      </c>
      <c r="C1883">
        <v>54</v>
      </c>
      <c r="D1883">
        <v>1</v>
      </c>
      <c r="E1883">
        <v>0</v>
      </c>
      <c r="F1883">
        <v>32563580</v>
      </c>
      <c r="G1883">
        <v>43184.44</v>
      </c>
      <c r="H1883">
        <v>32563580</v>
      </c>
      <c r="I1883">
        <v>32563580</v>
      </c>
      <c r="J1883">
        <v>-1.6029999999999999E-2</v>
      </c>
      <c r="K1883">
        <v>-1.6029999999999999E-2</v>
      </c>
      <c r="M1883" t="s">
        <v>1</v>
      </c>
      <c r="N1883">
        <v>2750</v>
      </c>
      <c r="O1883">
        <v>42</v>
      </c>
      <c r="P1883">
        <v>238</v>
      </c>
      <c r="Q1883">
        <v>0</v>
      </c>
      <c r="R1883">
        <v>7421218710</v>
      </c>
      <c r="S1883">
        <v>16260592.91</v>
      </c>
      <c r="T1883">
        <v>7365779923.7399998</v>
      </c>
      <c r="U1883">
        <v>7365779923.7399998</v>
      </c>
      <c r="V1883">
        <v>6.1543E-2</v>
      </c>
      <c r="W1883">
        <v>6.1543E-2</v>
      </c>
    </row>
    <row r="1884" spans="1:23" x14ac:dyDescent="0.35">
      <c r="A1884" t="s">
        <v>2</v>
      </c>
      <c r="B1884">
        <v>7000</v>
      </c>
      <c r="C1884">
        <v>54</v>
      </c>
      <c r="D1884">
        <v>1</v>
      </c>
      <c r="E1884">
        <v>0</v>
      </c>
      <c r="F1884">
        <v>13278946</v>
      </c>
      <c r="G1884">
        <v>18061.13</v>
      </c>
      <c r="H1884">
        <v>13278946</v>
      </c>
      <c r="I1884">
        <v>13278946</v>
      </c>
      <c r="J1884">
        <v>-1.6444E-2</v>
      </c>
      <c r="K1884">
        <v>-1.6444E-2</v>
      </c>
      <c r="M1884" t="s">
        <v>1</v>
      </c>
      <c r="N1884">
        <v>2250</v>
      </c>
      <c r="O1884">
        <v>42</v>
      </c>
      <c r="P1884">
        <v>71</v>
      </c>
      <c r="Q1884">
        <v>0</v>
      </c>
      <c r="R1884">
        <v>2253133635</v>
      </c>
      <c r="S1884">
        <v>5316193.99</v>
      </c>
      <c r="T1884">
        <v>2247817441.0100002</v>
      </c>
      <c r="U1884">
        <v>2247817441.0100002</v>
      </c>
      <c r="V1884">
        <v>0</v>
      </c>
      <c r="W1884">
        <v>0</v>
      </c>
    </row>
    <row r="1885" spans="1:23" x14ac:dyDescent="0.35">
      <c r="A1885" t="s">
        <v>0</v>
      </c>
      <c r="B1885">
        <v>2000</v>
      </c>
      <c r="C1885">
        <v>216</v>
      </c>
      <c r="D1885">
        <v>1</v>
      </c>
      <c r="E1885">
        <v>0</v>
      </c>
      <c r="F1885">
        <v>21460942</v>
      </c>
      <c r="G1885">
        <v>124177.59</v>
      </c>
      <c r="H1885">
        <v>21336699</v>
      </c>
      <c r="I1885">
        <v>21336699</v>
      </c>
      <c r="J1885">
        <v>3.6999999999999998E-5</v>
      </c>
      <c r="K1885">
        <v>3.6999999999999998E-5</v>
      </c>
      <c r="M1885" t="s">
        <v>1</v>
      </c>
      <c r="N1885">
        <v>2500</v>
      </c>
      <c r="O1885">
        <v>42</v>
      </c>
      <c r="P1885">
        <v>113</v>
      </c>
      <c r="Q1885">
        <v>0</v>
      </c>
      <c r="R1885">
        <v>3474493838</v>
      </c>
      <c r="S1885">
        <v>7892949.9800000004</v>
      </c>
      <c r="T1885">
        <v>3449930228.23</v>
      </c>
      <c r="U1885">
        <v>3466600888.02</v>
      </c>
      <c r="V1885">
        <v>5.6080999999999999E-2</v>
      </c>
      <c r="W1885">
        <v>0</v>
      </c>
    </row>
    <row r="1886" spans="1:23" x14ac:dyDescent="0.35">
      <c r="A1886" t="s">
        <v>3</v>
      </c>
      <c r="B1886">
        <v>2250</v>
      </c>
      <c r="C1886">
        <v>48</v>
      </c>
      <c r="D1886">
        <v>1</v>
      </c>
      <c r="E1886">
        <v>0</v>
      </c>
      <c r="F1886">
        <v>31057411</v>
      </c>
      <c r="G1886">
        <v>73030.73</v>
      </c>
      <c r="H1886">
        <v>30984381</v>
      </c>
      <c r="I1886">
        <v>30984381</v>
      </c>
      <c r="J1886">
        <v>0</v>
      </c>
      <c r="K1886">
        <v>0</v>
      </c>
      <c r="M1886" t="s">
        <v>0</v>
      </c>
      <c r="N1886">
        <v>2250</v>
      </c>
      <c r="O1886">
        <v>42</v>
      </c>
      <c r="P1886">
        <v>6</v>
      </c>
      <c r="Q1886">
        <v>0</v>
      </c>
      <c r="R1886">
        <v>129032514</v>
      </c>
      <c r="S1886">
        <v>297151.48</v>
      </c>
      <c r="T1886">
        <v>128735362.52</v>
      </c>
      <c r="U1886">
        <v>128735362.52</v>
      </c>
      <c r="V1886">
        <v>0</v>
      </c>
      <c r="W1886">
        <v>0</v>
      </c>
    </row>
    <row r="1887" spans="1:23" x14ac:dyDescent="0.35">
      <c r="A1887" t="s">
        <v>2</v>
      </c>
      <c r="B1887">
        <v>6750</v>
      </c>
      <c r="C1887">
        <v>54</v>
      </c>
      <c r="D1887">
        <v>1</v>
      </c>
      <c r="E1887">
        <v>0</v>
      </c>
      <c r="F1887">
        <v>6685817</v>
      </c>
      <c r="G1887">
        <v>9597.24</v>
      </c>
      <c r="H1887">
        <v>6674121</v>
      </c>
      <c r="I1887">
        <v>6674121</v>
      </c>
      <c r="J1887">
        <v>3.7599999999999999E-3</v>
      </c>
      <c r="K1887">
        <v>3.7599999999999999E-3</v>
      </c>
      <c r="M1887" t="s">
        <v>2</v>
      </c>
      <c r="N1887">
        <v>3000</v>
      </c>
      <c r="O1887">
        <v>42</v>
      </c>
      <c r="P1887">
        <v>36</v>
      </c>
      <c r="Q1887">
        <v>0</v>
      </c>
      <c r="R1887">
        <v>695188685</v>
      </c>
      <c r="S1887">
        <v>1502302.66</v>
      </c>
      <c r="T1887">
        <v>661413992.53999996</v>
      </c>
      <c r="U1887">
        <v>661413992.53999996</v>
      </c>
      <c r="V1887">
        <v>0.43470900000000001</v>
      </c>
      <c r="W1887">
        <v>0.43470900000000001</v>
      </c>
    </row>
    <row r="1888" spans="1:23" x14ac:dyDescent="0.35">
      <c r="A1888" t="s">
        <v>1</v>
      </c>
      <c r="B1888">
        <v>2750</v>
      </c>
      <c r="C1888">
        <v>42</v>
      </c>
      <c r="D1888">
        <v>150</v>
      </c>
      <c r="E1888">
        <v>0</v>
      </c>
      <c r="F1888">
        <v>4719652065</v>
      </c>
      <c r="G1888">
        <v>10458173.74</v>
      </c>
      <c r="H1888">
        <v>4535178443</v>
      </c>
      <c r="I1888">
        <v>4627782844.3000002</v>
      </c>
      <c r="J1888">
        <v>0.36288700000000002</v>
      </c>
      <c r="K1888">
        <v>0.188441</v>
      </c>
      <c r="M1888" t="s">
        <v>2</v>
      </c>
      <c r="N1888">
        <v>2750</v>
      </c>
      <c r="O1888">
        <v>42</v>
      </c>
      <c r="P1888">
        <v>42</v>
      </c>
      <c r="Q1888">
        <v>0</v>
      </c>
      <c r="R1888">
        <v>749554775</v>
      </c>
      <c r="S1888">
        <v>1647322.54</v>
      </c>
      <c r="T1888">
        <v>747907452.46000004</v>
      </c>
      <c r="U1888">
        <v>747907452.46000004</v>
      </c>
      <c r="V1888">
        <v>0</v>
      </c>
      <c r="W1888">
        <v>0</v>
      </c>
    </row>
    <row r="1889" spans="1:23" x14ac:dyDescent="0.35">
      <c r="A1889" t="s">
        <v>2</v>
      </c>
      <c r="B1889">
        <v>2500</v>
      </c>
      <c r="C1889">
        <v>42</v>
      </c>
      <c r="D1889">
        <v>7</v>
      </c>
      <c r="E1889">
        <v>0</v>
      </c>
      <c r="F1889">
        <v>149875939</v>
      </c>
      <c r="G1889">
        <v>350490.48</v>
      </c>
      <c r="H1889">
        <v>149477162</v>
      </c>
      <c r="I1889">
        <v>149477162</v>
      </c>
      <c r="J1889">
        <v>3.859E-3</v>
      </c>
      <c r="K1889">
        <v>3.859E-3</v>
      </c>
      <c r="M1889" t="s">
        <v>2</v>
      </c>
      <c r="N1889">
        <v>3500</v>
      </c>
      <c r="O1889">
        <v>42</v>
      </c>
      <c r="P1889">
        <v>112</v>
      </c>
      <c r="Q1889">
        <v>0</v>
      </c>
      <c r="R1889">
        <v>1741002506</v>
      </c>
      <c r="S1889">
        <v>3515371.03</v>
      </c>
      <c r="T1889">
        <v>1737487134.97</v>
      </c>
      <c r="U1889">
        <v>1737487134.97</v>
      </c>
      <c r="V1889">
        <v>0</v>
      </c>
      <c r="W1889">
        <v>0</v>
      </c>
    </row>
    <row r="1890" spans="1:23" x14ac:dyDescent="0.35">
      <c r="A1890" t="s">
        <v>1</v>
      </c>
      <c r="B1890">
        <v>2500</v>
      </c>
      <c r="C1890">
        <v>42</v>
      </c>
      <c r="D1890">
        <v>57</v>
      </c>
      <c r="E1890">
        <v>0</v>
      </c>
      <c r="F1890">
        <v>1885530777</v>
      </c>
      <c r="G1890">
        <v>4324863.22</v>
      </c>
      <c r="H1890">
        <v>1881190412</v>
      </c>
      <c r="I1890">
        <v>1881190412</v>
      </c>
      <c r="J1890">
        <v>9.8999999999999994E-5</v>
      </c>
      <c r="K1890">
        <v>9.8999999999999994E-5</v>
      </c>
      <c r="M1890" t="s">
        <v>3</v>
      </c>
      <c r="N1890">
        <v>4000</v>
      </c>
      <c r="O1890">
        <v>42</v>
      </c>
      <c r="P1890">
        <v>4</v>
      </c>
      <c r="Q1890">
        <v>0</v>
      </c>
      <c r="R1890">
        <v>102396298</v>
      </c>
      <c r="S1890">
        <v>184367.58</v>
      </c>
      <c r="T1890">
        <v>102211930.42</v>
      </c>
      <c r="U1890">
        <v>102211930.42</v>
      </c>
      <c r="V1890">
        <v>0</v>
      </c>
      <c r="W1890">
        <v>0</v>
      </c>
    </row>
    <row r="1891" spans="1:23" x14ac:dyDescent="0.35">
      <c r="A1891" t="s">
        <v>1</v>
      </c>
      <c r="B1891">
        <v>2250</v>
      </c>
      <c r="C1891">
        <v>42</v>
      </c>
      <c r="D1891">
        <v>43</v>
      </c>
      <c r="E1891">
        <v>0</v>
      </c>
      <c r="F1891">
        <v>1290390258</v>
      </c>
      <c r="G1891">
        <v>3087934.63</v>
      </c>
      <c r="H1891">
        <v>1286978922</v>
      </c>
      <c r="I1891">
        <v>1286978922</v>
      </c>
      <c r="J1891">
        <v>3.003E-3</v>
      </c>
      <c r="K1891">
        <v>3.003E-3</v>
      </c>
      <c r="M1891" t="s">
        <v>3</v>
      </c>
      <c r="N1891">
        <v>4500</v>
      </c>
      <c r="O1891">
        <v>42</v>
      </c>
      <c r="P1891">
        <v>6</v>
      </c>
      <c r="Q1891">
        <v>0</v>
      </c>
      <c r="R1891">
        <v>188486913</v>
      </c>
      <c r="S1891">
        <v>307648.52</v>
      </c>
      <c r="T1891">
        <v>188179264.47999999</v>
      </c>
      <c r="U1891">
        <v>188179264.47999999</v>
      </c>
      <c r="V1891">
        <v>0</v>
      </c>
      <c r="W1891">
        <v>0</v>
      </c>
    </row>
    <row r="1892" spans="1:23" x14ac:dyDescent="0.35">
      <c r="A1892" t="s">
        <v>2</v>
      </c>
      <c r="B1892">
        <v>2750</v>
      </c>
      <c r="C1892">
        <v>42</v>
      </c>
      <c r="D1892">
        <v>39</v>
      </c>
      <c r="E1892">
        <v>0</v>
      </c>
      <c r="F1892">
        <v>696404701</v>
      </c>
      <c r="G1892">
        <v>1541256.4</v>
      </c>
      <c r="H1892">
        <v>694704400</v>
      </c>
      <c r="I1892">
        <v>694704400</v>
      </c>
      <c r="J1892">
        <v>2.7369999999999998E-3</v>
      </c>
      <c r="K1892">
        <v>2.7369999999999998E-3</v>
      </c>
      <c r="M1892" t="s">
        <v>2</v>
      </c>
      <c r="N1892">
        <v>6750</v>
      </c>
      <c r="O1892">
        <v>54</v>
      </c>
      <c r="P1892">
        <v>1</v>
      </c>
      <c r="Q1892">
        <v>0</v>
      </c>
      <c r="R1892">
        <v>6697448</v>
      </c>
      <c r="S1892">
        <v>9546.5300000000007</v>
      </c>
      <c r="T1892">
        <v>6687901.4699999997</v>
      </c>
      <c r="U1892">
        <v>6687901.4699999997</v>
      </c>
      <c r="V1892">
        <v>0</v>
      </c>
      <c r="W1892">
        <v>0</v>
      </c>
    </row>
    <row r="1893" spans="1:23" x14ac:dyDescent="0.35">
      <c r="A1893" t="s">
        <v>2</v>
      </c>
      <c r="B1893">
        <v>3500</v>
      </c>
      <c r="C1893">
        <v>42</v>
      </c>
      <c r="D1893">
        <v>101</v>
      </c>
      <c r="E1893">
        <v>0</v>
      </c>
      <c r="F1893">
        <v>1624358454</v>
      </c>
      <c r="G1893">
        <v>3278939.58</v>
      </c>
      <c r="H1893">
        <v>1616080004</v>
      </c>
      <c r="I1893">
        <v>1616080004</v>
      </c>
      <c r="J1893">
        <v>3.6315E-2</v>
      </c>
      <c r="K1893">
        <v>3.6315E-2</v>
      </c>
      <c r="M1893" t="s">
        <v>2</v>
      </c>
      <c r="N1893">
        <v>2500</v>
      </c>
      <c r="O1893">
        <v>42</v>
      </c>
      <c r="P1893">
        <v>8</v>
      </c>
      <c r="Q1893">
        <v>0</v>
      </c>
      <c r="R1893">
        <v>165822469</v>
      </c>
      <c r="S1893">
        <v>385042.94</v>
      </c>
      <c r="T1893">
        <v>165437426.06</v>
      </c>
      <c r="U1893">
        <v>165437426.06</v>
      </c>
      <c r="V1893">
        <v>0</v>
      </c>
      <c r="W1893">
        <v>0</v>
      </c>
    </row>
    <row r="1894" spans="1:23" x14ac:dyDescent="0.35">
      <c r="A1894" t="s">
        <v>3</v>
      </c>
      <c r="B1894">
        <v>4000</v>
      </c>
      <c r="C1894">
        <v>42</v>
      </c>
      <c r="D1894">
        <v>2</v>
      </c>
      <c r="E1894">
        <v>0</v>
      </c>
      <c r="F1894">
        <v>41309784</v>
      </c>
      <c r="G1894">
        <v>74400.13</v>
      </c>
      <c r="H1894">
        <v>41234979</v>
      </c>
      <c r="I1894">
        <v>41234979</v>
      </c>
      <c r="J1894">
        <v>1.18E-4</v>
      </c>
      <c r="K1894">
        <v>1.18E-4</v>
      </c>
      <c r="M1894" t="s">
        <v>2</v>
      </c>
      <c r="N1894">
        <v>6500</v>
      </c>
      <c r="O1894">
        <v>54</v>
      </c>
      <c r="P1894">
        <v>2</v>
      </c>
      <c r="Q1894">
        <v>0</v>
      </c>
      <c r="R1894">
        <v>17221902</v>
      </c>
      <c r="S1894">
        <v>23897.34</v>
      </c>
      <c r="T1894">
        <v>17198004.66</v>
      </c>
      <c r="U1894">
        <v>17198004.66</v>
      </c>
      <c r="V1894">
        <v>0</v>
      </c>
      <c r="W1894">
        <v>0</v>
      </c>
    </row>
    <row r="1895" spans="1:23" x14ac:dyDescent="0.35">
      <c r="A1895" t="s">
        <v>3</v>
      </c>
      <c r="B1895">
        <v>4250</v>
      </c>
      <c r="C1895">
        <v>42</v>
      </c>
      <c r="D1895">
        <v>23</v>
      </c>
      <c r="E1895">
        <v>0</v>
      </c>
      <c r="F1895">
        <v>378695047</v>
      </c>
      <c r="G1895">
        <v>637885.07999999996</v>
      </c>
      <c r="H1895">
        <v>378049395</v>
      </c>
      <c r="I1895">
        <v>378049395</v>
      </c>
      <c r="J1895">
        <v>2.4600000000000002E-4</v>
      </c>
      <c r="K1895">
        <v>2.4600000000000002E-4</v>
      </c>
      <c r="M1895" t="s">
        <v>2</v>
      </c>
      <c r="N1895">
        <v>2250</v>
      </c>
      <c r="O1895">
        <v>42</v>
      </c>
      <c r="P1895">
        <v>3</v>
      </c>
      <c r="Q1895">
        <v>0</v>
      </c>
      <c r="R1895">
        <v>62354636</v>
      </c>
      <c r="S1895">
        <v>148304.91</v>
      </c>
      <c r="T1895">
        <v>62206331.090000004</v>
      </c>
      <c r="U1895">
        <v>62206331.090000004</v>
      </c>
      <c r="V1895">
        <v>0</v>
      </c>
      <c r="W1895">
        <v>0</v>
      </c>
    </row>
    <row r="1896" spans="1:23" x14ac:dyDescent="0.35">
      <c r="A1896" t="s">
        <v>3</v>
      </c>
      <c r="B1896">
        <v>4500</v>
      </c>
      <c r="C1896">
        <v>42</v>
      </c>
      <c r="D1896">
        <v>5</v>
      </c>
      <c r="E1896">
        <v>0</v>
      </c>
      <c r="F1896">
        <v>164923965</v>
      </c>
      <c r="G1896">
        <v>270474.74</v>
      </c>
      <c r="H1896">
        <v>164698926</v>
      </c>
      <c r="I1896">
        <v>164698926</v>
      </c>
      <c r="J1896">
        <v>-3.3110000000000001E-3</v>
      </c>
      <c r="K1896">
        <v>-3.3110000000000001E-3</v>
      </c>
      <c r="M1896" t="s">
        <v>3</v>
      </c>
      <c r="N1896">
        <v>3500</v>
      </c>
      <c r="O1896">
        <v>42</v>
      </c>
      <c r="P1896">
        <v>1</v>
      </c>
      <c r="Q1896">
        <v>0</v>
      </c>
      <c r="R1896">
        <v>11658541</v>
      </c>
      <c r="S1896">
        <v>22301.119999999999</v>
      </c>
      <c r="T1896">
        <v>11636239.880000001</v>
      </c>
      <c r="U1896">
        <v>11636239.880000001</v>
      </c>
      <c r="V1896">
        <v>0</v>
      </c>
      <c r="W1896">
        <v>0</v>
      </c>
    </row>
    <row r="1897" spans="1:23" x14ac:dyDescent="0.35">
      <c r="A1897" t="s">
        <v>3</v>
      </c>
      <c r="B1897">
        <v>6500</v>
      </c>
      <c r="C1897">
        <v>48</v>
      </c>
      <c r="D1897">
        <v>1</v>
      </c>
      <c r="E1897">
        <v>0</v>
      </c>
      <c r="F1897">
        <v>9901192</v>
      </c>
      <c r="G1897">
        <v>11806.54</v>
      </c>
      <c r="H1897">
        <v>9877515</v>
      </c>
      <c r="I1897">
        <v>9877515</v>
      </c>
      <c r="J1897">
        <v>1.4291999999999999E-2</v>
      </c>
      <c r="K1897">
        <v>1.4291999999999999E-2</v>
      </c>
      <c r="M1897" t="s">
        <v>3</v>
      </c>
      <c r="N1897">
        <v>3750</v>
      </c>
      <c r="O1897">
        <v>42</v>
      </c>
      <c r="P1897">
        <v>1</v>
      </c>
      <c r="Q1897">
        <v>0</v>
      </c>
      <c r="R1897">
        <v>34438641</v>
      </c>
      <c r="S1897">
        <v>64007.25</v>
      </c>
      <c r="T1897">
        <v>34374633.75</v>
      </c>
      <c r="U1897">
        <v>34374633.75</v>
      </c>
      <c r="V1897">
        <v>0</v>
      </c>
      <c r="W1897">
        <v>0</v>
      </c>
    </row>
    <row r="1898" spans="1:23" x14ac:dyDescent="0.35">
      <c r="A1898" t="s">
        <v>2</v>
      </c>
      <c r="B1898">
        <v>6500</v>
      </c>
      <c r="C1898">
        <v>54</v>
      </c>
      <c r="D1898">
        <v>2</v>
      </c>
      <c r="E1898">
        <v>0</v>
      </c>
      <c r="F1898">
        <v>17191474</v>
      </c>
      <c r="G1898">
        <v>24017.4</v>
      </c>
      <c r="H1898">
        <v>17160880</v>
      </c>
      <c r="I1898">
        <v>17160880</v>
      </c>
      <c r="J1898">
        <v>4.581E-3</v>
      </c>
      <c r="K1898">
        <v>4.581E-3</v>
      </c>
      <c r="M1898" t="s">
        <v>3</v>
      </c>
      <c r="N1898">
        <v>3250</v>
      </c>
      <c r="O1898">
        <v>42</v>
      </c>
      <c r="P1898">
        <v>1</v>
      </c>
      <c r="Q1898">
        <v>0</v>
      </c>
      <c r="R1898">
        <v>9668730</v>
      </c>
      <c r="S1898">
        <v>19480.62</v>
      </c>
      <c r="T1898">
        <v>9649249.3800000008</v>
      </c>
      <c r="U1898">
        <v>9649249.3800000008</v>
      </c>
      <c r="V1898">
        <v>0</v>
      </c>
      <c r="W1898">
        <v>0</v>
      </c>
    </row>
    <row r="1899" spans="1:23" x14ac:dyDescent="0.35">
      <c r="A1899" t="s">
        <v>2</v>
      </c>
      <c r="B1899">
        <v>2250</v>
      </c>
      <c r="C1899">
        <v>42</v>
      </c>
      <c r="D1899">
        <v>4</v>
      </c>
      <c r="E1899">
        <v>0</v>
      </c>
      <c r="F1899">
        <v>76931682</v>
      </c>
      <c r="G1899">
        <v>183797.62</v>
      </c>
      <c r="H1899">
        <v>76640452</v>
      </c>
      <c r="I1899">
        <v>76640452</v>
      </c>
      <c r="J1899">
        <v>1.6629000000000001E-2</v>
      </c>
      <c r="K1899">
        <v>1.6629000000000001E-2</v>
      </c>
      <c r="M1899" t="s">
        <v>1</v>
      </c>
      <c r="N1899">
        <v>9000</v>
      </c>
      <c r="O1899">
        <v>42</v>
      </c>
      <c r="P1899">
        <v>1</v>
      </c>
      <c r="Q1899">
        <v>0</v>
      </c>
      <c r="R1899">
        <v>24349199</v>
      </c>
      <c r="S1899">
        <v>18786.689999999999</v>
      </c>
      <c r="T1899">
        <v>24330412.309999999</v>
      </c>
      <c r="U1899">
        <v>24330412.309999999</v>
      </c>
      <c r="V1899">
        <v>0</v>
      </c>
      <c r="W1899">
        <v>0</v>
      </c>
    </row>
    <row r="1900" spans="1:23" x14ac:dyDescent="0.35">
      <c r="A1900" t="s">
        <v>0</v>
      </c>
      <c r="B1900">
        <v>2250</v>
      </c>
      <c r="C1900">
        <v>42</v>
      </c>
      <c r="D1900">
        <v>2</v>
      </c>
      <c r="E1900">
        <v>0</v>
      </c>
      <c r="F1900">
        <v>42029210</v>
      </c>
      <c r="G1900">
        <v>96777.81</v>
      </c>
      <c r="H1900">
        <v>41932645</v>
      </c>
      <c r="I1900">
        <v>41932645</v>
      </c>
      <c r="J1900">
        <v>-6.0999999999999999E-5</v>
      </c>
      <c r="K1900">
        <v>-6.0999999999999999E-5</v>
      </c>
      <c r="M1900" t="s">
        <v>1</v>
      </c>
      <c r="N1900">
        <v>8000</v>
      </c>
      <c r="O1900">
        <v>42</v>
      </c>
      <c r="P1900">
        <v>16</v>
      </c>
      <c r="Q1900">
        <v>0</v>
      </c>
      <c r="R1900">
        <v>337827633</v>
      </c>
      <c r="S1900">
        <v>299049.67</v>
      </c>
      <c r="T1900">
        <v>266055917.47</v>
      </c>
      <c r="U1900">
        <v>283496721.06</v>
      </c>
      <c r="V1900">
        <v>0.94229799999999997</v>
      </c>
      <c r="W1900">
        <v>0.87648199999999998</v>
      </c>
    </row>
    <row r="1901" spans="1:23" x14ac:dyDescent="0.35">
      <c r="A1901" t="s">
        <v>2</v>
      </c>
      <c r="B1901">
        <v>3000</v>
      </c>
      <c r="C1901">
        <v>42</v>
      </c>
      <c r="D1901">
        <v>31</v>
      </c>
      <c r="E1901">
        <v>0</v>
      </c>
      <c r="F1901">
        <v>602055931</v>
      </c>
      <c r="G1901">
        <v>1305923.3400000001</v>
      </c>
      <c r="H1901">
        <v>581605473</v>
      </c>
      <c r="I1901">
        <v>600815909.64999998</v>
      </c>
      <c r="J1901">
        <v>0.32144</v>
      </c>
      <c r="K1901">
        <v>-1.3140000000000001E-3</v>
      </c>
      <c r="M1901" t="s">
        <v>1</v>
      </c>
      <c r="N1901">
        <v>8250</v>
      </c>
      <c r="O1901">
        <v>42</v>
      </c>
      <c r="P1901">
        <v>7</v>
      </c>
      <c r="Q1901">
        <v>0</v>
      </c>
      <c r="R1901">
        <v>148054441</v>
      </c>
      <c r="S1901">
        <v>127952.08</v>
      </c>
      <c r="T1901">
        <v>127526084.88</v>
      </c>
      <c r="U1901">
        <v>127526084.88</v>
      </c>
      <c r="V1901">
        <v>0.831206</v>
      </c>
      <c r="W1901">
        <v>0.831206</v>
      </c>
    </row>
    <row r="1902" spans="1:23" x14ac:dyDescent="0.35">
      <c r="A1902" t="s">
        <v>3</v>
      </c>
      <c r="B1902">
        <v>3750</v>
      </c>
      <c r="C1902">
        <v>42</v>
      </c>
      <c r="D1902">
        <v>1</v>
      </c>
      <c r="E1902">
        <v>0</v>
      </c>
      <c r="F1902">
        <v>34374320</v>
      </c>
      <c r="G1902">
        <v>64200.02</v>
      </c>
      <c r="H1902">
        <v>34309805</v>
      </c>
      <c r="I1902">
        <v>34309805</v>
      </c>
      <c r="J1902">
        <v>1.1E-4</v>
      </c>
      <c r="K1902">
        <v>1.1E-4</v>
      </c>
      <c r="M1902" t="s">
        <v>0</v>
      </c>
      <c r="N1902">
        <v>2750</v>
      </c>
      <c r="O1902">
        <v>36</v>
      </c>
      <c r="P1902">
        <v>11</v>
      </c>
      <c r="Q1902">
        <v>0</v>
      </c>
      <c r="R1902">
        <v>299333243</v>
      </c>
      <c r="S1902">
        <v>633979.06000000006</v>
      </c>
      <c r="T1902">
        <v>298699263.94</v>
      </c>
      <c r="U1902">
        <v>298699263.94</v>
      </c>
      <c r="V1902">
        <v>0</v>
      </c>
      <c r="W1902">
        <v>0</v>
      </c>
    </row>
    <row r="1903" spans="1:23" x14ac:dyDescent="0.35">
      <c r="A1903" t="s">
        <v>3</v>
      </c>
      <c r="B1903">
        <v>3250</v>
      </c>
      <c r="C1903">
        <v>42</v>
      </c>
      <c r="D1903">
        <v>1</v>
      </c>
      <c r="E1903">
        <v>0</v>
      </c>
      <c r="F1903">
        <v>9649250</v>
      </c>
      <c r="G1903">
        <v>19531.349999999999</v>
      </c>
      <c r="H1903">
        <v>9610137</v>
      </c>
      <c r="I1903">
        <v>9610137</v>
      </c>
      <c r="J1903">
        <v>2.4081999999999999E-2</v>
      </c>
      <c r="K1903">
        <v>2.4081999999999999E-2</v>
      </c>
      <c r="M1903" t="s">
        <v>1</v>
      </c>
      <c r="N1903">
        <v>3750</v>
      </c>
      <c r="O1903">
        <v>36</v>
      </c>
      <c r="P1903">
        <v>121</v>
      </c>
      <c r="Q1903">
        <v>0</v>
      </c>
      <c r="R1903">
        <v>4158362925</v>
      </c>
      <c r="S1903">
        <v>7627789.8799999999</v>
      </c>
      <c r="T1903">
        <v>4150735135.1199999</v>
      </c>
      <c r="U1903">
        <v>4150735135.1199999</v>
      </c>
      <c r="V1903">
        <v>0</v>
      </c>
      <c r="W1903">
        <v>0</v>
      </c>
    </row>
    <row r="1904" spans="1:23" x14ac:dyDescent="0.35">
      <c r="A1904" t="s">
        <v>1</v>
      </c>
      <c r="B1904">
        <v>9000</v>
      </c>
      <c r="C1904">
        <v>42</v>
      </c>
      <c r="D1904">
        <v>1</v>
      </c>
      <c r="E1904">
        <v>0</v>
      </c>
      <c r="F1904">
        <v>24329999</v>
      </c>
      <c r="G1904">
        <v>18923.36</v>
      </c>
      <c r="H1904">
        <v>24310659</v>
      </c>
      <c r="I1904">
        <v>24310659</v>
      </c>
      <c r="J1904">
        <v>2.05E-4</v>
      </c>
      <c r="K1904">
        <v>2.05E-4</v>
      </c>
      <c r="M1904" t="s">
        <v>2</v>
      </c>
      <c r="N1904">
        <v>3250</v>
      </c>
      <c r="O1904">
        <v>36</v>
      </c>
      <c r="P1904">
        <v>42</v>
      </c>
      <c r="Q1904">
        <v>0</v>
      </c>
      <c r="R1904">
        <v>699551529</v>
      </c>
      <c r="S1904">
        <v>1401735.57</v>
      </c>
      <c r="T1904">
        <v>681304671.07000005</v>
      </c>
      <c r="U1904">
        <v>698149793.42999995</v>
      </c>
      <c r="V1904">
        <v>0.25360100000000002</v>
      </c>
      <c r="W1904">
        <v>0</v>
      </c>
    </row>
    <row r="1905" spans="1:23" x14ac:dyDescent="0.35">
      <c r="A1905" t="s">
        <v>1</v>
      </c>
      <c r="B1905">
        <v>8250</v>
      </c>
      <c r="C1905">
        <v>42</v>
      </c>
      <c r="D1905">
        <v>6</v>
      </c>
      <c r="E1905">
        <v>0</v>
      </c>
      <c r="F1905">
        <v>127610740</v>
      </c>
      <c r="G1905">
        <v>111009.84</v>
      </c>
      <c r="H1905">
        <v>105043103</v>
      </c>
      <c r="I1905">
        <v>105043103</v>
      </c>
      <c r="J1905">
        <v>0.90198999999999996</v>
      </c>
      <c r="K1905">
        <v>0.90198999999999996</v>
      </c>
      <c r="M1905" t="s">
        <v>2</v>
      </c>
      <c r="N1905">
        <v>4000</v>
      </c>
      <c r="O1905">
        <v>36</v>
      </c>
      <c r="P1905">
        <v>41</v>
      </c>
      <c r="Q1905">
        <v>0</v>
      </c>
      <c r="R1905">
        <v>667259136</v>
      </c>
      <c r="S1905">
        <v>1207955.3999999999</v>
      </c>
      <c r="T1905">
        <v>666051180.60000002</v>
      </c>
      <c r="U1905">
        <v>666051180.60000002</v>
      </c>
      <c r="V1905">
        <v>0</v>
      </c>
      <c r="W1905">
        <v>0</v>
      </c>
    </row>
    <row r="1906" spans="1:23" x14ac:dyDescent="0.35">
      <c r="A1906" t="s">
        <v>1</v>
      </c>
      <c r="B1906">
        <v>2000</v>
      </c>
      <c r="C1906">
        <v>36</v>
      </c>
      <c r="D1906">
        <v>1</v>
      </c>
      <c r="E1906">
        <v>0</v>
      </c>
      <c r="F1906">
        <v>37916981</v>
      </c>
      <c r="G1906">
        <v>91632.87</v>
      </c>
      <c r="H1906">
        <v>37824913</v>
      </c>
      <c r="I1906">
        <v>37824913</v>
      </c>
      <c r="J1906">
        <v>1.3799999999999999E-4</v>
      </c>
      <c r="K1906">
        <v>1.3799999999999999E-4</v>
      </c>
      <c r="M1906" t="s">
        <v>2</v>
      </c>
      <c r="N1906">
        <v>4500</v>
      </c>
      <c r="O1906">
        <v>36</v>
      </c>
      <c r="P1906">
        <v>51</v>
      </c>
      <c r="Q1906">
        <v>0</v>
      </c>
      <c r="R1906">
        <v>995580521</v>
      </c>
      <c r="S1906">
        <v>1622886.87</v>
      </c>
      <c r="T1906">
        <v>993957634.13</v>
      </c>
      <c r="U1906">
        <v>993957634.13</v>
      </c>
      <c r="V1906">
        <v>0</v>
      </c>
      <c r="W1906">
        <v>0</v>
      </c>
    </row>
    <row r="1907" spans="1:23" x14ac:dyDescent="0.35">
      <c r="A1907" t="s">
        <v>2</v>
      </c>
      <c r="B1907">
        <v>2750</v>
      </c>
      <c r="C1907">
        <v>36</v>
      </c>
      <c r="D1907">
        <v>31</v>
      </c>
      <c r="E1907">
        <v>0</v>
      </c>
      <c r="F1907">
        <v>652175219</v>
      </c>
      <c r="G1907">
        <v>1408257.58</v>
      </c>
      <c r="H1907">
        <v>650847159</v>
      </c>
      <c r="I1907">
        <v>650847159</v>
      </c>
      <c r="J1907">
        <v>-1.477E-3</v>
      </c>
      <c r="K1907">
        <v>-1.477E-3</v>
      </c>
      <c r="M1907" t="s">
        <v>1</v>
      </c>
      <c r="N1907">
        <v>2000</v>
      </c>
      <c r="O1907">
        <v>36</v>
      </c>
      <c r="P1907">
        <v>1</v>
      </c>
      <c r="Q1907">
        <v>0</v>
      </c>
      <c r="R1907">
        <v>38008915</v>
      </c>
      <c r="S1907">
        <v>91500.479999999996</v>
      </c>
      <c r="T1907">
        <v>37917414.520000003</v>
      </c>
      <c r="U1907">
        <v>37917414.520000003</v>
      </c>
      <c r="V1907">
        <v>0</v>
      </c>
      <c r="W1907">
        <v>0</v>
      </c>
    </row>
    <row r="1908" spans="1:23" x14ac:dyDescent="0.35">
      <c r="A1908" t="s">
        <v>2</v>
      </c>
      <c r="B1908">
        <v>3000</v>
      </c>
      <c r="C1908">
        <v>36</v>
      </c>
      <c r="D1908">
        <v>33</v>
      </c>
      <c r="E1908">
        <v>0</v>
      </c>
      <c r="F1908">
        <v>579985927</v>
      </c>
      <c r="G1908">
        <v>1220158.9099999999</v>
      </c>
      <c r="H1908">
        <v>578795054</v>
      </c>
      <c r="I1908">
        <v>578795054</v>
      </c>
      <c r="J1908">
        <v>-6.0599999999999998E-4</v>
      </c>
      <c r="K1908">
        <v>-6.0599999999999998E-4</v>
      </c>
      <c r="M1908" t="s">
        <v>2</v>
      </c>
      <c r="N1908">
        <v>2750</v>
      </c>
      <c r="O1908">
        <v>36</v>
      </c>
      <c r="P1908">
        <v>32</v>
      </c>
      <c r="Q1908">
        <v>0</v>
      </c>
      <c r="R1908">
        <v>645102418</v>
      </c>
      <c r="S1908">
        <v>1389746.51</v>
      </c>
      <c r="T1908">
        <v>643712671.49000001</v>
      </c>
      <c r="U1908">
        <v>643712671.49000001</v>
      </c>
      <c r="V1908">
        <v>0</v>
      </c>
      <c r="W1908">
        <v>0</v>
      </c>
    </row>
    <row r="1909" spans="1:23" x14ac:dyDescent="0.35">
      <c r="A1909" t="s">
        <v>0</v>
      </c>
      <c r="B1909">
        <v>2750</v>
      </c>
      <c r="C1909">
        <v>36</v>
      </c>
      <c r="D1909">
        <v>10</v>
      </c>
      <c r="E1909">
        <v>0</v>
      </c>
      <c r="F1909">
        <v>288612675</v>
      </c>
      <c r="G1909">
        <v>612219.43000000005</v>
      </c>
      <c r="H1909">
        <v>288198335</v>
      </c>
      <c r="I1909">
        <v>288198335</v>
      </c>
      <c r="J1909">
        <v>-8.2590000000000007E-3</v>
      </c>
      <c r="K1909">
        <v>-8.2590000000000007E-3</v>
      </c>
      <c r="M1909" t="s">
        <v>2</v>
      </c>
      <c r="N1909">
        <v>2250</v>
      </c>
      <c r="O1909">
        <v>36</v>
      </c>
      <c r="P1909">
        <v>2</v>
      </c>
      <c r="Q1909">
        <v>0</v>
      </c>
      <c r="R1909">
        <v>26569697</v>
      </c>
      <c r="S1909">
        <v>63398.15</v>
      </c>
      <c r="T1909">
        <v>26506298.850000001</v>
      </c>
      <c r="U1909">
        <v>26506298.850000001</v>
      </c>
      <c r="V1909">
        <v>0</v>
      </c>
      <c r="W1909">
        <v>0</v>
      </c>
    </row>
    <row r="1910" spans="1:23" x14ac:dyDescent="0.35">
      <c r="A1910" t="s">
        <v>0</v>
      </c>
      <c r="B1910">
        <v>3250</v>
      </c>
      <c r="C1910">
        <v>36</v>
      </c>
      <c r="D1910">
        <v>27</v>
      </c>
      <c r="E1910">
        <v>0</v>
      </c>
      <c r="F1910">
        <v>623311474</v>
      </c>
      <c r="G1910">
        <v>1199135.06</v>
      </c>
      <c r="H1910">
        <v>611787439</v>
      </c>
      <c r="I1910">
        <v>611787439</v>
      </c>
      <c r="J1910">
        <v>0.18162900000000001</v>
      </c>
      <c r="K1910">
        <v>0.18162900000000001</v>
      </c>
      <c r="M1910" t="s">
        <v>2</v>
      </c>
      <c r="N1910">
        <v>3000</v>
      </c>
      <c r="O1910">
        <v>36</v>
      </c>
      <c r="P1910">
        <v>34</v>
      </c>
      <c r="Q1910">
        <v>0</v>
      </c>
      <c r="R1910">
        <v>599983050</v>
      </c>
      <c r="S1910">
        <v>1262577.9099999999</v>
      </c>
      <c r="T1910">
        <v>598720472.09000003</v>
      </c>
      <c r="U1910">
        <v>598720472.09000003</v>
      </c>
      <c r="V1910">
        <v>0</v>
      </c>
      <c r="W1910">
        <v>0</v>
      </c>
    </row>
    <row r="1911" spans="1:23" x14ac:dyDescent="0.35">
      <c r="A1911" t="s">
        <v>2</v>
      </c>
      <c r="B1911">
        <v>3250</v>
      </c>
      <c r="C1911">
        <v>36</v>
      </c>
      <c r="D1911">
        <v>37</v>
      </c>
      <c r="E1911">
        <v>0</v>
      </c>
      <c r="F1911">
        <v>627661815</v>
      </c>
      <c r="G1911">
        <v>1256363.68</v>
      </c>
      <c r="H1911">
        <v>615710930</v>
      </c>
      <c r="I1911">
        <v>615710930</v>
      </c>
      <c r="J1911">
        <v>0.18635099999999999</v>
      </c>
      <c r="K1911">
        <v>0.18635099999999999</v>
      </c>
      <c r="M1911" t="s">
        <v>2</v>
      </c>
      <c r="N1911">
        <v>3750</v>
      </c>
      <c r="O1911">
        <v>36</v>
      </c>
      <c r="P1911">
        <v>47</v>
      </c>
      <c r="Q1911">
        <v>0</v>
      </c>
      <c r="R1911">
        <v>645773277</v>
      </c>
      <c r="S1911">
        <v>1206125.1100000001</v>
      </c>
      <c r="T1911">
        <v>635952533.15999997</v>
      </c>
      <c r="U1911">
        <v>635952533.15999997</v>
      </c>
      <c r="V1911">
        <v>0.148842</v>
      </c>
      <c r="W1911">
        <v>0.148842</v>
      </c>
    </row>
    <row r="1912" spans="1:23" x14ac:dyDescent="0.35">
      <c r="A1912" t="s">
        <v>2</v>
      </c>
      <c r="B1912">
        <v>3750</v>
      </c>
      <c r="C1912">
        <v>36</v>
      </c>
      <c r="D1912">
        <v>42</v>
      </c>
      <c r="E1912">
        <v>0</v>
      </c>
      <c r="F1912">
        <v>564953351</v>
      </c>
      <c r="G1912">
        <v>1065567.2</v>
      </c>
      <c r="H1912">
        <v>558164128</v>
      </c>
      <c r="I1912">
        <v>558164128</v>
      </c>
      <c r="J1912">
        <v>0.115024</v>
      </c>
      <c r="K1912">
        <v>0.115024</v>
      </c>
      <c r="M1912" t="s">
        <v>2</v>
      </c>
      <c r="N1912">
        <v>2500</v>
      </c>
      <c r="O1912">
        <v>36</v>
      </c>
      <c r="P1912">
        <v>6</v>
      </c>
      <c r="Q1912">
        <v>0</v>
      </c>
      <c r="R1912">
        <v>91877282</v>
      </c>
      <c r="S1912">
        <v>208330.1</v>
      </c>
      <c r="T1912">
        <v>91668951.900000006</v>
      </c>
      <c r="U1912">
        <v>91668951.900000006</v>
      </c>
      <c r="V1912">
        <v>0</v>
      </c>
      <c r="W1912">
        <v>0</v>
      </c>
    </row>
    <row r="1913" spans="1:23" x14ac:dyDescent="0.35">
      <c r="A1913" t="s">
        <v>1</v>
      </c>
      <c r="B1913">
        <v>3750</v>
      </c>
      <c r="C1913">
        <v>36</v>
      </c>
      <c r="D1913">
        <v>117</v>
      </c>
      <c r="E1913">
        <v>0</v>
      </c>
      <c r="F1913">
        <v>3914003301</v>
      </c>
      <c r="G1913">
        <v>7176338.2699999996</v>
      </c>
      <c r="H1913">
        <v>3906017531</v>
      </c>
      <c r="I1913">
        <v>3906017531</v>
      </c>
      <c r="J1913">
        <v>2.4789999999999999E-3</v>
      </c>
      <c r="K1913">
        <v>2.4789999999999999E-3</v>
      </c>
      <c r="M1913" t="s">
        <v>3</v>
      </c>
      <c r="N1913">
        <v>4750</v>
      </c>
      <c r="O1913">
        <v>36</v>
      </c>
      <c r="P1913">
        <v>1</v>
      </c>
      <c r="Q1913">
        <v>0</v>
      </c>
      <c r="R1913">
        <v>19418517</v>
      </c>
      <c r="S1913">
        <v>29441.58</v>
      </c>
      <c r="T1913">
        <v>19389075.420000002</v>
      </c>
      <c r="U1913">
        <v>19389075.420000002</v>
      </c>
      <c r="V1913">
        <v>0</v>
      </c>
      <c r="W1913">
        <v>0</v>
      </c>
    </row>
    <row r="1914" spans="1:23" x14ac:dyDescent="0.35">
      <c r="A1914" t="s">
        <v>2</v>
      </c>
      <c r="B1914">
        <v>4500</v>
      </c>
      <c r="C1914">
        <v>36</v>
      </c>
      <c r="D1914">
        <v>46</v>
      </c>
      <c r="E1914">
        <v>0</v>
      </c>
      <c r="F1914">
        <v>924004921</v>
      </c>
      <c r="G1914">
        <v>1500201.51</v>
      </c>
      <c r="H1914">
        <v>922601925</v>
      </c>
      <c r="I1914">
        <v>922601925</v>
      </c>
      <c r="J1914">
        <v>-1.263E-3</v>
      </c>
      <c r="K1914">
        <v>-1.263E-3</v>
      </c>
      <c r="M1914" t="s">
        <v>3</v>
      </c>
      <c r="N1914">
        <v>5500</v>
      </c>
      <c r="O1914">
        <v>36</v>
      </c>
      <c r="P1914">
        <v>6</v>
      </c>
      <c r="Q1914">
        <v>0</v>
      </c>
      <c r="R1914">
        <v>169604075</v>
      </c>
      <c r="S1914">
        <v>225492.51</v>
      </c>
      <c r="T1914">
        <v>169378582.49000001</v>
      </c>
      <c r="U1914">
        <v>169378582.49000001</v>
      </c>
      <c r="V1914">
        <v>0</v>
      </c>
      <c r="W1914">
        <v>0</v>
      </c>
    </row>
    <row r="1915" spans="1:23" x14ac:dyDescent="0.35">
      <c r="A1915" t="s">
        <v>2</v>
      </c>
      <c r="B1915">
        <v>2500</v>
      </c>
      <c r="C1915">
        <v>36</v>
      </c>
      <c r="D1915">
        <v>6</v>
      </c>
      <c r="E1915">
        <v>0</v>
      </c>
      <c r="F1915">
        <v>91631372</v>
      </c>
      <c r="G1915">
        <v>208666.19</v>
      </c>
      <c r="H1915">
        <v>91475910</v>
      </c>
      <c r="I1915">
        <v>91475910</v>
      </c>
      <c r="J1915">
        <v>-6.9899999999999997E-3</v>
      </c>
      <c r="K1915">
        <v>-6.9899999999999997E-3</v>
      </c>
      <c r="M1915" t="s">
        <v>0</v>
      </c>
      <c r="N1915">
        <v>2000</v>
      </c>
      <c r="O1915">
        <v>36</v>
      </c>
      <c r="P1915">
        <v>1</v>
      </c>
      <c r="Q1915">
        <v>0</v>
      </c>
      <c r="R1915">
        <v>19538265</v>
      </c>
      <c r="S1915">
        <v>45167.37</v>
      </c>
      <c r="T1915">
        <v>19493097.629999999</v>
      </c>
      <c r="U1915">
        <v>19493097.629999999</v>
      </c>
      <c r="V1915">
        <v>0</v>
      </c>
      <c r="W1915">
        <v>0</v>
      </c>
    </row>
    <row r="1916" spans="1:23" x14ac:dyDescent="0.35">
      <c r="A1916" t="s">
        <v>2</v>
      </c>
      <c r="B1916">
        <v>4000</v>
      </c>
      <c r="C1916">
        <v>36</v>
      </c>
      <c r="D1916">
        <v>29</v>
      </c>
      <c r="E1916">
        <v>0</v>
      </c>
      <c r="F1916">
        <v>426327238</v>
      </c>
      <c r="G1916">
        <v>772600.72</v>
      </c>
      <c r="H1916">
        <v>425686684</v>
      </c>
      <c r="I1916">
        <v>425686684</v>
      </c>
      <c r="J1916">
        <v>-3.7230000000000002E-3</v>
      </c>
      <c r="K1916">
        <v>-3.7230000000000002E-3</v>
      </c>
      <c r="M1916" t="s">
        <v>3</v>
      </c>
      <c r="N1916">
        <v>5000</v>
      </c>
      <c r="O1916">
        <v>36</v>
      </c>
      <c r="P1916">
        <v>2</v>
      </c>
      <c r="Q1916">
        <v>0</v>
      </c>
      <c r="R1916">
        <v>25594658</v>
      </c>
      <c r="S1916">
        <v>37325.019999999997</v>
      </c>
      <c r="T1916">
        <v>25557332.98</v>
      </c>
      <c r="U1916">
        <v>25557332.98</v>
      </c>
      <c r="V1916">
        <v>0</v>
      </c>
      <c r="W1916">
        <v>0</v>
      </c>
    </row>
    <row r="1917" spans="1:23" x14ac:dyDescent="0.35">
      <c r="A1917" t="s">
        <v>3</v>
      </c>
      <c r="B1917">
        <v>4750</v>
      </c>
      <c r="C1917">
        <v>36</v>
      </c>
      <c r="D1917">
        <v>1</v>
      </c>
      <c r="E1917">
        <v>0</v>
      </c>
      <c r="F1917">
        <v>19388864</v>
      </c>
      <c r="G1917">
        <v>29557.8</v>
      </c>
      <c r="H1917">
        <v>19359094</v>
      </c>
      <c r="I1917">
        <v>19359094</v>
      </c>
      <c r="J1917">
        <v>1.3100000000000001E-4</v>
      </c>
      <c r="K1917">
        <v>1.3100000000000001E-4</v>
      </c>
      <c r="M1917" t="s">
        <v>2</v>
      </c>
      <c r="N1917">
        <v>7250</v>
      </c>
      <c r="O1917">
        <v>54</v>
      </c>
      <c r="P1917">
        <v>1</v>
      </c>
      <c r="Q1917">
        <v>0</v>
      </c>
      <c r="R1917">
        <v>6607616</v>
      </c>
      <c r="S1917">
        <v>7609.18</v>
      </c>
      <c r="T1917">
        <v>6600006.8200000003</v>
      </c>
      <c r="U1917">
        <v>6600006.8200000003</v>
      </c>
      <c r="V1917">
        <v>0</v>
      </c>
      <c r="W1917">
        <v>0</v>
      </c>
    </row>
    <row r="1918" spans="1:23" x14ac:dyDescent="0.35">
      <c r="A1918" t="s">
        <v>3</v>
      </c>
      <c r="B1918">
        <v>5500</v>
      </c>
      <c r="C1918">
        <v>36</v>
      </c>
      <c r="D1918">
        <v>10</v>
      </c>
      <c r="E1918">
        <v>0</v>
      </c>
      <c r="F1918">
        <v>291097048</v>
      </c>
      <c r="G1918">
        <v>385830.28</v>
      </c>
      <c r="H1918">
        <v>290610814</v>
      </c>
      <c r="I1918">
        <v>290610814</v>
      </c>
      <c r="J1918">
        <v>4.1310000000000001E-3</v>
      </c>
      <c r="K1918">
        <v>4.1310000000000001E-3</v>
      </c>
      <c r="M1918" t="s">
        <v>1</v>
      </c>
      <c r="N1918">
        <v>2500</v>
      </c>
      <c r="O1918">
        <v>36</v>
      </c>
      <c r="P1918">
        <v>9</v>
      </c>
      <c r="Q1918">
        <v>0</v>
      </c>
      <c r="R1918">
        <v>268478413</v>
      </c>
      <c r="S1918">
        <v>619870.36</v>
      </c>
      <c r="T1918">
        <v>267858542.63999999</v>
      </c>
      <c r="U1918">
        <v>267858542.63999999</v>
      </c>
      <c r="V1918">
        <v>0</v>
      </c>
      <c r="W1918">
        <v>0</v>
      </c>
    </row>
    <row r="1919" spans="1:23" x14ac:dyDescent="0.35">
      <c r="A1919" t="s">
        <v>0</v>
      </c>
      <c r="B1919">
        <v>2000</v>
      </c>
      <c r="C1919">
        <v>36</v>
      </c>
      <c r="D1919">
        <v>2</v>
      </c>
      <c r="E1919">
        <v>0</v>
      </c>
      <c r="F1919">
        <v>71740718</v>
      </c>
      <c r="G1919">
        <v>164598.60999999999</v>
      </c>
      <c r="H1919">
        <v>71575688</v>
      </c>
      <c r="I1919">
        <v>71575688</v>
      </c>
      <c r="J1919">
        <v>7.2000000000000002E-5</v>
      </c>
      <c r="K1919">
        <v>7.2000000000000002E-5</v>
      </c>
      <c r="M1919" t="s">
        <v>0</v>
      </c>
      <c r="N1919">
        <v>2500</v>
      </c>
      <c r="O1919">
        <v>36</v>
      </c>
      <c r="P1919">
        <v>2</v>
      </c>
      <c r="Q1919">
        <v>0</v>
      </c>
      <c r="R1919">
        <v>60434759</v>
      </c>
      <c r="S1919">
        <v>130737.1</v>
      </c>
      <c r="T1919">
        <v>60304021.899999999</v>
      </c>
      <c r="U1919">
        <v>60304021.899999999</v>
      </c>
      <c r="V1919">
        <v>0</v>
      </c>
      <c r="W1919">
        <v>0</v>
      </c>
    </row>
    <row r="1920" spans="1:23" x14ac:dyDescent="0.35">
      <c r="A1920" t="s">
        <v>2</v>
      </c>
      <c r="B1920">
        <v>2250</v>
      </c>
      <c r="C1920">
        <v>36</v>
      </c>
      <c r="D1920">
        <v>1</v>
      </c>
      <c r="E1920">
        <v>0</v>
      </c>
      <c r="F1920">
        <v>11864130</v>
      </c>
      <c r="G1920">
        <v>28497.040000000001</v>
      </c>
      <c r="H1920">
        <v>11864130</v>
      </c>
      <c r="I1920">
        <v>11864130</v>
      </c>
      <c r="J1920">
        <v>-2.9207E-2</v>
      </c>
      <c r="K1920">
        <v>-2.9207E-2</v>
      </c>
      <c r="M1920" t="s">
        <v>0</v>
      </c>
      <c r="N1920">
        <v>9000</v>
      </c>
      <c r="O1920">
        <v>36</v>
      </c>
      <c r="P1920">
        <v>1</v>
      </c>
      <c r="Q1920">
        <v>0</v>
      </c>
      <c r="R1920">
        <v>13199854</v>
      </c>
      <c r="S1920">
        <v>10175.43</v>
      </c>
      <c r="T1920">
        <v>0</v>
      </c>
      <c r="U1920">
        <v>0</v>
      </c>
      <c r="V1920">
        <v>1</v>
      </c>
      <c r="W1920">
        <v>1</v>
      </c>
    </row>
    <row r="1921" spans="1:23" x14ac:dyDescent="0.35">
      <c r="A1921" t="s">
        <v>3</v>
      </c>
      <c r="B1921">
        <v>5000</v>
      </c>
      <c r="C1921">
        <v>36</v>
      </c>
      <c r="D1921">
        <v>2</v>
      </c>
      <c r="E1921">
        <v>0</v>
      </c>
      <c r="F1921">
        <v>25557220</v>
      </c>
      <c r="G1921">
        <v>37477.89</v>
      </c>
      <c r="H1921">
        <v>25519628</v>
      </c>
      <c r="I1921">
        <v>25519628</v>
      </c>
      <c r="J1921">
        <v>5.3999999999999998E-5</v>
      </c>
      <c r="K1921">
        <v>5.3999999999999998E-5</v>
      </c>
      <c r="M1921" t="s">
        <v>0</v>
      </c>
      <c r="N1921">
        <v>9000</v>
      </c>
      <c r="O1921">
        <v>42</v>
      </c>
      <c r="P1921">
        <v>1</v>
      </c>
      <c r="Q1921">
        <v>0</v>
      </c>
      <c r="R1921">
        <v>19707975</v>
      </c>
      <c r="S1921">
        <v>15341.42</v>
      </c>
      <c r="T1921">
        <v>19692633.579999998</v>
      </c>
      <c r="U1921">
        <v>19692633.579999998</v>
      </c>
      <c r="V1921">
        <v>0</v>
      </c>
      <c r="W1921">
        <v>0</v>
      </c>
    </row>
    <row r="1922" spans="1:23" x14ac:dyDescent="0.35">
      <c r="A1922" t="s">
        <v>2</v>
      </c>
      <c r="B1922">
        <v>7250</v>
      </c>
      <c r="C1922">
        <v>54</v>
      </c>
      <c r="D1922">
        <v>1</v>
      </c>
      <c r="E1922">
        <v>0</v>
      </c>
      <c r="F1922">
        <v>6597183</v>
      </c>
      <c r="G1922">
        <v>7651.09</v>
      </c>
      <c r="H1922">
        <v>6586688</v>
      </c>
      <c r="I1922">
        <v>6586688</v>
      </c>
      <c r="J1922">
        <v>5.1609999999999998E-3</v>
      </c>
      <c r="K1922">
        <v>5.1609999999999998E-3</v>
      </c>
      <c r="M1922" t="s">
        <v>1</v>
      </c>
      <c r="N1922">
        <v>2250</v>
      </c>
      <c r="O1922">
        <v>30</v>
      </c>
      <c r="P1922">
        <v>28</v>
      </c>
      <c r="Q1922">
        <v>0</v>
      </c>
      <c r="R1922">
        <v>1131347825</v>
      </c>
      <c r="S1922">
        <v>2618332.31</v>
      </c>
      <c r="T1922">
        <v>1128729492.6900001</v>
      </c>
      <c r="U1922">
        <v>1128729492.6900001</v>
      </c>
      <c r="V1922">
        <v>0</v>
      </c>
      <c r="W1922">
        <v>0</v>
      </c>
    </row>
    <row r="1923" spans="1:23" x14ac:dyDescent="0.35">
      <c r="A1923" t="s">
        <v>2</v>
      </c>
      <c r="B1923">
        <v>2000</v>
      </c>
      <c r="C1923">
        <v>108</v>
      </c>
      <c r="D1923">
        <v>1</v>
      </c>
      <c r="E1923">
        <v>0</v>
      </c>
      <c r="F1923">
        <v>12035069</v>
      </c>
      <c r="G1923">
        <v>37019.54</v>
      </c>
      <c r="H1923">
        <v>12035069</v>
      </c>
      <c r="I1923">
        <v>12035069</v>
      </c>
      <c r="J1923">
        <v>-3.7543E-2</v>
      </c>
      <c r="K1923">
        <v>-3.7543E-2</v>
      </c>
      <c r="M1923" t="s">
        <v>0</v>
      </c>
      <c r="N1923">
        <v>2000</v>
      </c>
      <c r="O1923">
        <v>30</v>
      </c>
      <c r="P1923">
        <v>1</v>
      </c>
      <c r="Q1923">
        <v>0</v>
      </c>
      <c r="R1923">
        <v>52367208</v>
      </c>
      <c r="S1923">
        <v>119158.34</v>
      </c>
      <c r="T1923">
        <v>52248049.659999996</v>
      </c>
      <c r="U1923">
        <v>52248049.659999996</v>
      </c>
      <c r="V1923">
        <v>0</v>
      </c>
      <c r="W1923">
        <v>0</v>
      </c>
    </row>
    <row r="1924" spans="1:23" x14ac:dyDescent="0.35">
      <c r="A1924" t="s">
        <v>0</v>
      </c>
      <c r="B1924">
        <v>2500</v>
      </c>
      <c r="C1924">
        <v>36</v>
      </c>
      <c r="D1924">
        <v>2</v>
      </c>
      <c r="E1924">
        <v>0</v>
      </c>
      <c r="F1924">
        <v>60303676</v>
      </c>
      <c r="G1924">
        <v>130995.1</v>
      </c>
      <c r="H1924">
        <v>60172333</v>
      </c>
      <c r="I1924">
        <v>60172333</v>
      </c>
      <c r="J1924">
        <v>6.8999999999999997E-5</v>
      </c>
      <c r="K1924">
        <v>6.8999999999999997E-5</v>
      </c>
      <c r="M1924" t="s">
        <v>2</v>
      </c>
      <c r="N1924">
        <v>2750</v>
      </c>
      <c r="O1924">
        <v>30</v>
      </c>
      <c r="P1924">
        <v>25</v>
      </c>
      <c r="Q1924">
        <v>0</v>
      </c>
      <c r="R1924">
        <v>510477167</v>
      </c>
      <c r="S1924">
        <v>1089125.6000000001</v>
      </c>
      <c r="T1924">
        <v>509388041.39999998</v>
      </c>
      <c r="U1924">
        <v>509388041.39999998</v>
      </c>
      <c r="V1924">
        <v>0</v>
      </c>
      <c r="W1924">
        <v>0</v>
      </c>
    </row>
    <row r="1925" spans="1:23" x14ac:dyDescent="0.35">
      <c r="A1925" t="s">
        <v>0</v>
      </c>
      <c r="B1925">
        <v>9000</v>
      </c>
      <c r="C1925">
        <v>42</v>
      </c>
      <c r="D1925">
        <v>1</v>
      </c>
      <c r="E1925">
        <v>0</v>
      </c>
      <c r="F1925">
        <v>19692633</v>
      </c>
      <c r="G1925">
        <v>15453.8</v>
      </c>
      <c r="H1925">
        <v>19627179</v>
      </c>
      <c r="I1925">
        <v>19627179</v>
      </c>
      <c r="J1925">
        <v>3.0046E-2</v>
      </c>
      <c r="K1925">
        <v>3.0046E-2</v>
      </c>
      <c r="M1925" t="s">
        <v>0</v>
      </c>
      <c r="N1925">
        <v>2750</v>
      </c>
      <c r="O1925">
        <v>30</v>
      </c>
      <c r="P1925">
        <v>5</v>
      </c>
      <c r="Q1925">
        <v>0</v>
      </c>
      <c r="R1925">
        <v>136628198</v>
      </c>
      <c r="S1925">
        <v>298830.31</v>
      </c>
      <c r="T1925">
        <v>136329367.69</v>
      </c>
      <c r="U1925">
        <v>136329367.69</v>
      </c>
      <c r="V1925">
        <v>0</v>
      </c>
      <c r="W1925">
        <v>0</v>
      </c>
    </row>
    <row r="1926" spans="1:23" x14ac:dyDescent="0.35">
      <c r="A1926" t="s">
        <v>1</v>
      </c>
      <c r="B1926">
        <v>8250</v>
      </c>
      <c r="C1926">
        <v>36</v>
      </c>
      <c r="D1926">
        <v>3</v>
      </c>
      <c r="E1926">
        <v>0</v>
      </c>
      <c r="F1926">
        <v>71453437</v>
      </c>
      <c r="G1926">
        <v>57696.79</v>
      </c>
      <c r="H1926">
        <v>58684547</v>
      </c>
      <c r="I1926">
        <v>71271196.730000004</v>
      </c>
      <c r="J1926">
        <v>0.90469200000000005</v>
      </c>
      <c r="K1926">
        <v>2.0716999999999999E-2</v>
      </c>
      <c r="M1926" t="s">
        <v>0</v>
      </c>
      <c r="N1926">
        <v>3500</v>
      </c>
      <c r="O1926">
        <v>30</v>
      </c>
      <c r="P1926">
        <v>15</v>
      </c>
      <c r="Q1926">
        <v>0</v>
      </c>
      <c r="R1926">
        <v>340891892</v>
      </c>
      <c r="S1926">
        <v>618339.87</v>
      </c>
      <c r="T1926">
        <v>332262363.27999997</v>
      </c>
      <c r="U1926">
        <v>332262363.27999997</v>
      </c>
      <c r="V1926">
        <v>0.24826699999999999</v>
      </c>
      <c r="W1926">
        <v>0.24826699999999999</v>
      </c>
    </row>
    <row r="1927" spans="1:23" x14ac:dyDescent="0.35">
      <c r="A1927" t="s">
        <v>1</v>
      </c>
      <c r="B1927">
        <v>9000</v>
      </c>
      <c r="C1927">
        <v>36</v>
      </c>
      <c r="D1927">
        <v>1</v>
      </c>
      <c r="E1927">
        <v>0</v>
      </c>
      <c r="F1927">
        <v>36830523</v>
      </c>
      <c r="G1927">
        <v>27603.81</v>
      </c>
      <c r="H1927">
        <v>36830523</v>
      </c>
      <c r="I1927">
        <v>36830523</v>
      </c>
      <c r="J1927">
        <v>-9.0310000000000008E-3</v>
      </c>
      <c r="K1927">
        <v>-9.0310000000000008E-3</v>
      </c>
      <c r="M1927" t="s">
        <v>1</v>
      </c>
      <c r="N1927">
        <v>3250</v>
      </c>
      <c r="O1927">
        <v>30</v>
      </c>
      <c r="P1927">
        <v>42</v>
      </c>
      <c r="Q1927">
        <v>0</v>
      </c>
      <c r="R1927">
        <v>1474952654</v>
      </c>
      <c r="S1927">
        <v>2892508.49</v>
      </c>
      <c r="T1927">
        <v>1446712776.97</v>
      </c>
      <c r="U1927">
        <v>1446712776.97</v>
      </c>
      <c r="V1927">
        <v>0.187805</v>
      </c>
      <c r="W1927">
        <v>0.187805</v>
      </c>
    </row>
    <row r="1928" spans="1:23" x14ac:dyDescent="0.35">
      <c r="A1928" t="s">
        <v>1</v>
      </c>
      <c r="B1928">
        <v>2250</v>
      </c>
      <c r="C1928">
        <v>30</v>
      </c>
      <c r="D1928">
        <v>25</v>
      </c>
      <c r="E1928">
        <v>0</v>
      </c>
      <c r="F1928">
        <v>977108226</v>
      </c>
      <c r="G1928">
        <v>2284266.87</v>
      </c>
      <c r="H1928">
        <v>974745705</v>
      </c>
      <c r="I1928">
        <v>974745705</v>
      </c>
      <c r="J1928">
        <v>9.6100000000000005E-4</v>
      </c>
      <c r="K1928">
        <v>9.6100000000000005E-4</v>
      </c>
      <c r="M1928" t="s">
        <v>2</v>
      </c>
      <c r="N1928">
        <v>3250</v>
      </c>
      <c r="O1928">
        <v>30</v>
      </c>
      <c r="P1928">
        <v>28</v>
      </c>
      <c r="Q1928">
        <v>0</v>
      </c>
      <c r="R1928">
        <v>509343563</v>
      </c>
      <c r="S1928">
        <v>984413.81</v>
      </c>
      <c r="T1928">
        <v>489120796.94</v>
      </c>
      <c r="U1928">
        <v>508359149.19</v>
      </c>
      <c r="V1928">
        <v>0.36999799999999999</v>
      </c>
      <c r="W1928">
        <v>0</v>
      </c>
    </row>
    <row r="1929" spans="1:23" x14ac:dyDescent="0.35">
      <c r="A1929" t="s">
        <v>1</v>
      </c>
      <c r="B1929">
        <v>2750</v>
      </c>
      <c r="C1929">
        <v>30</v>
      </c>
      <c r="D1929">
        <v>18</v>
      </c>
      <c r="E1929">
        <v>0</v>
      </c>
      <c r="F1929">
        <v>736469349</v>
      </c>
      <c r="G1929">
        <v>1567112.77</v>
      </c>
      <c r="H1929">
        <v>734884064</v>
      </c>
      <c r="I1929">
        <v>734884064</v>
      </c>
      <c r="J1929">
        <v>2.9599999999999998E-4</v>
      </c>
      <c r="K1929">
        <v>2.9599999999999998E-4</v>
      </c>
      <c r="M1929" t="s">
        <v>1</v>
      </c>
      <c r="N1929">
        <v>3500</v>
      </c>
      <c r="O1929">
        <v>30</v>
      </c>
      <c r="P1929">
        <v>34</v>
      </c>
      <c r="Q1929">
        <v>0</v>
      </c>
      <c r="R1929">
        <v>1013974358</v>
      </c>
      <c r="S1929">
        <v>1930121.6</v>
      </c>
      <c r="T1929">
        <v>1006703565.2</v>
      </c>
      <c r="U1929">
        <v>1012044236.4</v>
      </c>
      <c r="V1929">
        <v>6.1406000000000002E-2</v>
      </c>
      <c r="W1929">
        <v>0</v>
      </c>
    </row>
    <row r="1930" spans="1:23" x14ac:dyDescent="0.35">
      <c r="A1930" t="s">
        <v>0</v>
      </c>
      <c r="B1930">
        <v>2250</v>
      </c>
      <c r="C1930">
        <v>36</v>
      </c>
      <c r="D1930">
        <v>1</v>
      </c>
      <c r="E1930">
        <v>0</v>
      </c>
      <c r="F1930">
        <v>11569987</v>
      </c>
      <c r="G1930">
        <v>25460.39</v>
      </c>
      <c r="H1930">
        <v>11544406</v>
      </c>
      <c r="I1930">
        <v>11544406</v>
      </c>
      <c r="J1930">
        <v>1.25E-4</v>
      </c>
      <c r="K1930">
        <v>1.25E-4</v>
      </c>
      <c r="M1930" t="s">
        <v>0</v>
      </c>
      <c r="N1930">
        <v>4250</v>
      </c>
      <c r="O1930">
        <v>30</v>
      </c>
      <c r="P1930">
        <v>804</v>
      </c>
      <c r="Q1930">
        <v>0</v>
      </c>
      <c r="R1930">
        <v>22732321357</v>
      </c>
      <c r="S1930">
        <v>36046285.719999999</v>
      </c>
      <c r="T1930">
        <v>22653251185.23</v>
      </c>
      <c r="U1930">
        <v>22675717260.84</v>
      </c>
      <c r="V1930">
        <v>2.2477E-2</v>
      </c>
      <c r="W1930">
        <v>1.0798E-2</v>
      </c>
    </row>
    <row r="1931" spans="1:23" x14ac:dyDescent="0.35">
      <c r="A1931" t="s">
        <v>0</v>
      </c>
      <c r="B1931">
        <v>2250</v>
      </c>
      <c r="C1931">
        <v>30</v>
      </c>
      <c r="D1931">
        <v>3</v>
      </c>
      <c r="E1931">
        <v>0</v>
      </c>
      <c r="F1931">
        <v>101706515</v>
      </c>
      <c r="G1931">
        <v>220939.26</v>
      </c>
      <c r="H1931">
        <v>101484982</v>
      </c>
      <c r="I1931">
        <v>101484982</v>
      </c>
      <c r="J1931">
        <v>6.9999999999999994E-5</v>
      </c>
      <c r="K1931">
        <v>6.9999999999999994E-5</v>
      </c>
      <c r="M1931" t="s">
        <v>1</v>
      </c>
      <c r="N1931">
        <v>4250</v>
      </c>
      <c r="O1931">
        <v>30</v>
      </c>
      <c r="P1931">
        <v>293</v>
      </c>
      <c r="Q1931">
        <v>0</v>
      </c>
      <c r="R1931">
        <v>9119439561</v>
      </c>
      <c r="S1931">
        <v>14545843.48</v>
      </c>
      <c r="T1931">
        <v>9014030386.1299992</v>
      </c>
      <c r="U1931">
        <v>9053628285.9500008</v>
      </c>
      <c r="V1931">
        <v>0.11322500000000001</v>
      </c>
      <c r="W1931">
        <v>6.5411999999999998E-2</v>
      </c>
    </row>
    <row r="1932" spans="1:23" x14ac:dyDescent="0.35">
      <c r="A1932" t="s">
        <v>2</v>
      </c>
      <c r="B1932">
        <v>2500</v>
      </c>
      <c r="C1932">
        <v>30</v>
      </c>
      <c r="D1932">
        <v>3</v>
      </c>
      <c r="E1932">
        <v>0</v>
      </c>
      <c r="F1932">
        <v>48291992</v>
      </c>
      <c r="G1932">
        <v>102928.84</v>
      </c>
      <c r="H1932">
        <v>48216876</v>
      </c>
      <c r="I1932">
        <v>48216876</v>
      </c>
      <c r="J1932">
        <v>-6.9329999999999999E-3</v>
      </c>
      <c r="K1932">
        <v>-6.9329999999999999E-3</v>
      </c>
      <c r="M1932" t="s">
        <v>1</v>
      </c>
      <c r="N1932">
        <v>4000</v>
      </c>
      <c r="O1932">
        <v>30</v>
      </c>
      <c r="P1932">
        <v>75</v>
      </c>
      <c r="Q1932">
        <v>0</v>
      </c>
      <c r="R1932">
        <v>2479805367</v>
      </c>
      <c r="S1932">
        <v>4183344.03</v>
      </c>
      <c r="T1932">
        <v>2390697776.3200002</v>
      </c>
      <c r="U1932">
        <v>2390697776.3200002</v>
      </c>
      <c r="V1932">
        <v>0.34174199999999999</v>
      </c>
      <c r="W1932">
        <v>0.34174199999999999</v>
      </c>
    </row>
    <row r="1933" spans="1:23" x14ac:dyDescent="0.35">
      <c r="A1933" t="s">
        <v>0</v>
      </c>
      <c r="B1933">
        <v>2750</v>
      </c>
      <c r="C1933">
        <v>30</v>
      </c>
      <c r="D1933">
        <v>4</v>
      </c>
      <c r="E1933">
        <v>0</v>
      </c>
      <c r="F1933">
        <v>108399396</v>
      </c>
      <c r="G1933">
        <v>242489.01</v>
      </c>
      <c r="H1933">
        <v>108253067</v>
      </c>
      <c r="I1933">
        <v>108253067</v>
      </c>
      <c r="J1933">
        <v>-1.0697E-2</v>
      </c>
      <c r="K1933">
        <v>-1.0697E-2</v>
      </c>
      <c r="M1933" t="s">
        <v>2</v>
      </c>
      <c r="N1933">
        <v>3750</v>
      </c>
      <c r="O1933">
        <v>30</v>
      </c>
      <c r="P1933">
        <v>26</v>
      </c>
      <c r="Q1933">
        <v>0</v>
      </c>
      <c r="R1933">
        <v>456163288</v>
      </c>
      <c r="S1933">
        <v>819682.04</v>
      </c>
      <c r="T1933">
        <v>455343605.95999998</v>
      </c>
      <c r="U1933">
        <v>455343605.95999998</v>
      </c>
      <c r="V1933">
        <v>0</v>
      </c>
      <c r="W1933">
        <v>0</v>
      </c>
    </row>
    <row r="1934" spans="1:23" x14ac:dyDescent="0.35">
      <c r="A1934" t="s">
        <v>2</v>
      </c>
      <c r="B1934">
        <v>2750</v>
      </c>
      <c r="C1934">
        <v>30</v>
      </c>
      <c r="D1934">
        <v>25</v>
      </c>
      <c r="E1934">
        <v>0</v>
      </c>
      <c r="F1934">
        <v>493557406</v>
      </c>
      <c r="G1934">
        <v>1053555.92</v>
      </c>
      <c r="H1934">
        <v>492767054</v>
      </c>
      <c r="I1934">
        <v>492767054</v>
      </c>
      <c r="J1934">
        <v>-6.4180000000000001E-3</v>
      </c>
      <c r="K1934">
        <v>-6.4180000000000001E-3</v>
      </c>
      <c r="M1934" t="s">
        <v>1</v>
      </c>
      <c r="N1934">
        <v>3750</v>
      </c>
      <c r="O1934">
        <v>30</v>
      </c>
      <c r="P1934">
        <v>65</v>
      </c>
      <c r="Q1934">
        <v>0</v>
      </c>
      <c r="R1934">
        <v>2124879268</v>
      </c>
      <c r="S1934">
        <v>3809538.7</v>
      </c>
      <c r="T1934">
        <v>2121069729.3</v>
      </c>
      <c r="U1934">
        <v>2121069729.3</v>
      </c>
      <c r="V1934">
        <v>0</v>
      </c>
      <c r="W1934">
        <v>0</v>
      </c>
    </row>
    <row r="1935" spans="1:23" x14ac:dyDescent="0.35">
      <c r="A1935" t="s">
        <v>2</v>
      </c>
      <c r="B1935">
        <v>3000</v>
      </c>
      <c r="C1935">
        <v>30</v>
      </c>
      <c r="D1935">
        <v>15</v>
      </c>
      <c r="E1935">
        <v>0</v>
      </c>
      <c r="F1935">
        <v>271826478</v>
      </c>
      <c r="G1935">
        <v>554211.4</v>
      </c>
      <c r="H1935">
        <v>271151315</v>
      </c>
      <c r="I1935">
        <v>271151315</v>
      </c>
      <c r="J1935">
        <v>5.326E-3</v>
      </c>
      <c r="K1935">
        <v>5.326E-3</v>
      </c>
      <c r="M1935" t="s">
        <v>0</v>
      </c>
      <c r="N1935">
        <v>3750</v>
      </c>
      <c r="O1935">
        <v>30</v>
      </c>
      <c r="P1935">
        <v>39</v>
      </c>
      <c r="Q1935">
        <v>0</v>
      </c>
      <c r="R1935">
        <v>1159405559</v>
      </c>
      <c r="S1935">
        <v>1996264.49</v>
      </c>
      <c r="T1935">
        <v>1157409294.51</v>
      </c>
      <c r="U1935">
        <v>1157409294.51</v>
      </c>
      <c r="V1935">
        <v>0</v>
      </c>
      <c r="W1935">
        <v>0</v>
      </c>
    </row>
    <row r="1936" spans="1:23" x14ac:dyDescent="0.35">
      <c r="A1936" t="s">
        <v>2</v>
      </c>
      <c r="B1936">
        <v>3750</v>
      </c>
      <c r="C1936">
        <v>30</v>
      </c>
      <c r="D1936">
        <v>26</v>
      </c>
      <c r="E1936">
        <v>0</v>
      </c>
      <c r="F1936">
        <v>445395248</v>
      </c>
      <c r="G1936">
        <v>792345.77</v>
      </c>
      <c r="H1936">
        <v>444805869</v>
      </c>
      <c r="I1936">
        <v>444805869</v>
      </c>
      <c r="J1936">
        <v>-5.4819999999999999E-3</v>
      </c>
      <c r="K1936">
        <v>-5.4819999999999999E-3</v>
      </c>
      <c r="M1936" t="s">
        <v>2</v>
      </c>
      <c r="N1936">
        <v>4000</v>
      </c>
      <c r="O1936">
        <v>30</v>
      </c>
      <c r="P1936">
        <v>20</v>
      </c>
      <c r="Q1936">
        <v>0</v>
      </c>
      <c r="R1936">
        <v>380120293</v>
      </c>
      <c r="S1936">
        <v>644702.71</v>
      </c>
      <c r="T1936">
        <v>356833502.82999998</v>
      </c>
      <c r="U1936">
        <v>356833502.82999998</v>
      </c>
      <c r="V1936">
        <v>0.52143399999999995</v>
      </c>
      <c r="W1936">
        <v>0.52143399999999995</v>
      </c>
    </row>
    <row r="1937" spans="1:23" x14ac:dyDescent="0.35">
      <c r="A1937" t="s">
        <v>0</v>
      </c>
      <c r="B1937">
        <v>3500</v>
      </c>
      <c r="C1937">
        <v>30</v>
      </c>
      <c r="D1937">
        <v>11</v>
      </c>
      <c r="E1937">
        <v>0</v>
      </c>
      <c r="F1937">
        <v>296971586</v>
      </c>
      <c r="G1937">
        <v>536325.59</v>
      </c>
      <c r="H1937">
        <v>296361693</v>
      </c>
      <c r="I1937">
        <v>296361693</v>
      </c>
      <c r="J1937">
        <v>2.9689999999999999E-3</v>
      </c>
      <c r="K1937">
        <v>2.9689999999999999E-3</v>
      </c>
      <c r="M1937" t="s">
        <v>1</v>
      </c>
      <c r="N1937">
        <v>4500</v>
      </c>
      <c r="O1937">
        <v>30</v>
      </c>
      <c r="P1937">
        <v>449</v>
      </c>
      <c r="Q1937">
        <v>0</v>
      </c>
      <c r="R1937">
        <v>14826569118</v>
      </c>
      <c r="S1937">
        <v>22811395.82</v>
      </c>
      <c r="T1937">
        <v>14759766281.9</v>
      </c>
      <c r="U1937">
        <v>14783895242.92</v>
      </c>
      <c r="V1937">
        <v>3.5028999999999998E-2</v>
      </c>
      <c r="W1937">
        <v>1.5958E-2</v>
      </c>
    </row>
    <row r="1938" spans="1:23" x14ac:dyDescent="0.35">
      <c r="A1938" t="s">
        <v>0</v>
      </c>
      <c r="B1938">
        <v>3750</v>
      </c>
      <c r="C1938">
        <v>30</v>
      </c>
      <c r="D1938">
        <v>36</v>
      </c>
      <c r="E1938">
        <v>0</v>
      </c>
      <c r="F1938">
        <v>1079833984</v>
      </c>
      <c r="G1938">
        <v>1865213.84</v>
      </c>
      <c r="H1938">
        <v>1078004336</v>
      </c>
      <c r="I1938">
        <v>1078004336</v>
      </c>
      <c r="J1938">
        <v>-3.9500000000000001E-4</v>
      </c>
      <c r="K1938">
        <v>-3.9500000000000001E-4</v>
      </c>
      <c r="M1938" t="s">
        <v>2</v>
      </c>
      <c r="N1938">
        <v>4500</v>
      </c>
      <c r="O1938">
        <v>30</v>
      </c>
      <c r="P1938">
        <v>34</v>
      </c>
      <c r="Q1938">
        <v>0</v>
      </c>
      <c r="R1938">
        <v>707858036</v>
      </c>
      <c r="S1938">
        <v>1092006.1399999999</v>
      </c>
      <c r="T1938">
        <v>706766029.86000001</v>
      </c>
      <c r="U1938">
        <v>706766029.86000001</v>
      </c>
      <c r="V1938">
        <v>0</v>
      </c>
      <c r="W1938">
        <v>0</v>
      </c>
    </row>
    <row r="1939" spans="1:23" x14ac:dyDescent="0.35">
      <c r="A1939" t="s">
        <v>1</v>
      </c>
      <c r="B1939">
        <v>3500</v>
      </c>
      <c r="C1939">
        <v>30</v>
      </c>
      <c r="D1939">
        <v>37</v>
      </c>
      <c r="E1939">
        <v>0</v>
      </c>
      <c r="F1939">
        <v>1142132717</v>
      </c>
      <c r="G1939">
        <v>2157294.3199999998</v>
      </c>
      <c r="H1939">
        <v>1139923682</v>
      </c>
      <c r="I1939">
        <v>1139923682</v>
      </c>
      <c r="J1939">
        <v>5.4299999999999997E-4</v>
      </c>
      <c r="K1939">
        <v>5.4299999999999997E-4</v>
      </c>
      <c r="M1939" t="s">
        <v>2</v>
      </c>
      <c r="N1939">
        <v>5000</v>
      </c>
      <c r="O1939">
        <v>30</v>
      </c>
      <c r="P1939">
        <v>133</v>
      </c>
      <c r="Q1939">
        <v>0</v>
      </c>
      <c r="R1939">
        <v>3551869537</v>
      </c>
      <c r="S1939">
        <v>4984637.17</v>
      </c>
      <c r="T1939">
        <v>3546884899.8299999</v>
      </c>
      <c r="U1939">
        <v>3546884899.8299999</v>
      </c>
      <c r="V1939">
        <v>0</v>
      </c>
      <c r="W1939">
        <v>0</v>
      </c>
    </row>
    <row r="1940" spans="1:23" x14ac:dyDescent="0.35">
      <c r="A1940" t="s">
        <v>1</v>
      </c>
      <c r="B1940">
        <v>3250</v>
      </c>
      <c r="C1940">
        <v>30</v>
      </c>
      <c r="D1940">
        <v>35</v>
      </c>
      <c r="E1940">
        <v>0</v>
      </c>
      <c r="F1940">
        <v>1228087223</v>
      </c>
      <c r="G1940">
        <v>2386479.4</v>
      </c>
      <c r="H1940">
        <v>1225337678</v>
      </c>
      <c r="I1940">
        <v>1225337678</v>
      </c>
      <c r="J1940">
        <v>3.542E-3</v>
      </c>
      <c r="K1940">
        <v>3.542E-3</v>
      </c>
      <c r="M1940" t="s">
        <v>2</v>
      </c>
      <c r="N1940">
        <v>4750</v>
      </c>
      <c r="O1940">
        <v>30</v>
      </c>
      <c r="P1940">
        <v>39</v>
      </c>
      <c r="Q1940">
        <v>0</v>
      </c>
      <c r="R1940">
        <v>921117287</v>
      </c>
      <c r="S1940">
        <v>1353911.42</v>
      </c>
      <c r="T1940">
        <v>919763375.58000004</v>
      </c>
      <c r="U1940">
        <v>919763375.58000004</v>
      </c>
      <c r="V1940">
        <v>0</v>
      </c>
      <c r="W1940">
        <v>0</v>
      </c>
    </row>
    <row r="1941" spans="1:23" x14ac:dyDescent="0.35">
      <c r="A1941" t="s">
        <v>1</v>
      </c>
      <c r="B1941">
        <v>3750</v>
      </c>
      <c r="C1941">
        <v>30</v>
      </c>
      <c r="D1941">
        <v>59</v>
      </c>
      <c r="E1941">
        <v>0</v>
      </c>
      <c r="F1941">
        <v>2054221382</v>
      </c>
      <c r="G1941">
        <v>3673272.76</v>
      </c>
      <c r="H1941">
        <v>2020705746</v>
      </c>
      <c r="I1941">
        <v>2051208156.3199999</v>
      </c>
      <c r="J1941">
        <v>0.161052</v>
      </c>
      <c r="K1941">
        <v>-3.8630000000000001E-3</v>
      </c>
      <c r="M1941" t="s">
        <v>3</v>
      </c>
      <c r="N1941">
        <v>5500</v>
      </c>
      <c r="O1941">
        <v>30</v>
      </c>
      <c r="P1941">
        <v>5</v>
      </c>
      <c r="Q1941">
        <v>0</v>
      </c>
      <c r="R1941">
        <v>155354008</v>
      </c>
      <c r="S1941">
        <v>202060.42</v>
      </c>
      <c r="T1941">
        <v>155151947.58000001</v>
      </c>
      <c r="U1941">
        <v>155151947.58000001</v>
      </c>
      <c r="V1941">
        <v>0</v>
      </c>
      <c r="W1941">
        <v>0</v>
      </c>
    </row>
    <row r="1942" spans="1:23" x14ac:dyDescent="0.35">
      <c r="A1942" t="s">
        <v>1</v>
      </c>
      <c r="B1942">
        <v>4000</v>
      </c>
      <c r="C1942">
        <v>30</v>
      </c>
      <c r="D1942">
        <v>75</v>
      </c>
      <c r="E1942">
        <v>0</v>
      </c>
      <c r="F1942">
        <v>2603680736</v>
      </c>
      <c r="G1942">
        <v>4392174.0599999996</v>
      </c>
      <c r="H1942">
        <v>2559159471</v>
      </c>
      <c r="I1942">
        <v>2598071059.98</v>
      </c>
      <c r="J1942">
        <v>0.17005000000000001</v>
      </c>
      <c r="K1942">
        <v>5.5970000000000004E-3</v>
      </c>
      <c r="M1942" t="s">
        <v>1</v>
      </c>
      <c r="N1942">
        <v>9000</v>
      </c>
      <c r="O1942">
        <v>36</v>
      </c>
      <c r="P1942">
        <v>1</v>
      </c>
      <c r="Q1942">
        <v>0</v>
      </c>
      <c r="R1942">
        <v>36830523</v>
      </c>
      <c r="S1942">
        <v>27384.98</v>
      </c>
      <c r="T1942">
        <v>36803138.020000003</v>
      </c>
      <c r="U1942">
        <v>36803138.020000003</v>
      </c>
      <c r="V1942">
        <v>0</v>
      </c>
      <c r="W1942">
        <v>0</v>
      </c>
    </row>
    <row r="1943" spans="1:23" x14ac:dyDescent="0.35">
      <c r="A1943" t="s">
        <v>0</v>
      </c>
      <c r="B1943">
        <v>4000</v>
      </c>
      <c r="C1943">
        <v>30</v>
      </c>
      <c r="D1943">
        <v>32</v>
      </c>
      <c r="E1943">
        <v>0</v>
      </c>
      <c r="F1943">
        <v>1026634090</v>
      </c>
      <c r="G1943">
        <v>1703462.94</v>
      </c>
      <c r="H1943">
        <v>1025131905</v>
      </c>
      <c r="I1943">
        <v>1025131905</v>
      </c>
      <c r="J1943">
        <v>-2.3549999999999999E-3</v>
      </c>
      <c r="K1943">
        <v>-2.3549999999999999E-3</v>
      </c>
      <c r="M1943" t="s">
        <v>1</v>
      </c>
      <c r="N1943">
        <v>2750</v>
      </c>
      <c r="O1943">
        <v>30</v>
      </c>
      <c r="P1943">
        <v>21</v>
      </c>
      <c r="Q1943">
        <v>0</v>
      </c>
      <c r="R1943">
        <v>822412426</v>
      </c>
      <c r="S1943">
        <v>1748075.73</v>
      </c>
      <c r="T1943">
        <v>820664350.26999998</v>
      </c>
      <c r="U1943">
        <v>820664350.26999998</v>
      </c>
      <c r="V1943">
        <v>0</v>
      </c>
      <c r="W1943">
        <v>0</v>
      </c>
    </row>
    <row r="1944" spans="1:23" x14ac:dyDescent="0.35">
      <c r="A1944" t="s">
        <v>1</v>
      </c>
      <c r="B1944">
        <v>4250</v>
      </c>
      <c r="C1944">
        <v>30</v>
      </c>
      <c r="D1944">
        <v>310</v>
      </c>
      <c r="E1944">
        <v>0</v>
      </c>
      <c r="F1944">
        <v>9426391492</v>
      </c>
      <c r="G1944">
        <v>15024424.52</v>
      </c>
      <c r="H1944">
        <v>9232778494</v>
      </c>
      <c r="I1944">
        <v>9352806962.1900005</v>
      </c>
      <c r="J1944">
        <v>0.205092</v>
      </c>
      <c r="K1944">
        <v>7.2053000000000006E-2</v>
      </c>
      <c r="M1944" t="s">
        <v>0</v>
      </c>
      <c r="N1944">
        <v>2250</v>
      </c>
      <c r="O1944">
        <v>30</v>
      </c>
      <c r="P1944">
        <v>4</v>
      </c>
      <c r="Q1944">
        <v>0</v>
      </c>
      <c r="R1944">
        <v>113450869</v>
      </c>
      <c r="S1944">
        <v>245782.28</v>
      </c>
      <c r="T1944">
        <v>113205086.72</v>
      </c>
      <c r="U1944">
        <v>113205086.72</v>
      </c>
      <c r="V1944">
        <v>0</v>
      </c>
      <c r="W1944">
        <v>0</v>
      </c>
    </row>
    <row r="1945" spans="1:23" x14ac:dyDescent="0.35">
      <c r="A1945" t="s">
        <v>0</v>
      </c>
      <c r="B1945">
        <v>4250</v>
      </c>
      <c r="C1945">
        <v>30</v>
      </c>
      <c r="D1945">
        <v>807</v>
      </c>
      <c r="E1945">
        <v>0</v>
      </c>
      <c r="F1945">
        <v>22151819859</v>
      </c>
      <c r="G1945">
        <v>35118759.719999999</v>
      </c>
      <c r="H1945">
        <v>22060222598</v>
      </c>
      <c r="I1945">
        <v>22110325391.27</v>
      </c>
      <c r="J1945">
        <v>3.0169999999999999E-2</v>
      </c>
      <c r="K1945">
        <v>3.4480000000000001E-3</v>
      </c>
      <c r="M1945" t="s">
        <v>2</v>
      </c>
      <c r="N1945">
        <v>2500</v>
      </c>
      <c r="O1945">
        <v>30</v>
      </c>
      <c r="P1945">
        <v>2</v>
      </c>
      <c r="Q1945">
        <v>0</v>
      </c>
      <c r="R1945">
        <v>34732802</v>
      </c>
      <c r="S1945">
        <v>74126.899999999994</v>
      </c>
      <c r="T1945">
        <v>34658675.100000001</v>
      </c>
      <c r="U1945">
        <v>34658675.100000001</v>
      </c>
      <c r="V1945">
        <v>0</v>
      </c>
      <c r="W1945">
        <v>0</v>
      </c>
    </row>
    <row r="1946" spans="1:23" x14ac:dyDescent="0.35">
      <c r="A1946" t="s">
        <v>1</v>
      </c>
      <c r="B1946">
        <v>4500</v>
      </c>
      <c r="C1946">
        <v>30</v>
      </c>
      <c r="D1946">
        <v>475</v>
      </c>
      <c r="E1946">
        <v>0</v>
      </c>
      <c r="F1946">
        <v>15700714890</v>
      </c>
      <c r="G1946">
        <v>24103473.77</v>
      </c>
      <c r="H1946">
        <v>15485991258</v>
      </c>
      <c r="I1946">
        <v>15609649597.67</v>
      </c>
      <c r="J1946">
        <v>0.13634499999999999</v>
      </c>
      <c r="K1946">
        <v>4.9994999999999998E-2</v>
      </c>
      <c r="M1946" t="s">
        <v>2</v>
      </c>
      <c r="N1946">
        <v>3000</v>
      </c>
      <c r="O1946">
        <v>30</v>
      </c>
      <c r="P1946">
        <v>19</v>
      </c>
      <c r="Q1946">
        <v>0</v>
      </c>
      <c r="R1946">
        <v>346132607</v>
      </c>
      <c r="S1946">
        <v>700178.5</v>
      </c>
      <c r="T1946">
        <v>325659952.69</v>
      </c>
      <c r="U1946">
        <v>325659952.69</v>
      </c>
      <c r="V1946">
        <v>0.50630900000000001</v>
      </c>
      <c r="W1946">
        <v>0.50630900000000001</v>
      </c>
    </row>
    <row r="1947" spans="1:23" x14ac:dyDescent="0.35">
      <c r="A1947" t="s">
        <v>2</v>
      </c>
      <c r="B1947">
        <v>4500</v>
      </c>
      <c r="C1947">
        <v>30</v>
      </c>
      <c r="D1947">
        <v>35</v>
      </c>
      <c r="E1947">
        <v>0</v>
      </c>
      <c r="F1947">
        <v>701629482</v>
      </c>
      <c r="G1947">
        <v>1077969.95</v>
      </c>
      <c r="H1947">
        <v>700592316</v>
      </c>
      <c r="I1947">
        <v>700592316</v>
      </c>
      <c r="J1947">
        <v>-6.9800000000000005E-4</v>
      </c>
      <c r="K1947">
        <v>-6.9800000000000005E-4</v>
      </c>
      <c r="M1947" t="s">
        <v>0</v>
      </c>
      <c r="N1947">
        <v>3000</v>
      </c>
      <c r="O1947">
        <v>30</v>
      </c>
      <c r="P1947">
        <v>8</v>
      </c>
      <c r="Q1947">
        <v>0</v>
      </c>
      <c r="R1947">
        <v>254184162</v>
      </c>
      <c r="S1947">
        <v>500573.51</v>
      </c>
      <c r="T1947">
        <v>191176612.80000001</v>
      </c>
      <c r="U1947">
        <v>253683588.49000001</v>
      </c>
      <c r="V1947">
        <v>0.96618899999999996</v>
      </c>
      <c r="W1947">
        <v>0</v>
      </c>
    </row>
    <row r="1948" spans="1:23" x14ac:dyDescent="0.35">
      <c r="A1948" t="s">
        <v>2</v>
      </c>
      <c r="B1948">
        <v>3250</v>
      </c>
      <c r="C1948">
        <v>30</v>
      </c>
      <c r="D1948">
        <v>25</v>
      </c>
      <c r="E1948">
        <v>0</v>
      </c>
      <c r="F1948">
        <v>443779685</v>
      </c>
      <c r="G1948">
        <v>867521.42</v>
      </c>
      <c r="H1948">
        <v>443293448</v>
      </c>
      <c r="I1948">
        <v>443293448</v>
      </c>
      <c r="J1948">
        <v>-1.0359E-2</v>
      </c>
      <c r="K1948">
        <v>-1.0359E-2</v>
      </c>
      <c r="M1948" t="s">
        <v>2</v>
      </c>
      <c r="N1948">
        <v>3500</v>
      </c>
      <c r="O1948">
        <v>30</v>
      </c>
      <c r="P1948">
        <v>26</v>
      </c>
      <c r="Q1948">
        <v>0</v>
      </c>
      <c r="R1948">
        <v>353387934</v>
      </c>
      <c r="S1948">
        <v>664422.06000000006</v>
      </c>
      <c r="T1948">
        <v>352723511.94</v>
      </c>
      <c r="U1948">
        <v>352723511.94</v>
      </c>
      <c r="V1948">
        <v>0</v>
      </c>
      <c r="W1948">
        <v>0</v>
      </c>
    </row>
    <row r="1949" spans="1:23" x14ac:dyDescent="0.35">
      <c r="A1949" t="s">
        <v>2</v>
      </c>
      <c r="B1949">
        <v>3500</v>
      </c>
      <c r="C1949">
        <v>30</v>
      </c>
      <c r="D1949">
        <v>28</v>
      </c>
      <c r="E1949">
        <v>0</v>
      </c>
      <c r="F1949">
        <v>385768639</v>
      </c>
      <c r="G1949">
        <v>727159.1</v>
      </c>
      <c r="H1949">
        <v>384818388</v>
      </c>
      <c r="I1949">
        <v>384818388</v>
      </c>
      <c r="J1949">
        <v>6.9179999999999997E-3</v>
      </c>
      <c r="K1949">
        <v>6.9179999999999997E-3</v>
      </c>
      <c r="M1949" t="s">
        <v>0</v>
      </c>
      <c r="N1949">
        <v>3250</v>
      </c>
      <c r="O1949">
        <v>30</v>
      </c>
      <c r="P1949">
        <v>6</v>
      </c>
      <c r="Q1949">
        <v>0</v>
      </c>
      <c r="R1949">
        <v>143997149</v>
      </c>
      <c r="S1949">
        <v>269280.75</v>
      </c>
      <c r="T1949">
        <v>143727868.25</v>
      </c>
      <c r="U1949">
        <v>143727868.25</v>
      </c>
      <c r="V1949">
        <v>0</v>
      </c>
      <c r="W1949">
        <v>0</v>
      </c>
    </row>
    <row r="1950" spans="1:23" x14ac:dyDescent="0.35">
      <c r="A1950" t="s">
        <v>0</v>
      </c>
      <c r="B1950">
        <v>3250</v>
      </c>
      <c r="C1950">
        <v>30</v>
      </c>
      <c r="D1950">
        <v>5</v>
      </c>
      <c r="E1950">
        <v>0</v>
      </c>
      <c r="F1950">
        <v>103356311</v>
      </c>
      <c r="G1950">
        <v>193794.5</v>
      </c>
      <c r="H1950">
        <v>103167517</v>
      </c>
      <c r="I1950">
        <v>103167517</v>
      </c>
      <c r="J1950">
        <v>-5.8100000000000003E-4</v>
      </c>
      <c r="K1950">
        <v>-5.8100000000000003E-4</v>
      </c>
      <c r="M1950" t="s">
        <v>2</v>
      </c>
      <c r="N1950">
        <v>2250</v>
      </c>
      <c r="O1950">
        <v>30</v>
      </c>
      <c r="P1950">
        <v>4</v>
      </c>
      <c r="Q1950">
        <v>0</v>
      </c>
      <c r="R1950">
        <v>85690012</v>
      </c>
      <c r="S1950">
        <v>197660.15</v>
      </c>
      <c r="T1950">
        <v>85492351.849999994</v>
      </c>
      <c r="U1950">
        <v>85492351.849999994</v>
      </c>
      <c r="V1950">
        <v>0</v>
      </c>
      <c r="W1950">
        <v>0</v>
      </c>
    </row>
    <row r="1951" spans="1:23" x14ac:dyDescent="0.35">
      <c r="A1951" t="s">
        <v>2</v>
      </c>
      <c r="B1951">
        <v>4000</v>
      </c>
      <c r="C1951">
        <v>30</v>
      </c>
      <c r="D1951">
        <v>18</v>
      </c>
      <c r="E1951">
        <v>0</v>
      </c>
      <c r="F1951">
        <v>387892790</v>
      </c>
      <c r="G1951">
        <v>659921.51</v>
      </c>
      <c r="H1951">
        <v>387444052</v>
      </c>
      <c r="I1951">
        <v>387444052</v>
      </c>
      <c r="J1951">
        <v>-6.5529999999999998E-3</v>
      </c>
      <c r="K1951">
        <v>-6.5529999999999998E-3</v>
      </c>
      <c r="M1951" t="s">
        <v>1</v>
      </c>
      <c r="N1951">
        <v>5750</v>
      </c>
      <c r="O1951">
        <v>60</v>
      </c>
      <c r="P1951">
        <v>1</v>
      </c>
      <c r="Q1951">
        <v>0</v>
      </c>
      <c r="R1951">
        <v>24284991</v>
      </c>
      <c r="S1951">
        <v>35735.18</v>
      </c>
      <c r="T1951">
        <v>24249255.82</v>
      </c>
      <c r="U1951">
        <v>24249255.82</v>
      </c>
      <c r="V1951">
        <v>0</v>
      </c>
      <c r="W1951">
        <v>0</v>
      </c>
    </row>
    <row r="1952" spans="1:23" x14ac:dyDescent="0.35">
      <c r="A1952" t="s">
        <v>2</v>
      </c>
      <c r="B1952">
        <v>2250</v>
      </c>
      <c r="C1952">
        <v>30</v>
      </c>
      <c r="D1952">
        <v>4</v>
      </c>
      <c r="E1952">
        <v>0</v>
      </c>
      <c r="F1952">
        <v>85467043</v>
      </c>
      <c r="G1952">
        <v>197987.75</v>
      </c>
      <c r="H1952">
        <v>85372304</v>
      </c>
      <c r="I1952">
        <v>85372304</v>
      </c>
      <c r="J1952">
        <v>-1.4593E-2</v>
      </c>
      <c r="K1952">
        <v>-1.4593E-2</v>
      </c>
      <c r="M1952" t="s">
        <v>0</v>
      </c>
      <c r="N1952">
        <v>6750</v>
      </c>
      <c r="O1952">
        <v>54</v>
      </c>
      <c r="P1952">
        <v>1</v>
      </c>
      <c r="Q1952">
        <v>0</v>
      </c>
      <c r="R1952">
        <v>6583448</v>
      </c>
      <c r="S1952">
        <v>8111.58</v>
      </c>
      <c r="T1952">
        <v>6575336.4199999999</v>
      </c>
      <c r="U1952">
        <v>6575336.4199999999</v>
      </c>
      <c r="V1952">
        <v>0</v>
      </c>
      <c r="W1952">
        <v>0</v>
      </c>
    </row>
    <row r="1953" spans="1:23" x14ac:dyDescent="0.35">
      <c r="A1953" t="s">
        <v>0</v>
      </c>
      <c r="B1953">
        <v>3000</v>
      </c>
      <c r="C1953">
        <v>30</v>
      </c>
      <c r="D1953">
        <v>4</v>
      </c>
      <c r="E1953">
        <v>0</v>
      </c>
      <c r="F1953">
        <v>133239548</v>
      </c>
      <c r="G1953">
        <v>262651.26</v>
      </c>
      <c r="H1953">
        <v>133122537</v>
      </c>
      <c r="I1953">
        <v>133122537</v>
      </c>
      <c r="J1953">
        <v>-1.3195999999999999E-2</v>
      </c>
      <c r="K1953">
        <v>-1.3195999999999999E-2</v>
      </c>
      <c r="M1953" t="s">
        <v>0</v>
      </c>
      <c r="N1953">
        <v>2500</v>
      </c>
      <c r="O1953">
        <v>30</v>
      </c>
      <c r="P1953">
        <v>3</v>
      </c>
      <c r="Q1953">
        <v>0</v>
      </c>
      <c r="R1953">
        <v>92191199</v>
      </c>
      <c r="S1953">
        <v>194414.16</v>
      </c>
      <c r="T1953">
        <v>91996784.840000004</v>
      </c>
      <c r="U1953">
        <v>91996784.840000004</v>
      </c>
      <c r="V1953">
        <v>0</v>
      </c>
      <c r="W1953">
        <v>0</v>
      </c>
    </row>
    <row r="1954" spans="1:23" x14ac:dyDescent="0.35">
      <c r="A1954" t="s">
        <v>3</v>
      </c>
      <c r="B1954">
        <v>5500</v>
      </c>
      <c r="C1954">
        <v>30</v>
      </c>
      <c r="D1954">
        <v>2</v>
      </c>
      <c r="E1954">
        <v>0</v>
      </c>
      <c r="F1954">
        <v>77053242</v>
      </c>
      <c r="G1954">
        <v>98792.94</v>
      </c>
      <c r="H1954">
        <v>76954378</v>
      </c>
      <c r="I1954">
        <v>76954378</v>
      </c>
      <c r="J1954">
        <v>1.1E-5</v>
      </c>
      <c r="K1954">
        <v>1.1E-5</v>
      </c>
      <c r="M1954" t="s">
        <v>0</v>
      </c>
      <c r="N1954">
        <v>3500</v>
      </c>
      <c r="O1954">
        <v>24</v>
      </c>
      <c r="P1954">
        <v>4</v>
      </c>
      <c r="Q1954">
        <v>0</v>
      </c>
      <c r="R1954">
        <v>99566626</v>
      </c>
      <c r="S1954">
        <v>174550.73</v>
      </c>
      <c r="T1954">
        <v>99392075.269999996</v>
      </c>
      <c r="U1954">
        <v>99392075.269999996</v>
      </c>
      <c r="V1954">
        <v>0</v>
      </c>
      <c r="W1954">
        <v>0</v>
      </c>
    </row>
    <row r="1955" spans="1:23" x14ac:dyDescent="0.35">
      <c r="A1955" t="s">
        <v>1</v>
      </c>
      <c r="B1955">
        <v>5750</v>
      </c>
      <c r="C1955">
        <v>60</v>
      </c>
      <c r="D1955">
        <v>1</v>
      </c>
      <c r="E1955">
        <v>0</v>
      </c>
      <c r="F1955">
        <v>24249686</v>
      </c>
      <c r="G1955">
        <v>35907.050000000003</v>
      </c>
      <c r="H1955">
        <v>24249686</v>
      </c>
      <c r="I1955">
        <v>24249686</v>
      </c>
      <c r="J1955">
        <v>-1.7913999999999999E-2</v>
      </c>
      <c r="K1955">
        <v>-1.7913999999999999E-2</v>
      </c>
      <c r="M1955" t="s">
        <v>2</v>
      </c>
      <c r="N1955">
        <v>3750</v>
      </c>
      <c r="O1955">
        <v>24</v>
      </c>
      <c r="P1955">
        <v>23</v>
      </c>
      <c r="Q1955">
        <v>0</v>
      </c>
      <c r="R1955">
        <v>322211060</v>
      </c>
      <c r="S1955">
        <v>554122.42000000004</v>
      </c>
      <c r="T1955">
        <v>321656937.57999998</v>
      </c>
      <c r="U1955">
        <v>321656937.57999998</v>
      </c>
      <c r="V1955">
        <v>0</v>
      </c>
      <c r="W1955">
        <v>0</v>
      </c>
    </row>
    <row r="1956" spans="1:23" x14ac:dyDescent="0.35">
      <c r="A1956" t="s">
        <v>0</v>
      </c>
      <c r="B1956">
        <v>6750</v>
      </c>
      <c r="C1956">
        <v>54</v>
      </c>
      <c r="D1956">
        <v>1</v>
      </c>
      <c r="E1956">
        <v>0</v>
      </c>
      <c r="F1956">
        <v>6575337</v>
      </c>
      <c r="G1956">
        <v>8156.36</v>
      </c>
      <c r="H1956">
        <v>6567181</v>
      </c>
      <c r="I1956">
        <v>6567181</v>
      </c>
      <c r="J1956">
        <v>-9.9999999999999995E-7</v>
      </c>
      <c r="K1956">
        <v>-9.9999999999999995E-7</v>
      </c>
      <c r="M1956" t="s">
        <v>1</v>
      </c>
      <c r="N1956">
        <v>3250</v>
      </c>
      <c r="O1956">
        <v>24</v>
      </c>
      <c r="P1956">
        <v>23</v>
      </c>
      <c r="Q1956">
        <v>0</v>
      </c>
      <c r="R1956">
        <v>717122166</v>
      </c>
      <c r="S1956">
        <v>1382563.2</v>
      </c>
      <c r="T1956">
        <v>715739602.79999995</v>
      </c>
      <c r="U1956">
        <v>715739602.79999995</v>
      </c>
      <c r="V1956">
        <v>0</v>
      </c>
      <c r="W1956">
        <v>0</v>
      </c>
    </row>
    <row r="1957" spans="1:23" x14ac:dyDescent="0.35">
      <c r="A1957" t="s">
        <v>0</v>
      </c>
      <c r="B1957">
        <v>2500</v>
      </c>
      <c r="C1957">
        <v>30</v>
      </c>
      <c r="D1957">
        <v>3</v>
      </c>
      <c r="E1957">
        <v>0</v>
      </c>
      <c r="F1957">
        <v>91981015</v>
      </c>
      <c r="G1957">
        <v>194768.61</v>
      </c>
      <c r="H1957">
        <v>91862143</v>
      </c>
      <c r="I1957">
        <v>91862143</v>
      </c>
      <c r="J1957">
        <v>-9.9469999999999992E-3</v>
      </c>
      <c r="K1957">
        <v>-9.9469999999999992E-3</v>
      </c>
      <c r="M1957" t="s">
        <v>1</v>
      </c>
      <c r="N1957">
        <v>3750</v>
      </c>
      <c r="O1957">
        <v>24</v>
      </c>
      <c r="P1957">
        <v>36</v>
      </c>
      <c r="Q1957">
        <v>0</v>
      </c>
      <c r="R1957">
        <v>1190509707</v>
      </c>
      <c r="S1957">
        <v>2059565.25</v>
      </c>
      <c r="T1957">
        <v>1188450141.75</v>
      </c>
      <c r="U1957">
        <v>1188450141.75</v>
      </c>
      <c r="V1957">
        <v>0</v>
      </c>
      <c r="W1957">
        <v>0</v>
      </c>
    </row>
    <row r="1958" spans="1:23" x14ac:dyDescent="0.35">
      <c r="A1958" t="s">
        <v>1</v>
      </c>
      <c r="B1958">
        <v>6250</v>
      </c>
      <c r="C1958">
        <v>144</v>
      </c>
      <c r="D1958">
        <v>1</v>
      </c>
      <c r="E1958">
        <v>0</v>
      </c>
      <c r="F1958">
        <v>5915203</v>
      </c>
      <c r="G1958">
        <v>12705.31</v>
      </c>
      <c r="H1958">
        <v>5901966</v>
      </c>
      <c r="I1958">
        <v>5901966</v>
      </c>
      <c r="J1958">
        <v>1.078E-3</v>
      </c>
      <c r="K1958">
        <v>1.078E-3</v>
      </c>
      <c r="M1958" t="s">
        <v>0</v>
      </c>
      <c r="N1958">
        <v>3750</v>
      </c>
      <c r="O1958">
        <v>24</v>
      </c>
      <c r="P1958">
        <v>18</v>
      </c>
      <c r="Q1958">
        <v>0</v>
      </c>
      <c r="R1958">
        <v>664024068</v>
      </c>
      <c r="S1958">
        <v>1108961.1200000001</v>
      </c>
      <c r="T1958">
        <v>662915106.88</v>
      </c>
      <c r="U1958">
        <v>662915106.88</v>
      </c>
      <c r="V1958">
        <v>0</v>
      </c>
      <c r="W1958">
        <v>0</v>
      </c>
    </row>
    <row r="1959" spans="1:23" x14ac:dyDescent="0.35">
      <c r="A1959" t="s">
        <v>3</v>
      </c>
      <c r="B1959">
        <v>5250</v>
      </c>
      <c r="C1959">
        <v>30</v>
      </c>
      <c r="D1959">
        <v>1</v>
      </c>
      <c r="E1959">
        <v>0</v>
      </c>
      <c r="F1959">
        <v>25707565</v>
      </c>
      <c r="G1959">
        <v>33913.17</v>
      </c>
      <c r="H1959">
        <v>25673264</v>
      </c>
      <c r="I1959">
        <v>25673264</v>
      </c>
      <c r="J1959">
        <v>1.8100000000000001E-4</v>
      </c>
      <c r="K1959">
        <v>1.8100000000000001E-4</v>
      </c>
      <c r="M1959" t="s">
        <v>1</v>
      </c>
      <c r="N1959">
        <v>4000</v>
      </c>
      <c r="O1959">
        <v>24</v>
      </c>
      <c r="P1959">
        <v>60</v>
      </c>
      <c r="Q1959">
        <v>0</v>
      </c>
      <c r="R1959">
        <v>2425339806</v>
      </c>
      <c r="S1959">
        <v>4016014.63</v>
      </c>
      <c r="T1959">
        <v>2317081158.9400001</v>
      </c>
      <c r="U1959">
        <v>2317081158.9400001</v>
      </c>
      <c r="V1959">
        <v>0.40973300000000001</v>
      </c>
      <c r="W1959">
        <v>0.40973300000000001</v>
      </c>
    </row>
    <row r="1960" spans="1:23" x14ac:dyDescent="0.35">
      <c r="A1960" t="s">
        <v>1</v>
      </c>
      <c r="B1960">
        <v>2250</v>
      </c>
      <c r="C1960">
        <v>24</v>
      </c>
      <c r="D1960">
        <v>14</v>
      </c>
      <c r="E1960">
        <v>0</v>
      </c>
      <c r="F1960">
        <v>537806576</v>
      </c>
      <c r="G1960">
        <v>1262304.18</v>
      </c>
      <c r="H1960">
        <v>536224688</v>
      </c>
      <c r="I1960">
        <v>536224688</v>
      </c>
      <c r="J1960">
        <v>7.1079999999999997E-3</v>
      </c>
      <c r="K1960">
        <v>7.1079999999999997E-3</v>
      </c>
      <c r="M1960" t="s">
        <v>0</v>
      </c>
      <c r="N1960">
        <v>4000</v>
      </c>
      <c r="O1960">
        <v>24</v>
      </c>
      <c r="P1960">
        <v>15</v>
      </c>
      <c r="Q1960">
        <v>0</v>
      </c>
      <c r="R1960">
        <v>544582878</v>
      </c>
      <c r="S1960">
        <v>877813.53</v>
      </c>
      <c r="T1960">
        <v>493002297.33999997</v>
      </c>
      <c r="U1960">
        <v>543705064.47000003</v>
      </c>
      <c r="V1960">
        <v>0.69047899999999995</v>
      </c>
      <c r="W1960">
        <v>0</v>
      </c>
    </row>
    <row r="1961" spans="1:23" x14ac:dyDescent="0.35">
      <c r="A1961" t="s">
        <v>1</v>
      </c>
      <c r="B1961">
        <v>2500</v>
      </c>
      <c r="C1961">
        <v>24</v>
      </c>
      <c r="D1961">
        <v>9</v>
      </c>
      <c r="E1961">
        <v>0</v>
      </c>
      <c r="F1961">
        <v>311938608</v>
      </c>
      <c r="G1961">
        <v>718830.2</v>
      </c>
      <c r="H1961">
        <v>284560484</v>
      </c>
      <c r="I1961">
        <v>311141927.81</v>
      </c>
      <c r="J1961">
        <v>0.65769500000000003</v>
      </c>
      <c r="K1961">
        <v>2.9910000000000002E-3</v>
      </c>
      <c r="M1961" t="s">
        <v>0</v>
      </c>
      <c r="N1961">
        <v>4250</v>
      </c>
      <c r="O1961">
        <v>24</v>
      </c>
      <c r="P1961">
        <v>671</v>
      </c>
      <c r="Q1961">
        <v>0</v>
      </c>
      <c r="R1961">
        <v>18177941618</v>
      </c>
      <c r="S1961">
        <v>28044683.120000001</v>
      </c>
      <c r="T1961">
        <v>18126122190.639999</v>
      </c>
      <c r="U1961">
        <v>18149896934.880001</v>
      </c>
      <c r="V1961">
        <v>1.5582E-2</v>
      </c>
      <c r="W1961">
        <v>0</v>
      </c>
    </row>
    <row r="1962" spans="1:23" x14ac:dyDescent="0.35">
      <c r="A1962" t="s">
        <v>0</v>
      </c>
      <c r="B1962">
        <v>3000</v>
      </c>
      <c r="C1962">
        <v>24</v>
      </c>
      <c r="D1962">
        <v>2</v>
      </c>
      <c r="E1962">
        <v>0</v>
      </c>
      <c r="F1962">
        <v>49489234</v>
      </c>
      <c r="G1962">
        <v>95230.01</v>
      </c>
      <c r="H1962">
        <v>49461197</v>
      </c>
      <c r="I1962">
        <v>49461197</v>
      </c>
      <c r="J1962">
        <v>-1.6414999999999999E-2</v>
      </c>
      <c r="K1962">
        <v>-1.6414999999999999E-2</v>
      </c>
      <c r="M1962" t="s">
        <v>1</v>
      </c>
      <c r="N1962">
        <v>4250</v>
      </c>
      <c r="O1962">
        <v>24</v>
      </c>
      <c r="P1962">
        <v>304</v>
      </c>
      <c r="Q1962">
        <v>0</v>
      </c>
      <c r="R1962">
        <v>8909709229</v>
      </c>
      <c r="S1962">
        <v>13922047.93</v>
      </c>
      <c r="T1962">
        <v>8770696805.8500004</v>
      </c>
      <c r="U1962">
        <v>8824168796.7199993</v>
      </c>
      <c r="V1962">
        <v>0.156058</v>
      </c>
      <c r="W1962">
        <v>9.2307E-2</v>
      </c>
    </row>
    <row r="1963" spans="1:23" x14ac:dyDescent="0.35">
      <c r="A1963" t="s">
        <v>2</v>
      </c>
      <c r="B1963">
        <v>2750</v>
      </c>
      <c r="C1963">
        <v>24</v>
      </c>
      <c r="D1963">
        <v>10</v>
      </c>
      <c r="E1963">
        <v>0</v>
      </c>
      <c r="F1963">
        <v>219648139</v>
      </c>
      <c r="G1963">
        <v>441153.4</v>
      </c>
      <c r="H1963">
        <v>219203075</v>
      </c>
      <c r="I1963">
        <v>219203075</v>
      </c>
      <c r="J1963">
        <v>2.14E-4</v>
      </c>
      <c r="K1963">
        <v>2.14E-4</v>
      </c>
      <c r="M1963" t="s">
        <v>2</v>
      </c>
      <c r="N1963">
        <v>4500</v>
      </c>
      <c r="O1963">
        <v>24</v>
      </c>
      <c r="P1963">
        <v>64</v>
      </c>
      <c r="Q1963">
        <v>0</v>
      </c>
      <c r="R1963">
        <v>1653593794</v>
      </c>
      <c r="S1963">
        <v>2451914.7200000002</v>
      </c>
      <c r="T1963">
        <v>1651141879.28</v>
      </c>
      <c r="U1963">
        <v>1651141879.28</v>
      </c>
      <c r="V1963">
        <v>0</v>
      </c>
      <c r="W1963">
        <v>0</v>
      </c>
    </row>
    <row r="1964" spans="1:23" x14ac:dyDescent="0.35">
      <c r="A1964" t="s">
        <v>1</v>
      </c>
      <c r="B1964">
        <v>3250</v>
      </c>
      <c r="C1964">
        <v>24</v>
      </c>
      <c r="D1964">
        <v>23</v>
      </c>
      <c r="E1964">
        <v>0</v>
      </c>
      <c r="F1964">
        <v>754618665</v>
      </c>
      <c r="G1964">
        <v>1477884.65</v>
      </c>
      <c r="H1964">
        <v>753622470</v>
      </c>
      <c r="I1964">
        <v>753622470</v>
      </c>
      <c r="J1964">
        <v>-7.6870000000000003E-3</v>
      </c>
      <c r="K1964">
        <v>-7.6870000000000003E-3</v>
      </c>
      <c r="M1964" t="s">
        <v>2</v>
      </c>
      <c r="N1964">
        <v>4250</v>
      </c>
      <c r="O1964">
        <v>24</v>
      </c>
      <c r="P1964">
        <v>28</v>
      </c>
      <c r="Q1964">
        <v>0</v>
      </c>
      <c r="R1964">
        <v>596210203</v>
      </c>
      <c r="S1964">
        <v>938583.24</v>
      </c>
      <c r="T1964">
        <v>587091079.95000005</v>
      </c>
      <c r="U1964">
        <v>587091079.95000005</v>
      </c>
      <c r="V1964">
        <v>0.152777</v>
      </c>
      <c r="W1964">
        <v>0.152777</v>
      </c>
    </row>
    <row r="1965" spans="1:23" x14ac:dyDescent="0.35">
      <c r="A1965" t="s">
        <v>2</v>
      </c>
      <c r="B1965">
        <v>3500</v>
      </c>
      <c r="C1965">
        <v>24</v>
      </c>
      <c r="D1965">
        <v>16</v>
      </c>
      <c r="E1965">
        <v>0</v>
      </c>
      <c r="F1965">
        <v>253496422</v>
      </c>
      <c r="G1965">
        <v>459646.97</v>
      </c>
      <c r="H1965">
        <v>253240849</v>
      </c>
      <c r="I1965">
        <v>253240849</v>
      </c>
      <c r="J1965">
        <v>-9.7029999999999998E-3</v>
      </c>
      <c r="K1965">
        <v>-9.7029999999999998E-3</v>
      </c>
      <c r="M1965" t="s">
        <v>3</v>
      </c>
      <c r="N1965">
        <v>5250</v>
      </c>
      <c r="O1965">
        <v>24</v>
      </c>
      <c r="P1965">
        <v>6</v>
      </c>
      <c r="Q1965">
        <v>0</v>
      </c>
      <c r="R1965">
        <v>158292363</v>
      </c>
      <c r="S1965">
        <v>205895.26</v>
      </c>
      <c r="T1965">
        <v>158086467.74000001</v>
      </c>
      <c r="U1965">
        <v>158086467.74000001</v>
      </c>
      <c r="V1965">
        <v>0</v>
      </c>
      <c r="W1965">
        <v>0</v>
      </c>
    </row>
    <row r="1966" spans="1:23" x14ac:dyDescent="0.35">
      <c r="A1966" t="s">
        <v>1</v>
      </c>
      <c r="B1966">
        <v>3500</v>
      </c>
      <c r="C1966">
        <v>24</v>
      </c>
      <c r="D1966">
        <v>23</v>
      </c>
      <c r="E1966">
        <v>0</v>
      </c>
      <c r="F1966">
        <v>906767422</v>
      </c>
      <c r="G1966">
        <v>1694921.25</v>
      </c>
      <c r="H1966">
        <v>905056808</v>
      </c>
      <c r="I1966">
        <v>905056808</v>
      </c>
      <c r="J1966">
        <v>2.0799999999999999E-4</v>
      </c>
      <c r="K1966">
        <v>2.0799999999999999E-4</v>
      </c>
      <c r="M1966" t="s">
        <v>1</v>
      </c>
      <c r="N1966">
        <v>9000</v>
      </c>
      <c r="O1966">
        <v>24</v>
      </c>
      <c r="P1966">
        <v>4</v>
      </c>
      <c r="Q1966">
        <v>0</v>
      </c>
      <c r="R1966">
        <v>76615357</v>
      </c>
      <c r="S1966">
        <v>53296.28</v>
      </c>
      <c r="T1966">
        <v>76562060.719999999</v>
      </c>
      <c r="U1966">
        <v>76562060.719999999</v>
      </c>
      <c r="V1966">
        <v>0</v>
      </c>
      <c r="W1966">
        <v>0</v>
      </c>
    </row>
    <row r="1967" spans="1:23" x14ac:dyDescent="0.35">
      <c r="A1967" t="s">
        <v>1</v>
      </c>
      <c r="B1967">
        <v>4000</v>
      </c>
      <c r="C1967">
        <v>24</v>
      </c>
      <c r="D1967">
        <v>60</v>
      </c>
      <c r="E1967">
        <v>0</v>
      </c>
      <c r="F1967">
        <v>2445417892</v>
      </c>
      <c r="G1967">
        <v>4048957.4399999999</v>
      </c>
      <c r="H1967">
        <v>2441718735</v>
      </c>
      <c r="I1967">
        <v>2441718735</v>
      </c>
      <c r="J1967">
        <v>-1.7179999999999999E-3</v>
      </c>
      <c r="K1967">
        <v>-1.7179999999999999E-3</v>
      </c>
      <c r="M1967" t="s">
        <v>2</v>
      </c>
      <c r="N1967">
        <v>2750</v>
      </c>
      <c r="O1967">
        <v>24</v>
      </c>
      <c r="P1967">
        <v>9</v>
      </c>
      <c r="Q1967">
        <v>0</v>
      </c>
      <c r="R1967">
        <v>178618371</v>
      </c>
      <c r="S1967">
        <v>355937.78</v>
      </c>
      <c r="T1967">
        <v>178262433.22</v>
      </c>
      <c r="U1967">
        <v>178262433.22</v>
      </c>
      <c r="V1967">
        <v>0</v>
      </c>
      <c r="W1967">
        <v>0</v>
      </c>
    </row>
    <row r="1968" spans="1:23" x14ac:dyDescent="0.35">
      <c r="A1968" t="s">
        <v>1</v>
      </c>
      <c r="B1968">
        <v>3750</v>
      </c>
      <c r="C1968">
        <v>24</v>
      </c>
      <c r="D1968">
        <v>34</v>
      </c>
      <c r="E1968">
        <v>0</v>
      </c>
      <c r="F1968">
        <v>1056739840</v>
      </c>
      <c r="G1968">
        <v>1842559.9</v>
      </c>
      <c r="H1968">
        <v>1054561480</v>
      </c>
      <c r="I1968">
        <v>1054561480</v>
      </c>
      <c r="J1968">
        <v>3.8070000000000001E-3</v>
      </c>
      <c r="K1968">
        <v>3.8070000000000001E-3</v>
      </c>
      <c r="M1968" t="s">
        <v>1</v>
      </c>
      <c r="N1968">
        <v>2250</v>
      </c>
      <c r="O1968">
        <v>24</v>
      </c>
      <c r="P1968">
        <v>11</v>
      </c>
      <c r="Q1968">
        <v>0</v>
      </c>
      <c r="R1968">
        <v>429167497</v>
      </c>
      <c r="S1968">
        <v>1003528.98</v>
      </c>
      <c r="T1968">
        <v>428163968.01999998</v>
      </c>
      <c r="U1968">
        <v>428163968.01999998</v>
      </c>
      <c r="V1968">
        <v>0</v>
      </c>
      <c r="W1968">
        <v>0</v>
      </c>
    </row>
    <row r="1969" spans="1:23" x14ac:dyDescent="0.35">
      <c r="A1969" t="s">
        <v>0</v>
      </c>
      <c r="B1969">
        <v>3750</v>
      </c>
      <c r="C1969">
        <v>24</v>
      </c>
      <c r="D1969">
        <v>20</v>
      </c>
      <c r="E1969">
        <v>0</v>
      </c>
      <c r="F1969">
        <v>740417701</v>
      </c>
      <c r="G1969">
        <v>1240026.1000000001</v>
      </c>
      <c r="H1969">
        <v>738841434</v>
      </c>
      <c r="I1969">
        <v>738841434</v>
      </c>
      <c r="J1969">
        <v>5.4359999999999999E-3</v>
      </c>
      <c r="K1969">
        <v>5.4359999999999999E-3</v>
      </c>
      <c r="M1969" t="s">
        <v>1</v>
      </c>
      <c r="N1969">
        <v>2500</v>
      </c>
      <c r="O1969">
        <v>24</v>
      </c>
      <c r="P1969">
        <v>7</v>
      </c>
      <c r="Q1969">
        <v>0</v>
      </c>
      <c r="R1969">
        <v>232219954</v>
      </c>
      <c r="S1969">
        <v>536125.46</v>
      </c>
      <c r="T1969">
        <v>231683828.53999999</v>
      </c>
      <c r="U1969">
        <v>231683828.53999999</v>
      </c>
      <c r="V1969">
        <v>0</v>
      </c>
      <c r="W1969">
        <v>0</v>
      </c>
    </row>
    <row r="1970" spans="1:23" x14ac:dyDescent="0.35">
      <c r="A1970" t="s">
        <v>0</v>
      </c>
      <c r="B1970">
        <v>4000</v>
      </c>
      <c r="C1970">
        <v>24</v>
      </c>
      <c r="D1970">
        <v>21</v>
      </c>
      <c r="E1970">
        <v>0</v>
      </c>
      <c r="F1970">
        <v>728197363</v>
      </c>
      <c r="G1970">
        <v>1173732.5</v>
      </c>
      <c r="H1970">
        <v>726899536</v>
      </c>
      <c r="I1970">
        <v>726899536</v>
      </c>
      <c r="J1970">
        <v>2.0430000000000001E-3</v>
      </c>
      <c r="K1970">
        <v>2.0430000000000001E-3</v>
      </c>
      <c r="M1970" t="s">
        <v>1</v>
      </c>
      <c r="N1970">
        <v>3000</v>
      </c>
      <c r="O1970">
        <v>24</v>
      </c>
      <c r="P1970">
        <v>12</v>
      </c>
      <c r="Q1970">
        <v>0</v>
      </c>
      <c r="R1970">
        <v>348102920</v>
      </c>
      <c r="S1970">
        <v>731237.42</v>
      </c>
      <c r="T1970">
        <v>347371682.57999998</v>
      </c>
      <c r="U1970">
        <v>347371682.57999998</v>
      </c>
      <c r="V1970">
        <v>0</v>
      </c>
      <c r="W1970">
        <v>0</v>
      </c>
    </row>
    <row r="1971" spans="1:23" x14ac:dyDescent="0.35">
      <c r="A1971" t="s">
        <v>0</v>
      </c>
      <c r="B1971">
        <v>4250</v>
      </c>
      <c r="C1971">
        <v>24</v>
      </c>
      <c r="D1971">
        <v>611</v>
      </c>
      <c r="E1971">
        <v>0</v>
      </c>
      <c r="F1971">
        <v>17300618471</v>
      </c>
      <c r="G1971">
        <v>26728983.93</v>
      </c>
      <c r="H1971">
        <v>17231266126</v>
      </c>
      <c r="I1971">
        <v>17257254915.5</v>
      </c>
      <c r="J1971">
        <v>2.9166999999999998E-2</v>
      </c>
      <c r="K1971">
        <v>1.1476999999999999E-2</v>
      </c>
      <c r="M1971" t="s">
        <v>0</v>
      </c>
      <c r="N1971">
        <v>3000</v>
      </c>
      <c r="O1971">
        <v>24</v>
      </c>
      <c r="P1971">
        <v>2</v>
      </c>
      <c r="Q1971">
        <v>0</v>
      </c>
      <c r="R1971">
        <v>49651688</v>
      </c>
      <c r="S1971">
        <v>95129.83</v>
      </c>
      <c r="T1971">
        <v>49556558.170000002</v>
      </c>
      <c r="U1971">
        <v>49556558.170000002</v>
      </c>
      <c r="V1971">
        <v>0</v>
      </c>
      <c r="W1971">
        <v>0</v>
      </c>
    </row>
    <row r="1972" spans="1:23" x14ac:dyDescent="0.35">
      <c r="A1972" t="s">
        <v>1</v>
      </c>
      <c r="B1972">
        <v>4250</v>
      </c>
      <c r="C1972">
        <v>24</v>
      </c>
      <c r="D1972">
        <v>278</v>
      </c>
      <c r="E1972">
        <v>0</v>
      </c>
      <c r="F1972">
        <v>8775945829</v>
      </c>
      <c r="G1972">
        <v>13727549.23</v>
      </c>
      <c r="H1972">
        <v>8714055803</v>
      </c>
      <c r="I1972">
        <v>8714055803</v>
      </c>
      <c r="J1972">
        <v>6.3904000000000002E-2</v>
      </c>
      <c r="K1972">
        <v>6.3904000000000002E-2</v>
      </c>
      <c r="M1972" t="s">
        <v>2</v>
      </c>
      <c r="N1972">
        <v>3000</v>
      </c>
      <c r="O1972">
        <v>24</v>
      </c>
      <c r="P1972">
        <v>11</v>
      </c>
      <c r="Q1972">
        <v>0</v>
      </c>
      <c r="R1972">
        <v>175814018</v>
      </c>
      <c r="S1972">
        <v>343623.96</v>
      </c>
      <c r="T1972">
        <v>155976810.38999999</v>
      </c>
      <c r="U1972">
        <v>155976810.38999999</v>
      </c>
      <c r="V1972">
        <v>0.75591200000000003</v>
      </c>
      <c r="W1972">
        <v>0.75591200000000003</v>
      </c>
    </row>
    <row r="1973" spans="1:23" x14ac:dyDescent="0.35">
      <c r="A1973" t="s">
        <v>2</v>
      </c>
      <c r="B1973">
        <v>4250</v>
      </c>
      <c r="C1973">
        <v>24</v>
      </c>
      <c r="D1973">
        <v>21</v>
      </c>
      <c r="E1973">
        <v>0</v>
      </c>
      <c r="F1973">
        <v>450438411</v>
      </c>
      <c r="G1973">
        <v>711660.69</v>
      </c>
      <c r="H1973">
        <v>449587932</v>
      </c>
      <c r="I1973">
        <v>449587932</v>
      </c>
      <c r="J1973">
        <v>3.692E-3</v>
      </c>
      <c r="K1973">
        <v>3.692E-3</v>
      </c>
      <c r="M1973" t="s">
        <v>1</v>
      </c>
      <c r="N1973">
        <v>3500</v>
      </c>
      <c r="O1973">
        <v>24</v>
      </c>
      <c r="P1973">
        <v>28</v>
      </c>
      <c r="Q1973">
        <v>0</v>
      </c>
      <c r="R1973">
        <v>1063646258</v>
      </c>
      <c r="S1973">
        <v>1979064.56</v>
      </c>
      <c r="T1973">
        <v>1061667193.4400001</v>
      </c>
      <c r="U1973">
        <v>1061667193.4400001</v>
      </c>
      <c r="V1973">
        <v>0</v>
      </c>
      <c r="W1973">
        <v>0</v>
      </c>
    </row>
    <row r="1974" spans="1:23" x14ac:dyDescent="0.35">
      <c r="A1974" t="s">
        <v>2</v>
      </c>
      <c r="B1974">
        <v>4500</v>
      </c>
      <c r="C1974">
        <v>24</v>
      </c>
      <c r="D1974">
        <v>65</v>
      </c>
      <c r="E1974">
        <v>0</v>
      </c>
      <c r="F1974">
        <v>1706154076</v>
      </c>
      <c r="G1974">
        <v>2538101.46</v>
      </c>
      <c r="H1974">
        <v>1703415318</v>
      </c>
      <c r="I1974">
        <v>1703415318</v>
      </c>
      <c r="J1974">
        <v>1.41E-3</v>
      </c>
      <c r="K1974">
        <v>1.41E-3</v>
      </c>
      <c r="M1974" t="s">
        <v>2</v>
      </c>
      <c r="N1974">
        <v>3500</v>
      </c>
      <c r="O1974">
        <v>24</v>
      </c>
      <c r="P1974">
        <v>20</v>
      </c>
      <c r="Q1974">
        <v>0</v>
      </c>
      <c r="R1974">
        <v>310965892</v>
      </c>
      <c r="S1974">
        <v>569018.5</v>
      </c>
      <c r="T1974">
        <v>310396873.5</v>
      </c>
      <c r="U1974">
        <v>310396873.5</v>
      </c>
      <c r="V1974">
        <v>0</v>
      </c>
      <c r="W1974">
        <v>0</v>
      </c>
    </row>
    <row r="1975" spans="1:23" x14ac:dyDescent="0.35">
      <c r="A1975" t="s">
        <v>3</v>
      </c>
      <c r="B1975">
        <v>5250</v>
      </c>
      <c r="C1975">
        <v>24</v>
      </c>
      <c r="D1975">
        <v>5</v>
      </c>
      <c r="E1975">
        <v>0</v>
      </c>
      <c r="F1975">
        <v>132345968</v>
      </c>
      <c r="G1975">
        <v>172839.84</v>
      </c>
      <c r="H1975">
        <v>132140395</v>
      </c>
      <c r="I1975">
        <v>132140395</v>
      </c>
      <c r="J1975">
        <v>2.9640000000000001E-3</v>
      </c>
      <c r="K1975">
        <v>2.9640000000000001E-3</v>
      </c>
      <c r="M1975" t="s">
        <v>2</v>
      </c>
      <c r="N1975">
        <v>4000</v>
      </c>
      <c r="O1975">
        <v>24</v>
      </c>
      <c r="P1975">
        <v>11</v>
      </c>
      <c r="Q1975">
        <v>0</v>
      </c>
      <c r="R1975">
        <v>193845687</v>
      </c>
      <c r="S1975">
        <v>335146.68</v>
      </c>
      <c r="T1975">
        <v>193510540.31999999</v>
      </c>
      <c r="U1975">
        <v>193510540.31999999</v>
      </c>
      <c r="V1975">
        <v>0</v>
      </c>
      <c r="W1975">
        <v>0</v>
      </c>
    </row>
    <row r="1976" spans="1:23" x14ac:dyDescent="0.35">
      <c r="A1976" t="s">
        <v>0</v>
      </c>
      <c r="B1976">
        <v>20000</v>
      </c>
      <c r="C1976">
        <v>30</v>
      </c>
      <c r="D1976">
        <v>1</v>
      </c>
      <c r="E1976">
        <v>0</v>
      </c>
      <c r="F1976">
        <v>18371569</v>
      </c>
      <c r="G1976">
        <v>11990.13</v>
      </c>
      <c r="H1976">
        <v>18359479</v>
      </c>
      <c r="I1976">
        <v>18359479</v>
      </c>
      <c r="J1976">
        <v>6.4999999999999994E-5</v>
      </c>
      <c r="K1976">
        <v>6.4999999999999994E-5</v>
      </c>
      <c r="M1976" t="s">
        <v>0</v>
      </c>
      <c r="N1976">
        <v>20000</v>
      </c>
      <c r="O1976">
        <v>24</v>
      </c>
      <c r="P1976">
        <v>1</v>
      </c>
      <c r="Q1976">
        <v>0</v>
      </c>
      <c r="R1976">
        <v>18383567</v>
      </c>
      <c r="S1976">
        <v>11899.71</v>
      </c>
      <c r="T1976">
        <v>18371667.289999999</v>
      </c>
      <c r="U1976">
        <v>18371667.289999999</v>
      </c>
      <c r="V1976">
        <v>0</v>
      </c>
      <c r="W1976">
        <v>0</v>
      </c>
    </row>
    <row r="1977" spans="1:23" x14ac:dyDescent="0.35">
      <c r="A1977" t="s">
        <v>1</v>
      </c>
      <c r="B1977">
        <v>2750</v>
      </c>
      <c r="C1977">
        <v>24</v>
      </c>
      <c r="D1977">
        <v>10</v>
      </c>
      <c r="E1977">
        <v>0</v>
      </c>
      <c r="F1977">
        <v>500716312</v>
      </c>
      <c r="G1977">
        <v>1072897.24</v>
      </c>
      <c r="H1977">
        <v>499597255</v>
      </c>
      <c r="I1977">
        <v>499597255</v>
      </c>
      <c r="J1977">
        <v>1.106E-3</v>
      </c>
      <c r="K1977">
        <v>1.106E-3</v>
      </c>
      <c r="M1977" t="s">
        <v>1</v>
      </c>
      <c r="N1977">
        <v>2750</v>
      </c>
      <c r="O1977">
        <v>24</v>
      </c>
      <c r="P1977">
        <v>9</v>
      </c>
      <c r="Q1977">
        <v>0</v>
      </c>
      <c r="R1977">
        <v>350272868</v>
      </c>
      <c r="S1977">
        <v>734928.59</v>
      </c>
      <c r="T1977">
        <v>349537939.41000003</v>
      </c>
      <c r="U1977">
        <v>349537939.41000003</v>
      </c>
      <c r="V1977">
        <v>0</v>
      </c>
      <c r="W1977">
        <v>0</v>
      </c>
    </row>
    <row r="1978" spans="1:23" x14ac:dyDescent="0.35">
      <c r="A1978" t="s">
        <v>2</v>
      </c>
      <c r="B1978">
        <v>3000</v>
      </c>
      <c r="C1978">
        <v>24</v>
      </c>
      <c r="D1978">
        <v>13</v>
      </c>
      <c r="E1978">
        <v>0</v>
      </c>
      <c r="F1978">
        <v>217849459</v>
      </c>
      <c r="G1978">
        <v>426167.94</v>
      </c>
      <c r="H1978">
        <v>217412550</v>
      </c>
      <c r="I1978">
        <v>217412550</v>
      </c>
      <c r="J1978">
        <v>5.9100000000000005E-4</v>
      </c>
      <c r="K1978">
        <v>5.9100000000000005E-4</v>
      </c>
      <c r="M1978" t="s">
        <v>2</v>
      </c>
      <c r="N1978">
        <v>2500</v>
      </c>
      <c r="O1978">
        <v>24</v>
      </c>
      <c r="P1978">
        <v>3</v>
      </c>
      <c r="Q1978">
        <v>0</v>
      </c>
      <c r="R1978">
        <v>62024831</v>
      </c>
      <c r="S1978">
        <v>128750.89</v>
      </c>
      <c r="T1978">
        <v>61896080.109999999</v>
      </c>
      <c r="U1978">
        <v>61896080.109999999</v>
      </c>
      <c r="V1978">
        <v>0</v>
      </c>
      <c r="W1978">
        <v>0</v>
      </c>
    </row>
    <row r="1979" spans="1:23" x14ac:dyDescent="0.35">
      <c r="A1979" t="s">
        <v>1</v>
      </c>
      <c r="B1979">
        <v>3000</v>
      </c>
      <c r="C1979">
        <v>24</v>
      </c>
      <c r="D1979">
        <v>8</v>
      </c>
      <c r="E1979">
        <v>0</v>
      </c>
      <c r="F1979">
        <v>210345408</v>
      </c>
      <c r="G1979">
        <v>446771.96</v>
      </c>
      <c r="H1979">
        <v>209852401</v>
      </c>
      <c r="I1979">
        <v>209852401</v>
      </c>
      <c r="J1979">
        <v>2.6340000000000001E-3</v>
      </c>
      <c r="K1979">
        <v>2.6340000000000001E-3</v>
      </c>
      <c r="M1979" t="s">
        <v>0</v>
      </c>
      <c r="N1979">
        <v>3250</v>
      </c>
      <c r="O1979">
        <v>24</v>
      </c>
      <c r="P1979">
        <v>5</v>
      </c>
      <c r="Q1979">
        <v>0</v>
      </c>
      <c r="R1979">
        <v>133506334</v>
      </c>
      <c r="S1979">
        <v>242778.21</v>
      </c>
      <c r="T1979">
        <v>133263555.79000001</v>
      </c>
      <c r="U1979">
        <v>133263555.79000001</v>
      </c>
      <c r="V1979">
        <v>0</v>
      </c>
      <c r="W1979">
        <v>0</v>
      </c>
    </row>
    <row r="1980" spans="1:23" x14ac:dyDescent="0.35">
      <c r="A1980" t="s">
        <v>2</v>
      </c>
      <c r="B1980">
        <v>3750</v>
      </c>
      <c r="C1980">
        <v>24</v>
      </c>
      <c r="D1980">
        <v>24</v>
      </c>
      <c r="E1980">
        <v>0</v>
      </c>
      <c r="F1980">
        <v>338604797</v>
      </c>
      <c r="G1980">
        <v>582866.47</v>
      </c>
      <c r="H1980">
        <v>323036707</v>
      </c>
      <c r="I1980">
        <v>337946730.94</v>
      </c>
      <c r="J1980">
        <v>0.41910199999999997</v>
      </c>
      <c r="K1980">
        <v>2.6619999999999999E-3</v>
      </c>
      <c r="M1980" t="s">
        <v>1</v>
      </c>
      <c r="N1980">
        <v>4250</v>
      </c>
      <c r="O1980">
        <v>20</v>
      </c>
      <c r="P1980">
        <v>77</v>
      </c>
      <c r="Q1980">
        <v>0</v>
      </c>
      <c r="R1980">
        <v>2645961070</v>
      </c>
      <c r="S1980">
        <v>4065598.12</v>
      </c>
      <c r="T1980">
        <v>2610008230.2199998</v>
      </c>
      <c r="U1980">
        <v>2641895471.8800001</v>
      </c>
      <c r="V1980">
        <v>0.135405</v>
      </c>
      <c r="W1980">
        <v>0</v>
      </c>
    </row>
    <row r="1981" spans="1:23" x14ac:dyDescent="0.35">
      <c r="A1981" t="s">
        <v>0</v>
      </c>
      <c r="B1981">
        <v>3250</v>
      </c>
      <c r="C1981">
        <v>24</v>
      </c>
      <c r="D1981">
        <v>5</v>
      </c>
      <c r="E1981">
        <v>0</v>
      </c>
      <c r="F1981">
        <v>133326269</v>
      </c>
      <c r="G1981">
        <v>243549.1</v>
      </c>
      <c r="H1981">
        <v>133159806</v>
      </c>
      <c r="I1981">
        <v>133159806</v>
      </c>
      <c r="J1981">
        <v>-6.96E-3</v>
      </c>
      <c r="K1981">
        <v>-6.96E-3</v>
      </c>
      <c r="M1981" t="s">
        <v>2</v>
      </c>
      <c r="N1981">
        <v>2250</v>
      </c>
      <c r="O1981">
        <v>20</v>
      </c>
      <c r="P1981">
        <v>1</v>
      </c>
      <c r="Q1981">
        <v>0</v>
      </c>
      <c r="R1981">
        <v>16856358</v>
      </c>
      <c r="S1981">
        <v>35487.4</v>
      </c>
      <c r="T1981">
        <v>16820870.600000001</v>
      </c>
      <c r="U1981">
        <v>16820870.600000001</v>
      </c>
      <c r="V1981">
        <v>0</v>
      </c>
      <c r="W1981">
        <v>0</v>
      </c>
    </row>
    <row r="1982" spans="1:23" x14ac:dyDescent="0.35">
      <c r="A1982" t="s">
        <v>0</v>
      </c>
      <c r="B1982">
        <v>3500</v>
      </c>
      <c r="C1982">
        <v>24</v>
      </c>
      <c r="D1982">
        <v>3</v>
      </c>
      <c r="E1982">
        <v>0</v>
      </c>
      <c r="F1982">
        <v>51073579</v>
      </c>
      <c r="G1982">
        <v>89867.17</v>
      </c>
      <c r="H1982">
        <v>50983662</v>
      </c>
      <c r="I1982">
        <v>50983662</v>
      </c>
      <c r="J1982">
        <v>1.2E-5</v>
      </c>
      <c r="K1982">
        <v>1.2E-5</v>
      </c>
      <c r="M1982" t="s">
        <v>2</v>
      </c>
      <c r="N1982">
        <v>3000</v>
      </c>
      <c r="O1982">
        <v>20</v>
      </c>
      <c r="P1982">
        <v>7</v>
      </c>
      <c r="Q1982">
        <v>0</v>
      </c>
      <c r="R1982">
        <v>120321115</v>
      </c>
      <c r="S1982">
        <v>232364.21</v>
      </c>
      <c r="T1982">
        <v>120088750.79000001</v>
      </c>
      <c r="U1982">
        <v>120088750.79000001</v>
      </c>
      <c r="V1982">
        <v>0</v>
      </c>
      <c r="W1982">
        <v>0</v>
      </c>
    </row>
    <row r="1983" spans="1:23" x14ac:dyDescent="0.35">
      <c r="A1983" t="s">
        <v>2</v>
      </c>
      <c r="B1983">
        <v>4000</v>
      </c>
      <c r="C1983">
        <v>24</v>
      </c>
      <c r="D1983">
        <v>13</v>
      </c>
      <c r="E1983">
        <v>0</v>
      </c>
      <c r="F1983">
        <v>222077068</v>
      </c>
      <c r="G1983">
        <v>380327.51</v>
      </c>
      <c r="H1983">
        <v>206821916</v>
      </c>
      <c r="I1983">
        <v>206821916</v>
      </c>
      <c r="J1983">
        <v>0.56479999999999997</v>
      </c>
      <c r="K1983">
        <v>0.56479999999999997</v>
      </c>
      <c r="M1983" t="s">
        <v>2</v>
      </c>
      <c r="N1983">
        <v>2750</v>
      </c>
      <c r="O1983">
        <v>20</v>
      </c>
      <c r="P1983">
        <v>6</v>
      </c>
      <c r="Q1983">
        <v>0</v>
      </c>
      <c r="R1983">
        <v>151873698</v>
      </c>
      <c r="S1983">
        <v>304710.89</v>
      </c>
      <c r="T1983">
        <v>151568987.11000001</v>
      </c>
      <c r="U1983">
        <v>151568987.11000001</v>
      </c>
      <c r="V1983">
        <v>0</v>
      </c>
      <c r="W1983">
        <v>0</v>
      </c>
    </row>
    <row r="1984" spans="1:23" x14ac:dyDescent="0.35">
      <c r="A1984" t="s">
        <v>1</v>
      </c>
      <c r="B1984">
        <v>9000</v>
      </c>
      <c r="C1984">
        <v>24</v>
      </c>
      <c r="D1984">
        <v>7</v>
      </c>
      <c r="E1984">
        <v>0</v>
      </c>
      <c r="F1984">
        <v>140753210</v>
      </c>
      <c r="G1984">
        <v>96867.13</v>
      </c>
      <c r="H1984">
        <v>140716116</v>
      </c>
      <c r="I1984">
        <v>140716116</v>
      </c>
      <c r="J1984">
        <v>-5.1079999999999997E-3</v>
      </c>
      <c r="K1984">
        <v>-5.1079999999999997E-3</v>
      </c>
      <c r="M1984" t="s">
        <v>2</v>
      </c>
      <c r="N1984">
        <v>3250</v>
      </c>
      <c r="O1984">
        <v>20</v>
      </c>
      <c r="P1984">
        <v>11</v>
      </c>
      <c r="Q1984">
        <v>0</v>
      </c>
      <c r="R1984">
        <v>201043129</v>
      </c>
      <c r="S1984">
        <v>366094.92</v>
      </c>
      <c r="T1984">
        <v>179656639.59999999</v>
      </c>
      <c r="U1984">
        <v>179656639.59999999</v>
      </c>
      <c r="V1984">
        <v>0.73426000000000002</v>
      </c>
      <c r="W1984">
        <v>0.73426000000000002</v>
      </c>
    </row>
    <row r="1985" spans="1:23" x14ac:dyDescent="0.35">
      <c r="A1985" t="s">
        <v>2</v>
      </c>
      <c r="B1985">
        <v>2500</v>
      </c>
      <c r="C1985">
        <v>24</v>
      </c>
      <c r="D1985">
        <v>2</v>
      </c>
      <c r="E1985">
        <v>0</v>
      </c>
      <c r="F1985">
        <v>48365892</v>
      </c>
      <c r="G1985">
        <v>100579.64</v>
      </c>
      <c r="H1985">
        <v>48340551</v>
      </c>
      <c r="I1985">
        <v>48340551</v>
      </c>
      <c r="J1985">
        <v>-1.8828000000000001E-2</v>
      </c>
      <c r="K1985">
        <v>-1.8828000000000001E-2</v>
      </c>
      <c r="M1985" t="s">
        <v>1</v>
      </c>
      <c r="N1985">
        <v>3250</v>
      </c>
      <c r="O1985">
        <v>20</v>
      </c>
      <c r="P1985">
        <v>11</v>
      </c>
      <c r="Q1985">
        <v>0</v>
      </c>
      <c r="R1985">
        <v>336076279</v>
      </c>
      <c r="S1985">
        <v>637772.93000000005</v>
      </c>
      <c r="T1985">
        <v>335438506.06999999</v>
      </c>
      <c r="U1985">
        <v>335438506.06999999</v>
      </c>
      <c r="V1985">
        <v>0</v>
      </c>
      <c r="W1985">
        <v>0</v>
      </c>
    </row>
    <row r="1986" spans="1:23" x14ac:dyDescent="0.35">
      <c r="A1986" t="s">
        <v>2</v>
      </c>
      <c r="B1986">
        <v>2250</v>
      </c>
      <c r="C1986">
        <v>24</v>
      </c>
      <c r="D1986">
        <v>2</v>
      </c>
      <c r="E1986">
        <v>0</v>
      </c>
      <c r="F1986">
        <v>37912459</v>
      </c>
      <c r="G1986">
        <v>87766.44</v>
      </c>
      <c r="H1986">
        <v>37824373</v>
      </c>
      <c r="I1986">
        <v>37824373</v>
      </c>
      <c r="J1986">
        <v>1.01E-4</v>
      </c>
      <c r="K1986">
        <v>1.01E-4</v>
      </c>
      <c r="M1986" t="s">
        <v>1</v>
      </c>
      <c r="N1986">
        <v>3500</v>
      </c>
      <c r="O1986">
        <v>20</v>
      </c>
      <c r="P1986">
        <v>9</v>
      </c>
      <c r="Q1986">
        <v>0</v>
      </c>
      <c r="R1986">
        <v>289226651</v>
      </c>
      <c r="S1986">
        <v>521961.11</v>
      </c>
      <c r="T1986">
        <v>288704689.88999999</v>
      </c>
      <c r="U1986">
        <v>288704689.88999999</v>
      </c>
      <c r="V1986">
        <v>0</v>
      </c>
      <c r="W1986">
        <v>0</v>
      </c>
    </row>
    <row r="1987" spans="1:23" x14ac:dyDescent="0.35">
      <c r="A1987" t="s">
        <v>1</v>
      </c>
      <c r="B1987">
        <v>2250</v>
      </c>
      <c r="C1987">
        <v>20</v>
      </c>
      <c r="D1987">
        <v>5</v>
      </c>
      <c r="E1987">
        <v>0</v>
      </c>
      <c r="F1987">
        <v>158913383</v>
      </c>
      <c r="G1987">
        <v>377478.18</v>
      </c>
      <c r="H1987">
        <v>158734367</v>
      </c>
      <c r="I1987">
        <v>158734367</v>
      </c>
      <c r="J1987">
        <v>-1.5089999999999999E-2</v>
      </c>
      <c r="K1987">
        <v>-1.5089999999999999E-2</v>
      </c>
      <c r="M1987" t="s">
        <v>0</v>
      </c>
      <c r="N1987">
        <v>3750</v>
      </c>
      <c r="O1987">
        <v>20</v>
      </c>
      <c r="P1987">
        <v>5</v>
      </c>
      <c r="Q1987">
        <v>0</v>
      </c>
      <c r="R1987">
        <v>182748545</v>
      </c>
      <c r="S1987">
        <v>301830.13</v>
      </c>
      <c r="T1987">
        <v>182446714.87</v>
      </c>
      <c r="U1987">
        <v>182446714.87</v>
      </c>
      <c r="V1987">
        <v>0</v>
      </c>
      <c r="W1987">
        <v>0</v>
      </c>
    </row>
    <row r="1988" spans="1:23" x14ac:dyDescent="0.35">
      <c r="A1988" t="s">
        <v>2</v>
      </c>
      <c r="B1988">
        <v>3000</v>
      </c>
      <c r="C1988">
        <v>20</v>
      </c>
      <c r="D1988">
        <v>4</v>
      </c>
      <c r="E1988">
        <v>0</v>
      </c>
      <c r="F1988">
        <v>66625369</v>
      </c>
      <c r="G1988">
        <v>126058.05</v>
      </c>
      <c r="H1988">
        <v>66484612</v>
      </c>
      <c r="I1988">
        <v>66484612</v>
      </c>
      <c r="J1988">
        <v>2.6440000000000001E-3</v>
      </c>
      <c r="K1988">
        <v>2.6440000000000001E-3</v>
      </c>
      <c r="M1988" t="s">
        <v>1</v>
      </c>
      <c r="N1988">
        <v>4000</v>
      </c>
      <c r="O1988">
        <v>20</v>
      </c>
      <c r="P1988">
        <v>32</v>
      </c>
      <c r="Q1988">
        <v>0</v>
      </c>
      <c r="R1988">
        <v>1302579547</v>
      </c>
      <c r="S1988">
        <v>2134633.2400000002</v>
      </c>
      <c r="T1988">
        <v>1215153859.78</v>
      </c>
      <c r="U1988">
        <v>1215153859.78</v>
      </c>
      <c r="V1988">
        <v>0.55631900000000001</v>
      </c>
      <c r="W1988">
        <v>0.55631900000000001</v>
      </c>
    </row>
    <row r="1989" spans="1:23" x14ac:dyDescent="0.35">
      <c r="A1989" t="s">
        <v>2</v>
      </c>
      <c r="B1989">
        <v>2750</v>
      </c>
      <c r="C1989">
        <v>20</v>
      </c>
      <c r="D1989">
        <v>5</v>
      </c>
      <c r="E1989">
        <v>0</v>
      </c>
      <c r="F1989">
        <v>96595462</v>
      </c>
      <c r="G1989">
        <v>188355.84</v>
      </c>
      <c r="H1989">
        <v>96444006</v>
      </c>
      <c r="I1989">
        <v>96444006</v>
      </c>
      <c r="J1989">
        <v>-4.594E-3</v>
      </c>
      <c r="K1989">
        <v>-4.594E-3</v>
      </c>
      <c r="M1989" t="s">
        <v>1</v>
      </c>
      <c r="N1989">
        <v>3750</v>
      </c>
      <c r="O1989">
        <v>20</v>
      </c>
      <c r="P1989">
        <v>20</v>
      </c>
      <c r="Q1989">
        <v>0</v>
      </c>
      <c r="R1989">
        <v>658027908</v>
      </c>
      <c r="S1989">
        <v>1133068.8400000001</v>
      </c>
      <c r="T1989">
        <v>621366821.5</v>
      </c>
      <c r="U1989">
        <v>621366821.5</v>
      </c>
      <c r="V1989">
        <v>0.48626399999999997</v>
      </c>
      <c r="W1989">
        <v>0.48626399999999997</v>
      </c>
    </row>
    <row r="1990" spans="1:23" x14ac:dyDescent="0.35">
      <c r="A1990" t="s">
        <v>0</v>
      </c>
      <c r="B1990">
        <v>2750</v>
      </c>
      <c r="C1990">
        <v>24</v>
      </c>
      <c r="D1990">
        <v>1</v>
      </c>
      <c r="E1990">
        <v>0</v>
      </c>
      <c r="F1990">
        <v>30520919</v>
      </c>
      <c r="G1990">
        <v>59641.64</v>
      </c>
      <c r="H1990">
        <v>30520919</v>
      </c>
      <c r="I1990">
        <v>30520919</v>
      </c>
      <c r="J1990">
        <v>-2.3702999999999998E-2</v>
      </c>
      <c r="K1990">
        <v>-2.3702999999999998E-2</v>
      </c>
      <c r="M1990" t="s">
        <v>0</v>
      </c>
      <c r="N1990">
        <v>4000</v>
      </c>
      <c r="O1990">
        <v>20</v>
      </c>
      <c r="P1990">
        <v>9</v>
      </c>
      <c r="Q1990">
        <v>0</v>
      </c>
      <c r="R1990">
        <v>312906905</v>
      </c>
      <c r="S1990">
        <v>498339.81</v>
      </c>
      <c r="T1990">
        <v>312408565.19</v>
      </c>
      <c r="U1990">
        <v>312408565.19</v>
      </c>
      <c r="V1990">
        <v>0</v>
      </c>
      <c r="W1990">
        <v>0</v>
      </c>
    </row>
    <row r="1991" spans="1:23" x14ac:dyDescent="0.35">
      <c r="A1991" t="s">
        <v>1</v>
      </c>
      <c r="B1991">
        <v>3250</v>
      </c>
      <c r="C1991">
        <v>20</v>
      </c>
      <c r="D1991">
        <v>10</v>
      </c>
      <c r="E1991">
        <v>0</v>
      </c>
      <c r="F1991">
        <v>310007262</v>
      </c>
      <c r="G1991">
        <v>576584.55000000005</v>
      </c>
      <c r="H1991">
        <v>309687262</v>
      </c>
      <c r="I1991">
        <v>309687262</v>
      </c>
      <c r="J1991">
        <v>-9.9769999999999998E-3</v>
      </c>
      <c r="K1991">
        <v>-9.9769999999999998E-3</v>
      </c>
      <c r="M1991" t="s">
        <v>1</v>
      </c>
      <c r="N1991">
        <v>4750</v>
      </c>
      <c r="O1991">
        <v>20</v>
      </c>
      <c r="P1991">
        <v>311</v>
      </c>
      <c r="Q1991">
        <v>0</v>
      </c>
      <c r="R1991">
        <v>10820939277</v>
      </c>
      <c r="S1991">
        <v>15205347.74</v>
      </c>
      <c r="T1991">
        <v>10651889269.48</v>
      </c>
      <c r="U1991">
        <v>10717048376.459999</v>
      </c>
      <c r="V1991">
        <v>0.15787899999999999</v>
      </c>
      <c r="W1991">
        <v>9.4034999999999994E-2</v>
      </c>
    </row>
    <row r="1992" spans="1:23" x14ac:dyDescent="0.35">
      <c r="A1992" t="s">
        <v>2</v>
      </c>
      <c r="B1992">
        <v>3250</v>
      </c>
      <c r="C1992">
        <v>20</v>
      </c>
      <c r="D1992">
        <v>9</v>
      </c>
      <c r="E1992">
        <v>0</v>
      </c>
      <c r="F1992">
        <v>154048421</v>
      </c>
      <c r="G1992">
        <v>279709.03000000003</v>
      </c>
      <c r="H1992">
        <v>153904085</v>
      </c>
      <c r="I1992">
        <v>153904085</v>
      </c>
      <c r="J1992">
        <v>-1.0596E-2</v>
      </c>
      <c r="K1992">
        <v>-1.0596E-2</v>
      </c>
      <c r="M1992" t="s">
        <v>0</v>
      </c>
      <c r="N1992">
        <v>4250</v>
      </c>
      <c r="O1992">
        <v>20</v>
      </c>
      <c r="P1992">
        <v>141</v>
      </c>
      <c r="Q1992">
        <v>0</v>
      </c>
      <c r="R1992">
        <v>4228199029</v>
      </c>
      <c r="S1992">
        <v>6425092.5999999996</v>
      </c>
      <c r="T1992">
        <v>4197952524.9899998</v>
      </c>
      <c r="U1992">
        <v>4221773936.4000001</v>
      </c>
      <c r="V1992">
        <v>6.5550999999999998E-2</v>
      </c>
      <c r="W1992">
        <v>0</v>
      </c>
    </row>
    <row r="1993" spans="1:23" x14ac:dyDescent="0.35">
      <c r="A1993" t="s">
        <v>1</v>
      </c>
      <c r="B1993">
        <v>4000</v>
      </c>
      <c r="C1993">
        <v>20</v>
      </c>
      <c r="D1993">
        <v>24</v>
      </c>
      <c r="E1993">
        <v>0</v>
      </c>
      <c r="F1993">
        <v>836621472</v>
      </c>
      <c r="G1993">
        <v>1363711.85</v>
      </c>
      <c r="H1993">
        <v>832096746</v>
      </c>
      <c r="I1993">
        <v>832096746</v>
      </c>
      <c r="J1993">
        <v>4.4408999999999997E-2</v>
      </c>
      <c r="K1993">
        <v>4.4408999999999997E-2</v>
      </c>
      <c r="M1993" t="s">
        <v>1</v>
      </c>
      <c r="N1993">
        <v>4500</v>
      </c>
      <c r="O1993">
        <v>20</v>
      </c>
      <c r="P1993">
        <v>192</v>
      </c>
      <c r="Q1993">
        <v>0</v>
      </c>
      <c r="R1993">
        <v>6451561743</v>
      </c>
      <c r="S1993">
        <v>9486428.9499999993</v>
      </c>
      <c r="T1993">
        <v>6311026462.6499996</v>
      </c>
      <c r="U1993">
        <v>6354788374.6800003</v>
      </c>
      <c r="V1993">
        <v>0.218283</v>
      </c>
      <c r="W1993">
        <v>0.15080199999999999</v>
      </c>
    </row>
    <row r="1994" spans="1:23" x14ac:dyDescent="0.35">
      <c r="A1994" t="s">
        <v>1</v>
      </c>
      <c r="B1994">
        <v>4250</v>
      </c>
      <c r="C1994">
        <v>20</v>
      </c>
      <c r="D1994">
        <v>107</v>
      </c>
      <c r="E1994">
        <v>0</v>
      </c>
      <c r="F1994">
        <v>3436116450</v>
      </c>
      <c r="G1994">
        <v>5263853.4000000004</v>
      </c>
      <c r="H1994">
        <v>3430322240</v>
      </c>
      <c r="I1994">
        <v>3430322240</v>
      </c>
      <c r="J1994">
        <v>1.851E-3</v>
      </c>
      <c r="K1994">
        <v>1.851E-3</v>
      </c>
      <c r="M1994" t="s">
        <v>2</v>
      </c>
      <c r="N1994">
        <v>4500</v>
      </c>
      <c r="O1994">
        <v>20</v>
      </c>
      <c r="P1994">
        <v>17</v>
      </c>
      <c r="Q1994">
        <v>0</v>
      </c>
      <c r="R1994">
        <v>416840540</v>
      </c>
      <c r="S1994">
        <v>608843.15</v>
      </c>
      <c r="T1994">
        <v>416231696.85000002</v>
      </c>
      <c r="U1994">
        <v>416231696.85000002</v>
      </c>
      <c r="V1994">
        <v>0</v>
      </c>
      <c r="W1994">
        <v>0</v>
      </c>
    </row>
    <row r="1995" spans="1:23" x14ac:dyDescent="0.35">
      <c r="A1995" t="s">
        <v>1</v>
      </c>
      <c r="B1995">
        <v>3750</v>
      </c>
      <c r="C1995">
        <v>20</v>
      </c>
      <c r="D1995">
        <v>21</v>
      </c>
      <c r="E1995">
        <v>0</v>
      </c>
      <c r="F1995">
        <v>740309550</v>
      </c>
      <c r="G1995">
        <v>1276029.99</v>
      </c>
      <c r="H1995">
        <v>738939988</v>
      </c>
      <c r="I1995">
        <v>738939988</v>
      </c>
      <c r="J1995">
        <v>1.5150000000000001E-3</v>
      </c>
      <c r="K1995">
        <v>1.5150000000000001E-3</v>
      </c>
      <c r="M1995" t="s">
        <v>2</v>
      </c>
      <c r="N1995">
        <v>4250</v>
      </c>
      <c r="O1995">
        <v>20</v>
      </c>
      <c r="P1995">
        <v>4</v>
      </c>
      <c r="Q1995">
        <v>0</v>
      </c>
      <c r="R1995">
        <v>65164932</v>
      </c>
      <c r="S1995">
        <v>99051.24</v>
      </c>
      <c r="T1995">
        <v>65065880.759999998</v>
      </c>
      <c r="U1995">
        <v>65065880.759999998</v>
      </c>
      <c r="V1995">
        <v>0</v>
      </c>
      <c r="W1995">
        <v>0</v>
      </c>
    </row>
    <row r="1996" spans="1:23" x14ac:dyDescent="0.35">
      <c r="A1996" t="s">
        <v>2</v>
      </c>
      <c r="B1996">
        <v>4000</v>
      </c>
      <c r="C1996">
        <v>20</v>
      </c>
      <c r="D1996">
        <v>6</v>
      </c>
      <c r="E1996">
        <v>0</v>
      </c>
      <c r="F1996">
        <v>54323691</v>
      </c>
      <c r="G1996">
        <v>87383.39</v>
      </c>
      <c r="H1996">
        <v>54250190</v>
      </c>
      <c r="I1996">
        <v>54250190</v>
      </c>
      <c r="J1996">
        <v>-3.0709999999999999E-3</v>
      </c>
      <c r="K1996">
        <v>-3.0709999999999999E-3</v>
      </c>
      <c r="M1996" t="s">
        <v>2</v>
      </c>
      <c r="N1996">
        <v>4750</v>
      </c>
      <c r="O1996">
        <v>20</v>
      </c>
      <c r="P1996">
        <v>16</v>
      </c>
      <c r="Q1996">
        <v>0</v>
      </c>
      <c r="R1996">
        <v>396862297</v>
      </c>
      <c r="S1996">
        <v>557097.55000000005</v>
      </c>
      <c r="T1996">
        <v>396305199.44999999</v>
      </c>
      <c r="U1996">
        <v>396305199.44999999</v>
      </c>
      <c r="V1996">
        <v>0</v>
      </c>
      <c r="W1996">
        <v>0</v>
      </c>
    </row>
    <row r="1997" spans="1:23" x14ac:dyDescent="0.35">
      <c r="A1997" t="s">
        <v>0</v>
      </c>
      <c r="B1997">
        <v>3750</v>
      </c>
      <c r="C1997">
        <v>20</v>
      </c>
      <c r="D1997">
        <v>9</v>
      </c>
      <c r="E1997">
        <v>0</v>
      </c>
      <c r="F1997">
        <v>323108960</v>
      </c>
      <c r="G1997">
        <v>533888.62</v>
      </c>
      <c r="H1997">
        <v>322688124</v>
      </c>
      <c r="I1997">
        <v>322688124</v>
      </c>
      <c r="J1997">
        <v>-4.2069999999999998E-3</v>
      </c>
      <c r="K1997">
        <v>-4.2069999999999998E-3</v>
      </c>
      <c r="M1997" t="s">
        <v>2</v>
      </c>
      <c r="N1997">
        <v>5000</v>
      </c>
      <c r="O1997">
        <v>20</v>
      </c>
      <c r="P1997">
        <v>76</v>
      </c>
      <c r="Q1997">
        <v>0</v>
      </c>
      <c r="R1997">
        <v>2060215807</v>
      </c>
      <c r="S1997">
        <v>2763723.71</v>
      </c>
      <c r="T1997">
        <v>2057452083.29</v>
      </c>
      <c r="U1997">
        <v>2057452083.29</v>
      </c>
      <c r="V1997">
        <v>0</v>
      </c>
      <c r="W1997">
        <v>0</v>
      </c>
    </row>
    <row r="1998" spans="1:23" x14ac:dyDescent="0.35">
      <c r="A1998" t="s">
        <v>1</v>
      </c>
      <c r="B1998">
        <v>4500</v>
      </c>
      <c r="C1998">
        <v>20</v>
      </c>
      <c r="D1998">
        <v>239</v>
      </c>
      <c r="E1998">
        <v>0</v>
      </c>
      <c r="F1998">
        <v>7873178776</v>
      </c>
      <c r="G1998">
        <v>11516238.960000001</v>
      </c>
      <c r="H1998">
        <v>7830555324</v>
      </c>
      <c r="I1998">
        <v>7830555324</v>
      </c>
      <c r="J1998">
        <v>4.6396E-2</v>
      </c>
      <c r="K1998">
        <v>4.6396E-2</v>
      </c>
      <c r="M1998" t="s">
        <v>1</v>
      </c>
      <c r="N1998">
        <v>8500</v>
      </c>
      <c r="O1998">
        <v>20</v>
      </c>
      <c r="P1998">
        <v>30</v>
      </c>
      <c r="Q1998">
        <v>0</v>
      </c>
      <c r="R1998">
        <v>785142887</v>
      </c>
      <c r="S1998">
        <v>552843.81999999995</v>
      </c>
      <c r="T1998">
        <v>754703317.03999996</v>
      </c>
      <c r="U1998">
        <v>754703317.03999996</v>
      </c>
      <c r="V1998">
        <v>0.37230799999999997</v>
      </c>
      <c r="W1998">
        <v>0.37230799999999997</v>
      </c>
    </row>
    <row r="1999" spans="1:23" x14ac:dyDescent="0.35">
      <c r="A1999" t="s">
        <v>1</v>
      </c>
      <c r="B1999">
        <v>4750</v>
      </c>
      <c r="C1999">
        <v>20</v>
      </c>
      <c r="D1999">
        <v>338</v>
      </c>
      <c r="E1999">
        <v>0</v>
      </c>
      <c r="F1999">
        <v>11771397665</v>
      </c>
      <c r="G1999">
        <v>16538140.75</v>
      </c>
      <c r="H1999">
        <v>11730644940</v>
      </c>
      <c r="I1999">
        <v>11730644940</v>
      </c>
      <c r="J1999">
        <v>2.4407000000000002E-2</v>
      </c>
      <c r="K1999">
        <v>2.4407000000000002E-2</v>
      </c>
      <c r="M1999" t="s">
        <v>1</v>
      </c>
      <c r="N1999">
        <v>9000</v>
      </c>
      <c r="O1999">
        <v>20</v>
      </c>
      <c r="P1999">
        <v>12</v>
      </c>
      <c r="Q1999">
        <v>0</v>
      </c>
      <c r="R1999">
        <v>350668756</v>
      </c>
      <c r="S1999">
        <v>235112.88</v>
      </c>
      <c r="T1999">
        <v>305796876.01999998</v>
      </c>
      <c r="U1999">
        <v>305796876.01999998</v>
      </c>
      <c r="V1999">
        <v>0.80481899999999995</v>
      </c>
      <c r="W1999">
        <v>0.80481899999999995</v>
      </c>
    </row>
    <row r="2000" spans="1:23" x14ac:dyDescent="0.35">
      <c r="A2000" t="s">
        <v>0</v>
      </c>
      <c r="B2000">
        <v>4250</v>
      </c>
      <c r="C2000">
        <v>20</v>
      </c>
      <c r="D2000">
        <v>221</v>
      </c>
      <c r="E2000">
        <v>0</v>
      </c>
      <c r="F2000">
        <v>6608167622</v>
      </c>
      <c r="G2000">
        <v>10017604.24</v>
      </c>
      <c r="H2000">
        <v>6593597309</v>
      </c>
      <c r="I2000">
        <v>6593597309</v>
      </c>
      <c r="J2000">
        <v>8.2360000000000003E-3</v>
      </c>
      <c r="K2000">
        <v>8.2360000000000003E-3</v>
      </c>
      <c r="M2000" t="s">
        <v>1</v>
      </c>
      <c r="N2000">
        <v>2250</v>
      </c>
      <c r="O2000">
        <v>20</v>
      </c>
      <c r="P2000">
        <v>10</v>
      </c>
      <c r="Q2000">
        <v>0</v>
      </c>
      <c r="R2000">
        <v>350357377</v>
      </c>
      <c r="S2000">
        <v>828365.56</v>
      </c>
      <c r="T2000">
        <v>349529011.44</v>
      </c>
      <c r="U2000">
        <v>349529011.44</v>
      </c>
      <c r="V2000">
        <v>0</v>
      </c>
      <c r="W2000">
        <v>0</v>
      </c>
    </row>
    <row r="2001" spans="1:23" x14ac:dyDescent="0.35">
      <c r="A2001" t="s">
        <v>2</v>
      </c>
      <c r="B2001">
        <v>4500</v>
      </c>
      <c r="C2001">
        <v>20</v>
      </c>
      <c r="D2001">
        <v>30</v>
      </c>
      <c r="E2001">
        <v>0</v>
      </c>
      <c r="F2001">
        <v>740661926</v>
      </c>
      <c r="G2001">
        <v>1082233.58</v>
      </c>
      <c r="H2001">
        <v>739498139</v>
      </c>
      <c r="I2001">
        <v>739498139</v>
      </c>
      <c r="J2001">
        <v>1.3209999999999999E-3</v>
      </c>
      <c r="K2001">
        <v>1.3209999999999999E-3</v>
      </c>
      <c r="M2001" t="s">
        <v>1</v>
      </c>
      <c r="N2001">
        <v>2500</v>
      </c>
      <c r="O2001">
        <v>20</v>
      </c>
      <c r="P2001">
        <v>5</v>
      </c>
      <c r="Q2001">
        <v>0</v>
      </c>
      <c r="R2001">
        <v>190674019</v>
      </c>
      <c r="S2001">
        <v>423595.92</v>
      </c>
      <c r="T2001">
        <v>190250423.08000001</v>
      </c>
      <c r="U2001">
        <v>190250423.08000001</v>
      </c>
      <c r="V2001">
        <v>0</v>
      </c>
      <c r="W2001">
        <v>0</v>
      </c>
    </row>
    <row r="2002" spans="1:23" x14ac:dyDescent="0.35">
      <c r="A2002" t="s">
        <v>2</v>
      </c>
      <c r="B2002">
        <v>5000</v>
      </c>
      <c r="C2002">
        <v>20</v>
      </c>
      <c r="D2002">
        <v>71</v>
      </c>
      <c r="E2002">
        <v>0</v>
      </c>
      <c r="F2002">
        <v>1843043987</v>
      </c>
      <c r="G2002">
        <v>2471931.86</v>
      </c>
      <c r="H2002">
        <v>1840560513</v>
      </c>
      <c r="I2002">
        <v>1840560513</v>
      </c>
      <c r="J2002">
        <v>7.4999999999999993E-5</v>
      </c>
      <c r="K2002">
        <v>7.4999999999999993E-5</v>
      </c>
      <c r="M2002" t="s">
        <v>0</v>
      </c>
      <c r="N2002">
        <v>2750</v>
      </c>
      <c r="O2002">
        <v>20</v>
      </c>
      <c r="P2002">
        <v>1</v>
      </c>
      <c r="Q2002">
        <v>0</v>
      </c>
      <c r="R2002">
        <v>30520919</v>
      </c>
      <c r="S2002">
        <v>59389.49</v>
      </c>
      <c r="T2002">
        <v>30461529.510000002</v>
      </c>
      <c r="U2002">
        <v>30461529.510000002</v>
      </c>
      <c r="V2002">
        <v>0</v>
      </c>
      <c r="W2002">
        <v>0</v>
      </c>
    </row>
    <row r="2003" spans="1:23" x14ac:dyDescent="0.35">
      <c r="A2003" t="s">
        <v>3</v>
      </c>
      <c r="B2003">
        <v>5500</v>
      </c>
      <c r="C2003">
        <v>20</v>
      </c>
      <c r="D2003">
        <v>1</v>
      </c>
      <c r="E2003">
        <v>0</v>
      </c>
      <c r="F2003">
        <v>37000434</v>
      </c>
      <c r="G2003">
        <v>45416.38</v>
      </c>
      <c r="H2003">
        <v>36954449</v>
      </c>
      <c r="I2003">
        <v>36954449</v>
      </c>
      <c r="J2003">
        <v>1.84E-4</v>
      </c>
      <c r="K2003">
        <v>1.84E-4</v>
      </c>
      <c r="M2003" t="s">
        <v>2</v>
      </c>
      <c r="N2003">
        <v>3750</v>
      </c>
      <c r="O2003">
        <v>20</v>
      </c>
      <c r="P2003">
        <v>6</v>
      </c>
      <c r="Q2003">
        <v>0</v>
      </c>
      <c r="R2003">
        <v>81047634</v>
      </c>
      <c r="S2003">
        <v>136641.21</v>
      </c>
      <c r="T2003">
        <v>80910992.790000007</v>
      </c>
      <c r="U2003">
        <v>80910992.790000007</v>
      </c>
      <c r="V2003">
        <v>0</v>
      </c>
      <c r="W2003">
        <v>0</v>
      </c>
    </row>
    <row r="2004" spans="1:23" x14ac:dyDescent="0.35">
      <c r="A2004" t="s">
        <v>3</v>
      </c>
      <c r="B2004">
        <v>5750</v>
      </c>
      <c r="C2004">
        <v>20</v>
      </c>
      <c r="D2004">
        <v>4</v>
      </c>
      <c r="E2004">
        <v>0</v>
      </c>
      <c r="F2004">
        <v>99496406</v>
      </c>
      <c r="G2004">
        <v>117281.86</v>
      </c>
      <c r="H2004">
        <v>99324015</v>
      </c>
      <c r="I2004">
        <v>99324015</v>
      </c>
      <c r="J2004">
        <v>6.6259999999999999E-3</v>
      </c>
      <c r="K2004">
        <v>6.6259999999999999E-3</v>
      </c>
      <c r="M2004" t="s">
        <v>2</v>
      </c>
      <c r="N2004">
        <v>3500</v>
      </c>
      <c r="O2004">
        <v>20</v>
      </c>
      <c r="P2004">
        <v>1</v>
      </c>
      <c r="Q2004">
        <v>0</v>
      </c>
      <c r="R2004">
        <v>12676490</v>
      </c>
      <c r="S2004">
        <v>21853.84</v>
      </c>
      <c r="T2004">
        <v>12654636.16</v>
      </c>
      <c r="U2004">
        <v>12654636.16</v>
      </c>
      <c r="V2004">
        <v>0</v>
      </c>
      <c r="W2004">
        <v>0</v>
      </c>
    </row>
    <row r="2005" spans="1:23" x14ac:dyDescent="0.35">
      <c r="A2005" t="s">
        <v>1</v>
      </c>
      <c r="B2005">
        <v>9000</v>
      </c>
      <c r="C2005">
        <v>20</v>
      </c>
      <c r="D2005">
        <v>8</v>
      </c>
      <c r="E2005">
        <v>0</v>
      </c>
      <c r="F2005">
        <v>241988794</v>
      </c>
      <c r="G2005">
        <v>163233.31</v>
      </c>
      <c r="H2005">
        <v>214597050</v>
      </c>
      <c r="I2005">
        <v>214597050</v>
      </c>
      <c r="J2005">
        <v>0.76127100000000003</v>
      </c>
      <c r="K2005">
        <v>0.76127100000000003</v>
      </c>
      <c r="M2005" t="s">
        <v>2</v>
      </c>
      <c r="N2005">
        <v>4000</v>
      </c>
      <c r="O2005">
        <v>20</v>
      </c>
      <c r="P2005">
        <v>9</v>
      </c>
      <c r="Q2005">
        <v>0</v>
      </c>
      <c r="R2005">
        <v>119764180</v>
      </c>
      <c r="S2005">
        <v>196539.96</v>
      </c>
      <c r="T2005">
        <v>119567640.04000001</v>
      </c>
      <c r="U2005">
        <v>119567640.04000001</v>
      </c>
      <c r="V2005">
        <v>0</v>
      </c>
      <c r="W2005">
        <v>0</v>
      </c>
    </row>
    <row r="2006" spans="1:23" x14ac:dyDescent="0.35">
      <c r="A2006" t="s">
        <v>1</v>
      </c>
      <c r="B2006">
        <v>8500</v>
      </c>
      <c r="C2006">
        <v>20</v>
      </c>
      <c r="D2006">
        <v>25</v>
      </c>
      <c r="E2006">
        <v>0</v>
      </c>
      <c r="F2006">
        <v>620075381</v>
      </c>
      <c r="G2006">
        <v>436836.24</v>
      </c>
      <c r="H2006">
        <v>619928832</v>
      </c>
      <c r="I2006">
        <v>619928832</v>
      </c>
      <c r="J2006">
        <v>-5.6319999999999999E-3</v>
      </c>
      <c r="K2006">
        <v>-5.6319999999999999E-3</v>
      </c>
      <c r="M2006" t="s">
        <v>3</v>
      </c>
      <c r="N2006">
        <v>5500</v>
      </c>
      <c r="O2006">
        <v>20</v>
      </c>
      <c r="P2006">
        <v>1</v>
      </c>
      <c r="Q2006">
        <v>0</v>
      </c>
      <c r="R2006">
        <v>37046209</v>
      </c>
      <c r="S2006">
        <v>45209.87</v>
      </c>
      <c r="T2006">
        <v>37000999.130000003</v>
      </c>
      <c r="U2006">
        <v>37000999.130000003</v>
      </c>
      <c r="V2006">
        <v>0</v>
      </c>
      <c r="W2006">
        <v>0</v>
      </c>
    </row>
    <row r="2007" spans="1:23" x14ac:dyDescent="0.35">
      <c r="A2007" t="s">
        <v>1</v>
      </c>
      <c r="B2007">
        <v>2750</v>
      </c>
      <c r="C2007">
        <v>20</v>
      </c>
      <c r="D2007">
        <v>5</v>
      </c>
      <c r="E2007">
        <v>0</v>
      </c>
      <c r="F2007">
        <v>252095148</v>
      </c>
      <c r="G2007">
        <v>553736.67000000004</v>
      </c>
      <c r="H2007">
        <v>251215223</v>
      </c>
      <c r="I2007">
        <v>251215223</v>
      </c>
      <c r="J2007">
        <v>1.5417E-2</v>
      </c>
      <c r="K2007">
        <v>1.5417E-2</v>
      </c>
      <c r="M2007" t="s">
        <v>1</v>
      </c>
      <c r="N2007">
        <v>2750</v>
      </c>
      <c r="O2007">
        <v>20</v>
      </c>
      <c r="P2007">
        <v>6</v>
      </c>
      <c r="Q2007">
        <v>0</v>
      </c>
      <c r="R2007">
        <v>314118905</v>
      </c>
      <c r="S2007">
        <v>689204.15</v>
      </c>
      <c r="T2007">
        <v>313429700.85000002</v>
      </c>
      <c r="U2007">
        <v>313429700.85000002</v>
      </c>
      <c r="V2007">
        <v>0</v>
      </c>
      <c r="W2007">
        <v>0</v>
      </c>
    </row>
    <row r="2008" spans="1:23" x14ac:dyDescent="0.35">
      <c r="A2008" t="s">
        <v>1</v>
      </c>
      <c r="B2008">
        <v>3500</v>
      </c>
      <c r="C2008">
        <v>20</v>
      </c>
      <c r="D2008">
        <v>8</v>
      </c>
      <c r="E2008">
        <v>0</v>
      </c>
      <c r="F2008">
        <v>261959020</v>
      </c>
      <c r="G2008">
        <v>485452.01</v>
      </c>
      <c r="H2008">
        <v>261439337</v>
      </c>
      <c r="I2008">
        <v>261439337</v>
      </c>
      <c r="J2008">
        <v>1.567E-3</v>
      </c>
      <c r="K2008">
        <v>1.567E-3</v>
      </c>
      <c r="M2008" t="s">
        <v>2</v>
      </c>
      <c r="N2008">
        <v>3000</v>
      </c>
      <c r="O2008">
        <v>18</v>
      </c>
      <c r="P2008">
        <v>2</v>
      </c>
      <c r="Q2008">
        <v>0</v>
      </c>
      <c r="R2008">
        <v>28351235</v>
      </c>
      <c r="S2008">
        <v>53545.93</v>
      </c>
      <c r="T2008">
        <v>28297689.07</v>
      </c>
      <c r="U2008">
        <v>28297689.07</v>
      </c>
      <c r="V2008">
        <v>0</v>
      </c>
      <c r="W2008">
        <v>0</v>
      </c>
    </row>
    <row r="2009" spans="1:23" x14ac:dyDescent="0.35">
      <c r="A2009" t="s">
        <v>0</v>
      </c>
      <c r="B2009">
        <v>3500</v>
      </c>
      <c r="C2009">
        <v>20</v>
      </c>
      <c r="D2009">
        <v>2</v>
      </c>
      <c r="E2009">
        <v>0</v>
      </c>
      <c r="F2009">
        <v>69687911</v>
      </c>
      <c r="G2009">
        <v>119994.52</v>
      </c>
      <c r="H2009">
        <v>69568092</v>
      </c>
      <c r="I2009">
        <v>69568092</v>
      </c>
      <c r="J2009">
        <v>-3.0000000000000001E-5</v>
      </c>
      <c r="K2009">
        <v>-3.0000000000000001E-5</v>
      </c>
      <c r="M2009" t="s">
        <v>0</v>
      </c>
      <c r="N2009">
        <v>3500</v>
      </c>
      <c r="O2009">
        <v>18</v>
      </c>
      <c r="P2009">
        <v>3</v>
      </c>
      <c r="Q2009">
        <v>0</v>
      </c>
      <c r="R2009">
        <v>136481611</v>
      </c>
      <c r="S2009">
        <v>234275.27</v>
      </c>
      <c r="T2009">
        <v>136247335.72999999</v>
      </c>
      <c r="U2009">
        <v>136247335.72999999</v>
      </c>
      <c r="V2009">
        <v>0</v>
      </c>
      <c r="W2009">
        <v>0</v>
      </c>
    </row>
    <row r="2010" spans="1:23" x14ac:dyDescent="0.35">
      <c r="A2010" t="s">
        <v>2</v>
      </c>
      <c r="B2010">
        <v>3750</v>
      </c>
      <c r="C2010">
        <v>20</v>
      </c>
      <c r="D2010">
        <v>5</v>
      </c>
      <c r="E2010">
        <v>0</v>
      </c>
      <c r="F2010">
        <v>96378660</v>
      </c>
      <c r="G2010">
        <v>161657.22</v>
      </c>
      <c r="H2010">
        <v>96279446</v>
      </c>
      <c r="I2010">
        <v>96279446</v>
      </c>
      <c r="J2010">
        <v>-7.803E-3</v>
      </c>
      <c r="K2010">
        <v>-7.803E-3</v>
      </c>
      <c r="M2010" t="s">
        <v>2</v>
      </c>
      <c r="N2010">
        <v>3750</v>
      </c>
      <c r="O2010">
        <v>18</v>
      </c>
      <c r="P2010">
        <v>5</v>
      </c>
      <c r="Q2010">
        <v>0</v>
      </c>
      <c r="R2010">
        <v>113890366</v>
      </c>
      <c r="S2010">
        <v>189597.57</v>
      </c>
      <c r="T2010">
        <v>113700768.43000001</v>
      </c>
      <c r="U2010">
        <v>113700768.43000001</v>
      </c>
      <c r="V2010">
        <v>0</v>
      </c>
      <c r="W2010">
        <v>0</v>
      </c>
    </row>
    <row r="2011" spans="1:23" x14ac:dyDescent="0.35">
      <c r="A2011" t="s">
        <v>0</v>
      </c>
      <c r="B2011">
        <v>3250</v>
      </c>
      <c r="C2011">
        <v>20</v>
      </c>
      <c r="D2011">
        <v>1</v>
      </c>
      <c r="E2011">
        <v>0</v>
      </c>
      <c r="F2011">
        <v>31620283</v>
      </c>
      <c r="G2011">
        <v>56524.99</v>
      </c>
      <c r="H2011">
        <v>31552768</v>
      </c>
      <c r="I2011">
        <v>31552768</v>
      </c>
      <c r="J2011">
        <v>4.163E-3</v>
      </c>
      <c r="K2011">
        <v>4.163E-3</v>
      </c>
      <c r="M2011" t="s">
        <v>0</v>
      </c>
      <c r="N2011">
        <v>3500</v>
      </c>
      <c r="O2011">
        <v>20</v>
      </c>
      <c r="P2011">
        <v>2</v>
      </c>
      <c r="Q2011">
        <v>0</v>
      </c>
      <c r="R2011">
        <v>49161821</v>
      </c>
      <c r="S2011">
        <v>85410.41</v>
      </c>
      <c r="T2011">
        <v>49076410.590000004</v>
      </c>
      <c r="U2011">
        <v>49076410.590000004</v>
      </c>
      <c r="V2011">
        <v>0</v>
      </c>
      <c r="W2011">
        <v>0</v>
      </c>
    </row>
    <row r="2012" spans="1:23" x14ac:dyDescent="0.35">
      <c r="A2012" t="s">
        <v>0</v>
      </c>
      <c r="B2012">
        <v>4000</v>
      </c>
      <c r="C2012">
        <v>20</v>
      </c>
      <c r="D2012">
        <v>5</v>
      </c>
      <c r="E2012">
        <v>0</v>
      </c>
      <c r="F2012">
        <v>164701736</v>
      </c>
      <c r="G2012">
        <v>260775.84</v>
      </c>
      <c r="H2012">
        <v>164485195</v>
      </c>
      <c r="I2012">
        <v>164485195</v>
      </c>
      <c r="J2012">
        <v>-3.228E-3</v>
      </c>
      <c r="K2012">
        <v>-3.228E-3</v>
      </c>
      <c r="M2012" t="s">
        <v>0</v>
      </c>
      <c r="N2012">
        <v>3250</v>
      </c>
      <c r="O2012">
        <v>18</v>
      </c>
      <c r="P2012">
        <v>2</v>
      </c>
      <c r="Q2012">
        <v>0</v>
      </c>
      <c r="R2012">
        <v>39587615</v>
      </c>
      <c r="S2012">
        <v>70676.87</v>
      </c>
      <c r="T2012">
        <v>39516938.130000003</v>
      </c>
      <c r="U2012">
        <v>39516938.130000003</v>
      </c>
      <c r="V2012">
        <v>0</v>
      </c>
      <c r="W2012">
        <v>0</v>
      </c>
    </row>
    <row r="2013" spans="1:23" x14ac:dyDescent="0.35">
      <c r="A2013" t="s">
        <v>2</v>
      </c>
      <c r="B2013">
        <v>4250</v>
      </c>
      <c r="C2013">
        <v>20</v>
      </c>
      <c r="D2013">
        <v>8</v>
      </c>
      <c r="E2013">
        <v>0</v>
      </c>
      <c r="F2013">
        <v>145572910</v>
      </c>
      <c r="G2013">
        <v>221889.89</v>
      </c>
      <c r="H2013">
        <v>145330027</v>
      </c>
      <c r="I2013">
        <v>145330027</v>
      </c>
      <c r="J2013">
        <v>1.7290000000000001E-3</v>
      </c>
      <c r="K2013">
        <v>1.7290000000000001E-3</v>
      </c>
      <c r="M2013" t="s">
        <v>1</v>
      </c>
      <c r="N2013">
        <v>3500</v>
      </c>
      <c r="O2013">
        <v>18</v>
      </c>
      <c r="P2013">
        <v>8</v>
      </c>
      <c r="Q2013">
        <v>0</v>
      </c>
      <c r="R2013">
        <v>267712214</v>
      </c>
      <c r="S2013">
        <v>472910.4</v>
      </c>
      <c r="T2013">
        <v>215056178.75999999</v>
      </c>
      <c r="U2013">
        <v>215056178.75999999</v>
      </c>
      <c r="V2013">
        <v>0.92586000000000002</v>
      </c>
      <c r="W2013">
        <v>0.92586000000000002</v>
      </c>
    </row>
    <row r="2014" spans="1:23" x14ac:dyDescent="0.35">
      <c r="A2014" t="s">
        <v>3</v>
      </c>
      <c r="B2014">
        <v>5250</v>
      </c>
      <c r="C2014">
        <v>20</v>
      </c>
      <c r="D2014">
        <v>2</v>
      </c>
      <c r="E2014">
        <v>0</v>
      </c>
      <c r="F2014">
        <v>71420047</v>
      </c>
      <c r="G2014">
        <v>91070.95</v>
      </c>
      <c r="H2014">
        <v>71328493</v>
      </c>
      <c r="I2014">
        <v>71328493</v>
      </c>
      <c r="J2014">
        <v>8.1000000000000004E-5</v>
      </c>
      <c r="K2014">
        <v>8.1000000000000004E-5</v>
      </c>
      <c r="M2014" t="s">
        <v>0</v>
      </c>
      <c r="N2014">
        <v>3750</v>
      </c>
      <c r="O2014">
        <v>18</v>
      </c>
      <c r="P2014">
        <v>34</v>
      </c>
      <c r="Q2014">
        <v>0</v>
      </c>
      <c r="R2014">
        <v>1087930596</v>
      </c>
      <c r="S2014">
        <v>1777766.84</v>
      </c>
      <c r="T2014">
        <v>1086152829.1600001</v>
      </c>
      <c r="U2014">
        <v>1086152829.1600001</v>
      </c>
      <c r="V2014">
        <v>0</v>
      </c>
      <c r="W2014">
        <v>0</v>
      </c>
    </row>
    <row r="2015" spans="1:23" x14ac:dyDescent="0.35">
      <c r="A2015" t="s">
        <v>2</v>
      </c>
      <c r="B2015">
        <v>8500</v>
      </c>
      <c r="C2015">
        <v>20</v>
      </c>
      <c r="D2015">
        <v>1</v>
      </c>
      <c r="E2015">
        <v>0</v>
      </c>
      <c r="F2015">
        <v>3499157</v>
      </c>
      <c r="G2015">
        <v>2454.14</v>
      </c>
      <c r="H2015">
        <v>3489466</v>
      </c>
      <c r="I2015">
        <v>3489466</v>
      </c>
      <c r="J2015">
        <v>2.4538000000000001E-2</v>
      </c>
      <c r="K2015">
        <v>2.4538000000000001E-2</v>
      </c>
      <c r="M2015" t="s">
        <v>1</v>
      </c>
      <c r="N2015">
        <v>3750</v>
      </c>
      <c r="O2015">
        <v>18</v>
      </c>
      <c r="P2015">
        <v>28</v>
      </c>
      <c r="Q2015">
        <v>0</v>
      </c>
      <c r="R2015">
        <v>979846422</v>
      </c>
      <c r="S2015">
        <v>1674468.43</v>
      </c>
      <c r="T2015">
        <v>921978146.78999996</v>
      </c>
      <c r="U2015">
        <v>921978146.78999996</v>
      </c>
      <c r="V2015">
        <v>0.50772499999999998</v>
      </c>
      <c r="W2015">
        <v>0.50772499999999998</v>
      </c>
    </row>
    <row r="2016" spans="1:23" x14ac:dyDescent="0.35">
      <c r="A2016" t="s">
        <v>1</v>
      </c>
      <c r="B2016">
        <v>2000</v>
      </c>
      <c r="C2016">
        <v>24</v>
      </c>
      <c r="D2016">
        <v>1</v>
      </c>
      <c r="E2016">
        <v>0</v>
      </c>
      <c r="F2016">
        <v>30369482</v>
      </c>
      <c r="G2016">
        <v>79135.28</v>
      </c>
      <c r="H2016">
        <v>29789295</v>
      </c>
      <c r="I2016">
        <v>29789295</v>
      </c>
      <c r="J2016">
        <v>0.18096899999999999</v>
      </c>
      <c r="K2016">
        <v>0.18096899999999999</v>
      </c>
      <c r="M2016" t="s">
        <v>0</v>
      </c>
      <c r="N2016">
        <v>4000</v>
      </c>
      <c r="O2016">
        <v>18</v>
      </c>
      <c r="P2016">
        <v>136</v>
      </c>
      <c r="Q2016">
        <v>0</v>
      </c>
      <c r="R2016">
        <v>4503609615</v>
      </c>
      <c r="S2016">
        <v>7065492.3700000001</v>
      </c>
      <c r="T2016">
        <v>4496544122.6300001</v>
      </c>
      <c r="U2016">
        <v>4496544122.6300001</v>
      </c>
      <c r="V2016">
        <v>0</v>
      </c>
      <c r="W2016">
        <v>0</v>
      </c>
    </row>
    <row r="2017" spans="1:23" x14ac:dyDescent="0.35">
      <c r="A2017" t="s">
        <v>1</v>
      </c>
      <c r="B2017">
        <v>2750</v>
      </c>
      <c r="C2017">
        <v>18</v>
      </c>
      <c r="D2017">
        <v>3</v>
      </c>
      <c r="E2017">
        <v>0</v>
      </c>
      <c r="F2017">
        <v>90138752</v>
      </c>
      <c r="G2017">
        <v>201040.72</v>
      </c>
      <c r="H2017">
        <v>89922059</v>
      </c>
      <c r="I2017">
        <v>89922059</v>
      </c>
      <c r="J2017">
        <v>2.0820000000000001E-3</v>
      </c>
      <c r="K2017">
        <v>2.0820000000000001E-3</v>
      </c>
      <c r="M2017" t="s">
        <v>1</v>
      </c>
      <c r="N2017">
        <v>4000</v>
      </c>
      <c r="O2017">
        <v>18</v>
      </c>
      <c r="P2017">
        <v>67</v>
      </c>
      <c r="Q2017">
        <v>0</v>
      </c>
      <c r="R2017">
        <v>2169393653</v>
      </c>
      <c r="S2017">
        <v>3463007.5</v>
      </c>
      <c r="T2017">
        <v>2137556357.76</v>
      </c>
      <c r="U2017">
        <v>2165930645.5</v>
      </c>
      <c r="V2017">
        <v>0.14613999999999999</v>
      </c>
      <c r="W2017">
        <v>0</v>
      </c>
    </row>
    <row r="2018" spans="1:23" x14ac:dyDescent="0.35">
      <c r="A2018" t="s">
        <v>1</v>
      </c>
      <c r="B2018">
        <v>2500</v>
      </c>
      <c r="C2018">
        <v>20</v>
      </c>
      <c r="D2018">
        <v>4</v>
      </c>
      <c r="E2018">
        <v>0</v>
      </c>
      <c r="F2018">
        <v>167234482</v>
      </c>
      <c r="G2018">
        <v>367799.88</v>
      </c>
      <c r="H2018">
        <v>166842429</v>
      </c>
      <c r="I2018">
        <v>166842429</v>
      </c>
      <c r="J2018">
        <v>1.7390000000000001E-3</v>
      </c>
      <c r="K2018">
        <v>1.7390000000000001E-3</v>
      </c>
      <c r="M2018" t="s">
        <v>1</v>
      </c>
      <c r="N2018">
        <v>4250</v>
      </c>
      <c r="O2018">
        <v>18</v>
      </c>
      <c r="P2018">
        <v>234</v>
      </c>
      <c r="Q2018">
        <v>0</v>
      </c>
      <c r="R2018">
        <v>7942228092</v>
      </c>
      <c r="S2018">
        <v>12006326.18</v>
      </c>
      <c r="T2018">
        <v>7812947022.3999996</v>
      </c>
      <c r="U2018">
        <v>7812947022.3999996</v>
      </c>
      <c r="V2018">
        <v>0.16348699999999999</v>
      </c>
      <c r="W2018">
        <v>0.16348699999999999</v>
      </c>
    </row>
    <row r="2019" spans="1:23" x14ac:dyDescent="0.35">
      <c r="A2019" t="s">
        <v>2</v>
      </c>
      <c r="B2019">
        <v>3000</v>
      </c>
      <c r="C2019">
        <v>18</v>
      </c>
      <c r="D2019">
        <v>1</v>
      </c>
      <c r="E2019">
        <v>0</v>
      </c>
      <c r="F2019">
        <v>8755611</v>
      </c>
      <c r="G2019">
        <v>16558.27</v>
      </c>
      <c r="H2019">
        <v>8738962</v>
      </c>
      <c r="I2019">
        <v>8738962</v>
      </c>
      <c r="J2019">
        <v>1.2400000000000001E-4</v>
      </c>
      <c r="K2019">
        <v>1.2400000000000001E-4</v>
      </c>
      <c r="M2019" t="s">
        <v>2</v>
      </c>
      <c r="N2019">
        <v>4250</v>
      </c>
      <c r="O2019">
        <v>18</v>
      </c>
      <c r="P2019">
        <v>15</v>
      </c>
      <c r="Q2019">
        <v>0</v>
      </c>
      <c r="R2019">
        <v>321537339</v>
      </c>
      <c r="S2019">
        <v>487301.51</v>
      </c>
      <c r="T2019">
        <v>321050037.49000001</v>
      </c>
      <c r="U2019">
        <v>321050037.49000001</v>
      </c>
      <c r="V2019">
        <v>0</v>
      </c>
      <c r="W2019">
        <v>0</v>
      </c>
    </row>
    <row r="2020" spans="1:23" x14ac:dyDescent="0.35">
      <c r="A2020" t="s">
        <v>0</v>
      </c>
      <c r="B2020">
        <v>2750</v>
      </c>
      <c r="C2020">
        <v>18</v>
      </c>
      <c r="D2020">
        <v>2</v>
      </c>
      <c r="E2020">
        <v>0</v>
      </c>
      <c r="F2020">
        <v>68141051</v>
      </c>
      <c r="G2020">
        <v>131272.26999999999</v>
      </c>
      <c r="H2020">
        <v>68009180</v>
      </c>
      <c r="I2020">
        <v>68009180</v>
      </c>
      <c r="J2020">
        <v>1.05E-4</v>
      </c>
      <c r="K2020">
        <v>1.05E-4</v>
      </c>
      <c r="M2020" t="s">
        <v>1</v>
      </c>
      <c r="N2020">
        <v>4500</v>
      </c>
      <c r="O2020">
        <v>18</v>
      </c>
      <c r="P2020">
        <v>425</v>
      </c>
      <c r="Q2020">
        <v>0</v>
      </c>
      <c r="R2020">
        <v>14163795722</v>
      </c>
      <c r="S2020">
        <v>20493869.93</v>
      </c>
      <c r="T2020">
        <v>13998958989.190001</v>
      </c>
      <c r="U2020">
        <v>14021646509.690001</v>
      </c>
      <c r="V2020">
        <v>0.115665</v>
      </c>
      <c r="W2020">
        <v>9.8337999999999995E-2</v>
      </c>
    </row>
    <row r="2021" spans="1:23" x14ac:dyDescent="0.35">
      <c r="A2021" t="s">
        <v>2</v>
      </c>
      <c r="B2021">
        <v>3500</v>
      </c>
      <c r="C2021">
        <v>20</v>
      </c>
      <c r="D2021">
        <v>3</v>
      </c>
      <c r="E2021">
        <v>0</v>
      </c>
      <c r="F2021">
        <v>86292676</v>
      </c>
      <c r="G2021">
        <v>148760.56</v>
      </c>
      <c r="H2021">
        <v>86174108</v>
      </c>
      <c r="I2021">
        <v>86174108</v>
      </c>
      <c r="J2021">
        <v>-4.2069999999999998E-3</v>
      </c>
      <c r="K2021">
        <v>-4.2069999999999998E-3</v>
      </c>
      <c r="M2021" t="s">
        <v>0</v>
      </c>
      <c r="N2021">
        <v>4250</v>
      </c>
      <c r="O2021">
        <v>18</v>
      </c>
      <c r="P2021">
        <v>637</v>
      </c>
      <c r="Q2021">
        <v>0</v>
      </c>
      <c r="R2021">
        <v>18763083247</v>
      </c>
      <c r="S2021">
        <v>28184053.710000001</v>
      </c>
      <c r="T2021">
        <v>18676044319.900002</v>
      </c>
      <c r="U2021">
        <v>18697253125.880001</v>
      </c>
      <c r="V2021">
        <v>3.6998000000000003E-2</v>
      </c>
      <c r="W2021">
        <v>2.3813000000000001E-2</v>
      </c>
    </row>
    <row r="2022" spans="1:23" x14ac:dyDescent="0.35">
      <c r="A2022" t="s">
        <v>0</v>
      </c>
      <c r="B2022">
        <v>3500</v>
      </c>
      <c r="C2022">
        <v>18</v>
      </c>
      <c r="D2022">
        <v>28</v>
      </c>
      <c r="E2022">
        <v>0</v>
      </c>
      <c r="F2022">
        <v>1183854969</v>
      </c>
      <c r="G2022">
        <v>2018669.55</v>
      </c>
      <c r="H2022">
        <v>1181830991</v>
      </c>
      <c r="I2022">
        <v>1181830991</v>
      </c>
      <c r="J2022">
        <v>5.3999999999999998E-5</v>
      </c>
      <c r="K2022">
        <v>5.3999999999999998E-5</v>
      </c>
      <c r="M2022" t="s">
        <v>2</v>
      </c>
      <c r="N2022">
        <v>4500</v>
      </c>
      <c r="O2022">
        <v>18</v>
      </c>
      <c r="P2022">
        <v>48</v>
      </c>
      <c r="Q2022">
        <v>0</v>
      </c>
      <c r="R2022">
        <v>1162866415</v>
      </c>
      <c r="S2022">
        <v>1680749.76</v>
      </c>
      <c r="T2022">
        <v>1161185665.24</v>
      </c>
      <c r="U2022">
        <v>1161185665.24</v>
      </c>
      <c r="V2022">
        <v>0</v>
      </c>
      <c r="W2022">
        <v>0</v>
      </c>
    </row>
    <row r="2023" spans="1:23" x14ac:dyDescent="0.35">
      <c r="A2023" t="s">
        <v>0</v>
      </c>
      <c r="B2023">
        <v>3750</v>
      </c>
      <c r="C2023">
        <v>18</v>
      </c>
      <c r="D2023">
        <v>155</v>
      </c>
      <c r="E2023">
        <v>0</v>
      </c>
      <c r="F2023">
        <v>4730793472</v>
      </c>
      <c r="G2023">
        <v>7724124.6299999999</v>
      </c>
      <c r="H2023">
        <v>4683096418</v>
      </c>
      <c r="I2023">
        <v>4722041904.1700001</v>
      </c>
      <c r="J2023">
        <v>9.6811999999999995E-2</v>
      </c>
      <c r="K2023">
        <v>2.6029999999999998E-3</v>
      </c>
      <c r="M2023" t="s">
        <v>3</v>
      </c>
      <c r="N2023">
        <v>5250</v>
      </c>
      <c r="O2023">
        <v>18</v>
      </c>
      <c r="P2023">
        <v>5</v>
      </c>
      <c r="Q2023">
        <v>0</v>
      </c>
      <c r="R2023">
        <v>114952238</v>
      </c>
      <c r="S2023">
        <v>145448.19</v>
      </c>
      <c r="T2023">
        <v>114806789.81</v>
      </c>
      <c r="U2023">
        <v>114806789.81</v>
      </c>
      <c r="V2023">
        <v>0</v>
      </c>
      <c r="W2023">
        <v>0</v>
      </c>
    </row>
    <row r="2024" spans="1:23" x14ac:dyDescent="0.35">
      <c r="A2024" t="s">
        <v>1</v>
      </c>
      <c r="B2024">
        <v>4000</v>
      </c>
      <c r="C2024">
        <v>18</v>
      </c>
      <c r="D2024">
        <v>406</v>
      </c>
      <c r="E2024">
        <v>0</v>
      </c>
      <c r="F2024">
        <v>13749623178</v>
      </c>
      <c r="G2024">
        <v>21648141.84</v>
      </c>
      <c r="H2024">
        <v>13697017281</v>
      </c>
      <c r="I2024">
        <v>13697017281</v>
      </c>
      <c r="J2024">
        <v>2.6686000000000001E-2</v>
      </c>
      <c r="K2024">
        <v>2.6686000000000001E-2</v>
      </c>
      <c r="M2024" t="s">
        <v>1</v>
      </c>
      <c r="N2024">
        <v>8500</v>
      </c>
      <c r="O2024">
        <v>18</v>
      </c>
      <c r="P2024">
        <v>14</v>
      </c>
      <c r="Q2024">
        <v>0</v>
      </c>
      <c r="R2024">
        <v>340278335</v>
      </c>
      <c r="S2024">
        <v>236404.06</v>
      </c>
      <c r="T2024">
        <v>340041930.94</v>
      </c>
      <c r="U2024">
        <v>340041930.94</v>
      </c>
      <c r="V2024">
        <v>0</v>
      </c>
      <c r="W2024">
        <v>0</v>
      </c>
    </row>
    <row r="2025" spans="1:23" x14ac:dyDescent="0.35">
      <c r="A2025" t="s">
        <v>0</v>
      </c>
      <c r="B2025">
        <v>4000</v>
      </c>
      <c r="C2025">
        <v>18</v>
      </c>
      <c r="D2025">
        <v>1194</v>
      </c>
      <c r="E2025">
        <v>0</v>
      </c>
      <c r="F2025">
        <v>38127166446</v>
      </c>
      <c r="G2025">
        <v>59867873.840000004</v>
      </c>
      <c r="H2025">
        <v>38029272733</v>
      </c>
      <c r="I2025">
        <v>38059828236.620003</v>
      </c>
      <c r="J2025">
        <v>1.1903E-2</v>
      </c>
      <c r="K2025">
        <v>2.349E-3</v>
      </c>
      <c r="M2025" t="s">
        <v>2</v>
      </c>
      <c r="N2025">
        <v>8500</v>
      </c>
      <c r="O2025">
        <v>18</v>
      </c>
      <c r="P2025">
        <v>1</v>
      </c>
      <c r="Q2025">
        <v>0</v>
      </c>
      <c r="R2025">
        <v>3499157</v>
      </c>
      <c r="S2025">
        <v>2435.19</v>
      </c>
      <c r="T2025">
        <v>3496721.81</v>
      </c>
      <c r="U2025">
        <v>3496721.81</v>
      </c>
      <c r="V2025">
        <v>0</v>
      </c>
      <c r="W2025">
        <v>0</v>
      </c>
    </row>
    <row r="2026" spans="1:23" x14ac:dyDescent="0.35">
      <c r="A2026" t="s">
        <v>2</v>
      </c>
      <c r="B2026">
        <v>4000</v>
      </c>
      <c r="C2026">
        <v>18</v>
      </c>
      <c r="D2026">
        <v>58</v>
      </c>
      <c r="E2026">
        <v>0</v>
      </c>
      <c r="F2026">
        <v>1510897642</v>
      </c>
      <c r="G2026">
        <v>2388075.79</v>
      </c>
      <c r="H2026">
        <v>1508565432</v>
      </c>
      <c r="I2026">
        <v>1508565432</v>
      </c>
      <c r="J2026">
        <v>-4.44E-4</v>
      </c>
      <c r="K2026">
        <v>-4.44E-4</v>
      </c>
      <c r="M2026" t="s">
        <v>1</v>
      </c>
      <c r="N2026">
        <v>9000</v>
      </c>
      <c r="O2026">
        <v>18</v>
      </c>
      <c r="P2026">
        <v>1</v>
      </c>
      <c r="Q2026">
        <v>0</v>
      </c>
      <c r="R2026">
        <v>18478634</v>
      </c>
      <c r="S2026">
        <v>12251.83</v>
      </c>
      <c r="T2026">
        <v>18466382.170000002</v>
      </c>
      <c r="U2026">
        <v>18466382.170000002</v>
      </c>
      <c r="V2026">
        <v>0</v>
      </c>
      <c r="W2026">
        <v>0</v>
      </c>
    </row>
    <row r="2027" spans="1:23" x14ac:dyDescent="0.35">
      <c r="A2027" t="s">
        <v>1</v>
      </c>
      <c r="B2027">
        <v>3750</v>
      </c>
      <c r="C2027">
        <v>18</v>
      </c>
      <c r="D2027">
        <v>76</v>
      </c>
      <c r="E2027">
        <v>0</v>
      </c>
      <c r="F2027">
        <v>2542977296</v>
      </c>
      <c r="G2027">
        <v>4199328.5599999996</v>
      </c>
      <c r="H2027">
        <v>2538617885</v>
      </c>
      <c r="I2027">
        <v>2538617885</v>
      </c>
      <c r="J2027">
        <v>7.5500000000000003E-4</v>
      </c>
      <c r="K2027">
        <v>7.5500000000000003E-4</v>
      </c>
      <c r="M2027" t="s">
        <v>1</v>
      </c>
      <c r="N2027">
        <v>2000</v>
      </c>
      <c r="O2027">
        <v>20</v>
      </c>
      <c r="P2027">
        <v>1</v>
      </c>
      <c r="Q2027">
        <v>0</v>
      </c>
      <c r="R2027">
        <v>30448824</v>
      </c>
      <c r="S2027">
        <v>79020.88</v>
      </c>
      <c r="T2027">
        <v>30369803.120000001</v>
      </c>
      <c r="U2027">
        <v>30369803.120000001</v>
      </c>
      <c r="V2027">
        <v>0</v>
      </c>
      <c r="W2027">
        <v>0</v>
      </c>
    </row>
    <row r="2028" spans="1:23" x14ac:dyDescent="0.35">
      <c r="A2028" t="s">
        <v>1</v>
      </c>
      <c r="B2028">
        <v>8500</v>
      </c>
      <c r="C2028">
        <v>18</v>
      </c>
      <c r="D2028">
        <v>2</v>
      </c>
      <c r="E2028">
        <v>0</v>
      </c>
      <c r="F2028">
        <v>75897400</v>
      </c>
      <c r="G2028">
        <v>52819.7</v>
      </c>
      <c r="H2028">
        <v>75897400</v>
      </c>
      <c r="I2028">
        <v>75897400</v>
      </c>
      <c r="J2028">
        <v>-8.3829999999999998E-3</v>
      </c>
      <c r="K2028">
        <v>-8.3829999999999998E-3</v>
      </c>
      <c r="M2028" t="s">
        <v>1</v>
      </c>
      <c r="N2028">
        <v>2750</v>
      </c>
      <c r="O2028">
        <v>18</v>
      </c>
      <c r="P2028">
        <v>4</v>
      </c>
      <c r="Q2028">
        <v>0</v>
      </c>
      <c r="R2028">
        <v>192096547</v>
      </c>
      <c r="S2028">
        <v>424739.58</v>
      </c>
      <c r="T2028">
        <v>191671807.41999999</v>
      </c>
      <c r="U2028">
        <v>191671807.41999999</v>
      </c>
      <c r="V2028">
        <v>0</v>
      </c>
      <c r="W2028">
        <v>0</v>
      </c>
    </row>
    <row r="2029" spans="1:23" x14ac:dyDescent="0.35">
      <c r="A2029" t="s">
        <v>1</v>
      </c>
      <c r="B2029">
        <v>2000</v>
      </c>
      <c r="C2029">
        <v>30</v>
      </c>
      <c r="D2029">
        <v>1</v>
      </c>
      <c r="E2029">
        <v>0</v>
      </c>
      <c r="F2029">
        <v>34721616</v>
      </c>
      <c r="G2029">
        <v>89745.85</v>
      </c>
      <c r="H2029">
        <v>34631870</v>
      </c>
      <c r="I2029">
        <v>34631870</v>
      </c>
      <c r="J2029">
        <v>0</v>
      </c>
      <c r="K2029">
        <v>0</v>
      </c>
      <c r="M2029" t="s">
        <v>2</v>
      </c>
      <c r="N2029">
        <v>3250</v>
      </c>
      <c r="O2029">
        <v>18</v>
      </c>
      <c r="P2029">
        <v>8</v>
      </c>
      <c r="Q2029">
        <v>0</v>
      </c>
      <c r="R2029">
        <v>110446971</v>
      </c>
      <c r="S2029">
        <v>197864.72</v>
      </c>
      <c r="T2029">
        <v>110249106.28</v>
      </c>
      <c r="U2029">
        <v>110249106.28</v>
      </c>
      <c r="V2029">
        <v>0</v>
      </c>
      <c r="W2029">
        <v>0</v>
      </c>
    </row>
    <row r="2030" spans="1:23" x14ac:dyDescent="0.35">
      <c r="A2030" t="s">
        <v>1</v>
      </c>
      <c r="B2030">
        <v>2500</v>
      </c>
      <c r="C2030">
        <v>18</v>
      </c>
      <c r="D2030">
        <v>1</v>
      </c>
      <c r="E2030">
        <v>0</v>
      </c>
      <c r="F2030">
        <v>39690079</v>
      </c>
      <c r="G2030">
        <v>90512.76</v>
      </c>
      <c r="H2030">
        <v>39599179</v>
      </c>
      <c r="I2030">
        <v>39599179</v>
      </c>
      <c r="J2030">
        <v>1.17E-4</v>
      </c>
      <c r="K2030">
        <v>1.17E-4</v>
      </c>
      <c r="M2030" t="s">
        <v>2</v>
      </c>
      <c r="N2030">
        <v>2750</v>
      </c>
      <c r="O2030">
        <v>18</v>
      </c>
      <c r="P2030">
        <v>5</v>
      </c>
      <c r="Q2030">
        <v>0</v>
      </c>
      <c r="R2030">
        <v>73731318</v>
      </c>
      <c r="S2030">
        <v>141879.95000000001</v>
      </c>
      <c r="T2030">
        <v>73589438.049999997</v>
      </c>
      <c r="U2030">
        <v>73589438.049999997</v>
      </c>
      <c r="V2030">
        <v>0</v>
      </c>
      <c r="W2030">
        <v>0</v>
      </c>
    </row>
    <row r="2031" spans="1:23" x14ac:dyDescent="0.35">
      <c r="A2031" t="s">
        <v>1</v>
      </c>
      <c r="B2031">
        <v>2250</v>
      </c>
      <c r="C2031">
        <v>18</v>
      </c>
      <c r="D2031">
        <v>7</v>
      </c>
      <c r="E2031">
        <v>0</v>
      </c>
      <c r="F2031">
        <v>235077356</v>
      </c>
      <c r="G2031">
        <v>547649.98</v>
      </c>
      <c r="H2031">
        <v>234402943</v>
      </c>
      <c r="I2031">
        <v>234402943</v>
      </c>
      <c r="J2031">
        <v>6.4520000000000003E-3</v>
      </c>
      <c r="K2031">
        <v>6.4520000000000003E-3</v>
      </c>
      <c r="M2031" t="s">
        <v>0</v>
      </c>
      <c r="N2031">
        <v>2750</v>
      </c>
      <c r="O2031">
        <v>18</v>
      </c>
      <c r="P2031">
        <v>1</v>
      </c>
      <c r="Q2031">
        <v>0</v>
      </c>
      <c r="R2031">
        <v>43000037</v>
      </c>
      <c r="S2031">
        <v>82619.41</v>
      </c>
      <c r="T2031">
        <v>42917417.590000004</v>
      </c>
      <c r="U2031">
        <v>42917417.590000004</v>
      </c>
      <c r="V2031">
        <v>0</v>
      </c>
      <c r="W2031">
        <v>0</v>
      </c>
    </row>
    <row r="2032" spans="1:23" x14ac:dyDescent="0.35">
      <c r="A2032" t="s">
        <v>2</v>
      </c>
      <c r="B2032">
        <v>2750</v>
      </c>
      <c r="C2032">
        <v>18</v>
      </c>
      <c r="D2032">
        <v>4</v>
      </c>
      <c r="E2032">
        <v>0</v>
      </c>
      <c r="F2032">
        <v>64895198</v>
      </c>
      <c r="G2032">
        <v>125070.57</v>
      </c>
      <c r="H2032">
        <v>64770162</v>
      </c>
      <c r="I2032">
        <v>64770162</v>
      </c>
      <c r="J2032">
        <v>-6.0000000000000002E-6</v>
      </c>
      <c r="K2032">
        <v>-6.0000000000000002E-6</v>
      </c>
      <c r="M2032" t="s">
        <v>2</v>
      </c>
      <c r="N2032">
        <v>3500</v>
      </c>
      <c r="O2032">
        <v>18</v>
      </c>
      <c r="P2032">
        <v>8</v>
      </c>
      <c r="Q2032">
        <v>0</v>
      </c>
      <c r="R2032">
        <v>179821427</v>
      </c>
      <c r="S2032">
        <v>311868.12</v>
      </c>
      <c r="T2032">
        <v>179509558.88</v>
      </c>
      <c r="U2032">
        <v>179509558.88</v>
      </c>
      <c r="V2032">
        <v>0</v>
      </c>
      <c r="W2032">
        <v>0</v>
      </c>
    </row>
    <row r="2033" spans="1:23" x14ac:dyDescent="0.35">
      <c r="A2033" t="s">
        <v>2</v>
      </c>
      <c r="B2033">
        <v>3250</v>
      </c>
      <c r="C2033">
        <v>18</v>
      </c>
      <c r="D2033">
        <v>8</v>
      </c>
      <c r="E2033">
        <v>0</v>
      </c>
      <c r="F2033">
        <v>126799102</v>
      </c>
      <c r="G2033">
        <v>226180.03</v>
      </c>
      <c r="H2033">
        <v>126333444</v>
      </c>
      <c r="I2033">
        <v>126333444</v>
      </c>
      <c r="J2033">
        <v>2.2429999999999999E-2</v>
      </c>
      <c r="K2033">
        <v>2.2429999999999999E-2</v>
      </c>
      <c r="M2033" t="s">
        <v>1</v>
      </c>
      <c r="N2033">
        <v>3250</v>
      </c>
      <c r="O2033">
        <v>18</v>
      </c>
      <c r="P2033">
        <v>5</v>
      </c>
      <c r="Q2033">
        <v>0</v>
      </c>
      <c r="R2033">
        <v>154101922</v>
      </c>
      <c r="S2033">
        <v>283489.96000000002</v>
      </c>
      <c r="T2033">
        <v>153818432.03999999</v>
      </c>
      <c r="U2033">
        <v>153818432.03999999</v>
      </c>
      <c r="V2033">
        <v>0</v>
      </c>
      <c r="W2033">
        <v>0</v>
      </c>
    </row>
    <row r="2034" spans="1:23" x14ac:dyDescent="0.35">
      <c r="A2034" t="s">
        <v>1</v>
      </c>
      <c r="B2034">
        <v>3250</v>
      </c>
      <c r="C2034">
        <v>18</v>
      </c>
      <c r="D2034">
        <v>7</v>
      </c>
      <c r="E2034">
        <v>0</v>
      </c>
      <c r="F2034">
        <v>192658618</v>
      </c>
      <c r="G2034">
        <v>352335.78</v>
      </c>
      <c r="H2034">
        <v>192430795</v>
      </c>
      <c r="I2034">
        <v>192430795</v>
      </c>
      <c r="J2034">
        <v>-7.783E-3</v>
      </c>
      <c r="K2034">
        <v>-7.783E-3</v>
      </c>
      <c r="M2034" t="s">
        <v>2</v>
      </c>
      <c r="N2034">
        <v>4000</v>
      </c>
      <c r="O2034">
        <v>18</v>
      </c>
      <c r="P2034">
        <v>7</v>
      </c>
      <c r="Q2034">
        <v>0</v>
      </c>
      <c r="R2034">
        <v>112247765</v>
      </c>
      <c r="S2034">
        <v>184396.45</v>
      </c>
      <c r="T2034">
        <v>112063368.55</v>
      </c>
      <c r="U2034">
        <v>112063368.55</v>
      </c>
      <c r="V2034">
        <v>0</v>
      </c>
      <c r="W2034">
        <v>0</v>
      </c>
    </row>
    <row r="2035" spans="1:23" x14ac:dyDescent="0.35">
      <c r="A2035" t="s">
        <v>2</v>
      </c>
      <c r="B2035">
        <v>3500</v>
      </c>
      <c r="C2035">
        <v>18</v>
      </c>
      <c r="D2035">
        <v>10</v>
      </c>
      <c r="E2035">
        <v>0</v>
      </c>
      <c r="F2035">
        <v>208572221</v>
      </c>
      <c r="G2035">
        <v>361501.84</v>
      </c>
      <c r="H2035">
        <v>208204555</v>
      </c>
      <c r="I2035">
        <v>208204555</v>
      </c>
      <c r="J2035">
        <v>3.5500000000000001E-4</v>
      </c>
      <c r="K2035">
        <v>3.5500000000000001E-4</v>
      </c>
      <c r="M2035" t="s">
        <v>1</v>
      </c>
      <c r="N2035">
        <v>2000</v>
      </c>
      <c r="O2035">
        <v>30</v>
      </c>
      <c r="P2035">
        <v>1</v>
      </c>
      <c r="Q2035">
        <v>0</v>
      </c>
      <c r="R2035">
        <v>34811232</v>
      </c>
      <c r="S2035">
        <v>89615.17</v>
      </c>
      <c r="T2035">
        <v>34721616.829999998</v>
      </c>
      <c r="U2035">
        <v>34721616.829999998</v>
      </c>
      <c r="V2035">
        <v>0</v>
      </c>
      <c r="W2035">
        <v>0</v>
      </c>
    </row>
    <row r="2036" spans="1:23" x14ac:dyDescent="0.35">
      <c r="A2036" t="s">
        <v>1</v>
      </c>
      <c r="B2036">
        <v>3500</v>
      </c>
      <c r="C2036">
        <v>18</v>
      </c>
      <c r="D2036">
        <v>13</v>
      </c>
      <c r="E2036">
        <v>0</v>
      </c>
      <c r="F2036">
        <v>515928813</v>
      </c>
      <c r="G2036">
        <v>891641.51</v>
      </c>
      <c r="H2036">
        <v>514956897</v>
      </c>
      <c r="I2036">
        <v>514956897</v>
      </c>
      <c r="J2036">
        <v>1.866E-3</v>
      </c>
      <c r="K2036">
        <v>1.866E-3</v>
      </c>
      <c r="M2036" t="s">
        <v>1</v>
      </c>
      <c r="N2036">
        <v>2500</v>
      </c>
      <c r="O2036">
        <v>16</v>
      </c>
      <c r="P2036">
        <v>1</v>
      </c>
      <c r="Q2036">
        <v>0</v>
      </c>
      <c r="R2036">
        <v>39780799</v>
      </c>
      <c r="S2036">
        <v>90334.85</v>
      </c>
      <c r="T2036">
        <v>39690464.149999999</v>
      </c>
      <c r="U2036">
        <v>39690464.149999999</v>
      </c>
      <c r="V2036">
        <v>0</v>
      </c>
      <c r="W2036">
        <v>0</v>
      </c>
    </row>
    <row r="2037" spans="1:23" x14ac:dyDescent="0.35">
      <c r="A2037" t="s">
        <v>2</v>
      </c>
      <c r="B2037">
        <v>3750</v>
      </c>
      <c r="C2037">
        <v>18</v>
      </c>
      <c r="D2037">
        <v>4</v>
      </c>
      <c r="E2037">
        <v>0</v>
      </c>
      <c r="F2037">
        <v>88588368</v>
      </c>
      <c r="G2037">
        <v>145687.13</v>
      </c>
      <c r="H2037">
        <v>88437748</v>
      </c>
      <c r="I2037">
        <v>88437748</v>
      </c>
      <c r="J2037">
        <v>6.6799999999999997E-4</v>
      </c>
      <c r="K2037">
        <v>6.6799999999999997E-4</v>
      </c>
      <c r="M2037" t="s">
        <v>1</v>
      </c>
      <c r="N2037">
        <v>2250</v>
      </c>
      <c r="O2037">
        <v>18</v>
      </c>
      <c r="P2037">
        <v>3</v>
      </c>
      <c r="Q2037">
        <v>0</v>
      </c>
      <c r="R2037">
        <v>105398257</v>
      </c>
      <c r="S2037">
        <v>251227.82</v>
      </c>
      <c r="T2037">
        <v>105147029.18000001</v>
      </c>
      <c r="U2037">
        <v>105147029.18000001</v>
      </c>
      <c r="V2037">
        <v>0</v>
      </c>
      <c r="W2037">
        <v>0</v>
      </c>
    </row>
    <row r="2038" spans="1:23" x14ac:dyDescent="0.35">
      <c r="A2038" t="s">
        <v>1</v>
      </c>
      <c r="B2038">
        <v>3750</v>
      </c>
      <c r="C2038">
        <v>16</v>
      </c>
      <c r="D2038">
        <v>273</v>
      </c>
      <c r="E2038">
        <v>0</v>
      </c>
      <c r="F2038">
        <v>10072779627</v>
      </c>
      <c r="G2038">
        <v>16316911.08</v>
      </c>
      <c r="H2038">
        <v>10008308651</v>
      </c>
      <c r="I2038">
        <v>10008308651</v>
      </c>
      <c r="J2038">
        <v>5.5883000000000002E-2</v>
      </c>
      <c r="K2038">
        <v>5.5883000000000002E-2</v>
      </c>
      <c r="M2038" t="s">
        <v>1</v>
      </c>
      <c r="N2038">
        <v>3000</v>
      </c>
      <c r="O2038">
        <v>20</v>
      </c>
      <c r="P2038">
        <v>1</v>
      </c>
      <c r="Q2038">
        <v>0</v>
      </c>
      <c r="R2038">
        <v>5110170</v>
      </c>
      <c r="S2038">
        <v>11086.78</v>
      </c>
      <c r="T2038">
        <v>5099083.22</v>
      </c>
      <c r="U2038">
        <v>5099083.22</v>
      </c>
      <c r="V2038">
        <v>0</v>
      </c>
      <c r="W2038">
        <v>0</v>
      </c>
    </row>
    <row r="2039" spans="1:23" x14ac:dyDescent="0.35">
      <c r="A2039" t="s">
        <v>0</v>
      </c>
      <c r="B2039">
        <v>3000</v>
      </c>
      <c r="C2039">
        <v>16</v>
      </c>
      <c r="D2039">
        <v>3</v>
      </c>
      <c r="E2039">
        <v>0</v>
      </c>
      <c r="F2039">
        <v>77324118</v>
      </c>
      <c r="G2039">
        <v>144174.67000000001</v>
      </c>
      <c r="H2039">
        <v>77154209</v>
      </c>
      <c r="I2039">
        <v>77154209</v>
      </c>
      <c r="J2039">
        <v>3.986E-3</v>
      </c>
      <c r="K2039">
        <v>3.986E-3</v>
      </c>
      <c r="M2039" t="s">
        <v>0</v>
      </c>
      <c r="N2039">
        <v>3500</v>
      </c>
      <c r="O2039">
        <v>16</v>
      </c>
      <c r="P2039">
        <v>73</v>
      </c>
      <c r="Q2039">
        <v>0</v>
      </c>
      <c r="R2039">
        <v>3137659680</v>
      </c>
      <c r="S2039">
        <v>5302213.91</v>
      </c>
      <c r="T2039">
        <v>3132357466.0900002</v>
      </c>
      <c r="U2039">
        <v>3132357466.0900002</v>
      </c>
      <c r="V2039">
        <v>0</v>
      </c>
      <c r="W2039">
        <v>0</v>
      </c>
    </row>
    <row r="2040" spans="1:23" x14ac:dyDescent="0.35">
      <c r="A2040" t="s">
        <v>1</v>
      </c>
      <c r="B2040">
        <v>3000</v>
      </c>
      <c r="C2040">
        <v>18</v>
      </c>
      <c r="D2040">
        <v>2</v>
      </c>
      <c r="E2040">
        <v>0</v>
      </c>
      <c r="F2040">
        <v>87529165</v>
      </c>
      <c r="G2040">
        <v>186437.55</v>
      </c>
      <c r="H2040">
        <v>87304027</v>
      </c>
      <c r="I2040">
        <v>87304027</v>
      </c>
      <c r="J2040">
        <v>5.293E-3</v>
      </c>
      <c r="K2040">
        <v>5.293E-3</v>
      </c>
      <c r="M2040" t="s">
        <v>1</v>
      </c>
      <c r="N2040">
        <v>3500</v>
      </c>
      <c r="O2040">
        <v>16</v>
      </c>
      <c r="P2040">
        <v>26</v>
      </c>
      <c r="Q2040">
        <v>0</v>
      </c>
      <c r="R2040">
        <v>981766938</v>
      </c>
      <c r="S2040">
        <v>1671483.24</v>
      </c>
      <c r="T2040">
        <v>980095454.75999999</v>
      </c>
      <c r="U2040">
        <v>980095454.75999999</v>
      </c>
      <c r="V2040">
        <v>0</v>
      </c>
      <c r="W2040">
        <v>0</v>
      </c>
    </row>
    <row r="2041" spans="1:23" x14ac:dyDescent="0.35">
      <c r="A2041" t="s">
        <v>0</v>
      </c>
      <c r="B2041">
        <v>3500</v>
      </c>
      <c r="C2041">
        <v>16</v>
      </c>
      <c r="D2041">
        <v>73</v>
      </c>
      <c r="E2041">
        <v>0</v>
      </c>
      <c r="F2041">
        <v>3085001413</v>
      </c>
      <c r="G2041">
        <v>5221369.3600000003</v>
      </c>
      <c r="H2041">
        <v>3079678573</v>
      </c>
      <c r="I2041">
        <v>3079678573</v>
      </c>
      <c r="J2041">
        <v>3.9500000000000001E-4</v>
      </c>
      <c r="K2041">
        <v>3.9500000000000001E-4</v>
      </c>
      <c r="M2041" t="s">
        <v>0</v>
      </c>
      <c r="N2041">
        <v>3750</v>
      </c>
      <c r="O2041">
        <v>16</v>
      </c>
      <c r="P2041">
        <v>358</v>
      </c>
      <c r="Q2041">
        <v>0</v>
      </c>
      <c r="R2041">
        <v>11169412072</v>
      </c>
      <c r="S2041">
        <v>18078372.359999999</v>
      </c>
      <c r="T2041">
        <v>11151333699.639999</v>
      </c>
      <c r="U2041">
        <v>11151333699.639999</v>
      </c>
      <c r="V2041">
        <v>0</v>
      </c>
      <c r="W2041">
        <v>0</v>
      </c>
    </row>
    <row r="2042" spans="1:23" x14ac:dyDescent="0.35">
      <c r="A2042" t="s">
        <v>1</v>
      </c>
      <c r="B2042">
        <v>3500</v>
      </c>
      <c r="C2042">
        <v>16</v>
      </c>
      <c r="D2042">
        <v>36</v>
      </c>
      <c r="E2042">
        <v>0</v>
      </c>
      <c r="F2042">
        <v>1419624263</v>
      </c>
      <c r="G2042">
        <v>2407033.7000000002</v>
      </c>
      <c r="H2042">
        <v>1417882931</v>
      </c>
      <c r="I2042">
        <v>1417882931</v>
      </c>
      <c r="J2042">
        <v>-5.6420000000000003E-3</v>
      </c>
      <c r="K2042">
        <v>-5.6420000000000003E-3</v>
      </c>
      <c r="M2042" t="s">
        <v>1</v>
      </c>
      <c r="N2042">
        <v>3750</v>
      </c>
      <c r="O2042">
        <v>16</v>
      </c>
      <c r="P2042">
        <v>181</v>
      </c>
      <c r="Q2042">
        <v>0</v>
      </c>
      <c r="R2042">
        <v>6283126004</v>
      </c>
      <c r="S2042">
        <v>10185069.800000001</v>
      </c>
      <c r="T2042">
        <v>6261811677.0900002</v>
      </c>
      <c r="U2042">
        <v>6272940934.1999998</v>
      </c>
      <c r="V2042">
        <v>2.1049999999999999E-2</v>
      </c>
      <c r="W2042">
        <v>0</v>
      </c>
    </row>
    <row r="2043" spans="1:23" x14ac:dyDescent="0.35">
      <c r="A2043" t="s">
        <v>0</v>
      </c>
      <c r="B2043">
        <v>3250</v>
      </c>
      <c r="C2043">
        <v>18</v>
      </c>
      <c r="D2043">
        <v>3</v>
      </c>
      <c r="E2043">
        <v>0</v>
      </c>
      <c r="F2043">
        <v>70907067</v>
      </c>
      <c r="G2043">
        <v>125975.66</v>
      </c>
      <c r="H2043">
        <v>70794517</v>
      </c>
      <c r="I2043">
        <v>70794517</v>
      </c>
      <c r="J2043">
        <v>-2.274E-3</v>
      </c>
      <c r="K2043">
        <v>-2.274E-3</v>
      </c>
      <c r="M2043" t="s">
        <v>1</v>
      </c>
      <c r="N2043">
        <v>4000</v>
      </c>
      <c r="O2043">
        <v>16</v>
      </c>
      <c r="P2043">
        <v>845</v>
      </c>
      <c r="Q2043">
        <v>0</v>
      </c>
      <c r="R2043">
        <v>29320135102</v>
      </c>
      <c r="S2043">
        <v>45714174.060000002</v>
      </c>
      <c r="T2043">
        <v>29274420927.939999</v>
      </c>
      <c r="U2043">
        <v>29274420927.939999</v>
      </c>
      <c r="V2043">
        <v>0</v>
      </c>
      <c r="W2043">
        <v>0</v>
      </c>
    </row>
    <row r="2044" spans="1:23" x14ac:dyDescent="0.35">
      <c r="A2044" t="s">
        <v>0</v>
      </c>
      <c r="B2044">
        <v>3250</v>
      </c>
      <c r="C2044">
        <v>16</v>
      </c>
      <c r="D2044">
        <v>5</v>
      </c>
      <c r="E2044">
        <v>0</v>
      </c>
      <c r="F2044">
        <v>151161366</v>
      </c>
      <c r="G2044">
        <v>266801.82</v>
      </c>
      <c r="H2044">
        <v>150861862</v>
      </c>
      <c r="I2044">
        <v>150861862</v>
      </c>
      <c r="J2044">
        <v>2.5929999999999998E-3</v>
      </c>
      <c r="K2044">
        <v>2.5929999999999998E-3</v>
      </c>
      <c r="M2044" t="s">
        <v>2</v>
      </c>
      <c r="N2044">
        <v>4000</v>
      </c>
      <c r="O2044">
        <v>16</v>
      </c>
      <c r="P2044">
        <v>110</v>
      </c>
      <c r="Q2044">
        <v>0</v>
      </c>
      <c r="R2044">
        <v>3063445151</v>
      </c>
      <c r="S2044">
        <v>4779910.76</v>
      </c>
      <c r="T2044">
        <v>3058665240.2399998</v>
      </c>
      <c r="U2044">
        <v>3058665240.2399998</v>
      </c>
      <c r="V2044">
        <v>0</v>
      </c>
      <c r="W2044">
        <v>0</v>
      </c>
    </row>
    <row r="2045" spans="1:23" x14ac:dyDescent="0.35">
      <c r="A2045" t="s">
        <v>0</v>
      </c>
      <c r="B2045">
        <v>3750</v>
      </c>
      <c r="C2045">
        <v>16</v>
      </c>
      <c r="D2045">
        <v>588</v>
      </c>
      <c r="E2045">
        <v>0</v>
      </c>
      <c r="F2045">
        <v>19197804047</v>
      </c>
      <c r="G2045">
        <v>31078062.34</v>
      </c>
      <c r="H2045">
        <v>19162332626</v>
      </c>
      <c r="I2045">
        <v>19162332626</v>
      </c>
      <c r="J2045">
        <v>2.7430000000000002E-3</v>
      </c>
      <c r="K2045">
        <v>2.7430000000000002E-3</v>
      </c>
      <c r="M2045" t="s">
        <v>2</v>
      </c>
      <c r="N2045">
        <v>3750</v>
      </c>
      <c r="O2045">
        <v>16</v>
      </c>
      <c r="P2045">
        <v>9</v>
      </c>
      <c r="Q2045">
        <v>0</v>
      </c>
      <c r="R2045">
        <v>262161975</v>
      </c>
      <c r="S2045">
        <v>425299.71</v>
      </c>
      <c r="T2045">
        <v>247737384.75999999</v>
      </c>
      <c r="U2045">
        <v>247737384.75999999</v>
      </c>
      <c r="V2045">
        <v>0.48239199999999999</v>
      </c>
      <c r="W2045">
        <v>0.48239199999999999</v>
      </c>
    </row>
    <row r="2046" spans="1:23" x14ac:dyDescent="0.35">
      <c r="A2046" t="s">
        <v>2</v>
      </c>
      <c r="B2046">
        <v>3500</v>
      </c>
      <c r="C2046">
        <v>16</v>
      </c>
      <c r="D2046">
        <v>15</v>
      </c>
      <c r="E2046">
        <v>0</v>
      </c>
      <c r="F2046">
        <v>339054560</v>
      </c>
      <c r="G2046">
        <v>585154.05000000005</v>
      </c>
      <c r="H2046">
        <v>318062947</v>
      </c>
      <c r="I2046">
        <v>318062947</v>
      </c>
      <c r="J2046">
        <v>0.52521099999999998</v>
      </c>
      <c r="K2046">
        <v>0.52521099999999998</v>
      </c>
      <c r="M2046" t="s">
        <v>1</v>
      </c>
      <c r="N2046">
        <v>2250</v>
      </c>
      <c r="O2046">
        <v>16</v>
      </c>
      <c r="P2046">
        <v>4</v>
      </c>
      <c r="Q2046">
        <v>0</v>
      </c>
      <c r="R2046">
        <v>130218297</v>
      </c>
      <c r="S2046">
        <v>295379.46999999997</v>
      </c>
      <c r="T2046">
        <v>129922917.53</v>
      </c>
      <c r="U2046">
        <v>129922917.53</v>
      </c>
      <c r="V2046">
        <v>0</v>
      </c>
      <c r="W2046">
        <v>0</v>
      </c>
    </row>
    <row r="2047" spans="1:23" x14ac:dyDescent="0.35">
      <c r="A2047" t="s">
        <v>3</v>
      </c>
      <c r="B2047">
        <v>4000</v>
      </c>
      <c r="C2047">
        <v>18</v>
      </c>
      <c r="D2047">
        <v>5</v>
      </c>
      <c r="E2047">
        <v>0</v>
      </c>
      <c r="F2047">
        <v>53742806</v>
      </c>
      <c r="G2047">
        <v>84055.25</v>
      </c>
      <c r="H2047">
        <v>53589921</v>
      </c>
      <c r="I2047">
        <v>53589921</v>
      </c>
      <c r="J2047">
        <v>1.5261E-2</v>
      </c>
      <c r="K2047">
        <v>1.5261E-2</v>
      </c>
      <c r="M2047" t="s">
        <v>2</v>
      </c>
      <c r="N2047">
        <v>2750</v>
      </c>
      <c r="O2047">
        <v>16</v>
      </c>
      <c r="P2047">
        <v>2</v>
      </c>
      <c r="Q2047">
        <v>0</v>
      </c>
      <c r="R2047">
        <v>29105991</v>
      </c>
      <c r="S2047">
        <v>55600.92</v>
      </c>
      <c r="T2047">
        <v>29050390.079999998</v>
      </c>
      <c r="U2047">
        <v>29050390.079999998</v>
      </c>
      <c r="V2047">
        <v>0</v>
      </c>
      <c r="W2047">
        <v>0</v>
      </c>
    </row>
    <row r="2048" spans="1:23" x14ac:dyDescent="0.35">
      <c r="A2048" t="s">
        <v>2</v>
      </c>
      <c r="B2048">
        <v>3750</v>
      </c>
      <c r="C2048">
        <v>16</v>
      </c>
      <c r="D2048">
        <v>17</v>
      </c>
      <c r="E2048">
        <v>0</v>
      </c>
      <c r="F2048">
        <v>517511701</v>
      </c>
      <c r="G2048">
        <v>843725.86</v>
      </c>
      <c r="H2048">
        <v>516368348</v>
      </c>
      <c r="I2048">
        <v>516368348</v>
      </c>
      <c r="J2048">
        <v>6.9259999999999999E-3</v>
      </c>
      <c r="K2048">
        <v>6.9259999999999999E-3</v>
      </c>
      <c r="M2048" t="s">
        <v>0</v>
      </c>
      <c r="N2048">
        <v>2750</v>
      </c>
      <c r="O2048">
        <v>16</v>
      </c>
      <c r="P2048">
        <v>1</v>
      </c>
      <c r="Q2048">
        <v>0</v>
      </c>
      <c r="R2048">
        <v>25364878</v>
      </c>
      <c r="S2048">
        <v>48531.11</v>
      </c>
      <c r="T2048">
        <v>25316346.890000001</v>
      </c>
      <c r="U2048">
        <v>25316346.890000001</v>
      </c>
      <c r="V2048">
        <v>0</v>
      </c>
      <c r="W2048">
        <v>0</v>
      </c>
    </row>
    <row r="2049" spans="1:23" x14ac:dyDescent="0.35">
      <c r="A2049" t="s">
        <v>3</v>
      </c>
      <c r="B2049">
        <v>4500</v>
      </c>
      <c r="C2049">
        <v>16</v>
      </c>
      <c r="D2049">
        <v>1</v>
      </c>
      <c r="E2049">
        <v>0</v>
      </c>
      <c r="F2049">
        <v>34191539</v>
      </c>
      <c r="G2049">
        <v>48863.07</v>
      </c>
      <c r="H2049">
        <v>34142422</v>
      </c>
      <c r="I2049">
        <v>34142422</v>
      </c>
      <c r="J2049">
        <v>8.8999999999999995E-5</v>
      </c>
      <c r="K2049">
        <v>8.8999999999999995E-5</v>
      </c>
      <c r="M2049" t="s">
        <v>0</v>
      </c>
      <c r="N2049">
        <v>3000</v>
      </c>
      <c r="O2049">
        <v>16</v>
      </c>
      <c r="P2049">
        <v>3</v>
      </c>
      <c r="Q2049">
        <v>0</v>
      </c>
      <c r="R2049">
        <v>77473614</v>
      </c>
      <c r="S2049">
        <v>143836.54</v>
      </c>
      <c r="T2049">
        <v>77329777.459999993</v>
      </c>
      <c r="U2049">
        <v>77329777.459999993</v>
      </c>
      <c r="V2049">
        <v>0</v>
      </c>
      <c r="W2049">
        <v>0</v>
      </c>
    </row>
    <row r="2050" spans="1:23" x14ac:dyDescent="0.35">
      <c r="A2050" t="s">
        <v>3</v>
      </c>
      <c r="B2050">
        <v>4750</v>
      </c>
      <c r="C2050">
        <v>16</v>
      </c>
      <c r="D2050">
        <v>1</v>
      </c>
      <c r="E2050">
        <v>0</v>
      </c>
      <c r="F2050">
        <v>36404372</v>
      </c>
      <c r="G2050">
        <v>49823.6</v>
      </c>
      <c r="H2050">
        <v>36354283</v>
      </c>
      <c r="I2050">
        <v>36354283</v>
      </c>
      <c r="J2050">
        <v>8.7000000000000001E-5</v>
      </c>
      <c r="K2050">
        <v>8.7000000000000001E-5</v>
      </c>
      <c r="M2050" t="s">
        <v>1</v>
      </c>
      <c r="N2050">
        <v>3000</v>
      </c>
      <c r="O2050">
        <v>18</v>
      </c>
      <c r="P2050">
        <v>1</v>
      </c>
      <c r="Q2050">
        <v>0</v>
      </c>
      <c r="R2050">
        <v>56929165</v>
      </c>
      <c r="S2050">
        <v>118011.48</v>
      </c>
      <c r="T2050">
        <v>56811153.520000003</v>
      </c>
      <c r="U2050">
        <v>56811153.520000003</v>
      </c>
      <c r="V2050">
        <v>0</v>
      </c>
      <c r="W2050">
        <v>0</v>
      </c>
    </row>
    <row r="2051" spans="1:23" x14ac:dyDescent="0.35">
      <c r="A2051" t="s">
        <v>2</v>
      </c>
      <c r="B2051">
        <v>2500</v>
      </c>
      <c r="C2051">
        <v>18</v>
      </c>
      <c r="D2051">
        <v>1</v>
      </c>
      <c r="E2051">
        <v>0</v>
      </c>
      <c r="F2051">
        <v>12819871</v>
      </c>
      <c r="G2051">
        <v>25636.05</v>
      </c>
      <c r="H2051">
        <v>12794235</v>
      </c>
      <c r="I2051">
        <v>12794235</v>
      </c>
      <c r="J2051">
        <v>0</v>
      </c>
      <c r="K2051">
        <v>0</v>
      </c>
      <c r="M2051" t="s">
        <v>1</v>
      </c>
      <c r="N2051">
        <v>3250</v>
      </c>
      <c r="O2051">
        <v>16</v>
      </c>
      <c r="P2051">
        <v>9</v>
      </c>
      <c r="Q2051">
        <v>0</v>
      </c>
      <c r="R2051">
        <v>263901337</v>
      </c>
      <c r="S2051">
        <v>475119.92</v>
      </c>
      <c r="T2051">
        <v>263426217.08000001</v>
      </c>
      <c r="U2051">
        <v>263426217.08000001</v>
      </c>
      <c r="V2051">
        <v>0</v>
      </c>
      <c r="W2051">
        <v>0</v>
      </c>
    </row>
    <row r="2052" spans="1:23" x14ac:dyDescent="0.35">
      <c r="A2052" t="s">
        <v>0</v>
      </c>
      <c r="B2052">
        <v>2500</v>
      </c>
      <c r="C2052">
        <v>18</v>
      </c>
      <c r="D2052">
        <v>1</v>
      </c>
      <c r="E2052">
        <v>0</v>
      </c>
      <c r="F2052">
        <v>18307041</v>
      </c>
      <c r="G2052">
        <v>36608.81</v>
      </c>
      <c r="H2052">
        <v>18307041</v>
      </c>
      <c r="I2052">
        <v>18307041</v>
      </c>
      <c r="J2052">
        <v>-2.4261999999999999E-2</v>
      </c>
      <c r="K2052">
        <v>-2.4261999999999999E-2</v>
      </c>
      <c r="M2052" t="s">
        <v>2</v>
      </c>
      <c r="N2052">
        <v>3250</v>
      </c>
      <c r="O2052">
        <v>16</v>
      </c>
      <c r="P2052">
        <v>7</v>
      </c>
      <c r="Q2052">
        <v>0</v>
      </c>
      <c r="R2052">
        <v>124919223</v>
      </c>
      <c r="S2052">
        <v>227833.60000000001</v>
      </c>
      <c r="T2052">
        <v>124691389.40000001</v>
      </c>
      <c r="U2052">
        <v>124691389.40000001</v>
      </c>
      <c r="V2052">
        <v>0</v>
      </c>
      <c r="W2052">
        <v>0</v>
      </c>
    </row>
    <row r="2053" spans="1:23" x14ac:dyDescent="0.35">
      <c r="A2053" t="s">
        <v>1</v>
      </c>
      <c r="B2053">
        <v>2750</v>
      </c>
      <c r="C2053">
        <v>16</v>
      </c>
      <c r="D2053">
        <v>3</v>
      </c>
      <c r="E2053">
        <v>0</v>
      </c>
      <c r="F2053">
        <v>116406662</v>
      </c>
      <c r="G2053">
        <v>246376.91</v>
      </c>
      <c r="H2053">
        <v>116109661</v>
      </c>
      <c r="I2053">
        <v>116109661</v>
      </c>
      <c r="J2053">
        <v>5.2059999999999997E-3</v>
      </c>
      <c r="K2053">
        <v>5.2059999999999997E-3</v>
      </c>
      <c r="M2053" t="s">
        <v>2</v>
      </c>
      <c r="N2053">
        <v>3500</v>
      </c>
      <c r="O2053">
        <v>16</v>
      </c>
      <c r="P2053">
        <v>12</v>
      </c>
      <c r="Q2053">
        <v>0</v>
      </c>
      <c r="R2053">
        <v>277266649</v>
      </c>
      <c r="S2053">
        <v>481126.7</v>
      </c>
      <c r="T2053">
        <v>276785522.30000001</v>
      </c>
      <c r="U2053">
        <v>276785522.30000001</v>
      </c>
      <c r="V2053">
        <v>0</v>
      </c>
      <c r="W2053">
        <v>0</v>
      </c>
    </row>
    <row r="2054" spans="1:23" x14ac:dyDescent="0.35">
      <c r="A2054" t="s">
        <v>1</v>
      </c>
      <c r="B2054">
        <v>3250</v>
      </c>
      <c r="C2054">
        <v>16</v>
      </c>
      <c r="D2054">
        <v>14</v>
      </c>
      <c r="E2054">
        <v>0</v>
      </c>
      <c r="F2054">
        <v>391858398</v>
      </c>
      <c r="G2054">
        <v>688985.58</v>
      </c>
      <c r="H2054">
        <v>391371815</v>
      </c>
      <c r="I2054">
        <v>391371815</v>
      </c>
      <c r="J2054">
        <v>-6.2160000000000002E-3</v>
      </c>
      <c r="K2054">
        <v>-6.2160000000000002E-3</v>
      </c>
      <c r="M2054" t="s">
        <v>0</v>
      </c>
      <c r="N2054">
        <v>3250</v>
      </c>
      <c r="O2054">
        <v>16</v>
      </c>
      <c r="P2054">
        <v>6</v>
      </c>
      <c r="Q2054">
        <v>0</v>
      </c>
      <c r="R2054">
        <v>188290634</v>
      </c>
      <c r="S2054">
        <v>331515.39</v>
      </c>
      <c r="T2054">
        <v>187959118.61000001</v>
      </c>
      <c r="U2054">
        <v>187959118.61000001</v>
      </c>
      <c r="V2054">
        <v>0</v>
      </c>
      <c r="W2054">
        <v>0</v>
      </c>
    </row>
    <row r="2055" spans="1:23" x14ac:dyDescent="0.35">
      <c r="A2055" t="s">
        <v>2</v>
      </c>
      <c r="B2055">
        <v>3250</v>
      </c>
      <c r="C2055">
        <v>16</v>
      </c>
      <c r="D2055">
        <v>6</v>
      </c>
      <c r="E2055">
        <v>0</v>
      </c>
      <c r="F2055">
        <v>102788788</v>
      </c>
      <c r="G2055">
        <v>189167.14</v>
      </c>
      <c r="H2055">
        <v>102653201</v>
      </c>
      <c r="I2055">
        <v>102653201</v>
      </c>
      <c r="J2055">
        <v>-6.2729999999999999E-3</v>
      </c>
      <c r="K2055">
        <v>-6.2729999999999999E-3</v>
      </c>
      <c r="M2055" t="s">
        <v>3</v>
      </c>
      <c r="N2055">
        <v>4000</v>
      </c>
      <c r="O2055">
        <v>16</v>
      </c>
      <c r="P2055">
        <v>5</v>
      </c>
      <c r="Q2055">
        <v>0</v>
      </c>
      <c r="R2055">
        <v>53895183</v>
      </c>
      <c r="S2055">
        <v>83882.77</v>
      </c>
      <c r="T2055">
        <v>53811300.229999997</v>
      </c>
      <c r="U2055">
        <v>53811300.229999997</v>
      </c>
      <c r="V2055">
        <v>0</v>
      </c>
      <c r="W2055">
        <v>0</v>
      </c>
    </row>
    <row r="2056" spans="1:23" x14ac:dyDescent="0.35">
      <c r="A2056" t="s">
        <v>3</v>
      </c>
      <c r="B2056">
        <v>4250</v>
      </c>
      <c r="C2056">
        <v>16</v>
      </c>
      <c r="D2056">
        <v>1</v>
      </c>
      <c r="E2056">
        <v>0</v>
      </c>
      <c r="F2056">
        <v>29915424</v>
      </c>
      <c r="G2056">
        <v>44624.31</v>
      </c>
      <c r="H2056">
        <v>29915424</v>
      </c>
      <c r="I2056">
        <v>29915424</v>
      </c>
      <c r="J2056">
        <v>-1.8048000000000002E-2</v>
      </c>
      <c r="K2056">
        <v>-1.8048000000000002E-2</v>
      </c>
      <c r="M2056" t="s">
        <v>3</v>
      </c>
      <c r="N2056">
        <v>4500</v>
      </c>
      <c r="O2056">
        <v>16</v>
      </c>
      <c r="P2056">
        <v>1</v>
      </c>
      <c r="Q2056">
        <v>0</v>
      </c>
      <c r="R2056">
        <v>34240472</v>
      </c>
      <c r="S2056">
        <v>48680.88</v>
      </c>
      <c r="T2056">
        <v>34191791.119999997</v>
      </c>
      <c r="U2056">
        <v>34191791.119999997</v>
      </c>
      <c r="V2056">
        <v>0</v>
      </c>
      <c r="W2056">
        <v>0</v>
      </c>
    </row>
    <row r="2057" spans="1:23" x14ac:dyDescent="0.35">
      <c r="A2057" t="s">
        <v>0</v>
      </c>
      <c r="B2057">
        <v>3250</v>
      </c>
      <c r="C2057">
        <v>14</v>
      </c>
      <c r="D2057">
        <v>3</v>
      </c>
      <c r="E2057">
        <v>0</v>
      </c>
      <c r="F2057">
        <v>88578098</v>
      </c>
      <c r="G2057">
        <v>156277.26999999999</v>
      </c>
      <c r="H2057">
        <v>88370723</v>
      </c>
      <c r="I2057">
        <v>88370723</v>
      </c>
      <c r="J2057">
        <v>6.8999999999999999E-3</v>
      </c>
      <c r="K2057">
        <v>6.8999999999999999E-3</v>
      </c>
      <c r="M2057" t="s">
        <v>3</v>
      </c>
      <c r="N2057">
        <v>4750</v>
      </c>
      <c r="O2057">
        <v>16</v>
      </c>
      <c r="P2057">
        <v>1</v>
      </c>
      <c r="Q2057">
        <v>0</v>
      </c>
      <c r="R2057">
        <v>36454264</v>
      </c>
      <c r="S2057">
        <v>49627.519999999997</v>
      </c>
      <c r="T2057">
        <v>36404636.479999997</v>
      </c>
      <c r="U2057">
        <v>36404636.479999997</v>
      </c>
      <c r="V2057">
        <v>0</v>
      </c>
      <c r="W2057">
        <v>0</v>
      </c>
    </row>
    <row r="2058" spans="1:23" x14ac:dyDescent="0.35">
      <c r="A2058" t="s">
        <v>0</v>
      </c>
      <c r="B2058">
        <v>2750</v>
      </c>
      <c r="C2058">
        <v>16</v>
      </c>
      <c r="D2058">
        <v>2</v>
      </c>
      <c r="E2058">
        <v>0</v>
      </c>
      <c r="F2058">
        <v>32595167</v>
      </c>
      <c r="G2058">
        <v>62103.81</v>
      </c>
      <c r="H2058">
        <v>32470964</v>
      </c>
      <c r="I2058">
        <v>32470964</v>
      </c>
      <c r="J2058">
        <v>2.2623999999999998E-2</v>
      </c>
      <c r="K2058">
        <v>2.2623999999999998E-2</v>
      </c>
      <c r="M2058" t="s">
        <v>2</v>
      </c>
      <c r="N2058">
        <v>2500</v>
      </c>
      <c r="O2058">
        <v>16</v>
      </c>
      <c r="P2058">
        <v>1</v>
      </c>
      <c r="Q2058">
        <v>0</v>
      </c>
      <c r="R2058">
        <v>12845454</v>
      </c>
      <c r="S2058">
        <v>25582.75</v>
      </c>
      <c r="T2058">
        <v>12819871.25</v>
      </c>
      <c r="U2058">
        <v>12819871.25</v>
      </c>
      <c r="V2058">
        <v>0</v>
      </c>
      <c r="W2058">
        <v>0</v>
      </c>
    </row>
    <row r="2059" spans="1:23" x14ac:dyDescent="0.35">
      <c r="A2059" t="s">
        <v>1</v>
      </c>
      <c r="B2059">
        <v>3000</v>
      </c>
      <c r="C2059">
        <v>16</v>
      </c>
      <c r="D2059">
        <v>2</v>
      </c>
      <c r="E2059">
        <v>0</v>
      </c>
      <c r="F2059">
        <v>102387029</v>
      </c>
      <c r="G2059">
        <v>223125.82</v>
      </c>
      <c r="H2059">
        <v>102163366</v>
      </c>
      <c r="I2059">
        <v>102163366</v>
      </c>
      <c r="J2059">
        <v>6.3E-5</v>
      </c>
      <c r="K2059">
        <v>6.3E-5</v>
      </c>
      <c r="M2059" t="s">
        <v>0</v>
      </c>
      <c r="N2059">
        <v>2500</v>
      </c>
      <c r="O2059">
        <v>16</v>
      </c>
      <c r="P2059">
        <v>1</v>
      </c>
      <c r="Q2059">
        <v>0</v>
      </c>
      <c r="R2059">
        <v>18343605</v>
      </c>
      <c r="S2059">
        <v>36532.76</v>
      </c>
      <c r="T2059">
        <v>18307072.239999998</v>
      </c>
      <c r="U2059">
        <v>18307072.239999998</v>
      </c>
      <c r="V2059">
        <v>0</v>
      </c>
      <c r="W2059">
        <v>0</v>
      </c>
    </row>
    <row r="2060" spans="1:23" x14ac:dyDescent="0.35">
      <c r="A2060" t="s">
        <v>1</v>
      </c>
      <c r="B2060">
        <v>3250</v>
      </c>
      <c r="C2060">
        <v>14</v>
      </c>
      <c r="D2060">
        <v>15</v>
      </c>
      <c r="E2060">
        <v>0</v>
      </c>
      <c r="F2060">
        <v>403339187</v>
      </c>
      <c r="G2060">
        <v>710483.72</v>
      </c>
      <c r="H2060">
        <v>402745225</v>
      </c>
      <c r="I2060">
        <v>402745225</v>
      </c>
      <c r="J2060">
        <v>-3.4719999999999998E-3</v>
      </c>
      <c r="K2060">
        <v>-3.4719999999999998E-3</v>
      </c>
      <c r="M2060" t="s">
        <v>1</v>
      </c>
      <c r="N2060">
        <v>2750</v>
      </c>
      <c r="O2060">
        <v>16</v>
      </c>
      <c r="P2060">
        <v>2</v>
      </c>
      <c r="Q2060">
        <v>0</v>
      </c>
      <c r="R2060">
        <v>63075192</v>
      </c>
      <c r="S2060">
        <v>136180.84</v>
      </c>
      <c r="T2060">
        <v>62939011.159999996</v>
      </c>
      <c r="U2060">
        <v>62939011.159999996</v>
      </c>
      <c r="V2060">
        <v>0</v>
      </c>
      <c r="W2060">
        <v>0</v>
      </c>
    </row>
    <row r="2061" spans="1:23" x14ac:dyDescent="0.35">
      <c r="A2061" t="s">
        <v>0</v>
      </c>
      <c r="B2061">
        <v>3500</v>
      </c>
      <c r="C2061">
        <v>14</v>
      </c>
      <c r="D2061">
        <v>29</v>
      </c>
      <c r="E2061">
        <v>0</v>
      </c>
      <c r="F2061">
        <v>1068771738</v>
      </c>
      <c r="G2061">
        <v>1788178.72</v>
      </c>
      <c r="H2061">
        <v>1066885228</v>
      </c>
      <c r="I2061">
        <v>1066885228</v>
      </c>
      <c r="J2061">
        <v>1.103E-3</v>
      </c>
      <c r="K2061">
        <v>1.103E-3</v>
      </c>
      <c r="M2061" t="s">
        <v>1</v>
      </c>
      <c r="N2061">
        <v>2750</v>
      </c>
      <c r="O2061">
        <v>14</v>
      </c>
      <c r="P2061">
        <v>4</v>
      </c>
      <c r="Q2061">
        <v>0</v>
      </c>
      <c r="R2061">
        <v>137986161</v>
      </c>
      <c r="S2061">
        <v>296053.65999999997</v>
      </c>
      <c r="T2061">
        <v>137690107.34</v>
      </c>
      <c r="U2061">
        <v>137690107.34</v>
      </c>
      <c r="V2061">
        <v>0</v>
      </c>
      <c r="W2061">
        <v>0</v>
      </c>
    </row>
    <row r="2062" spans="1:23" x14ac:dyDescent="0.35">
      <c r="A2062" t="s">
        <v>1</v>
      </c>
      <c r="B2062">
        <v>3500</v>
      </c>
      <c r="C2062">
        <v>14</v>
      </c>
      <c r="D2062">
        <v>35</v>
      </c>
      <c r="E2062">
        <v>0</v>
      </c>
      <c r="F2062">
        <v>1459812809</v>
      </c>
      <c r="G2062">
        <v>2447030.5099999998</v>
      </c>
      <c r="H2062">
        <v>1457241465</v>
      </c>
      <c r="I2062">
        <v>1457241465</v>
      </c>
      <c r="J2062">
        <v>1.021E-3</v>
      </c>
      <c r="K2062">
        <v>1.021E-3</v>
      </c>
      <c r="M2062" t="s">
        <v>0</v>
      </c>
      <c r="N2062">
        <v>3500</v>
      </c>
      <c r="O2062">
        <v>14</v>
      </c>
      <c r="P2062">
        <v>34</v>
      </c>
      <c r="Q2062">
        <v>0</v>
      </c>
      <c r="R2062">
        <v>1359953306</v>
      </c>
      <c r="S2062">
        <v>2282296.7400000002</v>
      </c>
      <c r="T2062">
        <v>1357671009.26</v>
      </c>
      <c r="U2062">
        <v>1357671009.26</v>
      </c>
      <c r="V2062">
        <v>0</v>
      </c>
      <c r="W2062">
        <v>0</v>
      </c>
    </row>
    <row r="2063" spans="1:23" x14ac:dyDescent="0.35">
      <c r="A2063" t="s">
        <v>1</v>
      </c>
      <c r="B2063">
        <v>3750</v>
      </c>
      <c r="C2063">
        <v>14</v>
      </c>
      <c r="D2063">
        <v>90</v>
      </c>
      <c r="E2063">
        <v>0</v>
      </c>
      <c r="F2063">
        <v>3355454921</v>
      </c>
      <c r="G2063">
        <v>5408939.25</v>
      </c>
      <c r="H2063">
        <v>3326223743</v>
      </c>
      <c r="I2063">
        <v>3326223743</v>
      </c>
      <c r="J2063">
        <v>8.1946000000000005E-2</v>
      </c>
      <c r="K2063">
        <v>8.1946000000000005E-2</v>
      </c>
      <c r="M2063" t="s">
        <v>1</v>
      </c>
      <c r="N2063">
        <v>3500</v>
      </c>
      <c r="O2063">
        <v>14</v>
      </c>
      <c r="P2063">
        <v>35</v>
      </c>
      <c r="Q2063">
        <v>0</v>
      </c>
      <c r="R2063">
        <v>1573190292</v>
      </c>
      <c r="S2063">
        <v>2643232.87</v>
      </c>
      <c r="T2063">
        <v>1499130943.8099999</v>
      </c>
      <c r="U2063">
        <v>1499130943.8099999</v>
      </c>
      <c r="V2063">
        <v>0.42736200000000002</v>
      </c>
      <c r="W2063">
        <v>0.42736200000000002</v>
      </c>
    </row>
    <row r="2064" spans="1:23" x14ac:dyDescent="0.35">
      <c r="A2064" t="s">
        <v>1</v>
      </c>
      <c r="B2064">
        <v>4000</v>
      </c>
      <c r="C2064">
        <v>14</v>
      </c>
      <c r="D2064">
        <v>683</v>
      </c>
      <c r="E2064">
        <v>0</v>
      </c>
      <c r="F2064">
        <v>24293553299</v>
      </c>
      <c r="G2064">
        <v>37476889.880000003</v>
      </c>
      <c r="H2064">
        <v>24230027837</v>
      </c>
      <c r="I2064">
        <v>24230027837</v>
      </c>
      <c r="J2064">
        <v>1.2791E-2</v>
      </c>
      <c r="K2064">
        <v>1.2791E-2</v>
      </c>
      <c r="M2064" t="s">
        <v>1</v>
      </c>
      <c r="N2064">
        <v>3250</v>
      </c>
      <c r="O2064">
        <v>14</v>
      </c>
      <c r="P2064">
        <v>20</v>
      </c>
      <c r="Q2064">
        <v>0</v>
      </c>
      <c r="R2064">
        <v>570702692</v>
      </c>
      <c r="S2064">
        <v>995454.01</v>
      </c>
      <c r="T2064">
        <v>569707237.99000001</v>
      </c>
      <c r="U2064">
        <v>569707237.99000001</v>
      </c>
      <c r="V2064">
        <v>0</v>
      </c>
      <c r="W2064">
        <v>0</v>
      </c>
    </row>
    <row r="2065" spans="1:23" x14ac:dyDescent="0.35">
      <c r="A2065" t="s">
        <v>2</v>
      </c>
      <c r="B2065">
        <v>4000</v>
      </c>
      <c r="C2065">
        <v>14</v>
      </c>
      <c r="D2065">
        <v>87</v>
      </c>
      <c r="E2065">
        <v>0</v>
      </c>
      <c r="F2065">
        <v>2471699955</v>
      </c>
      <c r="G2065">
        <v>3811427.12</v>
      </c>
      <c r="H2065">
        <v>2467637559</v>
      </c>
      <c r="I2065">
        <v>2467637559</v>
      </c>
      <c r="J2065">
        <v>1.2179999999999999E-3</v>
      </c>
      <c r="K2065">
        <v>1.2179999999999999E-3</v>
      </c>
      <c r="M2065" t="s">
        <v>1</v>
      </c>
      <c r="N2065">
        <v>3750</v>
      </c>
      <c r="O2065">
        <v>14</v>
      </c>
      <c r="P2065">
        <v>213</v>
      </c>
      <c r="Q2065">
        <v>0</v>
      </c>
      <c r="R2065">
        <v>8148240816</v>
      </c>
      <c r="S2065">
        <v>13104232.98</v>
      </c>
      <c r="T2065">
        <v>8105402410.8699999</v>
      </c>
      <c r="U2065">
        <v>8135136583.0200005</v>
      </c>
      <c r="V2065">
        <v>4.2922000000000002E-2</v>
      </c>
      <c r="W2065">
        <v>0</v>
      </c>
    </row>
    <row r="2066" spans="1:23" x14ac:dyDescent="0.35">
      <c r="A2066" t="s">
        <v>2</v>
      </c>
      <c r="B2066">
        <v>3750</v>
      </c>
      <c r="C2066">
        <v>14</v>
      </c>
      <c r="D2066">
        <v>15</v>
      </c>
      <c r="E2066">
        <v>0</v>
      </c>
      <c r="F2066">
        <v>380853561</v>
      </c>
      <c r="G2066">
        <v>625799.96</v>
      </c>
      <c r="H2066">
        <v>357495455</v>
      </c>
      <c r="I2066">
        <v>380075439.19999999</v>
      </c>
      <c r="J2066">
        <v>0.52217899999999995</v>
      </c>
      <c r="K2066">
        <v>4.7889999999999999E-3</v>
      </c>
      <c r="M2066" t="s">
        <v>0</v>
      </c>
      <c r="N2066">
        <v>3750</v>
      </c>
      <c r="O2066">
        <v>14</v>
      </c>
      <c r="P2066">
        <v>484</v>
      </c>
      <c r="Q2066">
        <v>0</v>
      </c>
      <c r="R2066">
        <v>16186325579</v>
      </c>
      <c r="S2066">
        <v>26003195.800000001</v>
      </c>
      <c r="T2066">
        <v>16160322383.200001</v>
      </c>
      <c r="U2066">
        <v>16160322383.200001</v>
      </c>
      <c r="V2066">
        <v>0</v>
      </c>
      <c r="W2066">
        <v>0</v>
      </c>
    </row>
    <row r="2067" spans="1:23" x14ac:dyDescent="0.35">
      <c r="A2067" t="s">
        <v>3</v>
      </c>
      <c r="B2067">
        <v>4750</v>
      </c>
      <c r="C2067">
        <v>14</v>
      </c>
      <c r="D2067">
        <v>1</v>
      </c>
      <c r="E2067">
        <v>0</v>
      </c>
      <c r="F2067">
        <v>24646888</v>
      </c>
      <c r="G2067">
        <v>33375.83</v>
      </c>
      <c r="H2067">
        <v>24592415</v>
      </c>
      <c r="I2067">
        <v>24592415</v>
      </c>
      <c r="J2067">
        <v>1.0224E-2</v>
      </c>
      <c r="K2067">
        <v>1.0224E-2</v>
      </c>
      <c r="M2067" t="s">
        <v>2</v>
      </c>
      <c r="N2067">
        <v>3500</v>
      </c>
      <c r="O2067">
        <v>14</v>
      </c>
      <c r="P2067">
        <v>9</v>
      </c>
      <c r="Q2067">
        <v>0</v>
      </c>
      <c r="R2067">
        <v>190637463</v>
      </c>
      <c r="S2067">
        <v>321354.71000000002</v>
      </c>
      <c r="T2067">
        <v>190316108.28999999</v>
      </c>
      <c r="U2067">
        <v>190316108.28999999</v>
      </c>
      <c r="V2067">
        <v>0</v>
      </c>
      <c r="W2067">
        <v>0</v>
      </c>
    </row>
    <row r="2068" spans="1:23" x14ac:dyDescent="0.35">
      <c r="A2068" t="s">
        <v>3</v>
      </c>
      <c r="B2068">
        <v>7750</v>
      </c>
      <c r="C2068">
        <v>14</v>
      </c>
      <c r="D2068">
        <v>1</v>
      </c>
      <c r="E2068">
        <v>0</v>
      </c>
      <c r="F2068">
        <v>19359220</v>
      </c>
      <c r="G2068">
        <v>15474.34</v>
      </c>
      <c r="H2068">
        <v>19359220</v>
      </c>
      <c r="I2068">
        <v>19359220</v>
      </c>
      <c r="J2068">
        <v>-9.6340000000000002E-3</v>
      </c>
      <c r="K2068">
        <v>-9.6340000000000002E-3</v>
      </c>
      <c r="M2068" t="s">
        <v>0</v>
      </c>
      <c r="N2068">
        <v>3250</v>
      </c>
      <c r="O2068">
        <v>14</v>
      </c>
      <c r="P2068">
        <v>3</v>
      </c>
      <c r="Q2068">
        <v>0</v>
      </c>
      <c r="R2068">
        <v>74374456</v>
      </c>
      <c r="S2068">
        <v>131389.68</v>
      </c>
      <c r="T2068">
        <v>74243066.319999993</v>
      </c>
      <c r="U2068">
        <v>74243066.319999993</v>
      </c>
      <c r="V2068">
        <v>0</v>
      </c>
      <c r="W2068">
        <v>0</v>
      </c>
    </row>
    <row r="2069" spans="1:23" x14ac:dyDescent="0.35">
      <c r="A2069" t="s">
        <v>1</v>
      </c>
      <c r="B2069">
        <v>8000</v>
      </c>
      <c r="C2069">
        <v>14</v>
      </c>
      <c r="D2069">
        <v>6</v>
      </c>
      <c r="E2069">
        <v>0</v>
      </c>
      <c r="F2069">
        <v>176512307</v>
      </c>
      <c r="G2069">
        <v>134043.63</v>
      </c>
      <c r="H2069">
        <v>147848893</v>
      </c>
      <c r="I2069">
        <v>176453190.88</v>
      </c>
      <c r="J2069">
        <v>0.87943000000000005</v>
      </c>
      <c r="K2069">
        <v>-5.1060000000000003E-3</v>
      </c>
      <c r="M2069" t="s">
        <v>2</v>
      </c>
      <c r="N2069">
        <v>3750</v>
      </c>
      <c r="O2069">
        <v>14</v>
      </c>
      <c r="P2069">
        <v>20</v>
      </c>
      <c r="Q2069">
        <v>0</v>
      </c>
      <c r="R2069">
        <v>571882965</v>
      </c>
      <c r="S2069">
        <v>935687.12</v>
      </c>
      <c r="T2069">
        <v>570947277.88</v>
      </c>
      <c r="U2069">
        <v>570947277.88</v>
      </c>
      <c r="V2069">
        <v>0</v>
      </c>
      <c r="W2069">
        <v>0</v>
      </c>
    </row>
    <row r="2070" spans="1:23" x14ac:dyDescent="0.35">
      <c r="A2070" t="s">
        <v>1</v>
      </c>
      <c r="B2070">
        <v>2250</v>
      </c>
      <c r="C2070">
        <v>14</v>
      </c>
      <c r="D2070">
        <v>2</v>
      </c>
      <c r="E2070">
        <v>0</v>
      </c>
      <c r="F2070">
        <v>74833692</v>
      </c>
      <c r="G2070">
        <v>173449.63</v>
      </c>
      <c r="H2070">
        <v>74657383</v>
      </c>
      <c r="I2070">
        <v>74657383</v>
      </c>
      <c r="J2070">
        <v>4.5800000000000002E-4</v>
      </c>
      <c r="K2070">
        <v>4.5800000000000002E-4</v>
      </c>
      <c r="M2070" t="s">
        <v>3</v>
      </c>
      <c r="N2070">
        <v>4250</v>
      </c>
      <c r="O2070">
        <v>16</v>
      </c>
      <c r="P2070">
        <v>1</v>
      </c>
      <c r="Q2070">
        <v>0</v>
      </c>
      <c r="R2070">
        <v>29960115</v>
      </c>
      <c r="S2070">
        <v>44467.16</v>
      </c>
      <c r="T2070">
        <v>29915647.84</v>
      </c>
      <c r="U2070">
        <v>29915647.84</v>
      </c>
      <c r="V2070">
        <v>0</v>
      </c>
      <c r="W2070">
        <v>0</v>
      </c>
    </row>
    <row r="2071" spans="1:23" x14ac:dyDescent="0.35">
      <c r="A2071" t="s">
        <v>2</v>
      </c>
      <c r="B2071">
        <v>2750</v>
      </c>
      <c r="C2071">
        <v>16</v>
      </c>
      <c r="D2071">
        <v>2</v>
      </c>
      <c r="E2071">
        <v>0</v>
      </c>
      <c r="F2071">
        <v>36841304</v>
      </c>
      <c r="G2071">
        <v>71156.28</v>
      </c>
      <c r="H2071">
        <v>36791107</v>
      </c>
      <c r="I2071">
        <v>36791107</v>
      </c>
      <c r="J2071">
        <v>-6.8479999999999999E-3</v>
      </c>
      <c r="K2071">
        <v>-6.8479999999999999E-3</v>
      </c>
      <c r="M2071" t="s">
        <v>3</v>
      </c>
      <c r="N2071">
        <v>5250</v>
      </c>
      <c r="O2071">
        <v>14</v>
      </c>
      <c r="P2071">
        <v>7</v>
      </c>
      <c r="Q2071">
        <v>0</v>
      </c>
      <c r="R2071">
        <v>191734917</v>
      </c>
      <c r="S2071">
        <v>237516.36</v>
      </c>
      <c r="T2071">
        <v>191497400.63999999</v>
      </c>
      <c r="U2071">
        <v>191497400.63999999</v>
      </c>
      <c r="V2071">
        <v>0</v>
      </c>
      <c r="W2071">
        <v>0</v>
      </c>
    </row>
    <row r="2072" spans="1:23" x14ac:dyDescent="0.35">
      <c r="A2072" t="s">
        <v>1</v>
      </c>
      <c r="B2072">
        <v>2750</v>
      </c>
      <c r="C2072">
        <v>14</v>
      </c>
      <c r="D2072">
        <v>3</v>
      </c>
      <c r="E2072">
        <v>0</v>
      </c>
      <c r="F2072">
        <v>112992589</v>
      </c>
      <c r="G2072">
        <v>246615.85</v>
      </c>
      <c r="H2072">
        <v>112536091</v>
      </c>
      <c r="I2072">
        <v>112536091</v>
      </c>
      <c r="J2072">
        <v>2.2064E-2</v>
      </c>
      <c r="K2072">
        <v>2.2064E-2</v>
      </c>
      <c r="M2072" t="s">
        <v>2</v>
      </c>
      <c r="N2072">
        <v>2250</v>
      </c>
      <c r="O2072">
        <v>24</v>
      </c>
      <c r="P2072">
        <v>1</v>
      </c>
      <c r="Q2072">
        <v>0</v>
      </c>
      <c r="R2072">
        <v>21144022</v>
      </c>
      <c r="S2072">
        <v>52115.519999999997</v>
      </c>
      <c r="T2072">
        <v>21091906.48</v>
      </c>
      <c r="U2072">
        <v>21091906.48</v>
      </c>
      <c r="V2072">
        <v>0</v>
      </c>
      <c r="W2072">
        <v>0</v>
      </c>
    </row>
    <row r="2073" spans="1:23" x14ac:dyDescent="0.35">
      <c r="A2073" t="s">
        <v>2</v>
      </c>
      <c r="B2073">
        <v>3000</v>
      </c>
      <c r="C2073">
        <v>16</v>
      </c>
      <c r="D2073">
        <v>3</v>
      </c>
      <c r="E2073">
        <v>0</v>
      </c>
      <c r="F2073">
        <v>61232199</v>
      </c>
      <c r="G2073">
        <v>120491.21</v>
      </c>
      <c r="H2073">
        <v>61147670</v>
      </c>
      <c r="I2073">
        <v>61147670</v>
      </c>
      <c r="J2073">
        <v>-7.071E-3</v>
      </c>
      <c r="K2073">
        <v>-7.071E-3</v>
      </c>
      <c r="M2073" t="s">
        <v>0</v>
      </c>
      <c r="N2073">
        <v>2750</v>
      </c>
      <c r="O2073">
        <v>14</v>
      </c>
      <c r="P2073">
        <v>2</v>
      </c>
      <c r="Q2073">
        <v>0</v>
      </c>
      <c r="R2073">
        <v>32614717</v>
      </c>
      <c r="S2073">
        <v>61881.35</v>
      </c>
      <c r="T2073">
        <v>32552835.649999999</v>
      </c>
      <c r="U2073">
        <v>32552835.649999999</v>
      </c>
      <c r="V2073">
        <v>0</v>
      </c>
      <c r="W2073">
        <v>0</v>
      </c>
    </row>
    <row r="2074" spans="1:23" x14ac:dyDescent="0.35">
      <c r="A2074" t="s">
        <v>2</v>
      </c>
      <c r="B2074">
        <v>3500</v>
      </c>
      <c r="C2074">
        <v>14</v>
      </c>
      <c r="D2074">
        <v>4</v>
      </c>
      <c r="E2074">
        <v>0</v>
      </c>
      <c r="F2074">
        <v>78852267</v>
      </c>
      <c r="G2074">
        <v>133609.37</v>
      </c>
      <c r="H2074">
        <v>78695897</v>
      </c>
      <c r="I2074">
        <v>78695897</v>
      </c>
      <c r="J2074">
        <v>3.4580000000000001E-3</v>
      </c>
      <c r="K2074">
        <v>3.4580000000000001E-3</v>
      </c>
      <c r="M2074" t="s">
        <v>1</v>
      </c>
      <c r="N2074">
        <v>3000</v>
      </c>
      <c r="O2074">
        <v>16</v>
      </c>
      <c r="P2074">
        <v>3</v>
      </c>
      <c r="Q2074">
        <v>0</v>
      </c>
      <c r="R2074">
        <v>133210146</v>
      </c>
      <c r="S2074">
        <v>290168.03999999998</v>
      </c>
      <c r="T2074">
        <v>132919977.95999999</v>
      </c>
      <c r="U2074">
        <v>132919977.95999999</v>
      </c>
      <c r="V2074">
        <v>0</v>
      </c>
      <c r="W2074">
        <v>0</v>
      </c>
    </row>
    <row r="2075" spans="1:23" x14ac:dyDescent="0.35">
      <c r="A2075" t="s">
        <v>2</v>
      </c>
      <c r="B2075">
        <v>3250</v>
      </c>
      <c r="C2075">
        <v>14</v>
      </c>
      <c r="D2075">
        <v>3</v>
      </c>
      <c r="E2075">
        <v>0</v>
      </c>
      <c r="F2075">
        <v>45460756</v>
      </c>
      <c r="G2075">
        <v>81584.67</v>
      </c>
      <c r="H2075">
        <v>45327042</v>
      </c>
      <c r="I2075">
        <v>45327042</v>
      </c>
      <c r="J2075">
        <v>1.3674E-2</v>
      </c>
      <c r="K2075">
        <v>1.3674E-2</v>
      </c>
      <c r="M2075" t="s">
        <v>3</v>
      </c>
      <c r="N2075">
        <v>4750</v>
      </c>
      <c r="O2075">
        <v>14</v>
      </c>
      <c r="P2075">
        <v>1</v>
      </c>
      <c r="Q2075">
        <v>0</v>
      </c>
      <c r="R2075">
        <v>24701147</v>
      </c>
      <c r="S2075">
        <v>33272.550000000003</v>
      </c>
      <c r="T2075">
        <v>24667874.449999999</v>
      </c>
      <c r="U2075">
        <v>24667874.449999999</v>
      </c>
      <c r="V2075">
        <v>0</v>
      </c>
      <c r="W2075">
        <v>0</v>
      </c>
    </row>
    <row r="2076" spans="1:23" x14ac:dyDescent="0.35">
      <c r="A2076" t="s">
        <v>3</v>
      </c>
      <c r="B2076">
        <v>5250</v>
      </c>
      <c r="C2076">
        <v>14</v>
      </c>
      <c r="D2076">
        <v>3</v>
      </c>
      <c r="E2076">
        <v>0</v>
      </c>
      <c r="F2076">
        <v>62333768</v>
      </c>
      <c r="G2076">
        <v>77049.56</v>
      </c>
      <c r="H2076">
        <v>62215863</v>
      </c>
      <c r="I2076">
        <v>62215863</v>
      </c>
      <c r="J2076">
        <v>7.8370000000000002E-3</v>
      </c>
      <c r="K2076">
        <v>7.8370000000000002E-3</v>
      </c>
      <c r="M2076" t="s">
        <v>3</v>
      </c>
      <c r="N2076">
        <v>7750</v>
      </c>
      <c r="O2076">
        <v>14</v>
      </c>
      <c r="P2076">
        <v>1</v>
      </c>
      <c r="Q2076">
        <v>0</v>
      </c>
      <c r="R2076">
        <v>19390316</v>
      </c>
      <c r="S2076">
        <v>15389.11</v>
      </c>
      <c r="T2076">
        <v>19374926.890000001</v>
      </c>
      <c r="U2076">
        <v>19374926.890000001</v>
      </c>
      <c r="V2076">
        <v>0</v>
      </c>
      <c r="W2076">
        <v>0</v>
      </c>
    </row>
    <row r="2077" spans="1:23" x14ac:dyDescent="0.35">
      <c r="A2077" t="s">
        <v>3</v>
      </c>
      <c r="B2077">
        <v>7000</v>
      </c>
      <c r="C2077">
        <v>16</v>
      </c>
      <c r="D2077">
        <v>1</v>
      </c>
      <c r="E2077">
        <v>0</v>
      </c>
      <c r="F2077">
        <v>24800474</v>
      </c>
      <c r="G2077">
        <v>22621.42</v>
      </c>
      <c r="H2077">
        <v>24757154</v>
      </c>
      <c r="I2077">
        <v>24757154</v>
      </c>
      <c r="J2077">
        <v>9.9690000000000004E-3</v>
      </c>
      <c r="K2077">
        <v>9.9690000000000004E-3</v>
      </c>
      <c r="M2077" t="s">
        <v>1</v>
      </c>
      <c r="N2077">
        <v>8000</v>
      </c>
      <c r="O2077">
        <v>14</v>
      </c>
      <c r="P2077">
        <v>5</v>
      </c>
      <c r="Q2077">
        <v>0</v>
      </c>
      <c r="R2077">
        <v>154301708</v>
      </c>
      <c r="S2077">
        <v>116786.28</v>
      </c>
      <c r="T2077">
        <v>154184921.72</v>
      </c>
      <c r="U2077">
        <v>154184921.72</v>
      </c>
      <c r="V2077">
        <v>0</v>
      </c>
      <c r="W2077">
        <v>0</v>
      </c>
    </row>
    <row r="2078" spans="1:23" x14ac:dyDescent="0.35">
      <c r="A2078" t="s">
        <v>2</v>
      </c>
      <c r="B2078">
        <v>2500</v>
      </c>
      <c r="C2078">
        <v>14</v>
      </c>
      <c r="D2078">
        <v>1</v>
      </c>
      <c r="E2078">
        <v>0</v>
      </c>
      <c r="F2078">
        <v>23008605</v>
      </c>
      <c r="G2078">
        <v>45452.66</v>
      </c>
      <c r="H2078">
        <v>23008605</v>
      </c>
      <c r="I2078">
        <v>23008605</v>
      </c>
      <c r="J2078">
        <v>-2.3965E-2</v>
      </c>
      <c r="K2078">
        <v>-2.3965E-2</v>
      </c>
      <c r="M2078" t="s">
        <v>1</v>
      </c>
      <c r="N2078">
        <v>4000</v>
      </c>
      <c r="O2078">
        <v>12</v>
      </c>
      <c r="P2078">
        <v>452</v>
      </c>
      <c r="Q2078">
        <v>0</v>
      </c>
      <c r="R2078">
        <v>16073388900</v>
      </c>
      <c r="S2078">
        <v>24534697.579999998</v>
      </c>
      <c r="T2078">
        <v>16048854202.42</v>
      </c>
      <c r="U2078">
        <v>16048854202.42</v>
      </c>
      <c r="V2078">
        <v>0</v>
      </c>
      <c r="W2078">
        <v>0</v>
      </c>
    </row>
    <row r="2079" spans="1:23" x14ac:dyDescent="0.35">
      <c r="A2079" t="s">
        <v>1</v>
      </c>
      <c r="B2079">
        <v>3000</v>
      </c>
      <c r="C2079">
        <v>12</v>
      </c>
      <c r="D2079">
        <v>7</v>
      </c>
      <c r="E2079">
        <v>0</v>
      </c>
      <c r="F2079">
        <v>174708753</v>
      </c>
      <c r="G2079">
        <v>366949.54</v>
      </c>
      <c r="H2079">
        <v>174341803</v>
      </c>
      <c r="I2079">
        <v>174341803</v>
      </c>
      <c r="J2079">
        <v>0</v>
      </c>
      <c r="K2079">
        <v>0</v>
      </c>
      <c r="M2079" t="s">
        <v>1</v>
      </c>
      <c r="N2079">
        <v>2250</v>
      </c>
      <c r="O2079">
        <v>14</v>
      </c>
      <c r="P2079">
        <v>1</v>
      </c>
      <c r="Q2079">
        <v>0</v>
      </c>
      <c r="R2079">
        <v>47982411</v>
      </c>
      <c r="S2079">
        <v>109569.51</v>
      </c>
      <c r="T2079">
        <v>47872841.490000002</v>
      </c>
      <c r="U2079">
        <v>47872841.490000002</v>
      </c>
      <c r="V2079">
        <v>0</v>
      </c>
      <c r="W2079">
        <v>0</v>
      </c>
    </row>
    <row r="2080" spans="1:23" x14ac:dyDescent="0.35">
      <c r="A2080" t="s">
        <v>2</v>
      </c>
      <c r="B2080">
        <v>3000</v>
      </c>
      <c r="C2080">
        <v>14</v>
      </c>
      <c r="D2080">
        <v>3</v>
      </c>
      <c r="E2080">
        <v>0</v>
      </c>
      <c r="F2080">
        <v>63073355</v>
      </c>
      <c r="G2080">
        <v>128191.71</v>
      </c>
      <c r="H2080">
        <v>62965233</v>
      </c>
      <c r="I2080">
        <v>62965233</v>
      </c>
      <c r="J2080">
        <v>-3.8249999999999998E-3</v>
      </c>
      <c r="K2080">
        <v>-3.8249999999999998E-3</v>
      </c>
      <c r="M2080" t="s">
        <v>2</v>
      </c>
      <c r="N2080">
        <v>2750</v>
      </c>
      <c r="O2080">
        <v>14</v>
      </c>
      <c r="P2080">
        <v>1</v>
      </c>
      <c r="Q2080">
        <v>0</v>
      </c>
      <c r="R2080">
        <v>25891392</v>
      </c>
      <c r="S2080">
        <v>50088.13</v>
      </c>
      <c r="T2080">
        <v>25841303.870000001</v>
      </c>
      <c r="U2080">
        <v>25841303.870000001</v>
      </c>
      <c r="V2080">
        <v>0</v>
      </c>
      <c r="W2080">
        <v>0</v>
      </c>
    </row>
    <row r="2081" spans="1:23" x14ac:dyDescent="0.35">
      <c r="A2081" t="s">
        <v>0</v>
      </c>
      <c r="B2081">
        <v>3000</v>
      </c>
      <c r="C2081">
        <v>14</v>
      </c>
      <c r="D2081">
        <v>1</v>
      </c>
      <c r="E2081">
        <v>0</v>
      </c>
      <c r="F2081">
        <v>31983937</v>
      </c>
      <c r="G2081">
        <v>58010.23</v>
      </c>
      <c r="H2081">
        <v>31925736</v>
      </c>
      <c r="I2081">
        <v>31925736</v>
      </c>
      <c r="J2081">
        <v>7.2000000000000002E-5</v>
      </c>
      <c r="K2081">
        <v>7.2000000000000002E-5</v>
      </c>
      <c r="M2081" t="s">
        <v>1</v>
      </c>
      <c r="N2081">
        <v>2250</v>
      </c>
      <c r="O2081">
        <v>12</v>
      </c>
      <c r="P2081">
        <v>1</v>
      </c>
      <c r="Q2081">
        <v>0</v>
      </c>
      <c r="R2081">
        <v>27147260</v>
      </c>
      <c r="S2081">
        <v>63836.11</v>
      </c>
      <c r="T2081">
        <v>27083423.890000001</v>
      </c>
      <c r="U2081">
        <v>27083423.890000001</v>
      </c>
      <c r="V2081">
        <v>0</v>
      </c>
      <c r="W2081">
        <v>0</v>
      </c>
    </row>
    <row r="2082" spans="1:23" x14ac:dyDescent="0.35">
      <c r="A2082" t="s">
        <v>1</v>
      </c>
      <c r="B2082">
        <v>3500</v>
      </c>
      <c r="C2082">
        <v>12</v>
      </c>
      <c r="D2082">
        <v>10</v>
      </c>
      <c r="E2082">
        <v>0</v>
      </c>
      <c r="F2082">
        <v>318414513</v>
      </c>
      <c r="G2082">
        <v>558252.5</v>
      </c>
      <c r="H2082">
        <v>318181732</v>
      </c>
      <c r="I2082">
        <v>318181732</v>
      </c>
      <c r="J2082">
        <v>-1.2335E-2</v>
      </c>
      <c r="K2082">
        <v>-1.2335E-2</v>
      </c>
      <c r="M2082" t="s">
        <v>1</v>
      </c>
      <c r="N2082">
        <v>2500</v>
      </c>
      <c r="O2082">
        <v>18</v>
      </c>
      <c r="P2082">
        <v>1</v>
      </c>
      <c r="Q2082">
        <v>0</v>
      </c>
      <c r="R2082">
        <v>57120319</v>
      </c>
      <c r="S2082">
        <v>124376.4</v>
      </c>
      <c r="T2082">
        <v>56995942.600000001</v>
      </c>
      <c r="U2082">
        <v>56995942.600000001</v>
      </c>
      <c r="V2082">
        <v>0</v>
      </c>
      <c r="W2082">
        <v>0</v>
      </c>
    </row>
    <row r="2083" spans="1:23" x14ac:dyDescent="0.35">
      <c r="A2083" t="s">
        <v>0</v>
      </c>
      <c r="B2083">
        <v>3500</v>
      </c>
      <c r="C2083">
        <v>12</v>
      </c>
      <c r="D2083">
        <v>9</v>
      </c>
      <c r="E2083">
        <v>0</v>
      </c>
      <c r="F2083">
        <v>263409206</v>
      </c>
      <c r="G2083">
        <v>440764.33</v>
      </c>
      <c r="H2083">
        <v>263027427</v>
      </c>
      <c r="I2083">
        <v>263027427</v>
      </c>
      <c r="J2083">
        <v>-2.6900000000000001E-3</v>
      </c>
      <c r="K2083">
        <v>-2.6900000000000001E-3</v>
      </c>
      <c r="M2083" t="s">
        <v>2</v>
      </c>
      <c r="N2083">
        <v>3000</v>
      </c>
      <c r="O2083">
        <v>14</v>
      </c>
      <c r="P2083">
        <v>4</v>
      </c>
      <c r="Q2083">
        <v>0</v>
      </c>
      <c r="R2083">
        <v>93086502</v>
      </c>
      <c r="S2083">
        <v>183119.76</v>
      </c>
      <c r="T2083">
        <v>92903382.239999995</v>
      </c>
      <c r="U2083">
        <v>92903382.239999995</v>
      </c>
      <c r="V2083">
        <v>0</v>
      </c>
      <c r="W2083">
        <v>0</v>
      </c>
    </row>
    <row r="2084" spans="1:23" x14ac:dyDescent="0.35">
      <c r="A2084" t="s">
        <v>1</v>
      </c>
      <c r="B2084">
        <v>3750</v>
      </c>
      <c r="C2084">
        <v>12</v>
      </c>
      <c r="D2084">
        <v>55</v>
      </c>
      <c r="E2084">
        <v>0</v>
      </c>
      <c r="F2084">
        <v>2070337583</v>
      </c>
      <c r="G2084">
        <v>3353235.41</v>
      </c>
      <c r="H2084">
        <v>2067126784</v>
      </c>
      <c r="I2084">
        <v>2067126784</v>
      </c>
      <c r="J2084">
        <v>-8.2600000000000002E-4</v>
      </c>
      <c r="K2084">
        <v>-8.2600000000000002E-4</v>
      </c>
      <c r="M2084" t="s">
        <v>0</v>
      </c>
      <c r="N2084">
        <v>3500</v>
      </c>
      <c r="O2084">
        <v>12</v>
      </c>
      <c r="P2084">
        <v>26</v>
      </c>
      <c r="Q2084">
        <v>0</v>
      </c>
      <c r="R2084">
        <v>909610705</v>
      </c>
      <c r="S2084">
        <v>1513029.97</v>
      </c>
      <c r="T2084">
        <v>908097675.02999997</v>
      </c>
      <c r="U2084">
        <v>908097675.02999997</v>
      </c>
      <c r="V2084">
        <v>0</v>
      </c>
      <c r="W2084">
        <v>0</v>
      </c>
    </row>
    <row r="2085" spans="1:23" x14ac:dyDescent="0.35">
      <c r="A2085" t="s">
        <v>0</v>
      </c>
      <c r="B2085">
        <v>3250</v>
      </c>
      <c r="C2085">
        <v>12</v>
      </c>
      <c r="D2085">
        <v>9</v>
      </c>
      <c r="E2085">
        <v>0</v>
      </c>
      <c r="F2085">
        <v>214217951</v>
      </c>
      <c r="G2085">
        <v>373174.19</v>
      </c>
      <c r="H2085">
        <v>213671060</v>
      </c>
      <c r="I2085">
        <v>213671060</v>
      </c>
      <c r="J2085">
        <v>9.6880000000000004E-3</v>
      </c>
      <c r="K2085">
        <v>9.6880000000000004E-3</v>
      </c>
      <c r="M2085" t="s">
        <v>1</v>
      </c>
      <c r="N2085">
        <v>3500</v>
      </c>
      <c r="O2085">
        <v>12</v>
      </c>
      <c r="P2085">
        <v>28</v>
      </c>
      <c r="Q2085">
        <v>0</v>
      </c>
      <c r="R2085">
        <v>1049243764</v>
      </c>
      <c r="S2085">
        <v>1765919.37</v>
      </c>
      <c r="T2085">
        <v>1011685668.51</v>
      </c>
      <c r="U2085">
        <v>1011685668.51</v>
      </c>
      <c r="V2085">
        <v>0.34064499999999998</v>
      </c>
      <c r="W2085">
        <v>0.34064499999999998</v>
      </c>
    </row>
    <row r="2086" spans="1:23" x14ac:dyDescent="0.35">
      <c r="A2086" t="s">
        <v>1</v>
      </c>
      <c r="B2086">
        <v>3250</v>
      </c>
      <c r="C2086">
        <v>12</v>
      </c>
      <c r="D2086">
        <v>7</v>
      </c>
      <c r="E2086">
        <v>0</v>
      </c>
      <c r="F2086">
        <v>200300062</v>
      </c>
      <c r="G2086">
        <v>366328.66</v>
      </c>
      <c r="H2086">
        <v>199886820</v>
      </c>
      <c r="I2086">
        <v>199886820</v>
      </c>
      <c r="J2086">
        <v>2.807E-3</v>
      </c>
      <c r="K2086">
        <v>2.807E-3</v>
      </c>
      <c r="M2086" t="s">
        <v>0</v>
      </c>
      <c r="N2086">
        <v>3250</v>
      </c>
      <c r="O2086">
        <v>12</v>
      </c>
      <c r="P2086">
        <v>5</v>
      </c>
      <c r="Q2086">
        <v>0</v>
      </c>
      <c r="R2086">
        <v>146676157</v>
      </c>
      <c r="S2086">
        <v>253884.51</v>
      </c>
      <c r="T2086">
        <v>146422272.49000001</v>
      </c>
      <c r="U2086">
        <v>146422272.49000001</v>
      </c>
      <c r="V2086">
        <v>0</v>
      </c>
      <c r="W2086">
        <v>0</v>
      </c>
    </row>
    <row r="2087" spans="1:23" x14ac:dyDescent="0.35">
      <c r="A2087" t="s">
        <v>0</v>
      </c>
      <c r="B2087">
        <v>4250</v>
      </c>
      <c r="C2087">
        <v>12</v>
      </c>
      <c r="D2087">
        <v>728</v>
      </c>
      <c r="E2087">
        <v>0</v>
      </c>
      <c r="F2087">
        <v>24722448058</v>
      </c>
      <c r="G2087">
        <v>36206286.039999999</v>
      </c>
      <c r="H2087">
        <v>24681373295</v>
      </c>
      <c r="I2087">
        <v>24681373295</v>
      </c>
      <c r="J2087">
        <v>2.3609999999999998E-3</v>
      </c>
      <c r="K2087">
        <v>2.3609999999999998E-3</v>
      </c>
      <c r="M2087" t="s">
        <v>2</v>
      </c>
      <c r="N2087">
        <v>3500</v>
      </c>
      <c r="O2087">
        <v>12</v>
      </c>
      <c r="P2087">
        <v>8</v>
      </c>
      <c r="Q2087">
        <v>0</v>
      </c>
      <c r="R2087">
        <v>147202929</v>
      </c>
      <c r="S2087">
        <v>247173.67</v>
      </c>
      <c r="T2087">
        <v>146955755.33000001</v>
      </c>
      <c r="U2087">
        <v>146955755.33000001</v>
      </c>
      <c r="V2087">
        <v>0</v>
      </c>
      <c r="W2087">
        <v>0</v>
      </c>
    </row>
    <row r="2088" spans="1:23" x14ac:dyDescent="0.35">
      <c r="A2088" t="s">
        <v>1</v>
      </c>
      <c r="B2088">
        <v>4250</v>
      </c>
      <c r="C2088">
        <v>12</v>
      </c>
      <c r="D2088">
        <v>260</v>
      </c>
      <c r="E2088">
        <v>0</v>
      </c>
      <c r="F2088">
        <v>9513419620</v>
      </c>
      <c r="G2088">
        <v>13931955.98</v>
      </c>
      <c r="H2088">
        <v>9470595349</v>
      </c>
      <c r="I2088">
        <v>9470595349</v>
      </c>
      <c r="J2088">
        <v>3.5840999999999998E-2</v>
      </c>
      <c r="K2088">
        <v>3.5840999999999998E-2</v>
      </c>
      <c r="M2088" t="s">
        <v>2</v>
      </c>
      <c r="N2088">
        <v>3250</v>
      </c>
      <c r="O2088">
        <v>14</v>
      </c>
      <c r="P2088">
        <v>4</v>
      </c>
      <c r="Q2088">
        <v>0</v>
      </c>
      <c r="R2088">
        <v>51170669</v>
      </c>
      <c r="S2088">
        <v>91580.52</v>
      </c>
      <c r="T2088">
        <v>51079088.479999997</v>
      </c>
      <c r="U2088">
        <v>51079088.479999997</v>
      </c>
      <c r="V2088">
        <v>0</v>
      </c>
      <c r="W2088">
        <v>0</v>
      </c>
    </row>
    <row r="2089" spans="1:23" x14ac:dyDescent="0.35">
      <c r="A2089" t="s">
        <v>2</v>
      </c>
      <c r="B2089">
        <v>3750</v>
      </c>
      <c r="C2089">
        <v>12</v>
      </c>
      <c r="D2089">
        <v>14</v>
      </c>
      <c r="E2089">
        <v>0</v>
      </c>
      <c r="F2089">
        <v>347786889</v>
      </c>
      <c r="G2089">
        <v>555820.6</v>
      </c>
      <c r="H2089">
        <v>347158754</v>
      </c>
      <c r="I2089">
        <v>347158754</v>
      </c>
      <c r="J2089">
        <v>2.4919999999999999E-3</v>
      </c>
      <c r="K2089">
        <v>2.4919999999999999E-3</v>
      </c>
      <c r="M2089" t="s">
        <v>1</v>
      </c>
      <c r="N2089">
        <v>3250</v>
      </c>
      <c r="O2089">
        <v>12</v>
      </c>
      <c r="P2089">
        <v>10</v>
      </c>
      <c r="Q2089">
        <v>0</v>
      </c>
      <c r="R2089">
        <v>204671133</v>
      </c>
      <c r="S2089">
        <v>372994.76</v>
      </c>
      <c r="T2089">
        <v>184334723.30000001</v>
      </c>
      <c r="U2089">
        <v>204298138.24000001</v>
      </c>
      <c r="V2089">
        <v>0.70816199999999996</v>
      </c>
      <c r="W2089">
        <v>0</v>
      </c>
    </row>
    <row r="2090" spans="1:23" x14ac:dyDescent="0.35">
      <c r="A2090" t="s">
        <v>0</v>
      </c>
      <c r="B2090">
        <v>3750</v>
      </c>
      <c r="C2090">
        <v>12</v>
      </c>
      <c r="D2090">
        <v>114</v>
      </c>
      <c r="E2090">
        <v>0</v>
      </c>
      <c r="F2090">
        <v>4076131058</v>
      </c>
      <c r="G2090">
        <v>6475939.1399999997</v>
      </c>
      <c r="H2090">
        <v>4068865245</v>
      </c>
      <c r="I2090">
        <v>4068865245</v>
      </c>
      <c r="J2090">
        <v>2.323E-3</v>
      </c>
      <c r="K2090">
        <v>2.323E-3</v>
      </c>
      <c r="M2090" t="s">
        <v>2</v>
      </c>
      <c r="N2090">
        <v>4000</v>
      </c>
      <c r="O2090">
        <v>12</v>
      </c>
      <c r="P2090">
        <v>64</v>
      </c>
      <c r="Q2090">
        <v>0</v>
      </c>
      <c r="R2090">
        <v>1830893636</v>
      </c>
      <c r="S2090">
        <v>2798605.9</v>
      </c>
      <c r="T2090">
        <v>1828095030.0999999</v>
      </c>
      <c r="U2090">
        <v>1828095030.0999999</v>
      </c>
      <c r="V2090">
        <v>0</v>
      </c>
      <c r="W2090">
        <v>0</v>
      </c>
    </row>
    <row r="2091" spans="1:23" x14ac:dyDescent="0.35">
      <c r="A2091" t="s">
        <v>1</v>
      </c>
      <c r="B2091">
        <v>4500</v>
      </c>
      <c r="C2091">
        <v>12</v>
      </c>
      <c r="D2091">
        <v>678</v>
      </c>
      <c r="E2091">
        <v>0</v>
      </c>
      <c r="F2091">
        <v>23090825223</v>
      </c>
      <c r="G2091">
        <v>32343840.390000001</v>
      </c>
      <c r="H2091">
        <v>22994459849</v>
      </c>
      <c r="I2091">
        <v>23018737266.209999</v>
      </c>
      <c r="J2091">
        <v>3.2767999999999999E-2</v>
      </c>
      <c r="K2091">
        <v>2.0459999999999999E-2</v>
      </c>
      <c r="M2091" t="s">
        <v>0</v>
      </c>
      <c r="N2091">
        <v>4250</v>
      </c>
      <c r="O2091">
        <v>12</v>
      </c>
      <c r="P2091">
        <v>688</v>
      </c>
      <c r="Q2091">
        <v>0</v>
      </c>
      <c r="R2091">
        <v>22897400139</v>
      </c>
      <c r="S2091">
        <v>33547922.699999999</v>
      </c>
      <c r="T2091">
        <v>22841618353.779999</v>
      </c>
      <c r="U2091">
        <v>22863852216.299999</v>
      </c>
      <c r="V2091">
        <v>1.159E-2</v>
      </c>
      <c r="W2091">
        <v>0</v>
      </c>
    </row>
    <row r="2092" spans="1:23" x14ac:dyDescent="0.35">
      <c r="A2092" t="s">
        <v>2</v>
      </c>
      <c r="B2092">
        <v>4500</v>
      </c>
      <c r="C2092">
        <v>12</v>
      </c>
      <c r="D2092">
        <v>87</v>
      </c>
      <c r="E2092">
        <v>0</v>
      </c>
      <c r="F2092">
        <v>2322626187</v>
      </c>
      <c r="G2092">
        <v>3252000.77</v>
      </c>
      <c r="H2092">
        <v>2319235353</v>
      </c>
      <c r="I2092">
        <v>2319235353</v>
      </c>
      <c r="J2092">
        <v>7.1699999999999997E-4</v>
      </c>
      <c r="K2092">
        <v>7.1699999999999997E-4</v>
      </c>
      <c r="M2092" t="s">
        <v>1</v>
      </c>
      <c r="N2092">
        <v>3750</v>
      </c>
      <c r="O2092">
        <v>12</v>
      </c>
      <c r="P2092">
        <v>64</v>
      </c>
      <c r="Q2092">
        <v>0</v>
      </c>
      <c r="R2092">
        <v>2276440263</v>
      </c>
      <c r="S2092">
        <v>3648392.15</v>
      </c>
      <c r="T2092">
        <v>2272791870.8499999</v>
      </c>
      <c r="U2092">
        <v>2272791870.8499999</v>
      </c>
      <c r="V2092">
        <v>0</v>
      </c>
      <c r="W2092">
        <v>0</v>
      </c>
    </row>
    <row r="2093" spans="1:23" x14ac:dyDescent="0.35">
      <c r="A2093" t="s">
        <v>2</v>
      </c>
      <c r="B2093">
        <v>4250</v>
      </c>
      <c r="C2093">
        <v>12</v>
      </c>
      <c r="D2093">
        <v>17</v>
      </c>
      <c r="E2093">
        <v>0</v>
      </c>
      <c r="F2093">
        <v>480140180</v>
      </c>
      <c r="G2093">
        <v>701475.37</v>
      </c>
      <c r="H2093">
        <v>479488134</v>
      </c>
      <c r="I2093">
        <v>479488134</v>
      </c>
      <c r="J2093">
        <v>-1.2359999999999999E-3</v>
      </c>
      <c r="K2093">
        <v>-1.2359999999999999E-3</v>
      </c>
      <c r="M2093" t="s">
        <v>1</v>
      </c>
      <c r="N2093">
        <v>4250</v>
      </c>
      <c r="O2093">
        <v>12</v>
      </c>
      <c r="P2093">
        <v>266</v>
      </c>
      <c r="Q2093">
        <v>0</v>
      </c>
      <c r="R2093">
        <v>9456891578</v>
      </c>
      <c r="S2093">
        <v>13847121.27</v>
      </c>
      <c r="T2093">
        <v>9404798191.8199997</v>
      </c>
      <c r="U2093">
        <v>9404798191.8199997</v>
      </c>
      <c r="V2093">
        <v>4.7466000000000001E-2</v>
      </c>
      <c r="W2093">
        <v>4.7466000000000001E-2</v>
      </c>
    </row>
    <row r="2094" spans="1:23" x14ac:dyDescent="0.35">
      <c r="A2094" t="s">
        <v>3</v>
      </c>
      <c r="B2094">
        <v>5250</v>
      </c>
      <c r="C2094">
        <v>12</v>
      </c>
      <c r="D2094">
        <v>4</v>
      </c>
      <c r="E2094">
        <v>0</v>
      </c>
      <c r="F2094">
        <v>126388923</v>
      </c>
      <c r="G2094">
        <v>154299.07999999999</v>
      </c>
      <c r="H2094">
        <v>126227142</v>
      </c>
      <c r="I2094">
        <v>126227142</v>
      </c>
      <c r="J2094">
        <v>7.1000000000000002E-4</v>
      </c>
      <c r="K2094">
        <v>7.1000000000000002E-4</v>
      </c>
      <c r="M2094" t="s">
        <v>2</v>
      </c>
      <c r="N2094">
        <v>4250</v>
      </c>
      <c r="O2094">
        <v>12</v>
      </c>
      <c r="P2094">
        <v>22</v>
      </c>
      <c r="Q2094">
        <v>0</v>
      </c>
      <c r="R2094">
        <v>591157722</v>
      </c>
      <c r="S2094">
        <v>864062.09</v>
      </c>
      <c r="T2094">
        <v>590293659.90999997</v>
      </c>
      <c r="U2094">
        <v>590293659.90999997</v>
      </c>
      <c r="V2094">
        <v>0</v>
      </c>
      <c r="W2094">
        <v>0</v>
      </c>
    </row>
    <row r="2095" spans="1:23" x14ac:dyDescent="0.35">
      <c r="A2095" t="s">
        <v>0</v>
      </c>
      <c r="B2095">
        <v>8500</v>
      </c>
      <c r="C2095">
        <v>14</v>
      </c>
      <c r="D2095">
        <v>2</v>
      </c>
      <c r="E2095">
        <v>0</v>
      </c>
      <c r="F2095">
        <v>38331949</v>
      </c>
      <c r="G2095">
        <v>25945.3</v>
      </c>
      <c r="H2095">
        <v>38305915</v>
      </c>
      <c r="I2095">
        <v>38305915</v>
      </c>
      <c r="J2095">
        <v>2.8E-5</v>
      </c>
      <c r="K2095">
        <v>2.8E-5</v>
      </c>
      <c r="M2095" t="s">
        <v>2</v>
      </c>
      <c r="N2095">
        <v>3750</v>
      </c>
      <c r="O2095">
        <v>12</v>
      </c>
      <c r="P2095">
        <v>16</v>
      </c>
      <c r="Q2095">
        <v>0</v>
      </c>
      <c r="R2095">
        <v>376619757</v>
      </c>
      <c r="S2095">
        <v>601829.31999999995</v>
      </c>
      <c r="T2095">
        <v>376017927.68000001</v>
      </c>
      <c r="U2095">
        <v>376017927.68000001</v>
      </c>
      <c r="V2095">
        <v>0</v>
      </c>
      <c r="W2095">
        <v>0</v>
      </c>
    </row>
    <row r="2096" spans="1:23" x14ac:dyDescent="0.35">
      <c r="A2096" t="s">
        <v>0</v>
      </c>
      <c r="B2096">
        <v>9000</v>
      </c>
      <c r="C2096">
        <v>14</v>
      </c>
      <c r="D2096">
        <v>1</v>
      </c>
      <c r="E2096">
        <v>0</v>
      </c>
      <c r="F2096">
        <v>12166704</v>
      </c>
      <c r="G2096">
        <v>7815.44</v>
      </c>
      <c r="H2096">
        <v>12159072</v>
      </c>
      <c r="I2096">
        <v>12159072</v>
      </c>
      <c r="J2096">
        <v>-1.8100000000000001E-4</v>
      </c>
      <c r="K2096">
        <v>-1.8100000000000001E-4</v>
      </c>
      <c r="M2096" t="s">
        <v>3</v>
      </c>
      <c r="N2096">
        <v>5250</v>
      </c>
      <c r="O2096">
        <v>12</v>
      </c>
      <c r="P2096">
        <v>3</v>
      </c>
      <c r="Q2096">
        <v>0</v>
      </c>
      <c r="R2096">
        <v>64069453</v>
      </c>
      <c r="S2096">
        <v>78342.240000000005</v>
      </c>
      <c r="T2096">
        <v>63991110.759999998</v>
      </c>
      <c r="U2096">
        <v>63991110.759999998</v>
      </c>
      <c r="V2096">
        <v>0</v>
      </c>
      <c r="W2096">
        <v>0</v>
      </c>
    </row>
    <row r="2097" spans="1:23" x14ac:dyDescent="0.35">
      <c r="A2097" t="s">
        <v>1</v>
      </c>
      <c r="B2097">
        <v>2500</v>
      </c>
      <c r="C2097">
        <v>12</v>
      </c>
      <c r="D2097">
        <v>8</v>
      </c>
      <c r="E2097">
        <v>0</v>
      </c>
      <c r="F2097">
        <v>312744182</v>
      </c>
      <c r="G2097">
        <v>637583.18999999994</v>
      </c>
      <c r="H2097">
        <v>312169107</v>
      </c>
      <c r="I2097">
        <v>312169107</v>
      </c>
      <c r="J2097">
        <v>-2.4009999999999999E-3</v>
      </c>
      <c r="K2097">
        <v>-2.4009999999999999E-3</v>
      </c>
      <c r="M2097" t="s">
        <v>1</v>
      </c>
      <c r="N2097">
        <v>8000</v>
      </c>
      <c r="O2097">
        <v>12</v>
      </c>
      <c r="P2097">
        <v>1</v>
      </c>
      <c r="Q2097">
        <v>0</v>
      </c>
      <c r="R2097">
        <v>22302123</v>
      </c>
      <c r="S2097">
        <v>16342.81</v>
      </c>
      <c r="T2097">
        <v>22285780.190000001</v>
      </c>
      <c r="U2097">
        <v>22285780.190000001</v>
      </c>
      <c r="V2097">
        <v>0</v>
      </c>
      <c r="W2097">
        <v>0</v>
      </c>
    </row>
    <row r="2098" spans="1:23" x14ac:dyDescent="0.35">
      <c r="A2098" t="s">
        <v>0</v>
      </c>
      <c r="B2098">
        <v>2500</v>
      </c>
      <c r="C2098">
        <v>12</v>
      </c>
      <c r="D2098">
        <v>6</v>
      </c>
      <c r="E2098">
        <v>0</v>
      </c>
      <c r="F2098">
        <v>132823165</v>
      </c>
      <c r="G2098">
        <v>259411.57</v>
      </c>
      <c r="H2098">
        <v>132563657</v>
      </c>
      <c r="I2098">
        <v>132563657</v>
      </c>
      <c r="J2098">
        <v>9.0000000000000002E-6</v>
      </c>
      <c r="K2098">
        <v>9.0000000000000002E-6</v>
      </c>
      <c r="M2098" t="s">
        <v>2</v>
      </c>
      <c r="N2098">
        <v>2500</v>
      </c>
      <c r="O2098">
        <v>14</v>
      </c>
      <c r="P2098">
        <v>1</v>
      </c>
      <c r="Q2098">
        <v>0</v>
      </c>
      <c r="R2098">
        <v>23008605</v>
      </c>
      <c r="S2098">
        <v>45268.92</v>
      </c>
      <c r="T2098">
        <v>22963336.079999998</v>
      </c>
      <c r="U2098">
        <v>22963336.079999998</v>
      </c>
      <c r="V2098">
        <v>0</v>
      </c>
      <c r="W2098">
        <v>0</v>
      </c>
    </row>
    <row r="2099" spans="1:23" x14ac:dyDescent="0.35">
      <c r="A2099" t="s">
        <v>2</v>
      </c>
      <c r="B2099">
        <v>2750</v>
      </c>
      <c r="C2099">
        <v>12</v>
      </c>
      <c r="D2099">
        <v>6</v>
      </c>
      <c r="E2099">
        <v>0</v>
      </c>
      <c r="F2099">
        <v>174225368</v>
      </c>
      <c r="G2099">
        <v>335689.77</v>
      </c>
      <c r="H2099">
        <v>173871256</v>
      </c>
      <c r="I2099">
        <v>173871256</v>
      </c>
      <c r="J2099">
        <v>1.268E-3</v>
      </c>
      <c r="K2099">
        <v>1.268E-3</v>
      </c>
      <c r="M2099" t="s">
        <v>1</v>
      </c>
      <c r="N2099">
        <v>3000</v>
      </c>
      <c r="O2099">
        <v>12</v>
      </c>
      <c r="P2099">
        <v>2</v>
      </c>
      <c r="Q2099">
        <v>0</v>
      </c>
      <c r="R2099">
        <v>45934892</v>
      </c>
      <c r="S2099">
        <v>98381.27</v>
      </c>
      <c r="T2099">
        <v>45836510.729999997</v>
      </c>
      <c r="U2099">
        <v>45836510.729999997</v>
      </c>
      <c r="V2099">
        <v>0</v>
      </c>
      <c r="W2099">
        <v>0</v>
      </c>
    </row>
    <row r="2100" spans="1:23" x14ac:dyDescent="0.35">
      <c r="A2100" t="s">
        <v>2</v>
      </c>
      <c r="B2100">
        <v>2750</v>
      </c>
      <c r="C2100">
        <v>14</v>
      </c>
      <c r="D2100">
        <v>3</v>
      </c>
      <c r="E2100">
        <v>0</v>
      </c>
      <c r="F2100">
        <v>54039299</v>
      </c>
      <c r="G2100">
        <v>102103.44</v>
      </c>
      <c r="H2100">
        <v>53902760</v>
      </c>
      <c r="I2100">
        <v>53902760</v>
      </c>
      <c r="J2100">
        <v>7.62E-3</v>
      </c>
      <c r="K2100">
        <v>7.62E-3</v>
      </c>
      <c r="M2100" t="s">
        <v>2</v>
      </c>
      <c r="N2100">
        <v>3000</v>
      </c>
      <c r="O2100">
        <v>16</v>
      </c>
      <c r="P2100">
        <v>1</v>
      </c>
      <c r="Q2100">
        <v>0</v>
      </c>
      <c r="R2100">
        <v>20474852</v>
      </c>
      <c r="S2100">
        <v>44809.32</v>
      </c>
      <c r="T2100">
        <v>20430042.68</v>
      </c>
      <c r="U2100">
        <v>20430042.68</v>
      </c>
      <c r="V2100">
        <v>0</v>
      </c>
      <c r="W2100">
        <v>0</v>
      </c>
    </row>
    <row r="2101" spans="1:23" x14ac:dyDescent="0.35">
      <c r="A2101" t="s">
        <v>1</v>
      </c>
      <c r="B2101">
        <v>2750</v>
      </c>
      <c r="C2101">
        <v>12</v>
      </c>
      <c r="D2101">
        <v>5</v>
      </c>
      <c r="E2101">
        <v>0</v>
      </c>
      <c r="F2101">
        <v>123283880</v>
      </c>
      <c r="G2101">
        <v>261615.7</v>
      </c>
      <c r="H2101">
        <v>122995507</v>
      </c>
      <c r="I2101">
        <v>122995507</v>
      </c>
      <c r="J2101">
        <v>2.601E-3</v>
      </c>
      <c r="K2101">
        <v>2.601E-3</v>
      </c>
      <c r="M2101" t="s">
        <v>1</v>
      </c>
      <c r="N2101">
        <v>2750</v>
      </c>
      <c r="O2101">
        <v>12</v>
      </c>
      <c r="P2101">
        <v>2</v>
      </c>
      <c r="Q2101">
        <v>0</v>
      </c>
      <c r="R2101">
        <v>62603352</v>
      </c>
      <c r="S2101">
        <v>134845.24</v>
      </c>
      <c r="T2101">
        <v>62468506.759999998</v>
      </c>
      <c r="U2101">
        <v>62468506.759999998</v>
      </c>
      <c r="V2101">
        <v>0</v>
      </c>
      <c r="W2101">
        <v>0</v>
      </c>
    </row>
    <row r="2102" spans="1:23" x14ac:dyDescent="0.35">
      <c r="A2102" t="s">
        <v>0</v>
      </c>
      <c r="B2102">
        <v>3000</v>
      </c>
      <c r="C2102">
        <v>12</v>
      </c>
      <c r="D2102">
        <v>5</v>
      </c>
      <c r="E2102">
        <v>0</v>
      </c>
      <c r="F2102">
        <v>109591987</v>
      </c>
      <c r="G2102">
        <v>200261.14</v>
      </c>
      <c r="H2102">
        <v>109434647</v>
      </c>
      <c r="I2102">
        <v>109434647</v>
      </c>
      <c r="J2102">
        <v>-4.7099999999999998E-3</v>
      </c>
      <c r="K2102">
        <v>-4.7099999999999998E-3</v>
      </c>
      <c r="M2102" t="s">
        <v>0</v>
      </c>
      <c r="N2102">
        <v>3000</v>
      </c>
      <c r="O2102">
        <v>12</v>
      </c>
      <c r="P2102">
        <v>1</v>
      </c>
      <c r="Q2102">
        <v>0</v>
      </c>
      <c r="R2102">
        <v>32041993</v>
      </c>
      <c r="S2102">
        <v>57865.91</v>
      </c>
      <c r="T2102">
        <v>31984127.09</v>
      </c>
      <c r="U2102">
        <v>31984127.09</v>
      </c>
      <c r="V2102">
        <v>0</v>
      </c>
      <c r="W2102">
        <v>0</v>
      </c>
    </row>
    <row r="2103" spans="1:23" x14ac:dyDescent="0.35">
      <c r="A2103" t="s">
        <v>0</v>
      </c>
      <c r="B2103">
        <v>2750</v>
      </c>
      <c r="C2103">
        <v>12</v>
      </c>
      <c r="D2103">
        <v>9</v>
      </c>
      <c r="E2103">
        <v>0</v>
      </c>
      <c r="F2103">
        <v>207267109</v>
      </c>
      <c r="G2103">
        <v>389157.92</v>
      </c>
      <c r="H2103">
        <v>207061456</v>
      </c>
      <c r="I2103">
        <v>207061456</v>
      </c>
      <c r="J2103">
        <v>-1.0676E-2</v>
      </c>
      <c r="K2103">
        <v>-1.0676E-2</v>
      </c>
      <c r="M2103" t="s">
        <v>2</v>
      </c>
      <c r="N2103">
        <v>3250</v>
      </c>
      <c r="O2103">
        <v>12</v>
      </c>
      <c r="P2103">
        <v>4</v>
      </c>
      <c r="Q2103">
        <v>0</v>
      </c>
      <c r="R2103">
        <v>74588282</v>
      </c>
      <c r="S2103">
        <v>129954.43</v>
      </c>
      <c r="T2103">
        <v>74458327.569999993</v>
      </c>
      <c r="U2103">
        <v>74458327.569999993</v>
      </c>
      <c r="V2103">
        <v>0</v>
      </c>
      <c r="W2103">
        <v>0</v>
      </c>
    </row>
    <row r="2104" spans="1:23" x14ac:dyDescent="0.35">
      <c r="A2104" t="s">
        <v>2</v>
      </c>
      <c r="B2104">
        <v>3000</v>
      </c>
      <c r="C2104">
        <v>12</v>
      </c>
      <c r="D2104">
        <v>5</v>
      </c>
      <c r="E2104">
        <v>0</v>
      </c>
      <c r="F2104">
        <v>81767382</v>
      </c>
      <c r="G2104">
        <v>148294.76</v>
      </c>
      <c r="H2104">
        <v>81690607</v>
      </c>
      <c r="I2104">
        <v>81690607</v>
      </c>
      <c r="J2104">
        <v>-1.0547000000000001E-2</v>
      </c>
      <c r="K2104">
        <v>-1.0547000000000001E-2</v>
      </c>
      <c r="M2104" t="s">
        <v>0</v>
      </c>
      <c r="N2104">
        <v>8500</v>
      </c>
      <c r="O2104">
        <v>12</v>
      </c>
      <c r="P2104">
        <v>2</v>
      </c>
      <c r="Q2104">
        <v>0</v>
      </c>
      <c r="R2104">
        <v>38371944</v>
      </c>
      <c r="S2104">
        <v>25773.47</v>
      </c>
      <c r="T2104">
        <v>38346170.530000001</v>
      </c>
      <c r="U2104">
        <v>38346170.530000001</v>
      </c>
      <c r="V2104">
        <v>0</v>
      </c>
      <c r="W2104">
        <v>0</v>
      </c>
    </row>
    <row r="2105" spans="1:23" x14ac:dyDescent="0.35">
      <c r="A2105" t="s">
        <v>2</v>
      </c>
      <c r="B2105">
        <v>3250</v>
      </c>
      <c r="C2105">
        <v>12</v>
      </c>
      <c r="D2105">
        <v>7</v>
      </c>
      <c r="E2105">
        <v>0</v>
      </c>
      <c r="F2105">
        <v>97633628</v>
      </c>
      <c r="G2105">
        <v>170283.19</v>
      </c>
      <c r="H2105">
        <v>97510653</v>
      </c>
      <c r="I2105">
        <v>97510653</v>
      </c>
      <c r="J2105">
        <v>-5.8300000000000001E-3</v>
      </c>
      <c r="K2105">
        <v>-5.8300000000000001E-3</v>
      </c>
      <c r="M2105" t="s">
        <v>0</v>
      </c>
      <c r="N2105">
        <v>9000</v>
      </c>
      <c r="O2105">
        <v>14</v>
      </c>
      <c r="P2105">
        <v>1</v>
      </c>
      <c r="Q2105">
        <v>0</v>
      </c>
      <c r="R2105">
        <v>12174281</v>
      </c>
      <c r="S2105">
        <v>7758.75</v>
      </c>
      <c r="T2105">
        <v>12166522.25</v>
      </c>
      <c r="U2105">
        <v>12166522.25</v>
      </c>
      <c r="V2105">
        <v>0</v>
      </c>
      <c r="W2105">
        <v>0</v>
      </c>
    </row>
    <row r="2106" spans="1:23" x14ac:dyDescent="0.35">
      <c r="A2106" t="s">
        <v>2</v>
      </c>
      <c r="B2106">
        <v>3500</v>
      </c>
      <c r="C2106">
        <v>12</v>
      </c>
      <c r="D2106">
        <v>7</v>
      </c>
      <c r="E2106">
        <v>0</v>
      </c>
      <c r="F2106">
        <v>99402803</v>
      </c>
      <c r="G2106">
        <v>167529.18</v>
      </c>
      <c r="H2106">
        <v>99298468</v>
      </c>
      <c r="I2106">
        <v>99298468</v>
      </c>
      <c r="J2106">
        <v>-7.6559999999999996E-3</v>
      </c>
      <c r="K2106">
        <v>-7.6559999999999996E-3</v>
      </c>
      <c r="M2106" t="s">
        <v>1</v>
      </c>
      <c r="N2106">
        <v>4500</v>
      </c>
      <c r="O2106">
        <v>10</v>
      </c>
      <c r="P2106">
        <v>324</v>
      </c>
      <c r="Q2106">
        <v>0</v>
      </c>
      <c r="R2106">
        <v>11500264359</v>
      </c>
      <c r="S2106">
        <v>15987891.539999999</v>
      </c>
      <c r="T2106">
        <v>11484276467.459999</v>
      </c>
      <c r="U2106">
        <v>11484276467.459999</v>
      </c>
      <c r="V2106">
        <v>0</v>
      </c>
      <c r="W2106">
        <v>0</v>
      </c>
    </row>
    <row r="2107" spans="1:23" x14ac:dyDescent="0.35">
      <c r="A2107" t="s">
        <v>1</v>
      </c>
      <c r="B2107">
        <v>8000</v>
      </c>
      <c r="C2107">
        <v>12</v>
      </c>
      <c r="D2107">
        <v>4</v>
      </c>
      <c r="E2107">
        <v>0</v>
      </c>
      <c r="F2107">
        <v>149814560</v>
      </c>
      <c r="G2107">
        <v>108976.47</v>
      </c>
      <c r="H2107">
        <v>149746251</v>
      </c>
      <c r="I2107">
        <v>149746251</v>
      </c>
      <c r="J2107">
        <v>-3.2620000000000001E-3</v>
      </c>
      <c r="K2107">
        <v>-3.2620000000000001E-3</v>
      </c>
      <c r="M2107" t="s">
        <v>1</v>
      </c>
      <c r="N2107">
        <v>2500</v>
      </c>
      <c r="O2107">
        <v>10</v>
      </c>
      <c r="P2107">
        <v>7</v>
      </c>
      <c r="Q2107">
        <v>0</v>
      </c>
      <c r="R2107">
        <v>282175168</v>
      </c>
      <c r="S2107">
        <v>565284.84</v>
      </c>
      <c r="T2107">
        <v>281609883.16000003</v>
      </c>
      <c r="U2107">
        <v>281609883.16000003</v>
      </c>
      <c r="V2107">
        <v>0</v>
      </c>
      <c r="W2107">
        <v>0</v>
      </c>
    </row>
    <row r="2108" spans="1:23" x14ac:dyDescent="0.35">
      <c r="A2108" t="s">
        <v>1</v>
      </c>
      <c r="B2108">
        <v>4000</v>
      </c>
      <c r="C2108">
        <v>10</v>
      </c>
      <c r="D2108">
        <v>288</v>
      </c>
      <c r="E2108">
        <v>0</v>
      </c>
      <c r="F2108">
        <v>11360208872</v>
      </c>
      <c r="G2108">
        <v>17222479.789999999</v>
      </c>
      <c r="H2108">
        <v>11342824109</v>
      </c>
      <c r="I2108">
        <v>11342824109</v>
      </c>
      <c r="J2108">
        <v>1.7100000000000001E-4</v>
      </c>
      <c r="K2108">
        <v>1.7100000000000001E-4</v>
      </c>
      <c r="M2108" t="s">
        <v>0</v>
      </c>
      <c r="N2108">
        <v>2500</v>
      </c>
      <c r="O2108">
        <v>12</v>
      </c>
      <c r="P2108">
        <v>1</v>
      </c>
      <c r="Q2108">
        <v>0</v>
      </c>
      <c r="R2108">
        <v>16095114</v>
      </c>
      <c r="S2108">
        <v>31412.03</v>
      </c>
      <c r="T2108">
        <v>16063701.970000001</v>
      </c>
      <c r="U2108">
        <v>16063701.970000001</v>
      </c>
      <c r="V2108">
        <v>0</v>
      </c>
      <c r="W2108">
        <v>0</v>
      </c>
    </row>
    <row r="2109" spans="1:23" x14ac:dyDescent="0.35">
      <c r="A2109" t="s">
        <v>1</v>
      </c>
      <c r="B2109">
        <v>2250</v>
      </c>
      <c r="C2109">
        <v>10</v>
      </c>
      <c r="D2109">
        <v>3</v>
      </c>
      <c r="E2109">
        <v>0</v>
      </c>
      <c r="F2109">
        <v>92125742</v>
      </c>
      <c r="G2109">
        <v>216545.9</v>
      </c>
      <c r="H2109">
        <v>91956210</v>
      </c>
      <c r="I2109">
        <v>91956210</v>
      </c>
      <c r="J2109">
        <v>-6.1409999999999998E-3</v>
      </c>
      <c r="K2109">
        <v>-6.1409999999999998E-3</v>
      </c>
      <c r="M2109" t="s">
        <v>0</v>
      </c>
      <c r="N2109">
        <v>2500</v>
      </c>
      <c r="O2109">
        <v>10</v>
      </c>
      <c r="P2109">
        <v>5</v>
      </c>
      <c r="Q2109">
        <v>0</v>
      </c>
      <c r="R2109">
        <v>116987019</v>
      </c>
      <c r="S2109">
        <v>227460.72</v>
      </c>
      <c r="T2109">
        <v>116759558.28</v>
      </c>
      <c r="U2109">
        <v>116759558.28</v>
      </c>
      <c r="V2109">
        <v>0</v>
      </c>
      <c r="W2109">
        <v>0</v>
      </c>
    </row>
    <row r="2110" spans="1:23" x14ac:dyDescent="0.35">
      <c r="A2110" t="s">
        <v>1</v>
      </c>
      <c r="B2110">
        <v>2250</v>
      </c>
      <c r="C2110">
        <v>12</v>
      </c>
      <c r="D2110">
        <v>1</v>
      </c>
      <c r="E2110">
        <v>0</v>
      </c>
      <c r="F2110">
        <v>33102712</v>
      </c>
      <c r="G2110">
        <v>75591.199999999997</v>
      </c>
      <c r="H2110">
        <v>33027121</v>
      </c>
      <c r="I2110">
        <v>33027121</v>
      </c>
      <c r="J2110">
        <v>0</v>
      </c>
      <c r="K2110">
        <v>0</v>
      </c>
      <c r="M2110" t="s">
        <v>2</v>
      </c>
      <c r="N2110">
        <v>2750</v>
      </c>
      <c r="O2110">
        <v>12</v>
      </c>
      <c r="P2110">
        <v>8</v>
      </c>
      <c r="Q2110">
        <v>0</v>
      </c>
      <c r="R2110">
        <v>205432873</v>
      </c>
      <c r="S2110">
        <v>393361.56</v>
      </c>
      <c r="T2110">
        <v>205039511.44</v>
      </c>
      <c r="U2110">
        <v>205039511.44</v>
      </c>
      <c r="V2110">
        <v>0</v>
      </c>
      <c r="W2110">
        <v>0</v>
      </c>
    </row>
    <row r="2111" spans="1:23" x14ac:dyDescent="0.35">
      <c r="A2111" t="s">
        <v>2</v>
      </c>
      <c r="B2111">
        <v>2250</v>
      </c>
      <c r="C2111">
        <v>12</v>
      </c>
      <c r="D2111">
        <v>1</v>
      </c>
      <c r="E2111">
        <v>0</v>
      </c>
      <c r="F2111">
        <v>19045873</v>
      </c>
      <c r="G2111">
        <v>43311.8</v>
      </c>
      <c r="H2111">
        <v>19002740</v>
      </c>
      <c r="I2111">
        <v>19002740</v>
      </c>
      <c r="J2111">
        <v>-1.13E-4</v>
      </c>
      <c r="K2111">
        <v>-1.13E-4</v>
      </c>
      <c r="M2111" t="s">
        <v>1</v>
      </c>
      <c r="N2111">
        <v>2500</v>
      </c>
      <c r="O2111">
        <v>12</v>
      </c>
      <c r="P2111">
        <v>1</v>
      </c>
      <c r="Q2111">
        <v>0</v>
      </c>
      <c r="R2111">
        <v>30757702</v>
      </c>
      <c r="S2111">
        <v>70088.95</v>
      </c>
      <c r="T2111">
        <v>30687613.050000001</v>
      </c>
      <c r="U2111">
        <v>30687613.050000001</v>
      </c>
      <c r="V2111">
        <v>0</v>
      </c>
      <c r="W2111">
        <v>0</v>
      </c>
    </row>
    <row r="2112" spans="1:23" x14ac:dyDescent="0.35">
      <c r="A2112" t="s">
        <v>0</v>
      </c>
      <c r="B2112">
        <v>3250</v>
      </c>
      <c r="C2112">
        <v>10</v>
      </c>
      <c r="D2112">
        <v>12</v>
      </c>
      <c r="E2112">
        <v>0</v>
      </c>
      <c r="F2112">
        <v>259091367</v>
      </c>
      <c r="G2112">
        <v>446209.6</v>
      </c>
      <c r="H2112">
        <v>258787090</v>
      </c>
      <c r="I2112">
        <v>258787090</v>
      </c>
      <c r="J2112">
        <v>-6.594E-3</v>
      </c>
      <c r="K2112">
        <v>-6.594E-3</v>
      </c>
      <c r="M2112" t="s">
        <v>0</v>
      </c>
      <c r="N2112">
        <v>3000</v>
      </c>
      <c r="O2112">
        <v>10</v>
      </c>
      <c r="P2112">
        <v>5</v>
      </c>
      <c r="Q2112">
        <v>0</v>
      </c>
      <c r="R2112">
        <v>109758868</v>
      </c>
      <c r="S2112">
        <v>199717.82</v>
      </c>
      <c r="T2112">
        <v>109559150.18000001</v>
      </c>
      <c r="U2112">
        <v>109559150.18000001</v>
      </c>
      <c r="V2112">
        <v>0</v>
      </c>
      <c r="W2112">
        <v>0</v>
      </c>
    </row>
    <row r="2113" spans="1:23" x14ac:dyDescent="0.35">
      <c r="A2113" t="s">
        <v>0</v>
      </c>
      <c r="B2113">
        <v>2750</v>
      </c>
      <c r="C2113">
        <v>10</v>
      </c>
      <c r="D2113">
        <v>3</v>
      </c>
      <c r="E2113">
        <v>0</v>
      </c>
      <c r="F2113">
        <v>67136752</v>
      </c>
      <c r="G2113">
        <v>125275.19</v>
      </c>
      <c r="H2113">
        <v>66833623</v>
      </c>
      <c r="I2113">
        <v>66833623</v>
      </c>
      <c r="J2113">
        <v>3.1329999999999997E-2</v>
      </c>
      <c r="K2113">
        <v>3.1329999999999997E-2</v>
      </c>
      <c r="M2113" t="s">
        <v>0</v>
      </c>
      <c r="N2113">
        <v>3250</v>
      </c>
      <c r="O2113">
        <v>10</v>
      </c>
      <c r="P2113">
        <v>5</v>
      </c>
      <c r="Q2113">
        <v>0</v>
      </c>
      <c r="R2113">
        <v>108624330</v>
      </c>
      <c r="S2113">
        <v>188833.25</v>
      </c>
      <c r="T2113">
        <v>108435496.75</v>
      </c>
      <c r="U2113">
        <v>108435496.75</v>
      </c>
      <c r="V2113">
        <v>0</v>
      </c>
      <c r="W2113">
        <v>0</v>
      </c>
    </row>
    <row r="2114" spans="1:23" x14ac:dyDescent="0.35">
      <c r="A2114" t="s">
        <v>0</v>
      </c>
      <c r="B2114">
        <v>3000</v>
      </c>
      <c r="C2114">
        <v>10</v>
      </c>
      <c r="D2114">
        <v>5</v>
      </c>
      <c r="E2114">
        <v>0</v>
      </c>
      <c r="F2114">
        <v>155943566</v>
      </c>
      <c r="G2114">
        <v>283130.32</v>
      </c>
      <c r="H2114">
        <v>156024607</v>
      </c>
      <c r="I2114">
        <v>156024607</v>
      </c>
      <c r="J2114">
        <v>-2.8386000000000002E-2</v>
      </c>
      <c r="K2114">
        <v>-2.8386000000000002E-2</v>
      </c>
      <c r="M2114" t="s">
        <v>0</v>
      </c>
      <c r="N2114">
        <v>2750</v>
      </c>
      <c r="O2114">
        <v>10</v>
      </c>
      <c r="P2114">
        <v>9</v>
      </c>
      <c r="Q2114">
        <v>0</v>
      </c>
      <c r="R2114">
        <v>207491849</v>
      </c>
      <c r="S2114">
        <v>387965.55</v>
      </c>
      <c r="T2114">
        <v>207103883.44999999</v>
      </c>
      <c r="U2114">
        <v>207103883.44999999</v>
      </c>
      <c r="V2114">
        <v>0</v>
      </c>
      <c r="W2114">
        <v>0</v>
      </c>
    </row>
    <row r="2115" spans="1:23" x14ac:dyDescent="0.35">
      <c r="A2115" t="s">
        <v>1</v>
      </c>
      <c r="B2115">
        <v>2750</v>
      </c>
      <c r="C2115">
        <v>10</v>
      </c>
      <c r="D2115">
        <v>1</v>
      </c>
      <c r="E2115">
        <v>0</v>
      </c>
      <c r="F2115">
        <v>16938839</v>
      </c>
      <c r="G2115">
        <v>35001.879999999997</v>
      </c>
      <c r="H2115">
        <v>16903684</v>
      </c>
      <c r="I2115">
        <v>16903684</v>
      </c>
      <c r="J2115">
        <v>1.08E-4</v>
      </c>
      <c r="K2115">
        <v>1.08E-4</v>
      </c>
      <c r="M2115" t="s">
        <v>2</v>
      </c>
      <c r="N2115">
        <v>3000</v>
      </c>
      <c r="O2115">
        <v>12</v>
      </c>
      <c r="P2115">
        <v>4</v>
      </c>
      <c r="Q2115">
        <v>0</v>
      </c>
      <c r="R2115">
        <v>58067740</v>
      </c>
      <c r="S2115">
        <v>105731.82</v>
      </c>
      <c r="T2115">
        <v>57962008.18</v>
      </c>
      <c r="U2115">
        <v>57962008.18</v>
      </c>
      <c r="V2115">
        <v>0</v>
      </c>
      <c r="W2115">
        <v>0</v>
      </c>
    </row>
    <row r="2116" spans="1:23" x14ac:dyDescent="0.35">
      <c r="A2116" t="s">
        <v>0</v>
      </c>
      <c r="B2116">
        <v>3500</v>
      </c>
      <c r="C2116">
        <v>10</v>
      </c>
      <c r="D2116">
        <v>21</v>
      </c>
      <c r="E2116">
        <v>0</v>
      </c>
      <c r="F2116">
        <v>671685782</v>
      </c>
      <c r="G2116">
        <v>1108003.67</v>
      </c>
      <c r="H2116">
        <v>670521075</v>
      </c>
      <c r="I2116">
        <v>670521075</v>
      </c>
      <c r="J2116">
        <v>1.013E-3</v>
      </c>
      <c r="K2116">
        <v>1.013E-3</v>
      </c>
      <c r="M2116" t="s">
        <v>1</v>
      </c>
      <c r="N2116">
        <v>3250</v>
      </c>
      <c r="O2116">
        <v>10</v>
      </c>
      <c r="P2116">
        <v>3</v>
      </c>
      <c r="Q2116">
        <v>0</v>
      </c>
      <c r="R2116">
        <v>124734660</v>
      </c>
      <c r="S2116">
        <v>221386.41</v>
      </c>
      <c r="T2116">
        <v>124513273.59</v>
      </c>
      <c r="U2116">
        <v>124513273.59</v>
      </c>
      <c r="V2116">
        <v>0</v>
      </c>
      <c r="W2116">
        <v>0</v>
      </c>
    </row>
    <row r="2117" spans="1:23" x14ac:dyDescent="0.35">
      <c r="A2117" t="s">
        <v>1</v>
      </c>
      <c r="B2117">
        <v>3750</v>
      </c>
      <c r="C2117">
        <v>10</v>
      </c>
      <c r="D2117">
        <v>43</v>
      </c>
      <c r="E2117">
        <v>0</v>
      </c>
      <c r="F2117">
        <v>1689997381</v>
      </c>
      <c r="G2117">
        <v>2679556.36</v>
      </c>
      <c r="H2117">
        <v>1687156880</v>
      </c>
      <c r="I2117">
        <v>1687156880</v>
      </c>
      <c r="J2117">
        <v>1.142E-3</v>
      </c>
      <c r="K2117">
        <v>1.142E-3</v>
      </c>
      <c r="M2117" t="s">
        <v>1</v>
      </c>
      <c r="N2117">
        <v>2750</v>
      </c>
      <c r="O2117">
        <v>10</v>
      </c>
      <c r="P2117">
        <v>4</v>
      </c>
      <c r="Q2117">
        <v>0</v>
      </c>
      <c r="R2117">
        <v>104864189</v>
      </c>
      <c r="S2117">
        <v>219745.03</v>
      </c>
      <c r="T2117">
        <v>104644443.97</v>
      </c>
      <c r="U2117">
        <v>104644443.97</v>
      </c>
      <c r="V2117">
        <v>0</v>
      </c>
      <c r="W2117">
        <v>0</v>
      </c>
    </row>
    <row r="2118" spans="1:23" x14ac:dyDescent="0.35">
      <c r="A2118" t="s">
        <v>0</v>
      </c>
      <c r="B2118">
        <v>3750</v>
      </c>
      <c r="C2118">
        <v>10</v>
      </c>
      <c r="D2118">
        <v>112</v>
      </c>
      <c r="E2118">
        <v>0</v>
      </c>
      <c r="F2118">
        <v>4278732416</v>
      </c>
      <c r="G2118">
        <v>6756523.9900000002</v>
      </c>
      <c r="H2118">
        <v>4271858664</v>
      </c>
      <c r="I2118">
        <v>4271858664</v>
      </c>
      <c r="J2118">
        <v>3.2899999999999997E-4</v>
      </c>
      <c r="K2118">
        <v>3.2899999999999997E-4</v>
      </c>
      <c r="M2118" t="s">
        <v>0</v>
      </c>
      <c r="N2118">
        <v>3500</v>
      </c>
      <c r="O2118">
        <v>10</v>
      </c>
      <c r="P2118">
        <v>4</v>
      </c>
      <c r="Q2118">
        <v>0</v>
      </c>
      <c r="R2118">
        <v>109076659</v>
      </c>
      <c r="S2118">
        <v>182106.21</v>
      </c>
      <c r="T2118">
        <v>108894552.79000001</v>
      </c>
      <c r="U2118">
        <v>108894552.79000001</v>
      </c>
      <c r="V2118">
        <v>0</v>
      </c>
      <c r="W2118">
        <v>0</v>
      </c>
    </row>
    <row r="2119" spans="1:23" x14ac:dyDescent="0.35">
      <c r="A2119" t="s">
        <v>2</v>
      </c>
      <c r="B2119">
        <v>3750</v>
      </c>
      <c r="C2119">
        <v>10</v>
      </c>
      <c r="D2119">
        <v>5</v>
      </c>
      <c r="E2119">
        <v>0</v>
      </c>
      <c r="F2119">
        <v>112751608</v>
      </c>
      <c r="G2119">
        <v>177921.45</v>
      </c>
      <c r="H2119">
        <v>112573397</v>
      </c>
      <c r="I2119">
        <v>112573397</v>
      </c>
      <c r="J2119">
        <v>3.1000000000000001E-5</v>
      </c>
      <c r="K2119">
        <v>3.1000000000000001E-5</v>
      </c>
      <c r="M2119" t="s">
        <v>1</v>
      </c>
      <c r="N2119">
        <v>3750</v>
      </c>
      <c r="O2119">
        <v>10</v>
      </c>
      <c r="P2119">
        <v>21</v>
      </c>
      <c r="Q2119">
        <v>0</v>
      </c>
      <c r="R2119">
        <v>868989109</v>
      </c>
      <c r="S2119">
        <v>1408851.33</v>
      </c>
      <c r="T2119">
        <v>867580257.66999996</v>
      </c>
      <c r="U2119">
        <v>867580257.66999996</v>
      </c>
      <c r="V2119">
        <v>0</v>
      </c>
      <c r="W2119">
        <v>0</v>
      </c>
    </row>
    <row r="2120" spans="1:23" x14ac:dyDescent="0.35">
      <c r="A2120" t="s">
        <v>1</v>
      </c>
      <c r="B2120">
        <v>3500</v>
      </c>
      <c r="C2120">
        <v>10</v>
      </c>
      <c r="D2120">
        <v>3</v>
      </c>
      <c r="E2120">
        <v>0</v>
      </c>
      <c r="F2120">
        <v>110745491</v>
      </c>
      <c r="G2120">
        <v>190332.43</v>
      </c>
      <c r="H2120">
        <v>110609231</v>
      </c>
      <c r="I2120">
        <v>110609231</v>
      </c>
      <c r="J2120">
        <v>-5.875E-3</v>
      </c>
      <c r="K2120">
        <v>-5.875E-3</v>
      </c>
      <c r="M2120" t="s">
        <v>0</v>
      </c>
      <c r="N2120">
        <v>3750</v>
      </c>
      <c r="O2120">
        <v>10</v>
      </c>
      <c r="P2120">
        <v>63</v>
      </c>
      <c r="Q2120">
        <v>0</v>
      </c>
      <c r="R2120">
        <v>2424965579</v>
      </c>
      <c r="S2120">
        <v>3827732.13</v>
      </c>
      <c r="T2120">
        <v>2421137846.8699999</v>
      </c>
      <c r="U2120">
        <v>2421137846.8699999</v>
      </c>
      <c r="V2120">
        <v>0</v>
      </c>
      <c r="W2120">
        <v>0</v>
      </c>
    </row>
    <row r="2121" spans="1:23" x14ac:dyDescent="0.35">
      <c r="A2121" t="s">
        <v>2</v>
      </c>
      <c r="B2121">
        <v>4000</v>
      </c>
      <c r="C2121">
        <v>10</v>
      </c>
      <c r="D2121">
        <v>48</v>
      </c>
      <c r="E2121">
        <v>0</v>
      </c>
      <c r="F2121">
        <v>1361717657</v>
      </c>
      <c r="G2121">
        <v>2062040.8</v>
      </c>
      <c r="H2121">
        <v>1359207555</v>
      </c>
      <c r="I2121">
        <v>1359207555</v>
      </c>
      <c r="J2121">
        <v>3.9410000000000001E-3</v>
      </c>
      <c r="K2121">
        <v>3.9410000000000001E-3</v>
      </c>
      <c r="M2121" t="s">
        <v>0</v>
      </c>
      <c r="N2121">
        <v>4250</v>
      </c>
      <c r="O2121">
        <v>10</v>
      </c>
      <c r="P2121">
        <v>333</v>
      </c>
      <c r="Q2121">
        <v>0</v>
      </c>
      <c r="R2121">
        <v>11702554539</v>
      </c>
      <c r="S2121">
        <v>16987588.32</v>
      </c>
      <c r="T2121">
        <v>11685566950.68</v>
      </c>
      <c r="U2121">
        <v>11685566950.68</v>
      </c>
      <c r="V2121">
        <v>0</v>
      </c>
      <c r="W2121">
        <v>0</v>
      </c>
    </row>
    <row r="2122" spans="1:23" x14ac:dyDescent="0.35">
      <c r="A2122" t="s">
        <v>0</v>
      </c>
      <c r="B2122">
        <v>4250</v>
      </c>
      <c r="C2122">
        <v>10</v>
      </c>
      <c r="D2122">
        <v>330</v>
      </c>
      <c r="E2122">
        <v>0</v>
      </c>
      <c r="F2122">
        <v>10769812126</v>
      </c>
      <c r="G2122">
        <v>15627913.24</v>
      </c>
      <c r="H2122">
        <v>10751796847</v>
      </c>
      <c r="I2122">
        <v>10751796847</v>
      </c>
      <c r="J2122">
        <v>2.6570000000000001E-3</v>
      </c>
      <c r="K2122">
        <v>2.6570000000000001E-3</v>
      </c>
      <c r="M2122" t="s">
        <v>1</v>
      </c>
      <c r="N2122">
        <v>4250</v>
      </c>
      <c r="O2122">
        <v>10</v>
      </c>
      <c r="P2122">
        <v>113</v>
      </c>
      <c r="Q2122">
        <v>0</v>
      </c>
      <c r="R2122">
        <v>4192990457</v>
      </c>
      <c r="S2122">
        <v>6087246.4400000004</v>
      </c>
      <c r="T2122">
        <v>4186903210.5599999</v>
      </c>
      <c r="U2122">
        <v>4186903210.5599999</v>
      </c>
      <c r="V2122">
        <v>0</v>
      </c>
      <c r="W2122">
        <v>0</v>
      </c>
    </row>
    <row r="2123" spans="1:23" x14ac:dyDescent="0.35">
      <c r="A2123" t="s">
        <v>1</v>
      </c>
      <c r="B2123">
        <v>4250</v>
      </c>
      <c r="C2123">
        <v>10</v>
      </c>
      <c r="D2123">
        <v>130</v>
      </c>
      <c r="E2123">
        <v>0</v>
      </c>
      <c r="F2123">
        <v>4969351032</v>
      </c>
      <c r="G2123">
        <v>7215565.2800000003</v>
      </c>
      <c r="H2123">
        <v>4961653083</v>
      </c>
      <c r="I2123">
        <v>4961653083</v>
      </c>
      <c r="J2123">
        <v>1.1640000000000001E-3</v>
      </c>
      <c r="K2123">
        <v>1.1640000000000001E-3</v>
      </c>
      <c r="M2123" t="s">
        <v>2</v>
      </c>
      <c r="N2123">
        <v>3750</v>
      </c>
      <c r="O2123">
        <v>10</v>
      </c>
      <c r="P2123">
        <v>4</v>
      </c>
      <c r="Q2123">
        <v>0</v>
      </c>
      <c r="R2123">
        <v>101372733</v>
      </c>
      <c r="S2123">
        <v>160394.23000000001</v>
      </c>
      <c r="T2123">
        <v>101212338.77</v>
      </c>
      <c r="U2123">
        <v>101212338.77</v>
      </c>
      <c r="V2123">
        <v>0</v>
      </c>
      <c r="W2123">
        <v>0</v>
      </c>
    </row>
    <row r="2124" spans="1:23" x14ac:dyDescent="0.35">
      <c r="A2124" t="s">
        <v>2</v>
      </c>
      <c r="B2124">
        <v>4250</v>
      </c>
      <c r="C2124">
        <v>10</v>
      </c>
      <c r="D2124">
        <v>12</v>
      </c>
      <c r="E2124">
        <v>0</v>
      </c>
      <c r="F2124">
        <v>302707808</v>
      </c>
      <c r="G2124">
        <v>444681.44</v>
      </c>
      <c r="H2124">
        <v>302240550</v>
      </c>
      <c r="I2124">
        <v>302240550</v>
      </c>
      <c r="J2124">
        <v>8.9499999999999996E-4</v>
      </c>
      <c r="K2124">
        <v>8.9499999999999996E-4</v>
      </c>
      <c r="M2124" t="s">
        <v>2</v>
      </c>
      <c r="N2124">
        <v>4250</v>
      </c>
      <c r="O2124">
        <v>10</v>
      </c>
      <c r="P2124">
        <v>7</v>
      </c>
      <c r="Q2124">
        <v>0</v>
      </c>
      <c r="R2124">
        <v>211332371</v>
      </c>
      <c r="S2124">
        <v>305919.78999999998</v>
      </c>
      <c r="T2124">
        <v>211026451.21000001</v>
      </c>
      <c r="U2124">
        <v>211026451.21000001</v>
      </c>
      <c r="V2124">
        <v>0</v>
      </c>
      <c r="W2124">
        <v>0</v>
      </c>
    </row>
    <row r="2125" spans="1:23" x14ac:dyDescent="0.35">
      <c r="A2125" t="s">
        <v>0</v>
      </c>
      <c r="B2125">
        <v>4500</v>
      </c>
      <c r="C2125">
        <v>10</v>
      </c>
      <c r="D2125">
        <v>945</v>
      </c>
      <c r="E2125">
        <v>0</v>
      </c>
      <c r="F2125">
        <v>31670797665</v>
      </c>
      <c r="G2125">
        <v>44016650.200000003</v>
      </c>
      <c r="H2125">
        <v>31623228412</v>
      </c>
      <c r="I2125">
        <v>31623228412</v>
      </c>
      <c r="J2125">
        <v>1.3450000000000001E-3</v>
      </c>
      <c r="K2125">
        <v>1.3450000000000001E-3</v>
      </c>
      <c r="M2125" t="s">
        <v>2</v>
      </c>
      <c r="N2125">
        <v>4500</v>
      </c>
      <c r="O2125">
        <v>10</v>
      </c>
      <c r="P2125">
        <v>36</v>
      </c>
      <c r="Q2125">
        <v>0</v>
      </c>
      <c r="R2125">
        <v>933494466</v>
      </c>
      <c r="S2125">
        <v>1298563.75</v>
      </c>
      <c r="T2125">
        <v>932195902.25</v>
      </c>
      <c r="U2125">
        <v>932195902.25</v>
      </c>
      <c r="V2125">
        <v>0</v>
      </c>
      <c r="W2125">
        <v>0</v>
      </c>
    </row>
    <row r="2126" spans="1:23" x14ac:dyDescent="0.35">
      <c r="A2126" t="s">
        <v>1</v>
      </c>
      <c r="B2126">
        <v>4500</v>
      </c>
      <c r="C2126">
        <v>10</v>
      </c>
      <c r="D2126">
        <v>303</v>
      </c>
      <c r="E2126">
        <v>0</v>
      </c>
      <c r="F2126">
        <v>11056311677</v>
      </c>
      <c r="G2126">
        <v>15386043.68</v>
      </c>
      <c r="H2126">
        <v>11039191105</v>
      </c>
      <c r="I2126">
        <v>11039191105</v>
      </c>
      <c r="J2126">
        <v>1.8810000000000001E-3</v>
      </c>
      <c r="K2126">
        <v>1.8810000000000001E-3</v>
      </c>
      <c r="M2126" t="s">
        <v>3</v>
      </c>
      <c r="N2126">
        <v>5500</v>
      </c>
      <c r="O2126">
        <v>10</v>
      </c>
      <c r="P2126">
        <v>4</v>
      </c>
      <c r="Q2126">
        <v>0</v>
      </c>
      <c r="R2126">
        <v>93863059</v>
      </c>
      <c r="S2126">
        <v>109665.47</v>
      </c>
      <c r="T2126">
        <v>93753393.530000001</v>
      </c>
      <c r="U2126">
        <v>93753393.530000001</v>
      </c>
      <c r="V2126">
        <v>0</v>
      </c>
      <c r="W2126">
        <v>0</v>
      </c>
    </row>
    <row r="2127" spans="1:23" x14ac:dyDescent="0.35">
      <c r="A2127" t="s">
        <v>2</v>
      </c>
      <c r="B2127">
        <v>4500</v>
      </c>
      <c r="C2127">
        <v>10</v>
      </c>
      <c r="D2127">
        <v>25</v>
      </c>
      <c r="E2127">
        <v>0</v>
      </c>
      <c r="F2127">
        <v>702940876</v>
      </c>
      <c r="G2127">
        <v>977618.93</v>
      </c>
      <c r="H2127">
        <v>701947124</v>
      </c>
      <c r="I2127">
        <v>701947124</v>
      </c>
      <c r="J2127">
        <v>2.7500000000000002E-4</v>
      </c>
      <c r="K2127">
        <v>2.7500000000000002E-4</v>
      </c>
      <c r="M2127" t="s">
        <v>3</v>
      </c>
      <c r="N2127">
        <v>5250</v>
      </c>
      <c r="O2127">
        <v>10</v>
      </c>
      <c r="P2127">
        <v>3</v>
      </c>
      <c r="Q2127">
        <v>0</v>
      </c>
      <c r="R2127">
        <v>96085784</v>
      </c>
      <c r="S2127">
        <v>116494.71</v>
      </c>
      <c r="T2127">
        <v>95969289.290000007</v>
      </c>
      <c r="U2127">
        <v>95969289.290000007</v>
      </c>
      <c r="V2127">
        <v>0</v>
      </c>
      <c r="W2127">
        <v>0</v>
      </c>
    </row>
    <row r="2128" spans="1:23" x14ac:dyDescent="0.35">
      <c r="A2128" t="s">
        <v>3</v>
      </c>
      <c r="B2128">
        <v>5250</v>
      </c>
      <c r="C2128">
        <v>10</v>
      </c>
      <c r="D2128">
        <v>1</v>
      </c>
      <c r="E2128">
        <v>0</v>
      </c>
      <c r="F2128">
        <v>31669524</v>
      </c>
      <c r="G2128">
        <v>39269.99</v>
      </c>
      <c r="H2128">
        <v>31625980</v>
      </c>
      <c r="I2128">
        <v>31625980</v>
      </c>
      <c r="J2128">
        <v>1.6180000000000001E-3</v>
      </c>
      <c r="K2128">
        <v>1.6180000000000001E-3</v>
      </c>
      <c r="M2128" t="s">
        <v>3</v>
      </c>
      <c r="N2128">
        <v>7250</v>
      </c>
      <c r="O2128">
        <v>10</v>
      </c>
      <c r="P2128">
        <v>1</v>
      </c>
      <c r="Q2128">
        <v>0</v>
      </c>
      <c r="R2128">
        <v>20170743</v>
      </c>
      <c r="S2128">
        <v>17255.71</v>
      </c>
      <c r="T2128">
        <v>20153487.289999999</v>
      </c>
      <c r="U2128">
        <v>20153487.289999999</v>
      </c>
      <c r="V2128">
        <v>0</v>
      </c>
      <c r="W2128">
        <v>0</v>
      </c>
    </row>
    <row r="2129" spans="1:23" x14ac:dyDescent="0.35">
      <c r="A2129" t="s">
        <v>3</v>
      </c>
      <c r="B2129">
        <v>7500</v>
      </c>
      <c r="C2129">
        <v>10</v>
      </c>
      <c r="D2129">
        <v>1</v>
      </c>
      <c r="E2129">
        <v>0</v>
      </c>
      <c r="F2129">
        <v>27426880</v>
      </c>
      <c r="G2129">
        <v>22363.23</v>
      </c>
      <c r="H2129">
        <v>27381504</v>
      </c>
      <c r="I2129">
        <v>27381504</v>
      </c>
      <c r="J2129">
        <v>1.0022E-2</v>
      </c>
      <c r="K2129">
        <v>1.0022E-2</v>
      </c>
      <c r="M2129" t="s">
        <v>1</v>
      </c>
      <c r="N2129">
        <v>8000</v>
      </c>
      <c r="O2129">
        <v>10</v>
      </c>
      <c r="P2129">
        <v>4</v>
      </c>
      <c r="Q2129">
        <v>0</v>
      </c>
      <c r="R2129">
        <v>149931178</v>
      </c>
      <c r="S2129">
        <v>108260.81</v>
      </c>
      <c r="T2129">
        <v>149822917.19</v>
      </c>
      <c r="U2129">
        <v>149822917.19</v>
      </c>
      <c r="V2129">
        <v>0</v>
      </c>
      <c r="W2129">
        <v>0</v>
      </c>
    </row>
    <row r="2130" spans="1:23" x14ac:dyDescent="0.35">
      <c r="A2130" t="s">
        <v>1</v>
      </c>
      <c r="B2130">
        <v>8000</v>
      </c>
      <c r="C2130">
        <v>10</v>
      </c>
      <c r="D2130">
        <v>2</v>
      </c>
      <c r="E2130">
        <v>0</v>
      </c>
      <c r="F2130">
        <v>58963210</v>
      </c>
      <c r="G2130">
        <v>42612.27</v>
      </c>
      <c r="H2130">
        <v>58944333</v>
      </c>
      <c r="I2130">
        <v>58944333</v>
      </c>
      <c r="J2130">
        <v>-4.8409999999999998E-3</v>
      </c>
      <c r="K2130">
        <v>-4.8409999999999998E-3</v>
      </c>
      <c r="M2130" t="s">
        <v>1</v>
      </c>
      <c r="N2130">
        <v>4000</v>
      </c>
      <c r="O2130">
        <v>9</v>
      </c>
      <c r="P2130">
        <v>289</v>
      </c>
      <c r="Q2130">
        <v>0</v>
      </c>
      <c r="R2130">
        <v>11494939876</v>
      </c>
      <c r="S2130">
        <v>17342702.300000001</v>
      </c>
      <c r="T2130">
        <v>11360812601.809999</v>
      </c>
      <c r="U2130">
        <v>11477597173.700001</v>
      </c>
      <c r="V2130">
        <v>0.115329</v>
      </c>
      <c r="W2130">
        <v>0</v>
      </c>
    </row>
    <row r="2131" spans="1:23" x14ac:dyDescent="0.35">
      <c r="A2131" t="s">
        <v>0</v>
      </c>
      <c r="B2131">
        <v>9000</v>
      </c>
      <c r="C2131">
        <v>12</v>
      </c>
      <c r="D2131">
        <v>1</v>
      </c>
      <c r="E2131">
        <v>0</v>
      </c>
      <c r="F2131">
        <v>16575024</v>
      </c>
      <c r="G2131">
        <v>10222.93</v>
      </c>
      <c r="H2131">
        <v>16564801</v>
      </c>
      <c r="I2131">
        <v>16564801</v>
      </c>
      <c r="J2131">
        <v>0</v>
      </c>
      <c r="K2131">
        <v>0</v>
      </c>
      <c r="M2131" t="s">
        <v>1</v>
      </c>
      <c r="N2131">
        <v>2250</v>
      </c>
      <c r="O2131">
        <v>9</v>
      </c>
      <c r="P2131">
        <v>3</v>
      </c>
      <c r="Q2131">
        <v>0</v>
      </c>
      <c r="R2131">
        <v>92197850</v>
      </c>
      <c r="S2131">
        <v>215802.83</v>
      </c>
      <c r="T2131">
        <v>91982047.170000002</v>
      </c>
      <c r="U2131">
        <v>91982047.170000002</v>
      </c>
      <c r="V2131">
        <v>0</v>
      </c>
      <c r="W2131">
        <v>0</v>
      </c>
    </row>
    <row r="2132" spans="1:23" x14ac:dyDescent="0.35">
      <c r="A2132" t="s">
        <v>1</v>
      </c>
      <c r="B2132">
        <v>2250</v>
      </c>
      <c r="C2132">
        <v>9</v>
      </c>
      <c r="D2132">
        <v>1</v>
      </c>
      <c r="E2132">
        <v>0</v>
      </c>
      <c r="F2132">
        <v>57094899</v>
      </c>
      <c r="G2132">
        <v>129838.25</v>
      </c>
      <c r="H2132">
        <v>57094899</v>
      </c>
      <c r="I2132">
        <v>57094899</v>
      </c>
      <c r="J2132">
        <v>-2.7633000000000001E-2</v>
      </c>
      <c r="K2132">
        <v>-2.7633000000000001E-2</v>
      </c>
      <c r="M2132" t="s">
        <v>1</v>
      </c>
      <c r="N2132">
        <v>2250</v>
      </c>
      <c r="O2132">
        <v>10</v>
      </c>
      <c r="P2132">
        <v>1</v>
      </c>
      <c r="Q2132">
        <v>0</v>
      </c>
      <c r="R2132">
        <v>33178162</v>
      </c>
      <c r="S2132">
        <v>75449.73</v>
      </c>
      <c r="T2132">
        <v>33102712.27</v>
      </c>
      <c r="U2132">
        <v>33102712.27</v>
      </c>
      <c r="V2132">
        <v>0</v>
      </c>
      <c r="W2132">
        <v>0</v>
      </c>
    </row>
    <row r="2133" spans="1:23" x14ac:dyDescent="0.35">
      <c r="A2133" t="s">
        <v>1</v>
      </c>
      <c r="B2133">
        <v>2500</v>
      </c>
      <c r="C2133">
        <v>9</v>
      </c>
      <c r="D2133">
        <v>1</v>
      </c>
      <c r="E2133">
        <v>0</v>
      </c>
      <c r="F2133">
        <v>11831783</v>
      </c>
      <c r="G2133">
        <v>26651.17</v>
      </c>
      <c r="H2133">
        <v>11831783</v>
      </c>
      <c r="I2133">
        <v>11831783</v>
      </c>
      <c r="J2133">
        <v>-2.7366999999999999E-2</v>
      </c>
      <c r="K2133">
        <v>-2.7366999999999999E-2</v>
      </c>
      <c r="M2133" t="s">
        <v>2</v>
      </c>
      <c r="N2133">
        <v>2250</v>
      </c>
      <c r="O2133">
        <v>10</v>
      </c>
      <c r="P2133">
        <v>1</v>
      </c>
      <c r="Q2133">
        <v>0</v>
      </c>
      <c r="R2133">
        <v>19088925</v>
      </c>
      <c r="S2133">
        <v>43230.34</v>
      </c>
      <c r="T2133">
        <v>19045694.66</v>
      </c>
      <c r="U2133">
        <v>19045694.66</v>
      </c>
      <c r="V2133">
        <v>0</v>
      </c>
      <c r="W2133">
        <v>0</v>
      </c>
    </row>
    <row r="2134" spans="1:23" x14ac:dyDescent="0.35">
      <c r="A2134" t="s">
        <v>2</v>
      </c>
      <c r="B2134">
        <v>3250</v>
      </c>
      <c r="C2134">
        <v>10</v>
      </c>
      <c r="D2134">
        <v>3</v>
      </c>
      <c r="E2134">
        <v>0</v>
      </c>
      <c r="F2134">
        <v>61606719</v>
      </c>
      <c r="G2134">
        <v>112571.06</v>
      </c>
      <c r="H2134">
        <v>61431628</v>
      </c>
      <c r="I2134">
        <v>61431628</v>
      </c>
      <c r="J2134">
        <v>1.2109999999999999E-2</v>
      </c>
      <c r="K2134">
        <v>1.2109999999999999E-2</v>
      </c>
      <c r="M2134" t="s">
        <v>1</v>
      </c>
      <c r="N2134">
        <v>3000</v>
      </c>
      <c r="O2134">
        <v>10</v>
      </c>
      <c r="P2134">
        <v>5</v>
      </c>
      <c r="Q2134">
        <v>0</v>
      </c>
      <c r="R2134">
        <v>129053822</v>
      </c>
      <c r="S2134">
        <v>267489.44</v>
      </c>
      <c r="T2134">
        <v>128786332.56</v>
      </c>
      <c r="U2134">
        <v>128786332.56</v>
      </c>
      <c r="V2134">
        <v>0</v>
      </c>
      <c r="W2134">
        <v>0</v>
      </c>
    </row>
    <row r="2135" spans="1:23" x14ac:dyDescent="0.35">
      <c r="A2135" t="s">
        <v>1</v>
      </c>
      <c r="B2135">
        <v>3250</v>
      </c>
      <c r="C2135">
        <v>10</v>
      </c>
      <c r="D2135">
        <v>6</v>
      </c>
      <c r="E2135">
        <v>0</v>
      </c>
      <c r="F2135">
        <v>159592418</v>
      </c>
      <c r="G2135">
        <v>299826.36</v>
      </c>
      <c r="H2135">
        <v>159356855</v>
      </c>
      <c r="I2135">
        <v>159356855</v>
      </c>
      <c r="J2135">
        <v>-4.8430000000000001E-3</v>
      </c>
      <c r="K2135">
        <v>-4.8430000000000001E-3</v>
      </c>
      <c r="M2135" t="s">
        <v>0</v>
      </c>
      <c r="N2135">
        <v>3250</v>
      </c>
      <c r="O2135">
        <v>9</v>
      </c>
      <c r="P2135">
        <v>12</v>
      </c>
      <c r="Q2135">
        <v>0</v>
      </c>
      <c r="R2135">
        <v>259588724</v>
      </c>
      <c r="S2135">
        <v>445099.42</v>
      </c>
      <c r="T2135">
        <v>259143624.58000001</v>
      </c>
      <c r="U2135">
        <v>259143624.58000001</v>
      </c>
      <c r="V2135">
        <v>0</v>
      </c>
      <c r="W2135">
        <v>0</v>
      </c>
    </row>
    <row r="2136" spans="1:23" x14ac:dyDescent="0.35">
      <c r="A2136" t="s">
        <v>1</v>
      </c>
      <c r="B2136">
        <v>3000</v>
      </c>
      <c r="C2136">
        <v>9</v>
      </c>
      <c r="D2136">
        <v>1</v>
      </c>
      <c r="E2136">
        <v>0</v>
      </c>
      <c r="F2136">
        <v>34138817</v>
      </c>
      <c r="G2136">
        <v>70189.259999999995</v>
      </c>
      <c r="H2136">
        <v>33995785</v>
      </c>
      <c r="I2136">
        <v>33995785</v>
      </c>
      <c r="J2136">
        <v>2.5305999999999999E-2</v>
      </c>
      <c r="K2136">
        <v>2.5305999999999999E-2</v>
      </c>
      <c r="M2136" t="s">
        <v>0</v>
      </c>
      <c r="N2136">
        <v>2750</v>
      </c>
      <c r="O2136">
        <v>9</v>
      </c>
      <c r="P2136">
        <v>3</v>
      </c>
      <c r="Q2136">
        <v>0</v>
      </c>
      <c r="R2136">
        <v>67322356</v>
      </c>
      <c r="S2136">
        <v>125101.39</v>
      </c>
      <c r="T2136">
        <v>67197254.609999999</v>
      </c>
      <c r="U2136">
        <v>67197254.609999999</v>
      </c>
      <c r="V2136">
        <v>0</v>
      </c>
      <c r="W2136">
        <v>0</v>
      </c>
    </row>
    <row r="2137" spans="1:23" x14ac:dyDescent="0.35">
      <c r="A2137" t="s">
        <v>0</v>
      </c>
      <c r="B2137">
        <v>3000</v>
      </c>
      <c r="C2137">
        <v>18</v>
      </c>
      <c r="D2137">
        <v>1</v>
      </c>
      <c r="E2137">
        <v>0</v>
      </c>
      <c r="F2137">
        <v>16403244</v>
      </c>
      <c r="G2137">
        <v>30401.9</v>
      </c>
      <c r="H2137">
        <v>16403244</v>
      </c>
      <c r="I2137">
        <v>16403244</v>
      </c>
      <c r="J2137">
        <v>-2.2468999999999999E-2</v>
      </c>
      <c r="K2137">
        <v>-2.2468999999999999E-2</v>
      </c>
      <c r="M2137" t="s">
        <v>0</v>
      </c>
      <c r="N2137">
        <v>3000</v>
      </c>
      <c r="O2137">
        <v>9</v>
      </c>
      <c r="P2137">
        <v>5</v>
      </c>
      <c r="Q2137">
        <v>0</v>
      </c>
      <c r="R2137">
        <v>156094856</v>
      </c>
      <c r="S2137">
        <v>282205.3</v>
      </c>
      <c r="T2137">
        <v>155812650.69999999</v>
      </c>
      <c r="U2137">
        <v>155812650.69999999</v>
      </c>
      <c r="V2137">
        <v>0</v>
      </c>
      <c r="W2137">
        <v>0</v>
      </c>
    </row>
    <row r="2138" spans="1:23" x14ac:dyDescent="0.35">
      <c r="A2138" t="s">
        <v>1</v>
      </c>
      <c r="B2138">
        <v>3000</v>
      </c>
      <c r="C2138">
        <v>10</v>
      </c>
      <c r="D2138">
        <v>3</v>
      </c>
      <c r="E2138">
        <v>0</v>
      </c>
      <c r="F2138">
        <v>102187882</v>
      </c>
      <c r="G2138">
        <v>208466.55</v>
      </c>
      <c r="H2138">
        <v>102026939</v>
      </c>
      <c r="I2138">
        <v>102026939</v>
      </c>
      <c r="J2138">
        <v>-5.5950000000000001E-3</v>
      </c>
      <c r="K2138">
        <v>-5.5950000000000001E-3</v>
      </c>
      <c r="M2138" t="s">
        <v>2</v>
      </c>
      <c r="N2138">
        <v>3250</v>
      </c>
      <c r="O2138">
        <v>10</v>
      </c>
      <c r="P2138">
        <v>4</v>
      </c>
      <c r="Q2138">
        <v>0</v>
      </c>
      <c r="R2138">
        <v>47842024</v>
      </c>
      <c r="S2138">
        <v>82544.78</v>
      </c>
      <c r="T2138">
        <v>47759479.219999999</v>
      </c>
      <c r="U2138">
        <v>47759479.219999999</v>
      </c>
      <c r="V2138">
        <v>0</v>
      </c>
      <c r="W2138">
        <v>0</v>
      </c>
    </row>
    <row r="2139" spans="1:23" x14ac:dyDescent="0.35">
      <c r="A2139" t="s">
        <v>1</v>
      </c>
      <c r="B2139">
        <v>3750</v>
      </c>
      <c r="C2139">
        <v>9</v>
      </c>
      <c r="D2139">
        <v>65</v>
      </c>
      <c r="E2139">
        <v>0</v>
      </c>
      <c r="F2139">
        <v>2509190623</v>
      </c>
      <c r="G2139">
        <v>3943384.05</v>
      </c>
      <c r="H2139">
        <v>2504214274</v>
      </c>
      <c r="I2139">
        <v>2504214274</v>
      </c>
      <c r="J2139">
        <v>4.9290000000000002E-3</v>
      </c>
      <c r="K2139">
        <v>4.9290000000000002E-3</v>
      </c>
      <c r="M2139" t="s">
        <v>1</v>
      </c>
      <c r="N2139">
        <v>2750</v>
      </c>
      <c r="O2139">
        <v>9</v>
      </c>
      <c r="P2139">
        <v>1</v>
      </c>
      <c r="Q2139">
        <v>0</v>
      </c>
      <c r="R2139">
        <v>16973913</v>
      </c>
      <c r="S2139">
        <v>34922.17</v>
      </c>
      <c r="T2139">
        <v>16938990.829999998</v>
      </c>
      <c r="U2139">
        <v>16938990.829999998</v>
      </c>
      <c r="V2139">
        <v>0</v>
      </c>
      <c r="W2139">
        <v>0</v>
      </c>
    </row>
    <row r="2140" spans="1:23" x14ac:dyDescent="0.35">
      <c r="A2140" t="s">
        <v>1</v>
      </c>
      <c r="B2140">
        <v>3250</v>
      </c>
      <c r="C2140">
        <v>9</v>
      </c>
      <c r="D2140">
        <v>9</v>
      </c>
      <c r="E2140">
        <v>0</v>
      </c>
      <c r="F2140">
        <v>260830942</v>
      </c>
      <c r="G2140">
        <v>462934.8</v>
      </c>
      <c r="H2140">
        <v>260236106</v>
      </c>
      <c r="I2140">
        <v>260236106</v>
      </c>
      <c r="J2140">
        <v>6.0520000000000001E-3</v>
      </c>
      <c r="K2140">
        <v>6.0520000000000001E-3</v>
      </c>
      <c r="M2140" t="s">
        <v>2</v>
      </c>
      <c r="N2140">
        <v>3000</v>
      </c>
      <c r="O2140">
        <v>10</v>
      </c>
      <c r="P2140">
        <v>2</v>
      </c>
      <c r="Q2140">
        <v>0</v>
      </c>
      <c r="R2140">
        <v>34829413</v>
      </c>
      <c r="S2140">
        <v>62362.1</v>
      </c>
      <c r="T2140">
        <v>34767050.899999999</v>
      </c>
      <c r="U2140">
        <v>34767050.899999999</v>
      </c>
      <c r="V2140">
        <v>0</v>
      </c>
      <c r="W2140">
        <v>0</v>
      </c>
    </row>
    <row r="2141" spans="1:23" x14ac:dyDescent="0.35">
      <c r="A2141" t="s">
        <v>2</v>
      </c>
      <c r="B2141">
        <v>3500</v>
      </c>
      <c r="C2141">
        <v>10</v>
      </c>
      <c r="D2141">
        <v>5</v>
      </c>
      <c r="E2141">
        <v>0</v>
      </c>
      <c r="F2141">
        <v>100285394</v>
      </c>
      <c r="G2141">
        <v>165788.35999999999</v>
      </c>
      <c r="H2141">
        <v>84536974</v>
      </c>
      <c r="I2141">
        <v>84536974</v>
      </c>
      <c r="J2141">
        <v>0.86819900000000005</v>
      </c>
      <c r="K2141">
        <v>0.86819900000000005</v>
      </c>
      <c r="M2141" t="s">
        <v>0</v>
      </c>
      <c r="N2141">
        <v>3500</v>
      </c>
      <c r="O2141">
        <v>9</v>
      </c>
      <c r="P2141">
        <v>21</v>
      </c>
      <c r="Q2141">
        <v>0</v>
      </c>
      <c r="R2141">
        <v>672558793</v>
      </c>
      <c r="S2141">
        <v>1104411.1200000001</v>
      </c>
      <c r="T2141">
        <v>671454381.88</v>
      </c>
      <c r="U2141">
        <v>671454381.88</v>
      </c>
      <c r="V2141">
        <v>0</v>
      </c>
      <c r="W2141">
        <v>0</v>
      </c>
    </row>
    <row r="2142" spans="1:23" x14ac:dyDescent="0.35">
      <c r="A2142" t="s">
        <v>1</v>
      </c>
      <c r="B2142">
        <v>3500</v>
      </c>
      <c r="C2142">
        <v>9</v>
      </c>
      <c r="D2142">
        <v>9</v>
      </c>
      <c r="E2142">
        <v>0</v>
      </c>
      <c r="F2142">
        <v>335705715</v>
      </c>
      <c r="G2142">
        <v>568080.9</v>
      </c>
      <c r="H2142">
        <v>335356878</v>
      </c>
      <c r="I2142">
        <v>335356878</v>
      </c>
      <c r="J2142">
        <v>-7.8650000000000005E-3</v>
      </c>
      <c r="K2142">
        <v>-7.8650000000000005E-3</v>
      </c>
      <c r="M2142" t="s">
        <v>1</v>
      </c>
      <c r="N2142">
        <v>3500</v>
      </c>
      <c r="O2142">
        <v>10</v>
      </c>
      <c r="P2142">
        <v>3</v>
      </c>
      <c r="Q2142">
        <v>0</v>
      </c>
      <c r="R2142">
        <v>71479063</v>
      </c>
      <c r="S2142">
        <v>124628.97</v>
      </c>
      <c r="T2142">
        <v>71354434.030000001</v>
      </c>
      <c r="U2142">
        <v>71354434.030000001</v>
      </c>
      <c r="V2142">
        <v>0</v>
      </c>
      <c r="W2142">
        <v>0</v>
      </c>
    </row>
    <row r="2143" spans="1:23" x14ac:dyDescent="0.35">
      <c r="A2143" t="s">
        <v>0</v>
      </c>
      <c r="B2143">
        <v>3750</v>
      </c>
      <c r="C2143">
        <v>9</v>
      </c>
      <c r="D2143">
        <v>202</v>
      </c>
      <c r="E2143">
        <v>0</v>
      </c>
      <c r="F2143">
        <v>7421041110</v>
      </c>
      <c r="G2143">
        <v>11658120.68</v>
      </c>
      <c r="H2143">
        <v>7407925956</v>
      </c>
      <c r="I2143">
        <v>7407925956</v>
      </c>
      <c r="J2143">
        <v>2.3540000000000002E-3</v>
      </c>
      <c r="K2143">
        <v>2.3540000000000002E-3</v>
      </c>
      <c r="M2143" t="s">
        <v>1</v>
      </c>
      <c r="N2143">
        <v>3750</v>
      </c>
      <c r="O2143">
        <v>9</v>
      </c>
      <c r="P2143">
        <v>43</v>
      </c>
      <c r="Q2143">
        <v>0</v>
      </c>
      <c r="R2143">
        <v>1692687348</v>
      </c>
      <c r="S2143">
        <v>2671255.15</v>
      </c>
      <c r="T2143">
        <v>1690016092.8499999</v>
      </c>
      <c r="U2143">
        <v>1690016092.8499999</v>
      </c>
      <c r="V2143">
        <v>0</v>
      </c>
      <c r="W2143">
        <v>0</v>
      </c>
    </row>
    <row r="2144" spans="1:23" x14ac:dyDescent="0.35">
      <c r="A2144" t="s">
        <v>2</v>
      </c>
      <c r="B2144">
        <v>4000</v>
      </c>
      <c r="C2144">
        <v>9</v>
      </c>
      <c r="D2144">
        <v>69</v>
      </c>
      <c r="E2144">
        <v>0</v>
      </c>
      <c r="F2144">
        <v>2024763712</v>
      </c>
      <c r="G2144">
        <v>3052342.17</v>
      </c>
      <c r="H2144">
        <v>2021948198</v>
      </c>
      <c r="I2144">
        <v>2021948198</v>
      </c>
      <c r="J2144">
        <v>-1.4040000000000001E-3</v>
      </c>
      <c r="K2144">
        <v>-1.4040000000000001E-3</v>
      </c>
      <c r="M2144" t="s">
        <v>0</v>
      </c>
      <c r="N2144">
        <v>3750</v>
      </c>
      <c r="O2144">
        <v>9</v>
      </c>
      <c r="P2144">
        <v>112</v>
      </c>
      <c r="Q2144">
        <v>0</v>
      </c>
      <c r="R2144">
        <v>4285098442</v>
      </c>
      <c r="S2144">
        <v>6734916.75</v>
      </c>
      <c r="T2144">
        <v>4278363525.25</v>
      </c>
      <c r="U2144">
        <v>4278363525.25</v>
      </c>
      <c r="V2144">
        <v>0</v>
      </c>
      <c r="W2144">
        <v>0</v>
      </c>
    </row>
    <row r="2145" spans="1:23" x14ac:dyDescent="0.35">
      <c r="A2145" t="s">
        <v>2</v>
      </c>
      <c r="B2145">
        <v>4250</v>
      </c>
      <c r="C2145">
        <v>9</v>
      </c>
      <c r="D2145">
        <v>10</v>
      </c>
      <c r="E2145">
        <v>0</v>
      </c>
      <c r="F2145">
        <v>268302134</v>
      </c>
      <c r="G2145">
        <v>388558.66</v>
      </c>
      <c r="H2145">
        <v>267911795</v>
      </c>
      <c r="I2145">
        <v>267911795</v>
      </c>
      <c r="J2145">
        <v>8.0000000000000007E-5</v>
      </c>
      <c r="K2145">
        <v>8.0000000000000007E-5</v>
      </c>
      <c r="M2145" t="s">
        <v>2</v>
      </c>
      <c r="N2145">
        <v>3750</v>
      </c>
      <c r="O2145">
        <v>9</v>
      </c>
      <c r="P2145">
        <v>5</v>
      </c>
      <c r="Q2145">
        <v>0</v>
      </c>
      <c r="R2145">
        <v>112929264</v>
      </c>
      <c r="S2145">
        <v>177367.63</v>
      </c>
      <c r="T2145">
        <v>112751896.37</v>
      </c>
      <c r="U2145">
        <v>112751896.37</v>
      </c>
      <c r="V2145">
        <v>0</v>
      </c>
      <c r="W2145">
        <v>0</v>
      </c>
    </row>
    <row r="2146" spans="1:23" x14ac:dyDescent="0.35">
      <c r="A2146" t="s">
        <v>0</v>
      </c>
      <c r="B2146">
        <v>4500</v>
      </c>
      <c r="C2146">
        <v>9</v>
      </c>
      <c r="D2146">
        <v>1068</v>
      </c>
      <c r="E2146">
        <v>0</v>
      </c>
      <c r="F2146">
        <v>36005345288</v>
      </c>
      <c r="G2146">
        <v>49769854.149999999</v>
      </c>
      <c r="H2146">
        <v>35945273197</v>
      </c>
      <c r="I2146">
        <v>35945273197</v>
      </c>
      <c r="J2146">
        <v>3.4280000000000001E-3</v>
      </c>
      <c r="K2146">
        <v>3.4280000000000001E-3</v>
      </c>
      <c r="M2146" t="s">
        <v>2</v>
      </c>
      <c r="N2146">
        <v>3500</v>
      </c>
      <c r="O2146">
        <v>10</v>
      </c>
      <c r="P2146">
        <v>2</v>
      </c>
      <c r="Q2146">
        <v>0</v>
      </c>
      <c r="R2146">
        <v>18342156</v>
      </c>
      <c r="S2146">
        <v>30511.43</v>
      </c>
      <c r="T2146">
        <v>18311644.57</v>
      </c>
      <c r="U2146">
        <v>18311644.57</v>
      </c>
      <c r="V2146">
        <v>0</v>
      </c>
      <c r="W2146">
        <v>0</v>
      </c>
    </row>
    <row r="2147" spans="1:23" x14ac:dyDescent="0.35">
      <c r="A2147" t="s">
        <v>1</v>
      </c>
      <c r="B2147">
        <v>4500</v>
      </c>
      <c r="C2147">
        <v>9</v>
      </c>
      <c r="D2147">
        <v>368</v>
      </c>
      <c r="E2147">
        <v>0</v>
      </c>
      <c r="F2147">
        <v>13904126963</v>
      </c>
      <c r="G2147">
        <v>19238327.760000002</v>
      </c>
      <c r="H2147">
        <v>13884246605</v>
      </c>
      <c r="I2147">
        <v>13884246605</v>
      </c>
      <c r="J2147">
        <v>5.5400000000000002E-4</v>
      </c>
      <c r="K2147">
        <v>5.5400000000000002E-4</v>
      </c>
      <c r="M2147" t="s">
        <v>1</v>
      </c>
      <c r="N2147">
        <v>3500</v>
      </c>
      <c r="O2147">
        <v>9</v>
      </c>
      <c r="P2147">
        <v>3</v>
      </c>
      <c r="Q2147">
        <v>0</v>
      </c>
      <c r="R2147">
        <v>110745491</v>
      </c>
      <c r="S2147">
        <v>189454.1</v>
      </c>
      <c r="T2147">
        <v>110556036.90000001</v>
      </c>
      <c r="U2147">
        <v>110556036.90000001</v>
      </c>
      <c r="V2147">
        <v>0</v>
      </c>
      <c r="W2147">
        <v>0</v>
      </c>
    </row>
    <row r="2148" spans="1:23" x14ac:dyDescent="0.35">
      <c r="A2148" t="s">
        <v>2</v>
      </c>
      <c r="B2148">
        <v>4500</v>
      </c>
      <c r="C2148">
        <v>9</v>
      </c>
      <c r="D2148">
        <v>29</v>
      </c>
      <c r="E2148">
        <v>0</v>
      </c>
      <c r="F2148">
        <v>809794023</v>
      </c>
      <c r="G2148">
        <v>1118880.82</v>
      </c>
      <c r="H2148">
        <v>808757461</v>
      </c>
      <c r="I2148">
        <v>808757461</v>
      </c>
      <c r="J2148">
        <v>-1.2210000000000001E-3</v>
      </c>
      <c r="K2148">
        <v>-1.2210000000000001E-3</v>
      </c>
      <c r="M2148" t="s">
        <v>2</v>
      </c>
      <c r="N2148">
        <v>4000</v>
      </c>
      <c r="O2148">
        <v>9</v>
      </c>
      <c r="P2148">
        <v>48</v>
      </c>
      <c r="Q2148">
        <v>0</v>
      </c>
      <c r="R2148">
        <v>1363698949</v>
      </c>
      <c r="S2148">
        <v>2055095.85</v>
      </c>
      <c r="T2148">
        <v>1361643853.1500001</v>
      </c>
      <c r="U2148">
        <v>1361643853.1500001</v>
      </c>
      <c r="V2148">
        <v>0</v>
      </c>
      <c r="W2148">
        <v>0</v>
      </c>
    </row>
    <row r="2149" spans="1:23" x14ac:dyDescent="0.35">
      <c r="A2149" t="s">
        <v>3</v>
      </c>
      <c r="B2149">
        <v>5250</v>
      </c>
      <c r="C2149">
        <v>9</v>
      </c>
      <c r="D2149">
        <v>2</v>
      </c>
      <c r="E2149">
        <v>0</v>
      </c>
      <c r="F2149">
        <v>34805303</v>
      </c>
      <c r="G2149">
        <v>41963.59</v>
      </c>
      <c r="H2149">
        <v>34762217</v>
      </c>
      <c r="I2149">
        <v>34762217</v>
      </c>
      <c r="J2149">
        <v>3.8699999999999997E-4</v>
      </c>
      <c r="K2149">
        <v>3.8699999999999997E-4</v>
      </c>
      <c r="M2149" t="s">
        <v>0</v>
      </c>
      <c r="N2149">
        <v>4250</v>
      </c>
      <c r="O2149">
        <v>9</v>
      </c>
      <c r="P2149">
        <v>330</v>
      </c>
      <c r="Q2149">
        <v>0</v>
      </c>
      <c r="R2149">
        <v>10784931872</v>
      </c>
      <c r="S2149">
        <v>15572297.48</v>
      </c>
      <c r="T2149">
        <v>10769359574.52</v>
      </c>
      <c r="U2149">
        <v>10769359574.52</v>
      </c>
      <c r="V2149">
        <v>0</v>
      </c>
      <c r="W2149">
        <v>0</v>
      </c>
    </row>
    <row r="2150" spans="1:23" x14ac:dyDescent="0.35">
      <c r="A2150" t="s">
        <v>3</v>
      </c>
      <c r="B2150">
        <v>5500</v>
      </c>
      <c r="C2150">
        <v>9</v>
      </c>
      <c r="D2150">
        <v>1</v>
      </c>
      <c r="E2150">
        <v>0</v>
      </c>
      <c r="F2150">
        <v>19469928</v>
      </c>
      <c r="G2150">
        <v>22431.37</v>
      </c>
      <c r="H2150">
        <v>19447339</v>
      </c>
      <c r="I2150">
        <v>19447339</v>
      </c>
      <c r="J2150">
        <v>9.7E-5</v>
      </c>
      <c r="K2150">
        <v>9.7E-5</v>
      </c>
      <c r="M2150" t="s">
        <v>1</v>
      </c>
      <c r="N2150">
        <v>4250</v>
      </c>
      <c r="O2150">
        <v>9</v>
      </c>
      <c r="P2150">
        <v>130</v>
      </c>
      <c r="Q2150">
        <v>0</v>
      </c>
      <c r="R2150">
        <v>4976647299</v>
      </c>
      <c r="S2150">
        <v>7190356.04</v>
      </c>
      <c r="T2150">
        <v>4969456942.96</v>
      </c>
      <c r="U2150">
        <v>4969456942.96</v>
      </c>
      <c r="V2150">
        <v>0</v>
      </c>
      <c r="W2150">
        <v>0</v>
      </c>
    </row>
    <row r="2151" spans="1:23" x14ac:dyDescent="0.35">
      <c r="A2151" t="s">
        <v>0</v>
      </c>
      <c r="B2151">
        <v>2500</v>
      </c>
      <c r="C2151">
        <v>10</v>
      </c>
      <c r="D2151">
        <v>1</v>
      </c>
      <c r="E2151">
        <v>0</v>
      </c>
      <c r="F2151">
        <v>24612936</v>
      </c>
      <c r="G2151">
        <v>47842.79</v>
      </c>
      <c r="H2151">
        <v>24564622</v>
      </c>
      <c r="I2151">
        <v>24564622</v>
      </c>
      <c r="J2151">
        <v>2.3000000000000001E-4</v>
      </c>
      <c r="K2151">
        <v>2.3000000000000001E-4</v>
      </c>
      <c r="M2151" t="s">
        <v>2</v>
      </c>
      <c r="N2151">
        <v>4250</v>
      </c>
      <c r="O2151">
        <v>9</v>
      </c>
      <c r="P2151">
        <v>12</v>
      </c>
      <c r="Q2151">
        <v>0</v>
      </c>
      <c r="R2151">
        <v>303107673</v>
      </c>
      <c r="S2151">
        <v>443057.34</v>
      </c>
      <c r="T2151">
        <v>302664615.66000003</v>
      </c>
      <c r="U2151">
        <v>302664615.66000003</v>
      </c>
      <c r="V2151">
        <v>0</v>
      </c>
      <c r="W2151">
        <v>0</v>
      </c>
    </row>
    <row r="2152" spans="1:23" x14ac:dyDescent="0.35">
      <c r="A2152" t="s">
        <v>1</v>
      </c>
      <c r="B2152">
        <v>2500</v>
      </c>
      <c r="C2152">
        <v>8</v>
      </c>
      <c r="D2152">
        <v>6</v>
      </c>
      <c r="E2152">
        <v>0</v>
      </c>
      <c r="F2152">
        <v>202261079</v>
      </c>
      <c r="G2152">
        <v>390011.92</v>
      </c>
      <c r="H2152">
        <v>201602627</v>
      </c>
      <c r="I2152">
        <v>201602627</v>
      </c>
      <c r="J2152">
        <v>1.5810999999999999E-2</v>
      </c>
      <c r="K2152">
        <v>1.5810999999999999E-2</v>
      </c>
      <c r="M2152" t="s">
        <v>0</v>
      </c>
      <c r="N2152">
        <v>4500</v>
      </c>
      <c r="O2152">
        <v>9</v>
      </c>
      <c r="P2152">
        <v>945</v>
      </c>
      <c r="Q2152">
        <v>0</v>
      </c>
      <c r="R2152">
        <v>31715467905</v>
      </c>
      <c r="S2152">
        <v>43853975.549999997</v>
      </c>
      <c r="T2152">
        <v>31671613929.450001</v>
      </c>
      <c r="U2152">
        <v>31671613929.450001</v>
      </c>
      <c r="V2152">
        <v>0</v>
      </c>
      <c r="W2152">
        <v>0</v>
      </c>
    </row>
    <row r="2153" spans="1:23" x14ac:dyDescent="0.35">
      <c r="A2153" t="s">
        <v>2</v>
      </c>
      <c r="B2153">
        <v>3000</v>
      </c>
      <c r="C2153">
        <v>10</v>
      </c>
      <c r="D2153">
        <v>1</v>
      </c>
      <c r="E2153">
        <v>0</v>
      </c>
      <c r="F2153">
        <v>17406809</v>
      </c>
      <c r="G2153">
        <v>31818.63</v>
      </c>
      <c r="H2153">
        <v>17406809</v>
      </c>
      <c r="I2153">
        <v>17406809</v>
      </c>
      <c r="J2153">
        <v>-2.2157E-2</v>
      </c>
      <c r="K2153">
        <v>-2.2157E-2</v>
      </c>
      <c r="M2153" t="s">
        <v>1</v>
      </c>
      <c r="N2153">
        <v>4500</v>
      </c>
      <c r="O2153">
        <v>9</v>
      </c>
      <c r="P2153">
        <v>303</v>
      </c>
      <c r="Q2153">
        <v>0</v>
      </c>
      <c r="R2153">
        <v>11070220738</v>
      </c>
      <c r="S2153">
        <v>15326907.02</v>
      </c>
      <c r="T2153">
        <v>11054893830.98</v>
      </c>
      <c r="U2153">
        <v>11054893830.98</v>
      </c>
      <c r="V2153">
        <v>0</v>
      </c>
      <c r="W2153">
        <v>0</v>
      </c>
    </row>
    <row r="2154" spans="1:23" x14ac:dyDescent="0.35">
      <c r="A2154" t="s">
        <v>2</v>
      </c>
      <c r="B2154">
        <v>3000</v>
      </c>
      <c r="C2154">
        <v>9</v>
      </c>
      <c r="D2154">
        <v>5</v>
      </c>
      <c r="E2154">
        <v>0</v>
      </c>
      <c r="F2154">
        <v>123565620</v>
      </c>
      <c r="G2154">
        <v>230549.5</v>
      </c>
      <c r="H2154">
        <v>123441991</v>
      </c>
      <c r="I2154">
        <v>123441991</v>
      </c>
      <c r="J2154">
        <v>-1.0433E-2</v>
      </c>
      <c r="K2154">
        <v>-1.0433E-2</v>
      </c>
      <c r="M2154" t="s">
        <v>2</v>
      </c>
      <c r="N2154">
        <v>4500</v>
      </c>
      <c r="O2154">
        <v>9</v>
      </c>
      <c r="P2154">
        <v>25</v>
      </c>
      <c r="Q2154">
        <v>0</v>
      </c>
      <c r="R2154">
        <v>703932208</v>
      </c>
      <c r="S2154">
        <v>974007.02</v>
      </c>
      <c r="T2154">
        <v>702958200.98000002</v>
      </c>
      <c r="U2154">
        <v>702958200.98000002</v>
      </c>
      <c r="V2154">
        <v>0</v>
      </c>
      <c r="W2154">
        <v>0</v>
      </c>
    </row>
    <row r="2155" spans="1:23" x14ac:dyDescent="0.35">
      <c r="A2155" t="s">
        <v>0</v>
      </c>
      <c r="B2155">
        <v>3250</v>
      </c>
      <c r="C2155">
        <v>9</v>
      </c>
      <c r="D2155">
        <v>2</v>
      </c>
      <c r="E2155">
        <v>0</v>
      </c>
      <c r="F2155">
        <v>76115387</v>
      </c>
      <c r="G2155">
        <v>131566.54999999999</v>
      </c>
      <c r="H2155">
        <v>75917974</v>
      </c>
      <c r="I2155">
        <v>75917974</v>
      </c>
      <c r="J2155">
        <v>1.0331999999999999E-2</v>
      </c>
      <c r="K2155">
        <v>1.0331999999999999E-2</v>
      </c>
      <c r="M2155" t="s">
        <v>3</v>
      </c>
      <c r="N2155">
        <v>5250</v>
      </c>
      <c r="O2155">
        <v>9</v>
      </c>
      <c r="P2155">
        <v>1</v>
      </c>
      <c r="Q2155">
        <v>0</v>
      </c>
      <c r="R2155">
        <v>31712883</v>
      </c>
      <c r="S2155">
        <v>39108.239999999998</v>
      </c>
      <c r="T2155">
        <v>31673774.760000002</v>
      </c>
      <c r="U2155">
        <v>31673774.760000002</v>
      </c>
      <c r="V2155">
        <v>0</v>
      </c>
      <c r="W2155">
        <v>0</v>
      </c>
    </row>
    <row r="2156" spans="1:23" x14ac:dyDescent="0.35">
      <c r="A2156" t="s">
        <v>1</v>
      </c>
      <c r="B2156">
        <v>3500</v>
      </c>
      <c r="C2156">
        <v>8</v>
      </c>
      <c r="D2156">
        <v>9</v>
      </c>
      <c r="E2156">
        <v>0</v>
      </c>
      <c r="F2156">
        <v>340827297</v>
      </c>
      <c r="G2156">
        <v>568881.54</v>
      </c>
      <c r="H2156">
        <v>340212509</v>
      </c>
      <c r="I2156">
        <v>340212509</v>
      </c>
      <c r="J2156">
        <v>1.6149999999999999E-3</v>
      </c>
      <c r="K2156">
        <v>1.6149999999999999E-3</v>
      </c>
      <c r="M2156" t="s">
        <v>3</v>
      </c>
      <c r="N2156">
        <v>7500</v>
      </c>
      <c r="O2156">
        <v>9</v>
      </c>
      <c r="P2156">
        <v>1</v>
      </c>
      <c r="Q2156">
        <v>0</v>
      </c>
      <c r="R2156">
        <v>27449110</v>
      </c>
      <c r="S2156">
        <v>22226.63</v>
      </c>
      <c r="T2156">
        <v>27426883.370000001</v>
      </c>
      <c r="U2156">
        <v>27426883.370000001</v>
      </c>
      <c r="V2156">
        <v>0</v>
      </c>
      <c r="W2156">
        <v>0</v>
      </c>
    </row>
    <row r="2157" spans="1:23" x14ac:dyDescent="0.35">
      <c r="A2157" t="s">
        <v>2</v>
      </c>
      <c r="B2157">
        <v>3500</v>
      </c>
      <c r="C2157">
        <v>9</v>
      </c>
      <c r="D2157">
        <v>9</v>
      </c>
      <c r="E2157">
        <v>0</v>
      </c>
      <c r="F2157">
        <v>226341500</v>
      </c>
      <c r="G2157">
        <v>372585.36</v>
      </c>
      <c r="H2157">
        <v>225932929</v>
      </c>
      <c r="I2157">
        <v>225932929</v>
      </c>
      <c r="J2157">
        <v>1.9059999999999999E-3</v>
      </c>
      <c r="K2157">
        <v>1.9059999999999999E-3</v>
      </c>
      <c r="M2157" t="s">
        <v>1</v>
      </c>
      <c r="N2157">
        <v>8000</v>
      </c>
      <c r="O2157">
        <v>9</v>
      </c>
      <c r="P2157">
        <v>2</v>
      </c>
      <c r="Q2157">
        <v>0</v>
      </c>
      <c r="R2157">
        <v>59004991</v>
      </c>
      <c r="S2157">
        <v>42329.83</v>
      </c>
      <c r="T2157">
        <v>58962661.170000002</v>
      </c>
      <c r="U2157">
        <v>58962661.170000002</v>
      </c>
      <c r="V2157">
        <v>0</v>
      </c>
      <c r="W2157">
        <v>0</v>
      </c>
    </row>
    <row r="2158" spans="1:23" x14ac:dyDescent="0.35">
      <c r="A2158" t="s">
        <v>0</v>
      </c>
      <c r="B2158">
        <v>3500</v>
      </c>
      <c r="C2158">
        <v>9</v>
      </c>
      <c r="D2158">
        <v>21</v>
      </c>
      <c r="E2158">
        <v>0</v>
      </c>
      <c r="F2158">
        <v>671932226</v>
      </c>
      <c r="G2158">
        <v>1103212.7</v>
      </c>
      <c r="H2158">
        <v>670753640</v>
      </c>
      <c r="I2158">
        <v>670753640</v>
      </c>
      <c r="J2158">
        <v>1.3450000000000001E-3</v>
      </c>
      <c r="K2158">
        <v>1.3450000000000001E-3</v>
      </c>
      <c r="M2158" t="s">
        <v>0</v>
      </c>
      <c r="N2158">
        <v>9000</v>
      </c>
      <c r="O2158">
        <v>12</v>
      </c>
      <c r="P2158">
        <v>1</v>
      </c>
      <c r="Q2158">
        <v>0</v>
      </c>
      <c r="R2158">
        <v>16575024</v>
      </c>
      <c r="S2158">
        <v>10141.67</v>
      </c>
      <c r="T2158">
        <v>16564882.33</v>
      </c>
      <c r="U2158">
        <v>16564882.33</v>
      </c>
      <c r="V2158">
        <v>0</v>
      </c>
      <c r="W2158">
        <v>0</v>
      </c>
    </row>
    <row r="2159" spans="1:23" x14ac:dyDescent="0.35">
      <c r="A2159" t="s">
        <v>0</v>
      </c>
      <c r="B2159">
        <v>3750</v>
      </c>
      <c r="C2159">
        <v>8</v>
      </c>
      <c r="D2159">
        <v>80</v>
      </c>
      <c r="E2159">
        <v>0</v>
      </c>
      <c r="F2159">
        <v>2617688292</v>
      </c>
      <c r="G2159">
        <v>4092923.77</v>
      </c>
      <c r="H2159">
        <v>2613368427</v>
      </c>
      <c r="I2159">
        <v>2613368427</v>
      </c>
      <c r="J2159">
        <v>1.0399999999999999E-3</v>
      </c>
      <c r="K2159">
        <v>1.0399999999999999E-3</v>
      </c>
      <c r="M2159" t="s">
        <v>1</v>
      </c>
      <c r="N2159">
        <v>2250</v>
      </c>
      <c r="O2159">
        <v>8</v>
      </c>
      <c r="P2159">
        <v>1</v>
      </c>
      <c r="Q2159">
        <v>0</v>
      </c>
      <c r="R2159">
        <v>57094899</v>
      </c>
      <c r="S2159">
        <v>129301.77</v>
      </c>
      <c r="T2159">
        <v>56965597.229999997</v>
      </c>
      <c r="U2159">
        <v>56965597.229999997</v>
      </c>
      <c r="V2159">
        <v>0</v>
      </c>
      <c r="W2159">
        <v>0</v>
      </c>
    </row>
    <row r="2160" spans="1:23" x14ac:dyDescent="0.35">
      <c r="A2160" t="s">
        <v>2</v>
      </c>
      <c r="B2160">
        <v>3750</v>
      </c>
      <c r="C2160">
        <v>9</v>
      </c>
      <c r="D2160">
        <v>8</v>
      </c>
      <c r="E2160">
        <v>0</v>
      </c>
      <c r="F2160">
        <v>207100651</v>
      </c>
      <c r="G2160">
        <v>328849.39</v>
      </c>
      <c r="H2160">
        <v>206764952</v>
      </c>
      <c r="I2160">
        <v>206764952</v>
      </c>
      <c r="J2160">
        <v>3.97E-4</v>
      </c>
      <c r="K2160">
        <v>3.97E-4</v>
      </c>
      <c r="M2160" t="s">
        <v>1</v>
      </c>
      <c r="N2160">
        <v>2500</v>
      </c>
      <c r="O2160">
        <v>8</v>
      </c>
      <c r="P2160">
        <v>1</v>
      </c>
      <c r="Q2160">
        <v>0</v>
      </c>
      <c r="R2160">
        <v>11858379</v>
      </c>
      <c r="S2160">
        <v>26595.99</v>
      </c>
      <c r="T2160">
        <v>11831783.01</v>
      </c>
      <c r="U2160">
        <v>11831783.01</v>
      </c>
      <c r="V2160">
        <v>0</v>
      </c>
      <c r="W2160">
        <v>0</v>
      </c>
    </row>
    <row r="2161" spans="1:23" x14ac:dyDescent="0.35">
      <c r="A2161" t="s">
        <v>0</v>
      </c>
      <c r="B2161">
        <v>3500</v>
      </c>
      <c r="C2161">
        <v>8</v>
      </c>
      <c r="D2161">
        <v>12</v>
      </c>
      <c r="E2161">
        <v>0</v>
      </c>
      <c r="F2161">
        <v>420069306</v>
      </c>
      <c r="G2161">
        <v>687714.97</v>
      </c>
      <c r="H2161">
        <v>419353490</v>
      </c>
      <c r="I2161">
        <v>419353490</v>
      </c>
      <c r="J2161">
        <v>8.0199999999999998E-4</v>
      </c>
      <c r="K2161">
        <v>8.0199999999999998E-4</v>
      </c>
      <c r="M2161" t="s">
        <v>2</v>
      </c>
      <c r="N2161">
        <v>2750</v>
      </c>
      <c r="O2161">
        <v>10</v>
      </c>
      <c r="P2161">
        <v>1</v>
      </c>
      <c r="Q2161">
        <v>0</v>
      </c>
      <c r="R2161">
        <v>23116203</v>
      </c>
      <c r="S2161">
        <v>43134.15</v>
      </c>
      <c r="T2161">
        <v>23073068.850000001</v>
      </c>
      <c r="U2161">
        <v>23073068.850000001</v>
      </c>
      <c r="V2161">
        <v>0</v>
      </c>
      <c r="W2161">
        <v>0</v>
      </c>
    </row>
    <row r="2162" spans="1:23" x14ac:dyDescent="0.35">
      <c r="A2162" t="s">
        <v>1</v>
      </c>
      <c r="B2162">
        <v>3750</v>
      </c>
      <c r="C2162">
        <v>8</v>
      </c>
      <c r="D2162">
        <v>28</v>
      </c>
      <c r="E2162">
        <v>0</v>
      </c>
      <c r="F2162">
        <v>1062534061</v>
      </c>
      <c r="G2162">
        <v>1661025.23</v>
      </c>
      <c r="H2162">
        <v>1060845887</v>
      </c>
      <c r="I2162">
        <v>1060845887</v>
      </c>
      <c r="J2162">
        <v>3.0699999999999998E-4</v>
      </c>
      <c r="K2162">
        <v>3.0699999999999998E-4</v>
      </c>
      <c r="M2162" t="s">
        <v>2</v>
      </c>
      <c r="N2162">
        <v>3250</v>
      </c>
      <c r="O2162">
        <v>9</v>
      </c>
      <c r="P2162">
        <v>3</v>
      </c>
      <c r="Q2162">
        <v>0</v>
      </c>
      <c r="R2162">
        <v>61745945</v>
      </c>
      <c r="S2162">
        <v>112313.03</v>
      </c>
      <c r="T2162">
        <v>61633631.969999999</v>
      </c>
      <c r="U2162">
        <v>61633631.969999999</v>
      </c>
      <c r="V2162">
        <v>0</v>
      </c>
      <c r="W2162">
        <v>0</v>
      </c>
    </row>
    <row r="2163" spans="1:23" x14ac:dyDescent="0.35">
      <c r="A2163" t="s">
        <v>2</v>
      </c>
      <c r="B2163">
        <v>3750</v>
      </c>
      <c r="C2163">
        <v>8</v>
      </c>
      <c r="D2163">
        <v>7</v>
      </c>
      <c r="E2163">
        <v>0</v>
      </c>
      <c r="F2163">
        <v>203805835</v>
      </c>
      <c r="G2163">
        <v>321282.09999999998</v>
      </c>
      <c r="H2163">
        <v>203296102</v>
      </c>
      <c r="I2163">
        <v>203296102</v>
      </c>
      <c r="J2163">
        <v>1.1039999999999999E-2</v>
      </c>
      <c r="K2163">
        <v>1.1039999999999999E-2</v>
      </c>
      <c r="M2163" t="s">
        <v>1</v>
      </c>
      <c r="N2163">
        <v>3250</v>
      </c>
      <c r="O2163">
        <v>9</v>
      </c>
      <c r="P2163">
        <v>6</v>
      </c>
      <c r="Q2163">
        <v>0</v>
      </c>
      <c r="R2163">
        <v>159944354</v>
      </c>
      <c r="S2163">
        <v>299110.2</v>
      </c>
      <c r="T2163">
        <v>159645243.80000001</v>
      </c>
      <c r="U2163">
        <v>159645243.80000001</v>
      </c>
      <c r="V2163">
        <v>0</v>
      </c>
      <c r="W2163">
        <v>0</v>
      </c>
    </row>
    <row r="2164" spans="1:23" x14ac:dyDescent="0.35">
      <c r="A2164" t="s">
        <v>2</v>
      </c>
      <c r="B2164">
        <v>3250</v>
      </c>
      <c r="C2164">
        <v>9</v>
      </c>
      <c r="D2164">
        <v>2</v>
      </c>
      <c r="E2164">
        <v>0</v>
      </c>
      <c r="F2164">
        <v>27805578</v>
      </c>
      <c r="G2164">
        <v>47542.04</v>
      </c>
      <c r="H2164">
        <v>27782135</v>
      </c>
      <c r="I2164">
        <v>27782135</v>
      </c>
      <c r="J2164">
        <v>-1.0449999999999999E-2</v>
      </c>
      <c r="K2164">
        <v>-1.0449999999999999E-2</v>
      </c>
      <c r="M2164" t="s">
        <v>1</v>
      </c>
      <c r="N2164">
        <v>3000</v>
      </c>
      <c r="O2164">
        <v>8</v>
      </c>
      <c r="P2164">
        <v>1</v>
      </c>
      <c r="Q2164">
        <v>0</v>
      </c>
      <c r="R2164">
        <v>34138817</v>
      </c>
      <c r="S2164">
        <v>69871.509999999995</v>
      </c>
      <c r="T2164">
        <v>34068945.490000002</v>
      </c>
      <c r="U2164">
        <v>34068945.490000002</v>
      </c>
      <c r="V2164">
        <v>0</v>
      </c>
      <c r="W2164">
        <v>0</v>
      </c>
    </row>
    <row r="2165" spans="1:23" x14ac:dyDescent="0.35">
      <c r="A2165" t="s">
        <v>1</v>
      </c>
      <c r="B2165">
        <v>3250</v>
      </c>
      <c r="C2165">
        <v>8</v>
      </c>
      <c r="D2165">
        <v>4</v>
      </c>
      <c r="E2165">
        <v>0</v>
      </c>
      <c r="F2165">
        <v>154642211</v>
      </c>
      <c r="G2165">
        <v>263244.58</v>
      </c>
      <c r="H2165">
        <v>154434568</v>
      </c>
      <c r="I2165">
        <v>154434568</v>
      </c>
      <c r="J2165">
        <v>-4.3229999999999996E-3</v>
      </c>
      <c r="K2165">
        <v>-4.3229999999999996E-3</v>
      </c>
      <c r="M2165" t="s">
        <v>0</v>
      </c>
      <c r="N2165">
        <v>3000</v>
      </c>
      <c r="O2165">
        <v>18</v>
      </c>
      <c r="P2165">
        <v>1</v>
      </c>
      <c r="Q2165">
        <v>0</v>
      </c>
      <c r="R2165">
        <v>16433570</v>
      </c>
      <c r="S2165">
        <v>30326.080000000002</v>
      </c>
      <c r="T2165">
        <v>16403243.92</v>
      </c>
      <c r="U2165">
        <v>16403243.92</v>
      </c>
      <c r="V2165">
        <v>0</v>
      </c>
      <c r="W2165">
        <v>0</v>
      </c>
    </row>
    <row r="2166" spans="1:23" x14ac:dyDescent="0.35">
      <c r="A2166" t="s">
        <v>0</v>
      </c>
      <c r="B2166">
        <v>3250</v>
      </c>
      <c r="C2166">
        <v>8</v>
      </c>
      <c r="D2166">
        <v>2</v>
      </c>
      <c r="E2166">
        <v>0</v>
      </c>
      <c r="F2166">
        <v>56578907</v>
      </c>
      <c r="G2166">
        <v>96313.23</v>
      </c>
      <c r="H2166">
        <v>56433978</v>
      </c>
      <c r="I2166">
        <v>56433978</v>
      </c>
      <c r="J2166">
        <v>1.0262E-2</v>
      </c>
      <c r="K2166">
        <v>1.0262E-2</v>
      </c>
      <c r="M2166" t="s">
        <v>1</v>
      </c>
      <c r="N2166">
        <v>3000</v>
      </c>
      <c r="O2166">
        <v>9</v>
      </c>
      <c r="P2166">
        <v>3</v>
      </c>
      <c r="Q2166">
        <v>0</v>
      </c>
      <c r="R2166">
        <v>102300587</v>
      </c>
      <c r="S2166">
        <v>207752.09</v>
      </c>
      <c r="T2166">
        <v>102092834.91</v>
      </c>
      <c r="U2166">
        <v>102092834.91</v>
      </c>
      <c r="V2166">
        <v>0</v>
      </c>
      <c r="W2166">
        <v>0</v>
      </c>
    </row>
    <row r="2167" spans="1:23" x14ac:dyDescent="0.35">
      <c r="A2167" t="s">
        <v>2</v>
      </c>
      <c r="B2167">
        <v>4000</v>
      </c>
      <c r="C2167">
        <v>8</v>
      </c>
      <c r="D2167">
        <v>56</v>
      </c>
      <c r="E2167">
        <v>0</v>
      </c>
      <c r="F2167">
        <v>1656237419</v>
      </c>
      <c r="G2167">
        <v>2484989.54</v>
      </c>
      <c r="H2167">
        <v>1653441913</v>
      </c>
      <c r="I2167">
        <v>1653441913</v>
      </c>
      <c r="J2167">
        <v>2.2469999999999999E-3</v>
      </c>
      <c r="K2167">
        <v>2.2469999999999999E-3</v>
      </c>
      <c r="M2167" t="s">
        <v>1</v>
      </c>
      <c r="N2167">
        <v>3750</v>
      </c>
      <c r="O2167">
        <v>8</v>
      </c>
      <c r="P2167">
        <v>65</v>
      </c>
      <c r="Q2167">
        <v>0</v>
      </c>
      <c r="R2167">
        <v>2512833248</v>
      </c>
      <c r="S2167">
        <v>3930660.29</v>
      </c>
      <c r="T2167">
        <v>2508902587.71</v>
      </c>
      <c r="U2167">
        <v>2508902587.71</v>
      </c>
      <c r="V2167">
        <v>0</v>
      </c>
      <c r="W2167">
        <v>0</v>
      </c>
    </row>
    <row r="2168" spans="1:23" x14ac:dyDescent="0.35">
      <c r="A2168" t="s">
        <v>2</v>
      </c>
      <c r="B2168">
        <v>4250</v>
      </c>
      <c r="C2168">
        <v>8</v>
      </c>
      <c r="D2168">
        <v>14</v>
      </c>
      <c r="E2168">
        <v>0</v>
      </c>
      <c r="F2168">
        <v>416280104</v>
      </c>
      <c r="G2168">
        <v>598520.26</v>
      </c>
      <c r="H2168">
        <v>415624880</v>
      </c>
      <c r="I2168">
        <v>415624880</v>
      </c>
      <c r="J2168">
        <v>1.6329999999999999E-3</v>
      </c>
      <c r="K2168">
        <v>1.6329999999999999E-3</v>
      </c>
      <c r="M2168" t="s">
        <v>1</v>
      </c>
      <c r="N2168">
        <v>3250</v>
      </c>
      <c r="O2168">
        <v>8</v>
      </c>
      <c r="P2168">
        <v>9</v>
      </c>
      <c r="Q2168">
        <v>0</v>
      </c>
      <c r="R2168">
        <v>261273152</v>
      </c>
      <c r="S2168">
        <v>461642.06</v>
      </c>
      <c r="T2168">
        <v>260811509.94</v>
      </c>
      <c r="U2168">
        <v>260811509.94</v>
      </c>
      <c r="V2168">
        <v>0</v>
      </c>
      <c r="W2168">
        <v>0</v>
      </c>
    </row>
    <row r="2169" spans="1:23" x14ac:dyDescent="0.35">
      <c r="A2169" t="s">
        <v>0</v>
      </c>
      <c r="B2169">
        <v>4500</v>
      </c>
      <c r="C2169">
        <v>8</v>
      </c>
      <c r="D2169">
        <v>742</v>
      </c>
      <c r="E2169">
        <v>0</v>
      </c>
      <c r="F2169">
        <v>26058352258</v>
      </c>
      <c r="G2169">
        <v>35814942.200000003</v>
      </c>
      <c r="H2169">
        <v>26017700511</v>
      </c>
      <c r="I2169">
        <v>26017700511</v>
      </c>
      <c r="J2169">
        <v>2.225E-3</v>
      </c>
      <c r="K2169">
        <v>2.225E-3</v>
      </c>
      <c r="M2169" t="s">
        <v>2</v>
      </c>
      <c r="N2169">
        <v>3500</v>
      </c>
      <c r="O2169">
        <v>9</v>
      </c>
      <c r="P2169">
        <v>5</v>
      </c>
      <c r="Q2169">
        <v>0</v>
      </c>
      <c r="R2169">
        <v>100477474</v>
      </c>
      <c r="S2169">
        <v>165353.39000000001</v>
      </c>
      <c r="T2169">
        <v>100312120.61</v>
      </c>
      <c r="U2169">
        <v>100312120.61</v>
      </c>
      <c r="V2169">
        <v>0</v>
      </c>
      <c r="W2169">
        <v>0</v>
      </c>
    </row>
    <row r="2170" spans="1:23" x14ac:dyDescent="0.35">
      <c r="A2170" t="s">
        <v>1</v>
      </c>
      <c r="B2170">
        <v>4500</v>
      </c>
      <c r="C2170">
        <v>8</v>
      </c>
      <c r="D2170">
        <v>321</v>
      </c>
      <c r="E2170">
        <v>0</v>
      </c>
      <c r="F2170">
        <v>12174764903</v>
      </c>
      <c r="G2170">
        <v>16737145.41</v>
      </c>
      <c r="H2170">
        <v>12134425264</v>
      </c>
      <c r="I2170">
        <v>12156083991.799999</v>
      </c>
      <c r="J2170">
        <v>2.3016999999999999E-2</v>
      </c>
      <c r="K2170">
        <v>1.9139999999999999E-3</v>
      </c>
      <c r="M2170" t="s">
        <v>1</v>
      </c>
      <c r="N2170">
        <v>3500</v>
      </c>
      <c r="O2170">
        <v>8</v>
      </c>
      <c r="P2170">
        <v>9</v>
      </c>
      <c r="Q2170">
        <v>0</v>
      </c>
      <c r="R2170">
        <v>336254484</v>
      </c>
      <c r="S2170">
        <v>566374.68999999994</v>
      </c>
      <c r="T2170">
        <v>335688109.31</v>
      </c>
      <c r="U2170">
        <v>335688109.31</v>
      </c>
      <c r="V2170">
        <v>0</v>
      </c>
      <c r="W2170">
        <v>0</v>
      </c>
    </row>
    <row r="2171" spans="1:23" x14ac:dyDescent="0.35">
      <c r="A2171" t="s">
        <v>2</v>
      </c>
      <c r="B2171">
        <v>4500</v>
      </c>
      <c r="C2171">
        <v>8</v>
      </c>
      <c r="D2171">
        <v>19</v>
      </c>
      <c r="E2171">
        <v>0</v>
      </c>
      <c r="F2171">
        <v>511230715</v>
      </c>
      <c r="G2171">
        <v>702719.16</v>
      </c>
      <c r="H2171">
        <v>510525444</v>
      </c>
      <c r="I2171">
        <v>510525444</v>
      </c>
      <c r="J2171">
        <v>6.0000000000000002E-5</v>
      </c>
      <c r="K2171">
        <v>6.0000000000000002E-5</v>
      </c>
      <c r="M2171" t="s">
        <v>0</v>
      </c>
      <c r="N2171">
        <v>3750</v>
      </c>
      <c r="O2171">
        <v>8</v>
      </c>
      <c r="P2171">
        <v>202</v>
      </c>
      <c r="Q2171">
        <v>0</v>
      </c>
      <c r="R2171">
        <v>7432019698</v>
      </c>
      <c r="S2171">
        <v>11620814.33</v>
      </c>
      <c r="T2171">
        <v>7420398883.6700001</v>
      </c>
      <c r="U2171">
        <v>7420398883.6700001</v>
      </c>
      <c r="V2171">
        <v>0</v>
      </c>
      <c r="W2171">
        <v>0</v>
      </c>
    </row>
    <row r="2172" spans="1:23" x14ac:dyDescent="0.35">
      <c r="A2172" t="s">
        <v>3</v>
      </c>
      <c r="B2172">
        <v>5500</v>
      </c>
      <c r="C2172">
        <v>8</v>
      </c>
      <c r="D2172">
        <v>2</v>
      </c>
      <c r="E2172">
        <v>0</v>
      </c>
      <c r="F2172">
        <v>41239278</v>
      </c>
      <c r="G2172">
        <v>47823.16</v>
      </c>
      <c r="H2172">
        <v>41213357</v>
      </c>
      <c r="I2172">
        <v>41213357</v>
      </c>
      <c r="J2172">
        <v>-6.3920000000000001E-3</v>
      </c>
      <c r="K2172">
        <v>-6.3920000000000001E-3</v>
      </c>
      <c r="M2172" t="s">
        <v>2</v>
      </c>
      <c r="N2172">
        <v>4000</v>
      </c>
      <c r="O2172">
        <v>8</v>
      </c>
      <c r="P2172">
        <v>69</v>
      </c>
      <c r="Q2172">
        <v>0</v>
      </c>
      <c r="R2172">
        <v>2027795804</v>
      </c>
      <c r="S2172">
        <v>3042216.51</v>
      </c>
      <c r="T2172">
        <v>2024753587.49</v>
      </c>
      <c r="U2172">
        <v>2024753587.49</v>
      </c>
      <c r="V2172">
        <v>0</v>
      </c>
      <c r="W2172">
        <v>0</v>
      </c>
    </row>
    <row r="2173" spans="1:23" x14ac:dyDescent="0.35">
      <c r="A2173" t="s">
        <v>3</v>
      </c>
      <c r="B2173">
        <v>5250</v>
      </c>
      <c r="C2173">
        <v>8</v>
      </c>
      <c r="D2173">
        <v>1</v>
      </c>
      <c r="E2173">
        <v>0</v>
      </c>
      <c r="F2173">
        <v>35280761</v>
      </c>
      <c r="G2173">
        <v>42300.77</v>
      </c>
      <c r="H2173">
        <v>35186196</v>
      </c>
      <c r="I2173">
        <v>35186196</v>
      </c>
      <c r="J2173">
        <v>1.7631999999999998E-2</v>
      </c>
      <c r="K2173">
        <v>1.7631999999999998E-2</v>
      </c>
      <c r="M2173" t="s">
        <v>2</v>
      </c>
      <c r="N2173">
        <v>4250</v>
      </c>
      <c r="O2173">
        <v>8</v>
      </c>
      <c r="P2173">
        <v>10</v>
      </c>
      <c r="Q2173">
        <v>0</v>
      </c>
      <c r="R2173">
        <v>268822348</v>
      </c>
      <c r="S2173">
        <v>387388.1</v>
      </c>
      <c r="T2173">
        <v>268434959.90000001</v>
      </c>
      <c r="U2173">
        <v>268434959.90000001</v>
      </c>
      <c r="V2173">
        <v>0</v>
      </c>
      <c r="W2173">
        <v>0</v>
      </c>
    </row>
    <row r="2174" spans="1:23" x14ac:dyDescent="0.35">
      <c r="A2174" t="s">
        <v>1</v>
      </c>
      <c r="B2174">
        <v>2500</v>
      </c>
      <c r="C2174">
        <v>7</v>
      </c>
      <c r="D2174">
        <v>12</v>
      </c>
      <c r="E2174">
        <v>0</v>
      </c>
      <c r="F2174">
        <v>355300047</v>
      </c>
      <c r="G2174">
        <v>693861.66</v>
      </c>
      <c r="H2174">
        <v>354739347</v>
      </c>
      <c r="I2174">
        <v>354739347</v>
      </c>
      <c r="J2174">
        <v>-4.5069999999999997E-3</v>
      </c>
      <c r="K2174">
        <v>-4.5069999999999997E-3</v>
      </c>
      <c r="M2174" t="s">
        <v>0</v>
      </c>
      <c r="N2174">
        <v>4500</v>
      </c>
      <c r="O2174">
        <v>8</v>
      </c>
      <c r="P2174">
        <v>1068</v>
      </c>
      <c r="Q2174">
        <v>0</v>
      </c>
      <c r="R2174">
        <v>36063552194</v>
      </c>
      <c r="S2174">
        <v>49596408.609999999</v>
      </c>
      <c r="T2174">
        <v>36013955785.389999</v>
      </c>
      <c r="U2174">
        <v>36013955785.389999</v>
      </c>
      <c r="V2174">
        <v>0</v>
      </c>
      <c r="W2174">
        <v>0</v>
      </c>
    </row>
    <row r="2175" spans="1:23" x14ac:dyDescent="0.35">
      <c r="A2175" t="s">
        <v>1</v>
      </c>
      <c r="B2175">
        <v>2750</v>
      </c>
      <c r="C2175">
        <v>8</v>
      </c>
      <c r="D2175">
        <v>1</v>
      </c>
      <c r="E2175">
        <v>0</v>
      </c>
      <c r="F2175">
        <v>21934993</v>
      </c>
      <c r="G2175">
        <v>44546.559999999998</v>
      </c>
      <c r="H2175">
        <v>21934993</v>
      </c>
      <c r="I2175">
        <v>21934993</v>
      </c>
      <c r="J2175">
        <v>-2.4643999999999999E-2</v>
      </c>
      <c r="K2175">
        <v>-2.4643999999999999E-2</v>
      </c>
      <c r="M2175" t="s">
        <v>1</v>
      </c>
      <c r="N2175">
        <v>4500</v>
      </c>
      <c r="O2175">
        <v>8</v>
      </c>
      <c r="P2175">
        <v>368</v>
      </c>
      <c r="Q2175">
        <v>0</v>
      </c>
      <c r="R2175">
        <v>13922314387</v>
      </c>
      <c r="S2175">
        <v>19165412.370000001</v>
      </c>
      <c r="T2175">
        <v>13903148974.629999</v>
      </c>
      <c r="U2175">
        <v>13903148974.629999</v>
      </c>
      <c r="V2175">
        <v>0</v>
      </c>
      <c r="W2175">
        <v>0</v>
      </c>
    </row>
    <row r="2176" spans="1:23" x14ac:dyDescent="0.35">
      <c r="A2176" t="s">
        <v>1</v>
      </c>
      <c r="B2176">
        <v>2750</v>
      </c>
      <c r="C2176">
        <v>9</v>
      </c>
      <c r="D2176">
        <v>2</v>
      </c>
      <c r="E2176">
        <v>0</v>
      </c>
      <c r="F2176">
        <v>36889526</v>
      </c>
      <c r="G2176">
        <v>77311.42</v>
      </c>
      <c r="H2176">
        <v>36600257</v>
      </c>
      <c r="I2176">
        <v>36600257</v>
      </c>
      <c r="J2176">
        <v>6.6810999999999995E-2</v>
      </c>
      <c r="K2176">
        <v>6.6810999999999995E-2</v>
      </c>
      <c r="M2176" t="s">
        <v>2</v>
      </c>
      <c r="N2176">
        <v>4500</v>
      </c>
      <c r="O2176">
        <v>8</v>
      </c>
      <c r="P2176">
        <v>29</v>
      </c>
      <c r="Q2176">
        <v>0</v>
      </c>
      <c r="R2176">
        <v>811285135</v>
      </c>
      <c r="S2176">
        <v>1115227.97</v>
      </c>
      <c r="T2176">
        <v>810169907.02999997</v>
      </c>
      <c r="U2176">
        <v>810169907.02999997</v>
      </c>
      <c r="V2176">
        <v>0</v>
      </c>
      <c r="W2176">
        <v>0</v>
      </c>
    </row>
    <row r="2177" spans="1:23" x14ac:dyDescent="0.35">
      <c r="A2177" t="s">
        <v>1</v>
      </c>
      <c r="B2177">
        <v>3000</v>
      </c>
      <c r="C2177">
        <v>8</v>
      </c>
      <c r="D2177">
        <v>2</v>
      </c>
      <c r="E2177">
        <v>0</v>
      </c>
      <c r="F2177">
        <v>43133636</v>
      </c>
      <c r="G2177">
        <v>90107.3</v>
      </c>
      <c r="H2177">
        <v>43046774</v>
      </c>
      <c r="I2177">
        <v>43046774</v>
      </c>
      <c r="J2177">
        <v>-9.0300000000000005E-4</v>
      </c>
      <c r="K2177">
        <v>-9.0300000000000005E-4</v>
      </c>
      <c r="M2177" t="s">
        <v>3</v>
      </c>
      <c r="N2177">
        <v>5250</v>
      </c>
      <c r="O2177">
        <v>8</v>
      </c>
      <c r="P2177">
        <v>2</v>
      </c>
      <c r="Q2177">
        <v>0</v>
      </c>
      <c r="R2177">
        <v>34848201</v>
      </c>
      <c r="S2177">
        <v>41782.14</v>
      </c>
      <c r="T2177">
        <v>34806418.859999999</v>
      </c>
      <c r="U2177">
        <v>34806418.859999999</v>
      </c>
      <c r="V2177">
        <v>0</v>
      </c>
      <c r="W2177">
        <v>0</v>
      </c>
    </row>
    <row r="2178" spans="1:23" x14ac:dyDescent="0.35">
      <c r="A2178" t="s">
        <v>1</v>
      </c>
      <c r="B2178">
        <v>3500</v>
      </c>
      <c r="C2178">
        <v>7</v>
      </c>
      <c r="D2178">
        <v>10</v>
      </c>
      <c r="E2178">
        <v>0</v>
      </c>
      <c r="F2178">
        <v>291941991</v>
      </c>
      <c r="G2178">
        <v>480762.17</v>
      </c>
      <c r="H2178">
        <v>291581142</v>
      </c>
      <c r="I2178">
        <v>291581142</v>
      </c>
      <c r="J2178">
        <v>-4.9399999999999999E-3</v>
      </c>
      <c r="K2178">
        <v>-4.9399999999999999E-3</v>
      </c>
      <c r="M2178" t="s">
        <v>3</v>
      </c>
      <c r="N2178">
        <v>5500</v>
      </c>
      <c r="O2178">
        <v>8</v>
      </c>
      <c r="P2178">
        <v>1</v>
      </c>
      <c r="Q2178">
        <v>0</v>
      </c>
      <c r="R2178">
        <v>19497391</v>
      </c>
      <c r="S2178">
        <v>22334.91</v>
      </c>
      <c r="T2178">
        <v>19475056.09</v>
      </c>
      <c r="U2178">
        <v>19475056.09</v>
      </c>
      <c r="V2178">
        <v>0</v>
      </c>
      <c r="W2178">
        <v>0</v>
      </c>
    </row>
    <row r="2179" spans="1:23" x14ac:dyDescent="0.35">
      <c r="A2179" t="s">
        <v>2</v>
      </c>
      <c r="B2179">
        <v>3250</v>
      </c>
      <c r="C2179">
        <v>7</v>
      </c>
      <c r="D2179">
        <v>3</v>
      </c>
      <c r="E2179">
        <v>0</v>
      </c>
      <c r="F2179">
        <v>46166421</v>
      </c>
      <c r="G2179">
        <v>81923.759999999995</v>
      </c>
      <c r="H2179">
        <v>45937977</v>
      </c>
      <c r="I2179">
        <v>45937977</v>
      </c>
      <c r="J2179">
        <v>3.7427000000000002E-2</v>
      </c>
      <c r="K2179">
        <v>3.7427000000000002E-2</v>
      </c>
      <c r="M2179" t="s">
        <v>1</v>
      </c>
      <c r="N2179">
        <v>8500</v>
      </c>
      <c r="O2179">
        <v>8</v>
      </c>
      <c r="P2179">
        <v>1</v>
      </c>
      <c r="Q2179">
        <v>0</v>
      </c>
      <c r="R2179">
        <v>19850884</v>
      </c>
      <c r="S2179">
        <v>12787.82</v>
      </c>
      <c r="T2179">
        <v>0</v>
      </c>
      <c r="U2179">
        <v>19838096.18</v>
      </c>
      <c r="V2179">
        <v>1</v>
      </c>
      <c r="W2179">
        <v>0</v>
      </c>
    </row>
    <row r="2180" spans="1:23" x14ac:dyDescent="0.35">
      <c r="A2180" t="s">
        <v>0</v>
      </c>
      <c r="B2180">
        <v>3500</v>
      </c>
      <c r="C2180">
        <v>7</v>
      </c>
      <c r="D2180">
        <v>15</v>
      </c>
      <c r="E2180">
        <v>0</v>
      </c>
      <c r="F2180">
        <v>499753779</v>
      </c>
      <c r="G2180">
        <v>813110.95</v>
      </c>
      <c r="H2180">
        <v>499113614</v>
      </c>
      <c r="I2180">
        <v>499113614</v>
      </c>
      <c r="J2180">
        <v>-4.1609999999999998E-3</v>
      </c>
      <c r="K2180">
        <v>-4.1609999999999998E-3</v>
      </c>
      <c r="M2180" t="s">
        <v>0</v>
      </c>
      <c r="N2180">
        <v>2500</v>
      </c>
      <c r="O2180">
        <v>9</v>
      </c>
      <c r="P2180">
        <v>1</v>
      </c>
      <c r="Q2180">
        <v>0</v>
      </c>
      <c r="R2180">
        <v>24661150</v>
      </c>
      <c r="S2180">
        <v>47744.24</v>
      </c>
      <c r="T2180">
        <v>24613405.760000002</v>
      </c>
      <c r="U2180">
        <v>24613405.760000002</v>
      </c>
      <c r="V2180">
        <v>0</v>
      </c>
      <c r="W2180">
        <v>0</v>
      </c>
    </row>
    <row r="2181" spans="1:23" x14ac:dyDescent="0.35">
      <c r="A2181" t="s">
        <v>0</v>
      </c>
      <c r="B2181">
        <v>3250</v>
      </c>
      <c r="C2181">
        <v>7</v>
      </c>
      <c r="D2181">
        <v>2</v>
      </c>
      <c r="E2181">
        <v>0</v>
      </c>
      <c r="F2181">
        <v>74722244</v>
      </c>
      <c r="G2181">
        <v>126639.73</v>
      </c>
      <c r="H2181">
        <v>74595603</v>
      </c>
      <c r="I2181">
        <v>74595603</v>
      </c>
      <c r="J2181">
        <v>0</v>
      </c>
      <c r="K2181">
        <v>0</v>
      </c>
      <c r="M2181" t="s">
        <v>1</v>
      </c>
      <c r="N2181">
        <v>2500</v>
      </c>
      <c r="O2181">
        <v>7</v>
      </c>
      <c r="P2181">
        <v>11</v>
      </c>
      <c r="Q2181">
        <v>0</v>
      </c>
      <c r="R2181">
        <v>356713577</v>
      </c>
      <c r="S2181">
        <v>685088.17</v>
      </c>
      <c r="T2181">
        <v>308020867.54000002</v>
      </c>
      <c r="U2181">
        <v>356028488.82999998</v>
      </c>
      <c r="V2181">
        <v>0.82351600000000003</v>
      </c>
      <c r="W2181">
        <v>0</v>
      </c>
    </row>
    <row r="2182" spans="1:23" x14ac:dyDescent="0.35">
      <c r="A2182" t="s">
        <v>2</v>
      </c>
      <c r="B2182">
        <v>3500</v>
      </c>
      <c r="C2182">
        <v>7</v>
      </c>
      <c r="D2182">
        <v>7</v>
      </c>
      <c r="E2182">
        <v>0</v>
      </c>
      <c r="F2182">
        <v>207752644</v>
      </c>
      <c r="G2182">
        <v>338018.35</v>
      </c>
      <c r="H2182">
        <v>207450166</v>
      </c>
      <c r="I2182">
        <v>207450166</v>
      </c>
      <c r="J2182">
        <v>-2.055E-3</v>
      </c>
      <c r="K2182">
        <v>-2.055E-3</v>
      </c>
      <c r="M2182" t="s">
        <v>2</v>
      </c>
      <c r="N2182">
        <v>3000</v>
      </c>
      <c r="O2182">
        <v>9</v>
      </c>
      <c r="P2182">
        <v>1</v>
      </c>
      <c r="Q2182">
        <v>0</v>
      </c>
      <c r="R2182">
        <v>17406809</v>
      </c>
      <c r="S2182">
        <v>31684.799999999999</v>
      </c>
      <c r="T2182">
        <v>17375124.199999999</v>
      </c>
      <c r="U2182">
        <v>17375124.199999999</v>
      </c>
      <c r="V2182">
        <v>0</v>
      </c>
      <c r="W2182">
        <v>0</v>
      </c>
    </row>
    <row r="2183" spans="1:23" x14ac:dyDescent="0.35">
      <c r="A2183" t="s">
        <v>2</v>
      </c>
      <c r="B2183">
        <v>3750</v>
      </c>
      <c r="C2183">
        <v>7</v>
      </c>
      <c r="D2183">
        <v>9</v>
      </c>
      <c r="E2183">
        <v>0</v>
      </c>
      <c r="F2183">
        <v>220665620</v>
      </c>
      <c r="G2183">
        <v>344990.18</v>
      </c>
      <c r="H2183">
        <v>220374786</v>
      </c>
      <c r="I2183">
        <v>220374786</v>
      </c>
      <c r="J2183">
        <v>-2.9489999999999998E-3</v>
      </c>
      <c r="K2183">
        <v>-2.9489999999999998E-3</v>
      </c>
      <c r="M2183" t="s">
        <v>2</v>
      </c>
      <c r="N2183">
        <v>3000</v>
      </c>
      <c r="O2183">
        <v>8</v>
      </c>
      <c r="P2183">
        <v>5</v>
      </c>
      <c r="Q2183">
        <v>0</v>
      </c>
      <c r="R2183">
        <v>123825363</v>
      </c>
      <c r="S2183">
        <v>230051.57</v>
      </c>
      <c r="T2183">
        <v>123595311.43000001</v>
      </c>
      <c r="U2183">
        <v>123595311.43000001</v>
      </c>
      <c r="V2183">
        <v>0</v>
      </c>
      <c r="W2183">
        <v>0</v>
      </c>
    </row>
    <row r="2184" spans="1:23" x14ac:dyDescent="0.35">
      <c r="A2184" t="s">
        <v>0</v>
      </c>
      <c r="B2184">
        <v>3750</v>
      </c>
      <c r="C2184">
        <v>7</v>
      </c>
      <c r="D2184">
        <v>119</v>
      </c>
      <c r="E2184">
        <v>0</v>
      </c>
      <c r="F2184">
        <v>4002500304</v>
      </c>
      <c r="G2184">
        <v>6229827.9400000004</v>
      </c>
      <c r="H2184">
        <v>3995144396</v>
      </c>
      <c r="I2184">
        <v>3995144396</v>
      </c>
      <c r="J2184">
        <v>3.3709999999999999E-3</v>
      </c>
      <c r="K2184">
        <v>3.3709999999999999E-3</v>
      </c>
      <c r="M2184" t="s">
        <v>0</v>
      </c>
      <c r="N2184">
        <v>3250</v>
      </c>
      <c r="O2184">
        <v>8</v>
      </c>
      <c r="P2184">
        <v>2</v>
      </c>
      <c r="Q2184">
        <v>0</v>
      </c>
      <c r="R2184">
        <v>76248124</v>
      </c>
      <c r="S2184">
        <v>131220.89000000001</v>
      </c>
      <c r="T2184">
        <v>76116903.109999999</v>
      </c>
      <c r="U2184">
        <v>76116903.109999999</v>
      </c>
      <c r="V2184">
        <v>0</v>
      </c>
      <c r="W2184">
        <v>0</v>
      </c>
    </row>
    <row r="2185" spans="1:23" x14ac:dyDescent="0.35">
      <c r="A2185" t="s">
        <v>1</v>
      </c>
      <c r="B2185">
        <v>4000</v>
      </c>
      <c r="C2185">
        <v>7</v>
      </c>
      <c r="D2185">
        <v>440</v>
      </c>
      <c r="E2185">
        <v>0</v>
      </c>
      <c r="F2185">
        <v>16052614081</v>
      </c>
      <c r="G2185">
        <v>23991395.890000001</v>
      </c>
      <c r="H2185">
        <v>16026222144</v>
      </c>
      <c r="I2185">
        <v>16026222144</v>
      </c>
      <c r="J2185">
        <v>1.7930000000000001E-3</v>
      </c>
      <c r="K2185">
        <v>1.7930000000000001E-3</v>
      </c>
      <c r="M2185" t="s">
        <v>1</v>
      </c>
      <c r="N2185">
        <v>3500</v>
      </c>
      <c r="O2185">
        <v>7</v>
      </c>
      <c r="P2185">
        <v>9</v>
      </c>
      <c r="Q2185">
        <v>0</v>
      </c>
      <c r="R2185">
        <v>341396038</v>
      </c>
      <c r="S2185">
        <v>567323.84</v>
      </c>
      <c r="T2185">
        <v>340828714.16000003</v>
      </c>
      <c r="U2185">
        <v>340828714.16000003</v>
      </c>
      <c r="V2185">
        <v>0</v>
      </c>
      <c r="W2185">
        <v>0</v>
      </c>
    </row>
    <row r="2186" spans="1:23" x14ac:dyDescent="0.35">
      <c r="A2186" t="s">
        <v>1</v>
      </c>
      <c r="B2186">
        <v>3750</v>
      </c>
      <c r="C2186">
        <v>7</v>
      </c>
      <c r="D2186">
        <v>44</v>
      </c>
      <c r="E2186">
        <v>0</v>
      </c>
      <c r="F2186">
        <v>1498844572</v>
      </c>
      <c r="G2186">
        <v>2333708.62</v>
      </c>
      <c r="H2186">
        <v>1494692586</v>
      </c>
      <c r="I2186">
        <v>1494692586</v>
      </c>
      <c r="J2186">
        <v>1.4461E-2</v>
      </c>
      <c r="K2186">
        <v>1.4461E-2</v>
      </c>
      <c r="M2186" t="s">
        <v>2</v>
      </c>
      <c r="N2186">
        <v>3500</v>
      </c>
      <c r="O2186">
        <v>8</v>
      </c>
      <c r="P2186">
        <v>9</v>
      </c>
      <c r="Q2186">
        <v>0</v>
      </c>
      <c r="R2186">
        <v>226677593</v>
      </c>
      <c r="S2186">
        <v>371450.75</v>
      </c>
      <c r="T2186">
        <v>226306142.25</v>
      </c>
      <c r="U2186">
        <v>226306142.25</v>
      </c>
      <c r="V2186">
        <v>0</v>
      </c>
      <c r="W2186">
        <v>0</v>
      </c>
    </row>
    <row r="2187" spans="1:23" x14ac:dyDescent="0.35">
      <c r="A2187" t="s">
        <v>1</v>
      </c>
      <c r="B2187">
        <v>4250</v>
      </c>
      <c r="C2187">
        <v>7</v>
      </c>
      <c r="D2187">
        <v>127</v>
      </c>
      <c r="E2187">
        <v>0</v>
      </c>
      <c r="F2187">
        <v>4801698884</v>
      </c>
      <c r="G2187">
        <v>6864668.3099999996</v>
      </c>
      <c r="H2187">
        <v>4794175699</v>
      </c>
      <c r="I2187">
        <v>4794175699</v>
      </c>
      <c r="J2187">
        <v>1.6440000000000001E-3</v>
      </c>
      <c r="K2187">
        <v>1.6440000000000001E-3</v>
      </c>
      <c r="M2187" t="s">
        <v>0</v>
      </c>
      <c r="N2187">
        <v>3500</v>
      </c>
      <c r="O2187">
        <v>8</v>
      </c>
      <c r="P2187">
        <v>21</v>
      </c>
      <c r="Q2187">
        <v>0</v>
      </c>
      <c r="R2187">
        <v>673251879</v>
      </c>
      <c r="S2187">
        <v>1100372.47</v>
      </c>
      <c r="T2187">
        <v>672151506.52999997</v>
      </c>
      <c r="U2187">
        <v>672151506.52999997</v>
      </c>
      <c r="V2187">
        <v>0</v>
      </c>
      <c r="W2187">
        <v>0</v>
      </c>
    </row>
    <row r="2188" spans="1:23" x14ac:dyDescent="0.35">
      <c r="A2188" t="s">
        <v>0</v>
      </c>
      <c r="B2188">
        <v>4250</v>
      </c>
      <c r="C2188">
        <v>7</v>
      </c>
      <c r="D2188">
        <v>296</v>
      </c>
      <c r="E2188">
        <v>0</v>
      </c>
      <c r="F2188">
        <v>9340252835</v>
      </c>
      <c r="G2188">
        <v>13364148.09</v>
      </c>
      <c r="H2188">
        <v>9326403697</v>
      </c>
      <c r="I2188">
        <v>9326403697</v>
      </c>
      <c r="J2188">
        <v>6.2299999999999996E-4</v>
      </c>
      <c r="K2188">
        <v>6.2299999999999996E-4</v>
      </c>
      <c r="M2188" t="s">
        <v>0</v>
      </c>
      <c r="N2188">
        <v>3750</v>
      </c>
      <c r="O2188">
        <v>7</v>
      </c>
      <c r="P2188">
        <v>80</v>
      </c>
      <c r="Q2188">
        <v>0</v>
      </c>
      <c r="R2188">
        <v>2621613446</v>
      </c>
      <c r="S2188">
        <v>4079934.57</v>
      </c>
      <c r="T2188">
        <v>2617533511.4299998</v>
      </c>
      <c r="U2188">
        <v>2617533511.4299998</v>
      </c>
      <c r="V2188">
        <v>0</v>
      </c>
      <c r="W2188">
        <v>0</v>
      </c>
    </row>
    <row r="2189" spans="1:23" x14ac:dyDescent="0.35">
      <c r="A2189" t="s">
        <v>2</v>
      </c>
      <c r="B2189">
        <v>4000</v>
      </c>
      <c r="C2189">
        <v>7</v>
      </c>
      <c r="D2189">
        <v>61</v>
      </c>
      <c r="E2189">
        <v>0</v>
      </c>
      <c r="F2189">
        <v>1796673121</v>
      </c>
      <c r="G2189">
        <v>2681630.0499999998</v>
      </c>
      <c r="H2189">
        <v>1793594668</v>
      </c>
      <c r="I2189">
        <v>1793594668</v>
      </c>
      <c r="J2189">
        <v>2.647E-3</v>
      </c>
      <c r="K2189">
        <v>2.647E-3</v>
      </c>
      <c r="M2189" t="s">
        <v>2</v>
      </c>
      <c r="N2189">
        <v>3750</v>
      </c>
      <c r="O2189">
        <v>8</v>
      </c>
      <c r="P2189">
        <v>8</v>
      </c>
      <c r="Q2189">
        <v>0</v>
      </c>
      <c r="R2189">
        <v>207473405</v>
      </c>
      <c r="S2189">
        <v>327904.88</v>
      </c>
      <c r="T2189">
        <v>207145500.12</v>
      </c>
      <c r="U2189">
        <v>207145500.12</v>
      </c>
      <c r="V2189">
        <v>0</v>
      </c>
      <c r="W2189">
        <v>0</v>
      </c>
    </row>
    <row r="2190" spans="1:23" x14ac:dyDescent="0.35">
      <c r="A2190" t="s">
        <v>2</v>
      </c>
      <c r="B2190">
        <v>4250</v>
      </c>
      <c r="C2190">
        <v>7</v>
      </c>
      <c r="D2190">
        <v>15</v>
      </c>
      <c r="E2190">
        <v>0</v>
      </c>
      <c r="F2190">
        <v>396785597</v>
      </c>
      <c r="G2190">
        <v>569199.13</v>
      </c>
      <c r="H2190">
        <v>396083869</v>
      </c>
      <c r="I2190">
        <v>396083869</v>
      </c>
      <c r="J2190">
        <v>4.0010000000000002E-3</v>
      </c>
      <c r="K2190">
        <v>4.0010000000000002E-3</v>
      </c>
      <c r="M2190" t="s">
        <v>0</v>
      </c>
      <c r="N2190">
        <v>3500</v>
      </c>
      <c r="O2190">
        <v>7</v>
      </c>
      <c r="P2190">
        <v>12</v>
      </c>
      <c r="Q2190">
        <v>0</v>
      </c>
      <c r="R2190">
        <v>420967827</v>
      </c>
      <c r="S2190">
        <v>686072.55</v>
      </c>
      <c r="T2190">
        <v>420281754.44999999</v>
      </c>
      <c r="U2190">
        <v>420281754.44999999</v>
      </c>
      <c r="V2190">
        <v>0</v>
      </c>
      <c r="W2190">
        <v>0</v>
      </c>
    </row>
    <row r="2191" spans="1:23" x14ac:dyDescent="0.35">
      <c r="A2191" t="s">
        <v>0</v>
      </c>
      <c r="B2191">
        <v>4500</v>
      </c>
      <c r="C2191">
        <v>7</v>
      </c>
      <c r="D2191">
        <v>559</v>
      </c>
      <c r="E2191">
        <v>0</v>
      </c>
      <c r="F2191">
        <v>18947357830</v>
      </c>
      <c r="G2191">
        <v>25946943.890000001</v>
      </c>
      <c r="H2191">
        <v>18886522241</v>
      </c>
      <c r="I2191">
        <v>18916787697.369999</v>
      </c>
      <c r="J2191">
        <v>2.1874000000000001E-2</v>
      </c>
      <c r="K2191">
        <v>2.9239999999999999E-3</v>
      </c>
      <c r="M2191" t="s">
        <v>1</v>
      </c>
      <c r="N2191">
        <v>3750</v>
      </c>
      <c r="O2191">
        <v>7</v>
      </c>
      <c r="P2191">
        <v>28</v>
      </c>
      <c r="Q2191">
        <v>0</v>
      </c>
      <c r="R2191">
        <v>1064030451</v>
      </c>
      <c r="S2191">
        <v>1655602.58</v>
      </c>
      <c r="T2191">
        <v>1062374848.42</v>
      </c>
      <c r="U2191">
        <v>1062374848.42</v>
      </c>
      <c r="V2191">
        <v>0</v>
      </c>
      <c r="W2191">
        <v>0</v>
      </c>
    </row>
    <row r="2192" spans="1:23" x14ac:dyDescent="0.35">
      <c r="A2192" t="s">
        <v>2</v>
      </c>
      <c r="B2192">
        <v>4500</v>
      </c>
      <c r="C2192">
        <v>7</v>
      </c>
      <c r="D2192">
        <v>24</v>
      </c>
      <c r="E2192">
        <v>0</v>
      </c>
      <c r="F2192">
        <v>703003833</v>
      </c>
      <c r="G2192">
        <v>962065.09</v>
      </c>
      <c r="H2192">
        <v>701951905</v>
      </c>
      <c r="I2192">
        <v>701951905</v>
      </c>
      <c r="J2192">
        <v>1.5330000000000001E-3</v>
      </c>
      <c r="K2192">
        <v>1.5330000000000001E-3</v>
      </c>
      <c r="M2192" t="s">
        <v>2</v>
      </c>
      <c r="N2192">
        <v>3750</v>
      </c>
      <c r="O2192">
        <v>7</v>
      </c>
      <c r="P2192">
        <v>7</v>
      </c>
      <c r="Q2192">
        <v>0</v>
      </c>
      <c r="R2192">
        <v>204105573</v>
      </c>
      <c r="S2192">
        <v>320259.52</v>
      </c>
      <c r="T2192">
        <v>203785313.47999999</v>
      </c>
      <c r="U2192">
        <v>203785313.47999999</v>
      </c>
      <c r="V2192">
        <v>0</v>
      </c>
      <c r="W2192">
        <v>0</v>
      </c>
    </row>
    <row r="2193" spans="1:23" x14ac:dyDescent="0.35">
      <c r="A2193" t="s">
        <v>3</v>
      </c>
      <c r="B2193">
        <v>5250</v>
      </c>
      <c r="C2193">
        <v>7</v>
      </c>
      <c r="D2193">
        <v>2</v>
      </c>
      <c r="E2193">
        <v>0</v>
      </c>
      <c r="F2193">
        <v>64423455</v>
      </c>
      <c r="G2193">
        <v>76813.990000000005</v>
      </c>
      <c r="H2193">
        <v>64346213</v>
      </c>
      <c r="I2193">
        <v>64346213</v>
      </c>
      <c r="J2193">
        <v>8.0000000000000007E-5</v>
      </c>
      <c r="K2193">
        <v>8.0000000000000007E-5</v>
      </c>
      <c r="M2193" t="s">
        <v>2</v>
      </c>
      <c r="N2193">
        <v>3250</v>
      </c>
      <c r="O2193">
        <v>8</v>
      </c>
      <c r="P2193">
        <v>2</v>
      </c>
      <c r="Q2193">
        <v>0</v>
      </c>
      <c r="R2193">
        <v>27828958</v>
      </c>
      <c r="S2193">
        <v>47372.72</v>
      </c>
      <c r="T2193">
        <v>27781585.280000001</v>
      </c>
      <c r="U2193">
        <v>27781585.280000001</v>
      </c>
      <c r="V2193">
        <v>0</v>
      </c>
      <c r="W2193">
        <v>0</v>
      </c>
    </row>
    <row r="2194" spans="1:23" x14ac:dyDescent="0.35">
      <c r="A2194" t="s">
        <v>3</v>
      </c>
      <c r="B2194">
        <v>7500</v>
      </c>
      <c r="C2194">
        <v>7</v>
      </c>
      <c r="D2194">
        <v>1</v>
      </c>
      <c r="E2194">
        <v>0</v>
      </c>
      <c r="F2194">
        <v>5892242</v>
      </c>
      <c r="G2194">
        <v>4592.1499999999996</v>
      </c>
      <c r="H2194">
        <v>5887650</v>
      </c>
      <c r="I2194">
        <v>5887650</v>
      </c>
      <c r="J2194">
        <v>0</v>
      </c>
      <c r="K2194">
        <v>0</v>
      </c>
      <c r="M2194" t="s">
        <v>1</v>
      </c>
      <c r="N2194">
        <v>3250</v>
      </c>
      <c r="O2194">
        <v>7</v>
      </c>
      <c r="P2194">
        <v>4</v>
      </c>
      <c r="Q2194">
        <v>0</v>
      </c>
      <c r="R2194">
        <v>154904990</v>
      </c>
      <c r="S2194">
        <v>262533.96000000002</v>
      </c>
      <c r="T2194">
        <v>154642456.03999999</v>
      </c>
      <c r="U2194">
        <v>154642456.03999999</v>
      </c>
      <c r="V2194">
        <v>0</v>
      </c>
      <c r="W2194">
        <v>0</v>
      </c>
    </row>
    <row r="2195" spans="1:23" x14ac:dyDescent="0.35">
      <c r="A2195" t="s">
        <v>1</v>
      </c>
      <c r="B2195">
        <v>2000</v>
      </c>
      <c r="C2195">
        <v>10</v>
      </c>
      <c r="D2195">
        <v>1</v>
      </c>
      <c r="E2195">
        <v>0</v>
      </c>
      <c r="F2195">
        <v>35605229</v>
      </c>
      <c r="G2195">
        <v>75128.56</v>
      </c>
      <c r="H2195">
        <v>35530050</v>
      </c>
      <c r="I2195">
        <v>35530050</v>
      </c>
      <c r="J2195">
        <v>1.7E-5</v>
      </c>
      <c r="K2195">
        <v>1.7E-5</v>
      </c>
      <c r="M2195" t="s">
        <v>0</v>
      </c>
      <c r="N2195">
        <v>3250</v>
      </c>
      <c r="O2195">
        <v>7</v>
      </c>
      <c r="P2195">
        <v>2</v>
      </c>
      <c r="Q2195">
        <v>0</v>
      </c>
      <c r="R2195">
        <v>56578907</v>
      </c>
      <c r="S2195">
        <v>95890.29</v>
      </c>
      <c r="T2195">
        <v>56483016.710000001</v>
      </c>
      <c r="U2195">
        <v>56483016.710000001</v>
      </c>
      <c r="V2195">
        <v>0</v>
      </c>
      <c r="W2195">
        <v>0</v>
      </c>
    </row>
    <row r="2196" spans="1:23" x14ac:dyDescent="0.35">
      <c r="A2196" t="s">
        <v>1</v>
      </c>
      <c r="B2196">
        <v>2500</v>
      </c>
      <c r="C2196">
        <v>6</v>
      </c>
      <c r="D2196">
        <v>3</v>
      </c>
      <c r="E2196">
        <v>0</v>
      </c>
      <c r="F2196">
        <v>159752957</v>
      </c>
      <c r="G2196">
        <v>305590.84000000003</v>
      </c>
      <c r="H2196">
        <v>159520287</v>
      </c>
      <c r="I2196">
        <v>159520287</v>
      </c>
      <c r="J2196">
        <v>-5.4910000000000002E-3</v>
      </c>
      <c r="K2196">
        <v>-5.4910000000000002E-3</v>
      </c>
      <c r="M2196" t="s">
        <v>2</v>
      </c>
      <c r="N2196">
        <v>4000</v>
      </c>
      <c r="O2196">
        <v>7</v>
      </c>
      <c r="P2196">
        <v>56</v>
      </c>
      <c r="Q2196">
        <v>0</v>
      </c>
      <c r="R2196">
        <v>1658830000</v>
      </c>
      <c r="S2196">
        <v>2476932.2400000002</v>
      </c>
      <c r="T2196">
        <v>1656353067.76</v>
      </c>
      <c r="U2196">
        <v>1656353067.76</v>
      </c>
      <c r="V2196">
        <v>0</v>
      </c>
      <c r="W2196">
        <v>0</v>
      </c>
    </row>
    <row r="2197" spans="1:23" x14ac:dyDescent="0.35">
      <c r="A2197" t="s">
        <v>1</v>
      </c>
      <c r="B2197">
        <v>2750</v>
      </c>
      <c r="C2197">
        <v>6</v>
      </c>
      <c r="D2197">
        <v>1</v>
      </c>
      <c r="E2197">
        <v>0</v>
      </c>
      <c r="F2197">
        <v>20414248</v>
      </c>
      <c r="G2197">
        <v>42739.59</v>
      </c>
      <c r="H2197">
        <v>20371509</v>
      </c>
      <c r="I2197">
        <v>20371509</v>
      </c>
      <c r="J2197">
        <v>0</v>
      </c>
      <c r="K2197">
        <v>0</v>
      </c>
      <c r="M2197" t="s">
        <v>2</v>
      </c>
      <c r="N2197">
        <v>4250</v>
      </c>
      <c r="O2197">
        <v>7</v>
      </c>
      <c r="P2197">
        <v>14</v>
      </c>
      <c r="Q2197">
        <v>0</v>
      </c>
      <c r="R2197">
        <v>417010891</v>
      </c>
      <c r="S2197">
        <v>596608.68000000005</v>
      </c>
      <c r="T2197">
        <v>416414282.31999999</v>
      </c>
      <c r="U2197">
        <v>416414282.31999999</v>
      </c>
      <c r="V2197">
        <v>0</v>
      </c>
      <c r="W2197">
        <v>0</v>
      </c>
    </row>
    <row r="2198" spans="1:23" x14ac:dyDescent="0.35">
      <c r="A2198" t="s">
        <v>2</v>
      </c>
      <c r="B2198">
        <v>2750</v>
      </c>
      <c r="C2198">
        <v>7</v>
      </c>
      <c r="D2198">
        <v>2</v>
      </c>
      <c r="E2198">
        <v>0</v>
      </c>
      <c r="F2198">
        <v>31959116</v>
      </c>
      <c r="G2198">
        <v>62894.879999999997</v>
      </c>
      <c r="H2198">
        <v>31766974</v>
      </c>
      <c r="I2198">
        <v>31766974</v>
      </c>
      <c r="J2198">
        <v>4.7465E-2</v>
      </c>
      <c r="K2198">
        <v>4.7465E-2</v>
      </c>
      <c r="M2198" t="s">
        <v>0</v>
      </c>
      <c r="N2198">
        <v>4500</v>
      </c>
      <c r="O2198">
        <v>7</v>
      </c>
      <c r="P2198">
        <v>742</v>
      </c>
      <c r="Q2198">
        <v>0</v>
      </c>
      <c r="R2198">
        <v>26101264954</v>
      </c>
      <c r="S2198">
        <v>35691397.689999998</v>
      </c>
      <c r="T2198">
        <v>26065573556.310001</v>
      </c>
      <c r="U2198">
        <v>26065573556.310001</v>
      </c>
      <c r="V2198">
        <v>0</v>
      </c>
      <c r="W2198">
        <v>0</v>
      </c>
    </row>
    <row r="2199" spans="1:23" x14ac:dyDescent="0.35">
      <c r="A2199" t="s">
        <v>1</v>
      </c>
      <c r="B2199">
        <v>3000</v>
      </c>
      <c r="C2199">
        <v>7</v>
      </c>
      <c r="D2199">
        <v>1</v>
      </c>
      <c r="E2199">
        <v>0</v>
      </c>
      <c r="F2199">
        <v>36845532</v>
      </c>
      <c r="G2199">
        <v>66506.73</v>
      </c>
      <c r="H2199">
        <v>36712360</v>
      </c>
      <c r="I2199">
        <v>36712360</v>
      </c>
      <c r="J2199">
        <v>2.1496999999999999E-2</v>
      </c>
      <c r="K2199">
        <v>2.1496999999999999E-2</v>
      </c>
      <c r="M2199" t="s">
        <v>1</v>
      </c>
      <c r="N2199">
        <v>4500</v>
      </c>
      <c r="O2199">
        <v>7</v>
      </c>
      <c r="P2199">
        <v>321</v>
      </c>
      <c r="Q2199">
        <v>0</v>
      </c>
      <c r="R2199">
        <v>12192027836</v>
      </c>
      <c r="S2199">
        <v>16675596.279999999</v>
      </c>
      <c r="T2199">
        <v>12175352239.719999</v>
      </c>
      <c r="U2199">
        <v>12175352239.719999</v>
      </c>
      <c r="V2199">
        <v>0</v>
      </c>
      <c r="W2199">
        <v>0</v>
      </c>
    </row>
    <row r="2200" spans="1:23" x14ac:dyDescent="0.35">
      <c r="A2200" t="s">
        <v>1</v>
      </c>
      <c r="B2200">
        <v>2750</v>
      </c>
      <c r="C2200">
        <v>7</v>
      </c>
      <c r="D2200">
        <v>1</v>
      </c>
      <c r="E2200">
        <v>0</v>
      </c>
      <c r="F2200">
        <v>27407438</v>
      </c>
      <c r="G2200">
        <v>58399.19</v>
      </c>
      <c r="H2200">
        <v>27407438</v>
      </c>
      <c r="I2200">
        <v>27407438</v>
      </c>
      <c r="J2200">
        <v>-2.5871000000000002E-2</v>
      </c>
      <c r="K2200">
        <v>-2.5871000000000002E-2</v>
      </c>
      <c r="M2200" t="s">
        <v>2</v>
      </c>
      <c r="N2200">
        <v>4500</v>
      </c>
      <c r="O2200">
        <v>7</v>
      </c>
      <c r="P2200">
        <v>19</v>
      </c>
      <c r="Q2200">
        <v>0</v>
      </c>
      <c r="R2200">
        <v>511937774</v>
      </c>
      <c r="S2200">
        <v>700110.68</v>
      </c>
      <c r="T2200">
        <v>511237663.31999999</v>
      </c>
      <c r="U2200">
        <v>511237663.31999999</v>
      </c>
      <c r="V2200">
        <v>0</v>
      </c>
      <c r="W2200">
        <v>0</v>
      </c>
    </row>
    <row r="2201" spans="1:23" x14ac:dyDescent="0.35">
      <c r="A2201" t="s">
        <v>1</v>
      </c>
      <c r="B2201">
        <v>3250</v>
      </c>
      <c r="C2201">
        <v>7</v>
      </c>
      <c r="D2201">
        <v>3</v>
      </c>
      <c r="E2201">
        <v>0</v>
      </c>
      <c r="F2201">
        <v>124672951</v>
      </c>
      <c r="G2201">
        <v>211296.51</v>
      </c>
      <c r="H2201">
        <v>124461634</v>
      </c>
      <c r="I2201">
        <v>124461634</v>
      </c>
      <c r="J2201">
        <v>1.9999999999999999E-6</v>
      </c>
      <c r="K2201">
        <v>1.9999999999999999E-6</v>
      </c>
      <c r="M2201" t="s">
        <v>3</v>
      </c>
      <c r="N2201">
        <v>5500</v>
      </c>
      <c r="O2201">
        <v>7</v>
      </c>
      <c r="P2201">
        <v>2</v>
      </c>
      <c r="Q2201">
        <v>0</v>
      </c>
      <c r="R2201">
        <v>41287156</v>
      </c>
      <c r="S2201">
        <v>47607.94</v>
      </c>
      <c r="T2201">
        <v>41239548.060000002</v>
      </c>
      <c r="U2201">
        <v>41239548.060000002</v>
      </c>
      <c r="V2201">
        <v>0</v>
      </c>
      <c r="W2201">
        <v>0</v>
      </c>
    </row>
    <row r="2202" spans="1:23" x14ac:dyDescent="0.35">
      <c r="A2202" t="s">
        <v>2</v>
      </c>
      <c r="B2202">
        <v>3500</v>
      </c>
      <c r="C2202">
        <v>6</v>
      </c>
      <c r="D2202">
        <v>4</v>
      </c>
      <c r="E2202">
        <v>0</v>
      </c>
      <c r="F2202">
        <v>118702720</v>
      </c>
      <c r="G2202">
        <v>193263.91</v>
      </c>
      <c r="H2202">
        <v>117874344</v>
      </c>
      <c r="I2202">
        <v>117874344</v>
      </c>
      <c r="J2202">
        <v>6.2349000000000002E-2</v>
      </c>
      <c r="K2202">
        <v>6.2349000000000002E-2</v>
      </c>
      <c r="M2202" t="s">
        <v>3</v>
      </c>
      <c r="N2202">
        <v>5250</v>
      </c>
      <c r="O2202">
        <v>7</v>
      </c>
      <c r="P2202">
        <v>1</v>
      </c>
      <c r="Q2202">
        <v>0</v>
      </c>
      <c r="R2202">
        <v>35374914</v>
      </c>
      <c r="S2202">
        <v>42178.559999999998</v>
      </c>
      <c r="T2202">
        <v>35332735.439999998</v>
      </c>
      <c r="U2202">
        <v>35332735.439999998</v>
      </c>
      <c r="V2202">
        <v>0</v>
      </c>
      <c r="W2202">
        <v>0</v>
      </c>
    </row>
    <row r="2203" spans="1:23" x14ac:dyDescent="0.35">
      <c r="A2203" t="s">
        <v>1</v>
      </c>
      <c r="B2203">
        <v>3750</v>
      </c>
      <c r="C2203">
        <v>6</v>
      </c>
      <c r="D2203">
        <v>72</v>
      </c>
      <c r="E2203">
        <v>0</v>
      </c>
      <c r="F2203">
        <v>2838691308</v>
      </c>
      <c r="G2203">
        <v>4408756.13</v>
      </c>
      <c r="H2203">
        <v>2831653244</v>
      </c>
      <c r="I2203">
        <v>2831653244</v>
      </c>
      <c r="J2203">
        <v>1.1058E-2</v>
      </c>
      <c r="K2203">
        <v>1.1058E-2</v>
      </c>
      <c r="M2203" t="s">
        <v>0</v>
      </c>
      <c r="N2203">
        <v>2250</v>
      </c>
      <c r="O2203">
        <v>12</v>
      </c>
      <c r="P2203">
        <v>1</v>
      </c>
      <c r="Q2203">
        <v>0</v>
      </c>
      <c r="R2203">
        <v>20298248</v>
      </c>
      <c r="S2203">
        <v>48341.48</v>
      </c>
      <c r="T2203">
        <v>0</v>
      </c>
      <c r="U2203">
        <v>0</v>
      </c>
      <c r="V2203">
        <v>1</v>
      </c>
      <c r="W2203">
        <v>1</v>
      </c>
    </row>
    <row r="2204" spans="1:23" x14ac:dyDescent="0.35">
      <c r="A2204" t="s">
        <v>0</v>
      </c>
      <c r="B2204">
        <v>3750</v>
      </c>
      <c r="C2204">
        <v>6</v>
      </c>
      <c r="D2204">
        <v>154</v>
      </c>
      <c r="E2204">
        <v>0</v>
      </c>
      <c r="F2204">
        <v>5685921621</v>
      </c>
      <c r="G2204">
        <v>8809755.7100000009</v>
      </c>
      <c r="H2204">
        <v>5664059006</v>
      </c>
      <c r="I2204">
        <v>5664059006</v>
      </c>
      <c r="J2204">
        <v>2.7203000000000001E-2</v>
      </c>
      <c r="K2204">
        <v>2.7203000000000001E-2</v>
      </c>
      <c r="M2204" t="s">
        <v>1</v>
      </c>
      <c r="N2204">
        <v>2500</v>
      </c>
      <c r="O2204">
        <v>6</v>
      </c>
      <c r="P2204">
        <v>8</v>
      </c>
      <c r="Q2204">
        <v>0</v>
      </c>
      <c r="R2204">
        <v>249588427</v>
      </c>
      <c r="S2204">
        <v>488880.46</v>
      </c>
      <c r="T2204">
        <v>249099546.53999999</v>
      </c>
      <c r="U2204">
        <v>249099546.53999999</v>
      </c>
      <c r="V2204">
        <v>0</v>
      </c>
      <c r="W2204">
        <v>0</v>
      </c>
    </row>
    <row r="2205" spans="1:23" x14ac:dyDescent="0.35">
      <c r="A2205" t="s">
        <v>0</v>
      </c>
      <c r="B2205">
        <v>3500</v>
      </c>
      <c r="C2205">
        <v>6</v>
      </c>
      <c r="D2205">
        <v>35</v>
      </c>
      <c r="E2205">
        <v>0</v>
      </c>
      <c r="F2205">
        <v>1140766752</v>
      </c>
      <c r="G2205">
        <v>1849627.48</v>
      </c>
      <c r="H2205">
        <v>1132543940</v>
      </c>
      <c r="I2205">
        <v>1132543940</v>
      </c>
      <c r="J2205">
        <v>6.5018999999999993E-2</v>
      </c>
      <c r="K2205">
        <v>6.5018999999999993E-2</v>
      </c>
      <c r="M2205" t="s">
        <v>1</v>
      </c>
      <c r="N2205">
        <v>2750</v>
      </c>
      <c r="O2205">
        <v>7</v>
      </c>
      <c r="P2205">
        <v>1</v>
      </c>
      <c r="Q2205">
        <v>0</v>
      </c>
      <c r="R2205">
        <v>21934993</v>
      </c>
      <c r="S2205">
        <v>44354.84</v>
      </c>
      <c r="T2205">
        <v>21890638.16</v>
      </c>
      <c r="U2205">
        <v>21890638.16</v>
      </c>
      <c r="V2205">
        <v>0</v>
      </c>
      <c r="W2205">
        <v>0</v>
      </c>
    </row>
    <row r="2206" spans="1:23" x14ac:dyDescent="0.35">
      <c r="A2206" t="s">
        <v>1</v>
      </c>
      <c r="B2206">
        <v>3250</v>
      </c>
      <c r="C2206">
        <v>6</v>
      </c>
      <c r="D2206">
        <v>16</v>
      </c>
      <c r="E2206">
        <v>0</v>
      </c>
      <c r="F2206">
        <v>491715653</v>
      </c>
      <c r="G2206">
        <v>829709.49</v>
      </c>
      <c r="H2206">
        <v>489790450</v>
      </c>
      <c r="I2206">
        <v>489790450</v>
      </c>
      <c r="J2206">
        <v>2.6409999999999999E-2</v>
      </c>
      <c r="K2206">
        <v>2.6409999999999999E-2</v>
      </c>
      <c r="M2206" t="s">
        <v>1</v>
      </c>
      <c r="N2206">
        <v>2750</v>
      </c>
      <c r="O2206">
        <v>8</v>
      </c>
      <c r="P2206">
        <v>2</v>
      </c>
      <c r="Q2206">
        <v>0</v>
      </c>
      <c r="R2206">
        <v>36923226</v>
      </c>
      <c r="S2206">
        <v>77038.5</v>
      </c>
      <c r="T2206">
        <v>36846187.5</v>
      </c>
      <c r="U2206">
        <v>36846187.5</v>
      </c>
      <c r="V2206">
        <v>0</v>
      </c>
      <c r="W2206">
        <v>0</v>
      </c>
    </row>
    <row r="2207" spans="1:23" x14ac:dyDescent="0.35">
      <c r="A2207" t="s">
        <v>2</v>
      </c>
      <c r="B2207">
        <v>3250</v>
      </c>
      <c r="C2207">
        <v>8</v>
      </c>
      <c r="D2207">
        <v>1</v>
      </c>
      <c r="E2207">
        <v>0</v>
      </c>
      <c r="F2207">
        <v>42178383</v>
      </c>
      <c r="G2207">
        <v>71799.48</v>
      </c>
      <c r="H2207">
        <v>42106583</v>
      </c>
      <c r="I2207">
        <v>42106583</v>
      </c>
      <c r="J2207">
        <v>0</v>
      </c>
      <c r="K2207">
        <v>0</v>
      </c>
      <c r="M2207" t="s">
        <v>1</v>
      </c>
      <c r="N2207">
        <v>3000</v>
      </c>
      <c r="O2207">
        <v>7</v>
      </c>
      <c r="P2207">
        <v>2</v>
      </c>
      <c r="Q2207">
        <v>0</v>
      </c>
      <c r="R2207">
        <v>43493969</v>
      </c>
      <c r="S2207">
        <v>90449.18</v>
      </c>
      <c r="T2207">
        <v>43403519.82</v>
      </c>
      <c r="U2207">
        <v>43403519.82</v>
      </c>
      <c r="V2207">
        <v>0</v>
      </c>
      <c r="W2207">
        <v>0</v>
      </c>
    </row>
    <row r="2208" spans="1:23" x14ac:dyDescent="0.35">
      <c r="A2208" t="s">
        <v>1</v>
      </c>
      <c r="B2208">
        <v>3500</v>
      </c>
      <c r="C2208">
        <v>6</v>
      </c>
      <c r="D2208">
        <v>14</v>
      </c>
      <c r="E2208">
        <v>0</v>
      </c>
      <c r="F2208">
        <v>481619338</v>
      </c>
      <c r="G2208">
        <v>784634.98</v>
      </c>
      <c r="H2208">
        <v>446788685</v>
      </c>
      <c r="I2208">
        <v>479096373.22000003</v>
      </c>
      <c r="J2208">
        <v>0.58511899999999994</v>
      </c>
      <c r="K2208">
        <v>4.2463000000000001E-2</v>
      </c>
      <c r="M2208" t="s">
        <v>1</v>
      </c>
      <c r="N2208">
        <v>3500</v>
      </c>
      <c r="O2208">
        <v>6</v>
      </c>
      <c r="P2208">
        <v>10</v>
      </c>
      <c r="Q2208">
        <v>0</v>
      </c>
      <c r="R2208">
        <v>292929572</v>
      </c>
      <c r="S2208">
        <v>480200.62</v>
      </c>
      <c r="T2208">
        <v>292449371.38</v>
      </c>
      <c r="U2208">
        <v>292449371.38</v>
      </c>
      <c r="V2208">
        <v>0</v>
      </c>
      <c r="W2208">
        <v>0</v>
      </c>
    </row>
    <row r="2209" spans="1:23" x14ac:dyDescent="0.35">
      <c r="A2209" t="s">
        <v>0</v>
      </c>
      <c r="B2209">
        <v>3250</v>
      </c>
      <c r="C2209">
        <v>6</v>
      </c>
      <c r="D2209">
        <v>5</v>
      </c>
      <c r="E2209">
        <v>0</v>
      </c>
      <c r="F2209">
        <v>183575947</v>
      </c>
      <c r="G2209">
        <v>310046.46000000002</v>
      </c>
      <c r="H2209">
        <v>183228176</v>
      </c>
      <c r="I2209">
        <v>183228176</v>
      </c>
      <c r="J2209">
        <v>2.4629999999999999E-3</v>
      </c>
      <c r="K2209">
        <v>2.4629999999999999E-3</v>
      </c>
      <c r="M2209" t="s">
        <v>2</v>
      </c>
      <c r="N2209">
        <v>3250</v>
      </c>
      <c r="O2209">
        <v>6</v>
      </c>
      <c r="P2209">
        <v>3</v>
      </c>
      <c r="Q2209">
        <v>0</v>
      </c>
      <c r="R2209">
        <v>46294972</v>
      </c>
      <c r="S2209">
        <v>81789.33</v>
      </c>
      <c r="T2209">
        <v>46213182.670000002</v>
      </c>
      <c r="U2209">
        <v>46213182.670000002</v>
      </c>
      <c r="V2209">
        <v>0</v>
      </c>
      <c r="W2209">
        <v>0</v>
      </c>
    </row>
    <row r="2210" spans="1:23" x14ac:dyDescent="0.35">
      <c r="A2210" t="s">
        <v>2</v>
      </c>
      <c r="B2210">
        <v>3750</v>
      </c>
      <c r="C2210">
        <v>6</v>
      </c>
      <c r="D2210">
        <v>3</v>
      </c>
      <c r="E2210">
        <v>0</v>
      </c>
      <c r="F2210">
        <v>82577042</v>
      </c>
      <c r="G2210">
        <v>127889</v>
      </c>
      <c r="H2210">
        <v>82249557</v>
      </c>
      <c r="I2210">
        <v>82249557</v>
      </c>
      <c r="J2210">
        <v>2.8622999999999999E-2</v>
      </c>
      <c r="K2210">
        <v>2.8622999999999999E-2</v>
      </c>
      <c r="M2210" t="s">
        <v>0</v>
      </c>
      <c r="N2210">
        <v>3500</v>
      </c>
      <c r="O2210">
        <v>6</v>
      </c>
      <c r="P2210">
        <v>15</v>
      </c>
      <c r="Q2210">
        <v>0</v>
      </c>
      <c r="R2210">
        <v>501865744</v>
      </c>
      <c r="S2210">
        <v>812860.55</v>
      </c>
      <c r="T2210">
        <v>501052883.44999999</v>
      </c>
      <c r="U2210">
        <v>501052883.44999999</v>
      </c>
      <c r="V2210">
        <v>0</v>
      </c>
      <c r="W2210">
        <v>0</v>
      </c>
    </row>
    <row r="2211" spans="1:23" x14ac:dyDescent="0.35">
      <c r="A2211" t="s">
        <v>1</v>
      </c>
      <c r="B2211">
        <v>4000</v>
      </c>
      <c r="C2211">
        <v>6</v>
      </c>
      <c r="D2211">
        <v>631</v>
      </c>
      <c r="E2211">
        <v>0</v>
      </c>
      <c r="F2211">
        <v>22720082755</v>
      </c>
      <c r="G2211">
        <v>33791600.649999999</v>
      </c>
      <c r="H2211">
        <v>22611489723</v>
      </c>
      <c r="I2211">
        <v>22611489723</v>
      </c>
      <c r="J2211">
        <v>3.8800000000000001E-2</v>
      </c>
      <c r="K2211">
        <v>3.8800000000000001E-2</v>
      </c>
      <c r="M2211" t="s">
        <v>0</v>
      </c>
      <c r="N2211">
        <v>3250</v>
      </c>
      <c r="O2211">
        <v>6</v>
      </c>
      <c r="P2211">
        <v>2</v>
      </c>
      <c r="Q2211">
        <v>0</v>
      </c>
      <c r="R2211">
        <v>74848543</v>
      </c>
      <c r="S2211">
        <v>126297.68</v>
      </c>
      <c r="T2211">
        <v>74722245.319999993</v>
      </c>
      <c r="U2211">
        <v>74722245.319999993</v>
      </c>
      <c r="V2211">
        <v>0</v>
      </c>
      <c r="W2211">
        <v>0</v>
      </c>
    </row>
    <row r="2212" spans="1:23" x14ac:dyDescent="0.35">
      <c r="A2212" t="s">
        <v>0</v>
      </c>
      <c r="B2212">
        <v>4250</v>
      </c>
      <c r="C2212">
        <v>6</v>
      </c>
      <c r="D2212">
        <v>325</v>
      </c>
      <c r="E2212">
        <v>0</v>
      </c>
      <c r="F2212">
        <v>10502818134</v>
      </c>
      <c r="G2212">
        <v>14972913.18</v>
      </c>
      <c r="H2212">
        <v>10455362250</v>
      </c>
      <c r="I2212">
        <v>10455362250</v>
      </c>
      <c r="J2212">
        <v>3.6489000000000001E-2</v>
      </c>
      <c r="K2212">
        <v>3.6489000000000001E-2</v>
      </c>
      <c r="M2212" t="s">
        <v>2</v>
      </c>
      <c r="N2212">
        <v>3500</v>
      </c>
      <c r="O2212">
        <v>6</v>
      </c>
      <c r="P2212">
        <v>7</v>
      </c>
      <c r="Q2212">
        <v>0</v>
      </c>
      <c r="R2212">
        <v>208321287</v>
      </c>
      <c r="S2212">
        <v>337413.26</v>
      </c>
      <c r="T2212">
        <v>207983873.74000001</v>
      </c>
      <c r="U2212">
        <v>207983873.74000001</v>
      </c>
      <c r="V2212">
        <v>0</v>
      </c>
      <c r="W2212">
        <v>0</v>
      </c>
    </row>
    <row r="2213" spans="1:23" x14ac:dyDescent="0.35">
      <c r="A2213" t="s">
        <v>1</v>
      </c>
      <c r="B2213">
        <v>4250</v>
      </c>
      <c r="C2213">
        <v>6</v>
      </c>
      <c r="D2213">
        <v>170</v>
      </c>
      <c r="E2213">
        <v>0</v>
      </c>
      <c r="F2213">
        <v>6200946802</v>
      </c>
      <c r="G2213">
        <v>8846659.9700000007</v>
      </c>
      <c r="H2213">
        <v>6180212107</v>
      </c>
      <c r="I2213">
        <v>6180212107</v>
      </c>
      <c r="J2213">
        <v>2.2765000000000001E-2</v>
      </c>
      <c r="K2213">
        <v>2.2765000000000001E-2</v>
      </c>
      <c r="M2213" t="s">
        <v>2</v>
      </c>
      <c r="N2213">
        <v>3750</v>
      </c>
      <c r="O2213">
        <v>6</v>
      </c>
      <c r="P2213">
        <v>9</v>
      </c>
      <c r="Q2213">
        <v>0</v>
      </c>
      <c r="R2213">
        <v>222099135</v>
      </c>
      <c r="S2213">
        <v>345616.43</v>
      </c>
      <c r="T2213">
        <v>221753518.56999999</v>
      </c>
      <c r="U2213">
        <v>221753518.56999999</v>
      </c>
      <c r="V2213">
        <v>0</v>
      </c>
      <c r="W2213">
        <v>0</v>
      </c>
    </row>
    <row r="2214" spans="1:23" x14ac:dyDescent="0.35">
      <c r="A2214" t="s">
        <v>2</v>
      </c>
      <c r="B2214">
        <v>4000</v>
      </c>
      <c r="C2214">
        <v>6</v>
      </c>
      <c r="D2214">
        <v>84</v>
      </c>
      <c r="E2214">
        <v>0</v>
      </c>
      <c r="F2214">
        <v>2529993622</v>
      </c>
      <c r="G2214">
        <v>3759648.85</v>
      </c>
      <c r="H2214">
        <v>2520399334</v>
      </c>
      <c r="I2214">
        <v>2520399334</v>
      </c>
      <c r="J2214">
        <v>2.7326E-2</v>
      </c>
      <c r="K2214">
        <v>2.7326E-2</v>
      </c>
      <c r="M2214" t="s">
        <v>0</v>
      </c>
      <c r="N2214">
        <v>3750</v>
      </c>
      <c r="O2214">
        <v>6</v>
      </c>
      <c r="P2214">
        <v>119</v>
      </c>
      <c r="Q2214">
        <v>0</v>
      </c>
      <c r="R2214">
        <v>4022162474</v>
      </c>
      <c r="S2214">
        <v>6231269.3700000001</v>
      </c>
      <c r="T2214">
        <v>4015931204.6300001</v>
      </c>
      <c r="U2214">
        <v>4015931204.6300001</v>
      </c>
      <c r="V2214">
        <v>0</v>
      </c>
      <c r="W2214">
        <v>0</v>
      </c>
    </row>
    <row r="2215" spans="1:23" x14ac:dyDescent="0.35">
      <c r="A2215" t="s">
        <v>2</v>
      </c>
      <c r="B2215">
        <v>4250</v>
      </c>
      <c r="C2215">
        <v>6</v>
      </c>
      <c r="D2215">
        <v>13</v>
      </c>
      <c r="E2215">
        <v>0</v>
      </c>
      <c r="F2215">
        <v>357529800</v>
      </c>
      <c r="G2215">
        <v>513865.06</v>
      </c>
      <c r="H2215">
        <v>356186981</v>
      </c>
      <c r="I2215">
        <v>356186981</v>
      </c>
      <c r="J2215">
        <v>2.7470999999999999E-2</v>
      </c>
      <c r="K2215">
        <v>2.7470999999999999E-2</v>
      </c>
      <c r="M2215" t="s">
        <v>1</v>
      </c>
      <c r="N2215">
        <v>4000</v>
      </c>
      <c r="O2215">
        <v>6</v>
      </c>
      <c r="P2215">
        <v>441</v>
      </c>
      <c r="Q2215">
        <v>0</v>
      </c>
      <c r="R2215">
        <v>16103218305</v>
      </c>
      <c r="S2215">
        <v>23951682.289999999</v>
      </c>
      <c r="T2215">
        <v>16065973886.08</v>
      </c>
      <c r="U2215">
        <v>16065973886.08</v>
      </c>
      <c r="V2215">
        <v>9.861E-3</v>
      </c>
      <c r="W2215">
        <v>9.861E-3</v>
      </c>
    </row>
    <row r="2216" spans="1:23" x14ac:dyDescent="0.35">
      <c r="A2216" t="s">
        <v>0</v>
      </c>
      <c r="B2216">
        <v>4500</v>
      </c>
      <c r="C2216">
        <v>6</v>
      </c>
      <c r="D2216">
        <v>583</v>
      </c>
      <c r="E2216">
        <v>0</v>
      </c>
      <c r="F2216">
        <v>19462417588</v>
      </c>
      <c r="G2216">
        <v>26554582.93</v>
      </c>
      <c r="H2216">
        <v>19376377450</v>
      </c>
      <c r="I2216">
        <v>19388360793.080002</v>
      </c>
      <c r="J2216">
        <v>3.6067000000000002E-2</v>
      </c>
      <c r="K2216">
        <v>2.8899000000000001E-2</v>
      </c>
      <c r="M2216" t="s">
        <v>1</v>
      </c>
      <c r="N2216">
        <v>3750</v>
      </c>
      <c r="O2216">
        <v>6</v>
      </c>
      <c r="P2216">
        <v>44</v>
      </c>
      <c r="Q2216">
        <v>0</v>
      </c>
      <c r="R2216">
        <v>1505169888</v>
      </c>
      <c r="S2216">
        <v>2332636.71</v>
      </c>
      <c r="T2216">
        <v>1502837251.29</v>
      </c>
      <c r="U2216">
        <v>1502837251.29</v>
      </c>
      <c r="V2216">
        <v>0</v>
      </c>
      <c r="W2216">
        <v>0</v>
      </c>
    </row>
    <row r="2217" spans="1:23" x14ac:dyDescent="0.35">
      <c r="A2217" t="s">
        <v>1</v>
      </c>
      <c r="B2217">
        <v>4500</v>
      </c>
      <c r="C2217">
        <v>6</v>
      </c>
      <c r="D2217">
        <v>224</v>
      </c>
      <c r="E2217">
        <v>0</v>
      </c>
      <c r="F2217">
        <v>8249123230</v>
      </c>
      <c r="G2217">
        <v>11234375.43</v>
      </c>
      <c r="H2217">
        <v>8213038350</v>
      </c>
      <c r="I2217">
        <v>8213038350</v>
      </c>
      <c r="J2217">
        <v>3.5556999999999998E-2</v>
      </c>
      <c r="K2217">
        <v>3.5556999999999998E-2</v>
      </c>
      <c r="M2217" t="s">
        <v>1</v>
      </c>
      <c r="N2217">
        <v>4250</v>
      </c>
      <c r="O2217">
        <v>6</v>
      </c>
      <c r="P2217">
        <v>127</v>
      </c>
      <c r="Q2217">
        <v>0</v>
      </c>
      <c r="R2217">
        <v>4815908269</v>
      </c>
      <c r="S2217">
        <v>6850990.8899999997</v>
      </c>
      <c r="T2217">
        <v>4809057278.1099997</v>
      </c>
      <c r="U2217">
        <v>4809057278.1099997</v>
      </c>
      <c r="V2217">
        <v>0</v>
      </c>
      <c r="W2217">
        <v>0</v>
      </c>
    </row>
    <row r="2218" spans="1:23" x14ac:dyDescent="0.35">
      <c r="A2218" t="s">
        <v>2</v>
      </c>
      <c r="B2218">
        <v>4500</v>
      </c>
      <c r="C2218">
        <v>6</v>
      </c>
      <c r="D2218">
        <v>32</v>
      </c>
      <c r="E2218">
        <v>0</v>
      </c>
      <c r="F2218">
        <v>846706287</v>
      </c>
      <c r="G2218">
        <v>1154426.7</v>
      </c>
      <c r="H2218">
        <v>842115759</v>
      </c>
      <c r="I2218">
        <v>842115759</v>
      </c>
      <c r="J2218">
        <v>4.7626000000000002E-2</v>
      </c>
      <c r="K2218">
        <v>4.7626000000000002E-2</v>
      </c>
      <c r="M2218" t="s">
        <v>0</v>
      </c>
      <c r="N2218">
        <v>4250</v>
      </c>
      <c r="O2218">
        <v>6</v>
      </c>
      <c r="P2218">
        <v>296</v>
      </c>
      <c r="Q2218">
        <v>0</v>
      </c>
      <c r="R2218">
        <v>9374105098</v>
      </c>
      <c r="S2218">
        <v>13346436.5</v>
      </c>
      <c r="T2218">
        <v>9360758661.5</v>
      </c>
      <c r="U2218">
        <v>9360758661.5</v>
      </c>
      <c r="V2218">
        <v>0</v>
      </c>
      <c r="W2218">
        <v>0</v>
      </c>
    </row>
    <row r="2219" spans="1:23" x14ac:dyDescent="0.35">
      <c r="A2219" t="s">
        <v>3</v>
      </c>
      <c r="B2219">
        <v>5500</v>
      </c>
      <c r="C2219">
        <v>6</v>
      </c>
      <c r="D2219">
        <v>2</v>
      </c>
      <c r="E2219">
        <v>0</v>
      </c>
      <c r="F2219">
        <v>87348024</v>
      </c>
      <c r="G2219">
        <v>99834.42</v>
      </c>
      <c r="H2219">
        <v>86982614</v>
      </c>
      <c r="I2219">
        <v>86982614</v>
      </c>
      <c r="J2219">
        <v>3.5881000000000003E-2</v>
      </c>
      <c r="K2219">
        <v>3.5881000000000003E-2</v>
      </c>
      <c r="M2219" t="s">
        <v>2</v>
      </c>
      <c r="N2219">
        <v>4000</v>
      </c>
      <c r="O2219">
        <v>6</v>
      </c>
      <c r="P2219">
        <v>61</v>
      </c>
      <c r="Q2219">
        <v>0</v>
      </c>
      <c r="R2219">
        <v>1800058776</v>
      </c>
      <c r="S2219">
        <v>2673802.13</v>
      </c>
      <c r="T2219">
        <v>1797384973.8699999</v>
      </c>
      <c r="U2219">
        <v>1797384973.8699999</v>
      </c>
      <c r="V2219">
        <v>0</v>
      </c>
      <c r="W2219">
        <v>0</v>
      </c>
    </row>
    <row r="2220" spans="1:23" x14ac:dyDescent="0.35">
      <c r="A2220" t="s">
        <v>1</v>
      </c>
      <c r="B2220">
        <v>3250</v>
      </c>
      <c r="C2220">
        <v>5</v>
      </c>
      <c r="D2220">
        <v>54</v>
      </c>
      <c r="E2220">
        <v>0</v>
      </c>
      <c r="F2220">
        <v>1926200000</v>
      </c>
      <c r="G2220">
        <v>3195276.58</v>
      </c>
      <c r="H2220">
        <v>1925748952</v>
      </c>
      <c r="I2220">
        <v>1925748952</v>
      </c>
      <c r="J2220">
        <v>-1.7231E-2</v>
      </c>
      <c r="K2220">
        <v>-1.7231E-2</v>
      </c>
      <c r="M2220" t="s">
        <v>2</v>
      </c>
      <c r="N2220">
        <v>4250</v>
      </c>
      <c r="O2220">
        <v>6</v>
      </c>
      <c r="P2220">
        <v>15</v>
      </c>
      <c r="Q2220">
        <v>0</v>
      </c>
      <c r="R2220">
        <v>398386497</v>
      </c>
      <c r="S2220">
        <v>568682.92000000004</v>
      </c>
      <c r="T2220">
        <v>397817814.07999998</v>
      </c>
      <c r="U2220">
        <v>397817814.07999998</v>
      </c>
      <c r="V2220">
        <v>0</v>
      </c>
      <c r="W2220">
        <v>0</v>
      </c>
    </row>
    <row r="2221" spans="1:23" x14ac:dyDescent="0.35">
      <c r="A2221" t="s">
        <v>2</v>
      </c>
      <c r="B2221">
        <v>2750</v>
      </c>
      <c r="C2221">
        <v>6</v>
      </c>
      <c r="D2221">
        <v>1</v>
      </c>
      <c r="E2221">
        <v>0</v>
      </c>
      <c r="F2221">
        <v>14300000</v>
      </c>
      <c r="G2221">
        <v>29678.11</v>
      </c>
      <c r="H2221">
        <v>14201727</v>
      </c>
      <c r="I2221">
        <v>14201727</v>
      </c>
      <c r="J2221">
        <v>5.6068E-2</v>
      </c>
      <c r="K2221">
        <v>5.6068E-2</v>
      </c>
      <c r="M2221" t="s">
        <v>0</v>
      </c>
      <c r="N2221">
        <v>4500</v>
      </c>
      <c r="O2221">
        <v>6</v>
      </c>
      <c r="P2221">
        <v>559</v>
      </c>
      <c r="Q2221">
        <v>0</v>
      </c>
      <c r="R2221">
        <v>19001935171</v>
      </c>
      <c r="S2221">
        <v>25889646.960000001</v>
      </c>
      <c r="T2221">
        <v>18976045524.040001</v>
      </c>
      <c r="U2221">
        <v>18976045524.040001</v>
      </c>
      <c r="V2221">
        <v>0</v>
      </c>
      <c r="W2221">
        <v>0</v>
      </c>
    </row>
    <row r="2222" spans="1:23" x14ac:dyDescent="0.35">
      <c r="A2222" t="s">
        <v>1</v>
      </c>
      <c r="B2222">
        <v>3000</v>
      </c>
      <c r="C2222">
        <v>6</v>
      </c>
      <c r="D2222">
        <v>1</v>
      </c>
      <c r="E2222">
        <v>0</v>
      </c>
      <c r="F2222">
        <v>37300000</v>
      </c>
      <c r="G2222">
        <v>65765.13</v>
      </c>
      <c r="H2222">
        <v>37027231</v>
      </c>
      <c r="I2222">
        <v>37027231</v>
      </c>
      <c r="J2222">
        <v>6.4601000000000006E-2</v>
      </c>
      <c r="K2222">
        <v>6.4601000000000006E-2</v>
      </c>
      <c r="M2222" t="s">
        <v>2</v>
      </c>
      <c r="N2222">
        <v>4500</v>
      </c>
      <c r="O2222">
        <v>6</v>
      </c>
      <c r="P2222">
        <v>24</v>
      </c>
      <c r="Q2222">
        <v>0</v>
      </c>
      <c r="R2222">
        <v>705724696</v>
      </c>
      <c r="S2222">
        <v>960888.93</v>
      </c>
      <c r="T2222">
        <v>704763807.07000005</v>
      </c>
      <c r="U2222">
        <v>704763807.07000005</v>
      </c>
      <c r="V2222">
        <v>0</v>
      </c>
      <c r="W2222">
        <v>0</v>
      </c>
    </row>
    <row r="2223" spans="1:23" x14ac:dyDescent="0.35">
      <c r="A2223" t="s">
        <v>0</v>
      </c>
      <c r="B2223">
        <v>2750</v>
      </c>
      <c r="C2223">
        <v>7</v>
      </c>
      <c r="D2223">
        <v>1</v>
      </c>
      <c r="E2223">
        <v>0</v>
      </c>
      <c r="F2223">
        <v>22700000</v>
      </c>
      <c r="G2223">
        <v>41834.53</v>
      </c>
      <c r="H2223">
        <v>22457348</v>
      </c>
      <c r="I2223">
        <v>22457348</v>
      </c>
      <c r="J2223">
        <v>0.101143</v>
      </c>
      <c r="K2223">
        <v>0.101143</v>
      </c>
      <c r="M2223" t="s">
        <v>3</v>
      </c>
      <c r="N2223">
        <v>5250</v>
      </c>
      <c r="O2223">
        <v>6</v>
      </c>
      <c r="P2223">
        <v>2</v>
      </c>
      <c r="Q2223">
        <v>0</v>
      </c>
      <c r="R2223">
        <v>64500360</v>
      </c>
      <c r="S2223">
        <v>76479.899999999994</v>
      </c>
      <c r="T2223">
        <v>64423880.100000001</v>
      </c>
      <c r="U2223">
        <v>64423880.100000001</v>
      </c>
      <c r="V2223">
        <v>0</v>
      </c>
      <c r="W2223">
        <v>0</v>
      </c>
    </row>
    <row r="2224" spans="1:23" x14ac:dyDescent="0.35">
      <c r="A2224" t="s">
        <v>0</v>
      </c>
      <c r="B2224">
        <v>3500</v>
      </c>
      <c r="C2224">
        <v>5</v>
      </c>
      <c r="D2224">
        <v>481</v>
      </c>
      <c r="E2224">
        <v>0</v>
      </c>
      <c r="F2224">
        <v>17536200000</v>
      </c>
      <c r="G2224">
        <v>27943286.100000001</v>
      </c>
      <c r="H2224">
        <v>17530837760</v>
      </c>
      <c r="I2224">
        <v>17530837760</v>
      </c>
      <c r="J2224">
        <v>-1.5561999999999999E-2</v>
      </c>
      <c r="K2224">
        <v>-1.5561999999999999E-2</v>
      </c>
      <c r="M2224" t="s">
        <v>3</v>
      </c>
      <c r="N2224">
        <v>7500</v>
      </c>
      <c r="O2224">
        <v>6</v>
      </c>
      <c r="P2224">
        <v>1</v>
      </c>
      <c r="Q2224">
        <v>0</v>
      </c>
      <c r="R2224">
        <v>5896806</v>
      </c>
      <c r="S2224">
        <v>4563.62</v>
      </c>
      <c r="T2224">
        <v>5892242.3799999999</v>
      </c>
      <c r="U2224">
        <v>5892242.3799999999</v>
      </c>
      <c r="V2224">
        <v>0</v>
      </c>
      <c r="W2224">
        <v>0</v>
      </c>
    </row>
    <row r="2225" spans="1:23" x14ac:dyDescent="0.35">
      <c r="A2225" t="s">
        <v>1</v>
      </c>
      <c r="B2225">
        <v>3500</v>
      </c>
      <c r="C2225">
        <v>5</v>
      </c>
      <c r="D2225">
        <v>171</v>
      </c>
      <c r="E2225">
        <v>0</v>
      </c>
      <c r="F2225">
        <v>6465800000</v>
      </c>
      <c r="G2225">
        <v>10314428.6</v>
      </c>
      <c r="H2225">
        <v>6463658560</v>
      </c>
      <c r="I2225">
        <v>6463658560</v>
      </c>
      <c r="J2225">
        <v>-1.5273999999999999E-2</v>
      </c>
      <c r="K2225">
        <v>-1.5273999999999999E-2</v>
      </c>
      <c r="M2225" t="s">
        <v>1</v>
      </c>
      <c r="N2225">
        <v>2000</v>
      </c>
      <c r="O2225">
        <v>9</v>
      </c>
      <c r="P2225">
        <v>1</v>
      </c>
      <c r="Q2225">
        <v>0</v>
      </c>
      <c r="R2225">
        <v>36000000</v>
      </c>
      <c r="S2225">
        <v>75676.37</v>
      </c>
      <c r="T2225">
        <v>35924323.630000003</v>
      </c>
      <c r="U2225">
        <v>35924323.630000003</v>
      </c>
      <c r="V2225">
        <v>0</v>
      </c>
      <c r="W2225">
        <v>0</v>
      </c>
    </row>
    <row r="2226" spans="1:23" x14ac:dyDescent="0.35">
      <c r="A2226" t="s">
        <v>2</v>
      </c>
      <c r="B2226">
        <v>3250</v>
      </c>
      <c r="C2226">
        <v>6</v>
      </c>
      <c r="D2226">
        <v>1</v>
      </c>
      <c r="E2226">
        <v>0</v>
      </c>
      <c r="F2226">
        <v>25400000</v>
      </c>
      <c r="G2226">
        <v>42859.37</v>
      </c>
      <c r="H2226">
        <v>25158241</v>
      </c>
      <c r="I2226">
        <v>25158241</v>
      </c>
      <c r="J2226">
        <v>9.0024999999999994E-2</v>
      </c>
      <c r="K2226">
        <v>9.0024999999999994E-2</v>
      </c>
      <c r="M2226" t="s">
        <v>1</v>
      </c>
      <c r="N2226">
        <v>2500</v>
      </c>
      <c r="O2226">
        <v>5</v>
      </c>
      <c r="P2226">
        <v>8</v>
      </c>
      <c r="Q2226">
        <v>0</v>
      </c>
      <c r="R2226">
        <v>434000000</v>
      </c>
      <c r="S2226">
        <v>848269.6</v>
      </c>
      <c r="T2226">
        <v>433151730.39999998</v>
      </c>
      <c r="U2226">
        <v>433151730.39999998</v>
      </c>
      <c r="V2226">
        <v>0</v>
      </c>
      <c r="W2226">
        <v>0</v>
      </c>
    </row>
    <row r="2227" spans="1:23" x14ac:dyDescent="0.35">
      <c r="A2227" t="s">
        <v>2</v>
      </c>
      <c r="B2227">
        <v>3500</v>
      </c>
      <c r="C2227">
        <v>5</v>
      </c>
      <c r="D2227">
        <v>75</v>
      </c>
      <c r="E2227">
        <v>0</v>
      </c>
      <c r="F2227">
        <v>2303800000</v>
      </c>
      <c r="G2227">
        <v>3671840.81</v>
      </c>
      <c r="H2227">
        <v>2303336664</v>
      </c>
      <c r="I2227">
        <v>2303336664</v>
      </c>
      <c r="J2227">
        <v>-1.6840999999999998E-2</v>
      </c>
      <c r="K2227">
        <v>-1.6840999999999998E-2</v>
      </c>
      <c r="M2227" t="s">
        <v>1</v>
      </c>
      <c r="N2227">
        <v>2750</v>
      </c>
      <c r="O2227">
        <v>5</v>
      </c>
      <c r="P2227">
        <v>6</v>
      </c>
      <c r="Q2227">
        <v>0</v>
      </c>
      <c r="R2227">
        <v>225900000</v>
      </c>
      <c r="S2227">
        <v>412388.26</v>
      </c>
      <c r="T2227">
        <v>225487611.74000001</v>
      </c>
      <c r="U2227">
        <v>225487611.74000001</v>
      </c>
      <c r="V2227">
        <v>0</v>
      </c>
      <c r="W2227">
        <v>0</v>
      </c>
    </row>
    <row r="2228" spans="1:23" x14ac:dyDescent="0.35">
      <c r="A2228" t="s">
        <v>0</v>
      </c>
      <c r="B2228">
        <v>3250</v>
      </c>
      <c r="C2228">
        <v>5</v>
      </c>
      <c r="D2228">
        <v>155</v>
      </c>
      <c r="E2228">
        <v>0</v>
      </c>
      <c r="F2228">
        <v>5250000000</v>
      </c>
      <c r="G2228">
        <v>8721296.9800000004</v>
      </c>
      <c r="H2228">
        <v>5249782504</v>
      </c>
      <c r="I2228">
        <v>5249782504</v>
      </c>
      <c r="J2228">
        <v>-1.9611E-2</v>
      </c>
      <c r="K2228">
        <v>-1.9611E-2</v>
      </c>
      <c r="M2228" t="s">
        <v>2</v>
      </c>
      <c r="N2228">
        <v>2750</v>
      </c>
      <c r="O2228">
        <v>6</v>
      </c>
      <c r="P2228">
        <v>2</v>
      </c>
      <c r="Q2228">
        <v>0</v>
      </c>
      <c r="R2228">
        <v>32100000</v>
      </c>
      <c r="S2228">
        <v>62931.519999999997</v>
      </c>
      <c r="T2228">
        <v>32037068.48</v>
      </c>
      <c r="U2228">
        <v>32037068.48</v>
      </c>
      <c r="V2228">
        <v>0</v>
      </c>
      <c r="W2228">
        <v>0</v>
      </c>
    </row>
    <row r="2229" spans="1:23" x14ac:dyDescent="0.35">
      <c r="A2229" t="s">
        <v>2</v>
      </c>
      <c r="B2229">
        <v>4500</v>
      </c>
      <c r="C2229">
        <v>5</v>
      </c>
      <c r="D2229">
        <v>106</v>
      </c>
      <c r="E2229">
        <v>0</v>
      </c>
      <c r="F2229">
        <v>2955600000</v>
      </c>
      <c r="G2229">
        <v>3949234.65</v>
      </c>
      <c r="H2229">
        <v>2953579386</v>
      </c>
      <c r="I2229">
        <v>2953579386</v>
      </c>
      <c r="J2229">
        <v>-7.8589999999999997E-3</v>
      </c>
      <c r="K2229">
        <v>-7.8589999999999997E-3</v>
      </c>
      <c r="M2229" t="s">
        <v>1</v>
      </c>
      <c r="N2229">
        <v>3000</v>
      </c>
      <c r="O2229">
        <v>6</v>
      </c>
      <c r="P2229">
        <v>1</v>
      </c>
      <c r="Q2229">
        <v>0</v>
      </c>
      <c r="R2229">
        <v>37200000</v>
      </c>
      <c r="S2229">
        <v>66865.66</v>
      </c>
      <c r="T2229">
        <v>37133134.340000004</v>
      </c>
      <c r="U2229">
        <v>37133134.340000004</v>
      </c>
      <c r="V2229">
        <v>0</v>
      </c>
      <c r="W2229">
        <v>0</v>
      </c>
    </row>
    <row r="2230" spans="1:23" x14ac:dyDescent="0.35">
      <c r="A2230" t="s">
        <v>3</v>
      </c>
      <c r="B2230">
        <v>5250</v>
      </c>
      <c r="C2230">
        <v>6</v>
      </c>
      <c r="D2230">
        <v>1</v>
      </c>
      <c r="E2230">
        <v>0</v>
      </c>
      <c r="F2230">
        <v>20200000</v>
      </c>
      <c r="G2230">
        <v>23951.71</v>
      </c>
      <c r="H2230">
        <v>20077460</v>
      </c>
      <c r="I2230">
        <v>20077460</v>
      </c>
      <c r="J2230">
        <v>5.7020000000000001E-2</v>
      </c>
      <c r="K2230">
        <v>5.7020000000000001E-2</v>
      </c>
      <c r="M2230" t="s">
        <v>1</v>
      </c>
      <c r="N2230">
        <v>2750</v>
      </c>
      <c r="O2230">
        <v>6</v>
      </c>
      <c r="P2230">
        <v>1</v>
      </c>
      <c r="Q2230">
        <v>0</v>
      </c>
      <c r="R2230">
        <v>27600000</v>
      </c>
      <c r="S2230">
        <v>58550.559999999998</v>
      </c>
      <c r="T2230">
        <v>27541449.440000001</v>
      </c>
      <c r="U2230">
        <v>27541449.440000001</v>
      </c>
      <c r="V2230">
        <v>0</v>
      </c>
      <c r="W2230">
        <v>0</v>
      </c>
    </row>
    <row r="2231" spans="1:23" x14ac:dyDescent="0.35">
      <c r="A2231" t="s">
        <v>3</v>
      </c>
      <c r="B2231">
        <v>7250</v>
      </c>
      <c r="C2231">
        <v>6</v>
      </c>
      <c r="D2231">
        <v>2</v>
      </c>
      <c r="E2231">
        <v>0</v>
      </c>
      <c r="F2231">
        <v>64300000</v>
      </c>
      <c r="G2231">
        <v>52784.17</v>
      </c>
      <c r="H2231">
        <v>63326668</v>
      </c>
      <c r="I2231">
        <v>63326668</v>
      </c>
      <c r="J2231">
        <v>0.15889500000000001</v>
      </c>
      <c r="K2231">
        <v>0.15889500000000001</v>
      </c>
      <c r="M2231" t="s">
        <v>1</v>
      </c>
      <c r="N2231">
        <v>3250</v>
      </c>
      <c r="O2231">
        <v>6</v>
      </c>
      <c r="P2231">
        <v>3</v>
      </c>
      <c r="Q2231">
        <v>0</v>
      </c>
      <c r="R2231">
        <v>125800000</v>
      </c>
      <c r="S2231">
        <v>212271.98</v>
      </c>
      <c r="T2231">
        <v>125587728.02</v>
      </c>
      <c r="U2231">
        <v>125587728.02</v>
      </c>
      <c r="V2231">
        <v>0</v>
      </c>
      <c r="W2231">
        <v>0</v>
      </c>
    </row>
    <row r="2232" spans="1:23" x14ac:dyDescent="0.35">
      <c r="A2232" t="s">
        <v>0</v>
      </c>
      <c r="B2232">
        <v>2750</v>
      </c>
      <c r="C2232">
        <v>5</v>
      </c>
      <c r="D2232">
        <v>5</v>
      </c>
      <c r="E2232">
        <v>0</v>
      </c>
      <c r="F2232">
        <v>164700000</v>
      </c>
      <c r="G2232">
        <v>297980.03000000003</v>
      </c>
      <c r="H2232">
        <v>164700000</v>
      </c>
      <c r="I2232">
        <v>164700000</v>
      </c>
      <c r="J2232">
        <v>-2.1928E-2</v>
      </c>
      <c r="K2232">
        <v>-2.1928E-2</v>
      </c>
      <c r="M2232" t="s">
        <v>2</v>
      </c>
      <c r="N2232">
        <v>3500</v>
      </c>
      <c r="O2232">
        <v>5</v>
      </c>
      <c r="P2232">
        <v>62</v>
      </c>
      <c r="Q2232">
        <v>0</v>
      </c>
      <c r="R2232">
        <v>1921300000</v>
      </c>
      <c r="S2232">
        <v>3058913.99</v>
      </c>
      <c r="T2232">
        <v>1918241086.01</v>
      </c>
      <c r="U2232">
        <v>1918241086.01</v>
      </c>
      <c r="V2232">
        <v>0</v>
      </c>
      <c r="W2232">
        <v>0</v>
      </c>
    </row>
    <row r="2233" spans="1:23" x14ac:dyDescent="0.35">
      <c r="A2233" t="s">
        <v>1</v>
      </c>
      <c r="B2233">
        <v>3000</v>
      </c>
      <c r="C2233">
        <v>5</v>
      </c>
      <c r="D2233">
        <v>6</v>
      </c>
      <c r="E2233">
        <v>0</v>
      </c>
      <c r="F2233">
        <v>259600000</v>
      </c>
      <c r="G2233">
        <v>450733.99</v>
      </c>
      <c r="H2233">
        <v>259600000</v>
      </c>
      <c r="I2233">
        <v>259600000</v>
      </c>
      <c r="J2233">
        <v>-2.1035000000000002E-2</v>
      </c>
      <c r="K2233">
        <v>-2.1035000000000002E-2</v>
      </c>
      <c r="M2233" t="s">
        <v>0</v>
      </c>
      <c r="N2233">
        <v>3500</v>
      </c>
      <c r="O2233">
        <v>5</v>
      </c>
      <c r="P2233">
        <v>453</v>
      </c>
      <c r="Q2233">
        <v>0</v>
      </c>
      <c r="R2233">
        <v>16279400000</v>
      </c>
      <c r="S2233">
        <v>25905018.690000001</v>
      </c>
      <c r="T2233">
        <v>16253494981.309999</v>
      </c>
      <c r="U2233">
        <v>16253494981.309999</v>
      </c>
      <c r="V2233">
        <v>0</v>
      </c>
      <c r="W2233">
        <v>0</v>
      </c>
    </row>
    <row r="2234" spans="1:23" x14ac:dyDescent="0.35">
      <c r="A2234" t="s">
        <v>1</v>
      </c>
      <c r="B2234">
        <v>2500</v>
      </c>
      <c r="C2234">
        <v>5</v>
      </c>
      <c r="D2234">
        <v>6</v>
      </c>
      <c r="E2234">
        <v>0</v>
      </c>
      <c r="F2234">
        <v>314000000</v>
      </c>
      <c r="G2234">
        <v>621845.29</v>
      </c>
      <c r="H2234">
        <v>314000000</v>
      </c>
      <c r="I2234">
        <v>314000000</v>
      </c>
      <c r="J2234">
        <v>-2.4025000000000001E-2</v>
      </c>
      <c r="K2234">
        <v>-2.4025000000000001E-2</v>
      </c>
      <c r="M2234" t="s">
        <v>1</v>
      </c>
      <c r="N2234">
        <v>3250</v>
      </c>
      <c r="O2234">
        <v>5</v>
      </c>
      <c r="P2234">
        <v>57</v>
      </c>
      <c r="Q2234">
        <v>0</v>
      </c>
      <c r="R2234">
        <v>1866000000</v>
      </c>
      <c r="S2234">
        <v>3104713.93</v>
      </c>
      <c r="T2234">
        <v>1842129925.47</v>
      </c>
      <c r="U2234">
        <v>1862895286.0699999</v>
      </c>
      <c r="V2234">
        <v>0.125662</v>
      </c>
      <c r="W2234">
        <v>0</v>
      </c>
    </row>
    <row r="2235" spans="1:23" x14ac:dyDescent="0.35">
      <c r="A2235" t="s">
        <v>0</v>
      </c>
      <c r="B2235">
        <v>3000</v>
      </c>
      <c r="C2235">
        <v>5</v>
      </c>
      <c r="D2235">
        <v>6</v>
      </c>
      <c r="E2235">
        <v>0</v>
      </c>
      <c r="F2235">
        <v>183900000</v>
      </c>
      <c r="G2235">
        <v>321160.65999999997</v>
      </c>
      <c r="H2235">
        <v>183900000</v>
      </c>
      <c r="I2235">
        <v>183900000</v>
      </c>
      <c r="J2235">
        <v>-2.1159000000000001E-2</v>
      </c>
      <c r="K2235">
        <v>-2.1159000000000001E-2</v>
      </c>
      <c r="M2235" t="s">
        <v>2</v>
      </c>
      <c r="N2235">
        <v>3250</v>
      </c>
      <c r="O2235">
        <v>7</v>
      </c>
      <c r="P2235">
        <v>1</v>
      </c>
      <c r="Q2235">
        <v>0</v>
      </c>
      <c r="R2235">
        <v>42600000</v>
      </c>
      <c r="S2235">
        <v>72198.75</v>
      </c>
      <c r="T2235">
        <v>42527801.25</v>
      </c>
      <c r="U2235">
        <v>42527801.25</v>
      </c>
      <c r="V2235">
        <v>0</v>
      </c>
      <c r="W2235">
        <v>0</v>
      </c>
    </row>
    <row r="2236" spans="1:23" x14ac:dyDescent="0.35">
      <c r="A2236" t="s">
        <v>1</v>
      </c>
      <c r="B2236">
        <v>2750</v>
      </c>
      <c r="C2236">
        <v>5</v>
      </c>
      <c r="D2236">
        <v>5</v>
      </c>
      <c r="E2236">
        <v>0</v>
      </c>
      <c r="F2236">
        <v>205300000</v>
      </c>
      <c r="G2236">
        <v>370359.26</v>
      </c>
      <c r="H2236">
        <v>205300000</v>
      </c>
      <c r="I2236">
        <v>205300000</v>
      </c>
      <c r="J2236">
        <v>-2.1864000000000001E-2</v>
      </c>
      <c r="K2236">
        <v>-2.1864000000000001E-2</v>
      </c>
      <c r="M2236" t="s">
        <v>1</v>
      </c>
      <c r="N2236">
        <v>3500</v>
      </c>
      <c r="O2236">
        <v>5</v>
      </c>
      <c r="P2236">
        <v>150</v>
      </c>
      <c r="Q2236">
        <v>0</v>
      </c>
      <c r="R2236">
        <v>5571300000</v>
      </c>
      <c r="S2236">
        <v>8888590.3000000007</v>
      </c>
      <c r="T2236">
        <v>5562411409.6999998</v>
      </c>
      <c r="U2236">
        <v>5562411409.6999998</v>
      </c>
      <c r="V2236">
        <v>0</v>
      </c>
      <c r="W2236">
        <v>0</v>
      </c>
    </row>
    <row r="2237" spans="1:23" x14ac:dyDescent="0.35">
      <c r="A2237" t="s">
        <v>3</v>
      </c>
      <c r="B2237">
        <v>4750</v>
      </c>
      <c r="C2237">
        <v>5</v>
      </c>
      <c r="D2237">
        <v>8</v>
      </c>
      <c r="E2237">
        <v>0</v>
      </c>
      <c r="F2237">
        <v>302300000</v>
      </c>
      <c r="G2237">
        <v>382164.35</v>
      </c>
      <c r="H2237">
        <v>302300000</v>
      </c>
      <c r="I2237">
        <v>302300000</v>
      </c>
      <c r="J2237">
        <v>-1.5276E-2</v>
      </c>
      <c r="K2237">
        <v>-1.5276E-2</v>
      </c>
      <c r="M2237" t="s">
        <v>0</v>
      </c>
      <c r="N2237">
        <v>3250</v>
      </c>
      <c r="O2237">
        <v>5</v>
      </c>
      <c r="P2237">
        <v>149</v>
      </c>
      <c r="Q2237">
        <v>0</v>
      </c>
      <c r="R2237">
        <v>5114800000</v>
      </c>
      <c r="S2237">
        <v>8471290.5800000001</v>
      </c>
      <c r="T2237">
        <v>5106328709.4200001</v>
      </c>
      <c r="U2237">
        <v>5106328709.4200001</v>
      </c>
      <c r="V2237">
        <v>0</v>
      </c>
      <c r="W2237">
        <v>0</v>
      </c>
    </row>
    <row r="2238" spans="1:23" x14ac:dyDescent="0.35">
      <c r="M2238" t="s">
        <v>2</v>
      </c>
      <c r="N2238">
        <v>4500</v>
      </c>
      <c r="O2238">
        <v>5</v>
      </c>
      <c r="P2238">
        <v>121</v>
      </c>
      <c r="Q2238">
        <v>0</v>
      </c>
      <c r="R2238">
        <v>3315500000</v>
      </c>
      <c r="S2238">
        <v>4438383.1399999997</v>
      </c>
      <c r="T2238">
        <v>3311061616.8600001</v>
      </c>
      <c r="U2238">
        <v>3311061616.8600001</v>
      </c>
      <c r="V2238">
        <v>0</v>
      </c>
      <c r="W2238">
        <v>0</v>
      </c>
    </row>
    <row r="2239" spans="1:23" x14ac:dyDescent="0.35">
      <c r="M2239" t="s">
        <v>2</v>
      </c>
      <c r="N2239">
        <v>2750</v>
      </c>
      <c r="O2239">
        <v>5</v>
      </c>
      <c r="P2239">
        <v>1</v>
      </c>
      <c r="Q2239">
        <v>0</v>
      </c>
      <c r="R2239">
        <v>14300000</v>
      </c>
      <c r="S2239">
        <v>29549.07</v>
      </c>
      <c r="T2239">
        <v>14270450.93</v>
      </c>
      <c r="U2239">
        <v>14270450.93</v>
      </c>
      <c r="V2239">
        <v>0</v>
      </c>
      <c r="W2239">
        <v>0</v>
      </c>
    </row>
    <row r="2240" spans="1:23" x14ac:dyDescent="0.35">
      <c r="M2240" t="s">
        <v>1</v>
      </c>
      <c r="N2240">
        <v>3000</v>
      </c>
      <c r="O2240">
        <v>5</v>
      </c>
      <c r="P2240">
        <v>6</v>
      </c>
      <c r="Q2240">
        <v>0</v>
      </c>
      <c r="R2240">
        <v>237600000</v>
      </c>
      <c r="S2240">
        <v>413583.4</v>
      </c>
      <c r="T2240">
        <v>237186416.59999999</v>
      </c>
      <c r="U2240">
        <v>237186416.59999999</v>
      </c>
      <c r="V2240">
        <v>0</v>
      </c>
      <c r="W2240">
        <v>0</v>
      </c>
    </row>
    <row r="2241" spans="10:23" x14ac:dyDescent="0.35">
      <c r="M2241" t="s">
        <v>0</v>
      </c>
      <c r="N2241">
        <v>2750</v>
      </c>
      <c r="O2241">
        <v>6</v>
      </c>
      <c r="P2241">
        <v>1</v>
      </c>
      <c r="Q2241">
        <v>0</v>
      </c>
      <c r="R2241">
        <v>22700000</v>
      </c>
      <c r="S2241">
        <v>41662.269999999997</v>
      </c>
      <c r="T2241">
        <v>22658337.73</v>
      </c>
      <c r="U2241">
        <v>22658337.73</v>
      </c>
      <c r="V2241">
        <v>0</v>
      </c>
      <c r="W2241">
        <v>0</v>
      </c>
    </row>
    <row r="2242" spans="10:23" x14ac:dyDescent="0.35">
      <c r="M2242" t="s">
        <v>0</v>
      </c>
      <c r="N2242">
        <v>2750</v>
      </c>
      <c r="O2242">
        <v>5</v>
      </c>
      <c r="P2242">
        <v>4</v>
      </c>
      <c r="Q2242">
        <v>0</v>
      </c>
      <c r="R2242">
        <v>137300000</v>
      </c>
      <c r="S2242">
        <v>247696.6</v>
      </c>
      <c r="T2242">
        <v>137052303.40000001</v>
      </c>
      <c r="U2242">
        <v>137052303.40000001</v>
      </c>
      <c r="V2242">
        <v>0</v>
      </c>
      <c r="W2242">
        <v>0</v>
      </c>
    </row>
    <row r="2243" spans="10:23" x14ac:dyDescent="0.35">
      <c r="M2243" t="s">
        <v>0</v>
      </c>
      <c r="N2243">
        <v>3000</v>
      </c>
      <c r="O2243">
        <v>5</v>
      </c>
      <c r="P2243">
        <v>5</v>
      </c>
      <c r="Q2243">
        <v>0</v>
      </c>
      <c r="R2243">
        <v>159400000</v>
      </c>
      <c r="S2243">
        <v>277695.92</v>
      </c>
      <c r="T2243">
        <v>159122304.08000001</v>
      </c>
      <c r="U2243">
        <v>159122304.08000001</v>
      </c>
      <c r="V2243">
        <v>0</v>
      </c>
      <c r="W2243">
        <v>0</v>
      </c>
    </row>
    <row r="2244" spans="10:23" x14ac:dyDescent="0.35">
      <c r="M2244" t="s">
        <v>3</v>
      </c>
      <c r="N2244">
        <v>4750</v>
      </c>
      <c r="O2244">
        <v>5</v>
      </c>
      <c r="P2244">
        <v>6</v>
      </c>
      <c r="Q2244">
        <v>0</v>
      </c>
      <c r="R2244">
        <v>226500000</v>
      </c>
      <c r="S2244">
        <v>285422.28999999998</v>
      </c>
      <c r="T2244">
        <v>226214577.71000001</v>
      </c>
      <c r="U2244">
        <v>226214577.71000001</v>
      </c>
      <c r="V2244">
        <v>0</v>
      </c>
      <c r="W2244">
        <v>0</v>
      </c>
    </row>
    <row r="2245" spans="10:23" x14ac:dyDescent="0.35">
      <c r="M2245" t="s">
        <v>3</v>
      </c>
      <c r="N2245">
        <v>5000</v>
      </c>
      <c r="O2245">
        <v>5</v>
      </c>
      <c r="P2245">
        <v>3</v>
      </c>
      <c r="Q2245">
        <v>0</v>
      </c>
      <c r="R2245">
        <v>86900000</v>
      </c>
      <c r="S2245">
        <v>105814.13</v>
      </c>
      <c r="T2245">
        <v>86794185.870000005</v>
      </c>
      <c r="U2245">
        <v>86794185.870000005</v>
      </c>
      <c r="V2245">
        <v>0</v>
      </c>
      <c r="W2245">
        <v>0</v>
      </c>
    </row>
    <row r="2250" spans="10:23" x14ac:dyDescent="0.35">
      <c r="J2250" s="1"/>
      <c r="K2250" s="1"/>
    </row>
    <row r="2251" spans="10:23" x14ac:dyDescent="0.35">
      <c r="J2251" s="1"/>
      <c r="K2251" s="1"/>
    </row>
    <row r="2252" spans="10:23" x14ac:dyDescent="0.35">
      <c r="J2252" s="1"/>
      <c r="K2252" s="1"/>
    </row>
    <row r="2253" spans="10:23" x14ac:dyDescent="0.35">
      <c r="J2253" s="1"/>
      <c r="K2253" s="1"/>
    </row>
    <row r="2254" spans="10:23" x14ac:dyDescent="0.35">
      <c r="J2254" s="1"/>
      <c r="K2254" s="1"/>
    </row>
    <row r="2255" spans="10:23" x14ac:dyDescent="0.35">
      <c r="J2255" s="1"/>
      <c r="K2255" s="1"/>
    </row>
    <row r="2256" spans="10:23" x14ac:dyDescent="0.35">
      <c r="J2256" s="1"/>
      <c r="K2256" s="1"/>
    </row>
    <row r="2257" spans="10:11" x14ac:dyDescent="0.35">
      <c r="J2257" s="1"/>
      <c r="K2257" s="1"/>
    </row>
    <row r="2258" spans="10:11" x14ac:dyDescent="0.35">
      <c r="J2258" s="1"/>
      <c r="K2258" s="1"/>
    </row>
    <row r="2259" spans="10:11" x14ac:dyDescent="0.35">
      <c r="J2259" s="1"/>
      <c r="K2259" s="1"/>
    </row>
    <row r="2260" spans="10:11" x14ac:dyDescent="0.35">
      <c r="J2260" s="1"/>
      <c r="K2260" s="1"/>
    </row>
    <row r="2261" spans="10:11" x14ac:dyDescent="0.35">
      <c r="J2261" s="1"/>
      <c r="K2261" s="1"/>
    </row>
    <row r="2262" spans="10:11" x14ac:dyDescent="0.35">
      <c r="J2262" s="1"/>
      <c r="K2262" s="1"/>
    </row>
    <row r="2263" spans="10:11" x14ac:dyDescent="0.35">
      <c r="J2263" s="1"/>
      <c r="K2263" s="1"/>
    </row>
    <row r="2264" spans="10:11" x14ac:dyDescent="0.35">
      <c r="J2264" s="1"/>
      <c r="K2264" s="1"/>
    </row>
    <row r="2265" spans="10:11" x14ac:dyDescent="0.35">
      <c r="J2265" s="1"/>
      <c r="K2265" s="1"/>
    </row>
    <row r="2266" spans="10:11" x14ac:dyDescent="0.35">
      <c r="J2266" s="1"/>
      <c r="K2266" s="1"/>
    </row>
    <row r="2267" spans="10:11" x14ac:dyDescent="0.35">
      <c r="J2267" s="1"/>
      <c r="K2267" s="1"/>
    </row>
    <row r="2268" spans="10:11" x14ac:dyDescent="0.35">
      <c r="J2268" s="1"/>
      <c r="K2268" s="1"/>
    </row>
    <row r="2269" spans="10:11" x14ac:dyDescent="0.35">
      <c r="J2269" s="1"/>
      <c r="K2269" s="1"/>
    </row>
    <row r="2270" spans="10:11" x14ac:dyDescent="0.35">
      <c r="J2270" s="1"/>
      <c r="K2270" s="1"/>
    </row>
    <row r="2271" spans="10:11" x14ac:dyDescent="0.35">
      <c r="J2271" s="1"/>
      <c r="K2271" s="1"/>
    </row>
    <row r="2272" spans="10:11" x14ac:dyDescent="0.35">
      <c r="J2272" s="1"/>
      <c r="K2272" s="1"/>
    </row>
    <row r="2273" spans="10:11" x14ac:dyDescent="0.35">
      <c r="J2273" s="1"/>
      <c r="K2273" s="1"/>
    </row>
    <row r="2274" spans="10:11" x14ac:dyDescent="0.35">
      <c r="J2274" s="1"/>
      <c r="K2274" s="1"/>
    </row>
    <row r="2275" spans="10:11" x14ac:dyDescent="0.35">
      <c r="J2275" s="1"/>
      <c r="K2275" s="1"/>
    </row>
    <row r="2276" spans="10:11" x14ac:dyDescent="0.35">
      <c r="J2276" s="1"/>
      <c r="K2276" s="1"/>
    </row>
    <row r="2277" spans="10:11" x14ac:dyDescent="0.35">
      <c r="J2277" s="1"/>
      <c r="K2277" s="1"/>
    </row>
    <row r="2278" spans="10:11" x14ac:dyDescent="0.35">
      <c r="J2278" s="1"/>
      <c r="K2278" s="1"/>
    </row>
    <row r="2279" spans="10:11" x14ac:dyDescent="0.35">
      <c r="J2279" s="1"/>
      <c r="K2279" s="1"/>
    </row>
    <row r="2280" spans="10:11" x14ac:dyDescent="0.35">
      <c r="J2280" s="1"/>
      <c r="K2280" s="1"/>
    </row>
    <row r="2281" spans="10:11" x14ac:dyDescent="0.35">
      <c r="J2281" s="1"/>
      <c r="K2281" s="1"/>
    </row>
    <row r="2282" spans="10:11" x14ac:dyDescent="0.35">
      <c r="J2282" s="1"/>
      <c r="K2282" s="1"/>
    </row>
    <row r="2283" spans="10:11" x14ac:dyDescent="0.35">
      <c r="J2283" s="1"/>
      <c r="K2283" s="1"/>
    </row>
    <row r="2284" spans="10:11" x14ac:dyDescent="0.35">
      <c r="J2284" s="1"/>
      <c r="K2284" s="1"/>
    </row>
    <row r="2285" spans="10:11" x14ac:dyDescent="0.35">
      <c r="J2285" s="1"/>
      <c r="K2285" s="1"/>
    </row>
    <row r="2286" spans="10:11" x14ac:dyDescent="0.35">
      <c r="J2286" s="1"/>
      <c r="K2286" s="1"/>
    </row>
    <row r="2287" spans="10:11" x14ac:dyDescent="0.35">
      <c r="J2287" s="1"/>
      <c r="K2287" s="1"/>
    </row>
    <row r="2288" spans="10:11" x14ac:dyDescent="0.35">
      <c r="J2288" s="1"/>
      <c r="K2288" s="1"/>
    </row>
    <row r="2289" spans="10:11" x14ac:dyDescent="0.35">
      <c r="J2289" s="1"/>
      <c r="K2289" s="1"/>
    </row>
    <row r="2290" spans="10:11" x14ac:dyDescent="0.35">
      <c r="J2290" s="1"/>
      <c r="K2290" s="1"/>
    </row>
    <row r="2291" spans="10:11" x14ac:dyDescent="0.35">
      <c r="J2291" s="1"/>
      <c r="K2291" s="1"/>
    </row>
    <row r="2292" spans="10:11" x14ac:dyDescent="0.35">
      <c r="J2292" s="1"/>
      <c r="K2292" s="1"/>
    </row>
    <row r="2293" spans="10:11" x14ac:dyDescent="0.35">
      <c r="J2293" s="1"/>
      <c r="K2293" s="1"/>
    </row>
    <row r="2294" spans="10:11" x14ac:dyDescent="0.35">
      <c r="J2294" s="1"/>
      <c r="K2294" s="1"/>
    </row>
    <row r="2295" spans="10:11" x14ac:dyDescent="0.35">
      <c r="J2295" s="1"/>
      <c r="K2295" s="1"/>
    </row>
    <row r="2296" spans="10:11" x14ac:dyDescent="0.35">
      <c r="J2296" s="1"/>
      <c r="K2296" s="1"/>
    </row>
    <row r="2297" spans="10:11" x14ac:dyDescent="0.35">
      <c r="J2297" s="1"/>
      <c r="K2297" s="1"/>
    </row>
    <row r="2298" spans="10:11" x14ac:dyDescent="0.35">
      <c r="J2298" s="1"/>
      <c r="K2298" s="1"/>
    </row>
    <row r="2299" spans="10:11" x14ac:dyDescent="0.35">
      <c r="J2299" s="1"/>
      <c r="K2299" s="1"/>
    </row>
    <row r="2300" spans="10:11" x14ac:dyDescent="0.35">
      <c r="J2300" s="1"/>
      <c r="K2300" s="1"/>
    </row>
    <row r="2301" spans="10:11" x14ac:dyDescent="0.35">
      <c r="J2301" s="1"/>
      <c r="K2301" s="1"/>
    </row>
    <row r="2302" spans="10:11" x14ac:dyDescent="0.35">
      <c r="J2302" s="1"/>
      <c r="K2302" s="1"/>
    </row>
    <row r="2303" spans="10:11" x14ac:dyDescent="0.35">
      <c r="J2303" s="1"/>
      <c r="K2303" s="1"/>
    </row>
    <row r="2304" spans="10:11" x14ac:dyDescent="0.35">
      <c r="J2304" s="1"/>
      <c r="K2304" s="1"/>
    </row>
    <row r="2305" spans="10:11" x14ac:dyDescent="0.35">
      <c r="J2305" s="1"/>
      <c r="K2305" s="1"/>
    </row>
    <row r="2306" spans="10:11" x14ac:dyDescent="0.35">
      <c r="J2306" s="1"/>
      <c r="K2306" s="1"/>
    </row>
    <row r="2307" spans="10:11" x14ac:dyDescent="0.35">
      <c r="J2307" s="1"/>
      <c r="K2307" s="1"/>
    </row>
    <row r="2308" spans="10:11" x14ac:dyDescent="0.35">
      <c r="J2308" s="1"/>
      <c r="K2308" s="1"/>
    </row>
    <row r="2309" spans="10:11" x14ac:dyDescent="0.35">
      <c r="J2309" s="1"/>
      <c r="K2309" s="1"/>
    </row>
    <row r="2310" spans="10:11" x14ac:dyDescent="0.35">
      <c r="J2310" s="1"/>
      <c r="K2310" s="1"/>
    </row>
    <row r="2311" spans="10:11" x14ac:dyDescent="0.35">
      <c r="J2311" s="1"/>
      <c r="K2311" s="1"/>
    </row>
    <row r="2312" spans="10:11" x14ac:dyDescent="0.35">
      <c r="J2312" s="1"/>
      <c r="K2312" s="1"/>
    </row>
    <row r="2313" spans="10:11" x14ac:dyDescent="0.35">
      <c r="J2313" s="1"/>
      <c r="K2313" s="1"/>
    </row>
    <row r="2314" spans="10:11" x14ac:dyDescent="0.35">
      <c r="J2314" s="1"/>
      <c r="K2314" s="1"/>
    </row>
    <row r="2315" spans="10:11" x14ac:dyDescent="0.35">
      <c r="J2315" s="1"/>
      <c r="K2315" s="1"/>
    </row>
    <row r="2316" spans="10:11" x14ac:dyDescent="0.35">
      <c r="J2316" s="1"/>
      <c r="K2316" s="1"/>
    </row>
    <row r="2317" spans="10:11" x14ac:dyDescent="0.35">
      <c r="J2317" s="1"/>
      <c r="K2317" s="1"/>
    </row>
    <row r="2318" spans="10:11" x14ac:dyDescent="0.35">
      <c r="J2318" s="1"/>
      <c r="K2318" s="1"/>
    </row>
    <row r="2319" spans="10:11" x14ac:dyDescent="0.35">
      <c r="J2319" s="1"/>
      <c r="K2319" s="1"/>
    </row>
    <row r="2320" spans="10:11" x14ac:dyDescent="0.35">
      <c r="J2320" s="1"/>
      <c r="K2320" s="1"/>
    </row>
    <row r="2321" spans="10:11" x14ac:dyDescent="0.35">
      <c r="J2321" s="1"/>
      <c r="K2321" s="1"/>
    </row>
    <row r="2322" spans="10:11" x14ac:dyDescent="0.35">
      <c r="J2322" s="1"/>
      <c r="K2322" s="1"/>
    </row>
    <row r="2323" spans="10:11" x14ac:dyDescent="0.35">
      <c r="J2323" s="1"/>
      <c r="K2323" s="1"/>
    </row>
    <row r="2324" spans="10:11" x14ac:dyDescent="0.35">
      <c r="J2324" s="1"/>
      <c r="K2324" s="1"/>
    </row>
    <row r="2325" spans="10:11" x14ac:dyDescent="0.35">
      <c r="J2325" s="1"/>
      <c r="K2325" s="1"/>
    </row>
    <row r="2326" spans="10:11" x14ac:dyDescent="0.35">
      <c r="J2326" s="1"/>
      <c r="K2326" s="1"/>
    </row>
    <row r="2327" spans="10:11" x14ac:dyDescent="0.35">
      <c r="J2327" s="1"/>
      <c r="K2327" s="1"/>
    </row>
    <row r="2328" spans="10:11" x14ac:dyDescent="0.35">
      <c r="J2328" s="1"/>
      <c r="K2328" s="1"/>
    </row>
    <row r="2329" spans="10:11" x14ac:dyDescent="0.35">
      <c r="J2329" s="1"/>
      <c r="K2329" s="1"/>
    </row>
    <row r="2330" spans="10:11" x14ac:dyDescent="0.35">
      <c r="J2330" s="1"/>
      <c r="K2330" s="1"/>
    </row>
    <row r="2331" spans="10:11" x14ac:dyDescent="0.35">
      <c r="J2331" s="1"/>
      <c r="K2331" s="1"/>
    </row>
    <row r="2332" spans="10:11" x14ac:dyDescent="0.35">
      <c r="J2332" s="1"/>
      <c r="K2332" s="1"/>
    </row>
    <row r="2333" spans="10:11" x14ac:dyDescent="0.35">
      <c r="J2333" s="1"/>
      <c r="K2333" s="1"/>
    </row>
    <row r="2334" spans="10:11" x14ac:dyDescent="0.35">
      <c r="J2334" s="1"/>
      <c r="K2334" s="1"/>
    </row>
    <row r="2335" spans="10:11" x14ac:dyDescent="0.35">
      <c r="J2335" s="1"/>
      <c r="K2335" s="1"/>
    </row>
    <row r="2336" spans="10:11" x14ac:dyDescent="0.35">
      <c r="J2336" s="1"/>
      <c r="K2336" s="1"/>
    </row>
    <row r="2337" spans="10:11" x14ac:dyDescent="0.35">
      <c r="J2337" s="1"/>
      <c r="K2337" s="1"/>
    </row>
    <row r="2338" spans="10:11" x14ac:dyDescent="0.35">
      <c r="J2338" s="1"/>
      <c r="K2338" s="1"/>
    </row>
    <row r="2339" spans="10:11" x14ac:dyDescent="0.35">
      <c r="J2339" s="1"/>
      <c r="K2339" s="1"/>
    </row>
    <row r="2340" spans="10:11" x14ac:dyDescent="0.35">
      <c r="J2340" s="1"/>
      <c r="K2340" s="1"/>
    </row>
    <row r="2341" spans="10:11" x14ac:dyDescent="0.35">
      <c r="J2341" s="1"/>
      <c r="K2341" s="1"/>
    </row>
    <row r="2342" spans="10:11" x14ac:dyDescent="0.35">
      <c r="J2342" s="1"/>
      <c r="K234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May Act vs Apr Act</vt:lpstr>
      <vt:lpstr>Grid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Rios</dc:creator>
  <cp:lastModifiedBy>micha</cp:lastModifiedBy>
  <dcterms:created xsi:type="dcterms:W3CDTF">2025-09-11T15:16:19Z</dcterms:created>
  <dcterms:modified xsi:type="dcterms:W3CDTF">2026-05-12T01:12:24Z</dcterms:modified>
</cp:coreProperties>
</file>